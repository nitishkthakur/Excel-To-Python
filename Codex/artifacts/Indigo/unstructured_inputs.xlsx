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00" windowWidth="14800" windowHeight="7720" tabRatio="752" firstSheet="0" activeTab="1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</sheets>
  <definedNames>
    <definedName name="_xlnm._FilterDatabase" localSheetId="11" hidden="1">'ATF fuel'!$A$1:$F$37</definedName>
  </definedNames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[$-409]mmm/yy;@"/>
    <numFmt numFmtId="165" formatCode="0\-\A"/>
    <numFmt numFmtId="166" formatCode="0\-\E"/>
    <numFmt numFmtId="167" formatCode="_ * #,##0_ ;_ * \-#,##0_ ;_ * &quot;-&quot;??_ ;_ @_ "/>
    <numFmt numFmtId="168" formatCode="0.0%"/>
    <numFmt numFmtId="169" formatCode="0.0"/>
    <numFmt numFmtId="170" formatCode="_ * #,##0.00_ ;_ * \-#,##0.00_ ;_ * &quot;-&quot;??_ ;_ @_ "/>
    <numFmt numFmtId="171" formatCode="0.000%"/>
  </numFmts>
  <fonts count="3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3" tint="0.7999816888943144"/>
      <sz val="2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2" tint="-0.74999237037263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68686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686868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rgb="FF00206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i val="1"/>
      <color rgb="FF0B028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0B028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Calibri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</fonts>
  <fills count="12">
    <fill>
      <patternFill/>
    </fill>
    <fill>
      <patternFill patternType="gray125"/>
    </fill>
    <fill>
      <patternFill patternType="solid">
        <fgColor rgb="FF0B02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3" tint="0.3999755851924192"/>
      </top>
      <bottom/>
      <diagonal/>
    </border>
    <border>
      <left/>
      <right/>
      <top/>
      <bottom style="thin">
        <color theme="3" tint="0.3999755851924192"/>
      </bottom>
      <diagonal/>
    </border>
    <border>
      <left/>
      <right/>
      <top style="thin">
        <color rgb="FF0B0280"/>
      </top>
      <bottom/>
      <diagonal/>
    </border>
    <border>
      <left/>
      <right/>
      <top/>
      <bottom style="thin">
        <color rgb="FF0B0280"/>
      </bottom>
      <diagonal/>
    </border>
    <border>
      <left/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B0280"/>
      </top>
      <bottom/>
      <diagonal/>
    </border>
    <border>
      <left/>
      <right style="thin">
        <color auto="1"/>
      </right>
      <top/>
      <bottom style="thin">
        <color rgb="FF0B028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5" fillId="0" borderId="0"/>
    <xf numFmtId="170" fontId="5" fillId="0" borderId="0"/>
    <xf numFmtId="9" fontId="5" fillId="0" borderId="0"/>
    <xf numFmtId="0" fontId="15" fillId="5" borderId="0"/>
    <xf numFmtId="43" fontId="5" fillId="0" borderId="0"/>
    <xf numFmtId="0" fontId="18" fillId="0" borderId="0"/>
    <xf numFmtId="0" fontId="18" fillId="0" borderId="0"/>
    <xf numFmtId="0" fontId="18" fillId="0" borderId="0"/>
    <xf numFmtId="9" fontId="18" fillId="0" borderId="0"/>
    <xf numFmtId="43" fontId="18" fillId="0" borderId="0"/>
    <xf numFmtId="170" fontId="5" fillId="0" borderId="0"/>
    <xf numFmtId="0" fontId="30" fillId="0" borderId="0"/>
    <xf numFmtId="0" fontId="18" fillId="0" borderId="0"/>
  </cellStyleXfs>
  <cellXfs count="380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2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3" pivotButton="0" quotePrefix="0" xfId="0"/>
    <xf numFmtId="166" fontId="0" fillId="0" borderId="4" pivotButton="0" quotePrefix="0" xfId="0"/>
    <xf numFmtId="166" fontId="0" fillId="0" borderId="0" pivotButton="0" quotePrefix="0" xfId="0"/>
    <xf numFmtId="165" fontId="0" fillId="0" borderId="4" pivotButton="0" quotePrefix="0" xfId="0"/>
    <xf numFmtId="167" fontId="0" fillId="0" borderId="0" pivotButton="0" quotePrefix="0" xfId="1"/>
    <xf numFmtId="0" fontId="1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2" fontId="0" fillId="0" borderId="0" pivotButton="0" quotePrefix="0" xfId="0"/>
    <xf numFmtId="3" fontId="0" fillId="0" borderId="3" pivotButton="0" quotePrefix="0" xfId="0"/>
    <xf numFmtId="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2"/>
    <xf numFmtId="0" fontId="0" fillId="0" borderId="0" pivotButton="0" quotePrefix="0" xfId="0"/>
    <xf numFmtId="9" fontId="0" fillId="0" borderId="0" pivotButton="0" quotePrefix="0" xfId="0"/>
    <xf numFmtId="168" fontId="0" fillId="0" borderId="0" pivotButton="0" quotePrefix="0" xfId="2"/>
    <xf numFmtId="168" fontId="1" fillId="0" borderId="0" pivotButton="0" quotePrefix="0" xfId="0"/>
    <xf numFmtId="2" fontId="1" fillId="0" borderId="0" pivotButton="0" quotePrefix="0" xfId="0"/>
    <xf numFmtId="169" fontId="0" fillId="0" borderId="0" pivotButton="0" quotePrefix="0" xfId="0"/>
    <xf numFmtId="9" fontId="1" fillId="0" borderId="0" pivotButton="0" quotePrefix="0" xfId="0"/>
    <xf numFmtId="169" fontId="1" fillId="0" borderId="0" pivotButton="0" quotePrefix="0" xfId="0"/>
    <xf numFmtId="1" fontId="1" fillId="0" borderId="0" pivotButton="0" quotePrefix="0" xfId="0"/>
    <xf numFmtId="0" fontId="9" fillId="0" borderId="5" applyAlignment="1" pivotButton="0" quotePrefix="0" xfId="0">
      <alignment wrapText="1"/>
    </xf>
    <xf numFmtId="0" fontId="9" fillId="0" borderId="5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1" fontId="0" fillId="0" borderId="3" pivotButton="0" quotePrefix="0" xfId="0"/>
    <xf numFmtId="0" fontId="0" fillId="0" borderId="0" applyAlignment="1" pivotButton="0" quotePrefix="0" xfId="0">
      <alignment horizontal="center"/>
    </xf>
    <xf numFmtId="0" fontId="10" fillId="0" borderId="5" applyAlignment="1" pivotButton="0" quotePrefix="0" xfId="0">
      <alignment wrapText="1"/>
    </xf>
    <xf numFmtId="3" fontId="10" fillId="0" borderId="5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16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vertical="top"/>
    </xf>
    <xf numFmtId="3" fontId="0" fillId="0" borderId="0" pivotButton="0" quotePrefix="0" xfId="0"/>
    <xf numFmtId="3" fontId="10" fillId="0" borderId="0" applyAlignment="1" pivotButton="0" quotePrefix="0" xfId="0">
      <alignment horizontal="right" wrapText="1"/>
    </xf>
    <xf numFmtId="0" fontId="11" fillId="0" borderId="5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left" wrapText="1"/>
    </xf>
    <xf numFmtId="0" fontId="11" fillId="0" borderId="5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168" fontId="0" fillId="3" borderId="0" pivotButton="0" quotePrefix="0" xfId="2"/>
    <xf numFmtId="9" fontId="1" fillId="0" borderId="0" pivotButton="0" quotePrefix="0" xfId="2"/>
    <xf numFmtId="9" fontId="11" fillId="0" borderId="0" applyAlignment="1" pivotButton="0" quotePrefix="0" xfId="2">
      <alignment horizontal="center" wrapText="1"/>
    </xf>
    <xf numFmtId="9" fontId="10" fillId="0" borderId="0" pivotButton="0" quotePrefix="0" xfId="2"/>
    <xf numFmtId="0" fontId="0" fillId="4" borderId="6" applyAlignment="1" pivotButton="0" quotePrefix="0" xfId="0">
      <alignment horizontal="left"/>
    </xf>
    <xf numFmtId="0" fontId="2" fillId="4" borderId="6" applyAlignment="1" pivotButton="0" quotePrefix="0" xfId="0">
      <alignment horizontal="center"/>
    </xf>
    <xf numFmtId="0" fontId="0" fillId="4" borderId="0" pivotButton="0" quotePrefix="0" xfId="0"/>
    <xf numFmtId="0" fontId="0" fillId="4" borderId="7" applyAlignment="1" pivotButton="0" quotePrefix="0" xfId="0">
      <alignment horizontal="left"/>
    </xf>
    <xf numFmtId="0" fontId="0" fillId="4" borderId="7" applyAlignment="1" pivotButton="0" quotePrefix="0" xfId="0">
      <alignment horizontal="center"/>
    </xf>
    <xf numFmtId="3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3" fontId="0" fillId="4" borderId="8" applyAlignment="1" pivotButton="0" quotePrefix="0" xfId="0">
      <alignment horizontal="center"/>
    </xf>
    <xf numFmtId="10" fontId="0" fillId="4" borderId="8" pivotButton="0" quotePrefix="0" xfId="2"/>
    <xf numFmtId="10" fontId="0" fillId="4" borderId="8" applyAlignment="1" pivotButton="0" quotePrefix="0" xfId="0">
      <alignment horizontal="center"/>
    </xf>
    <xf numFmtId="0" fontId="0" fillId="4" borderId="8" applyAlignment="1" pivotButton="0" quotePrefix="0" xfId="0">
      <alignment horizontal="left" wrapText="1"/>
    </xf>
    <xf numFmtId="1" fontId="0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left" wrapText="1"/>
    </xf>
    <xf numFmtId="3" fontId="0" fillId="4" borderId="9" applyAlignment="1" pivotButton="0" quotePrefix="0" xfId="0">
      <alignment horizontal="center"/>
    </xf>
    <xf numFmtId="0" fontId="0" fillId="4" borderId="7" applyAlignment="1" pivotButton="0" quotePrefix="0" xfId="0">
      <alignment horizontal="center" vertical="center"/>
    </xf>
    <xf numFmtId="3" fontId="0" fillId="4" borderId="7" applyAlignment="1" pivotButton="0" quotePrefix="0" xfId="0">
      <alignment horizontal="center" vertical="center"/>
    </xf>
    <xf numFmtId="9" fontId="0" fillId="4" borderId="9" pivotButton="0" quotePrefix="0" xfId="0"/>
    <xf numFmtId="0" fontId="0" fillId="4" borderId="8" applyAlignment="1" pivotButton="0" quotePrefix="0" xfId="0">
      <alignment horizontal="center" vertical="center"/>
    </xf>
    <xf numFmtId="1" fontId="0" fillId="4" borderId="8" applyAlignment="1" pivotButton="0" quotePrefix="0" xfId="0">
      <alignment horizontal="center" vertical="center"/>
    </xf>
    <xf numFmtId="9" fontId="0" fillId="4" borderId="8" applyAlignment="1" pivotButton="0" quotePrefix="0" xfId="2">
      <alignment horizontal="center"/>
    </xf>
    <xf numFmtId="0" fontId="2" fillId="4" borderId="8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2" fontId="0" fillId="4" borderId="8" applyAlignment="1" pivotButton="0" quotePrefix="0" xfId="0">
      <alignment horizontal="center"/>
    </xf>
    <xf numFmtId="10" fontId="0" fillId="4" borderId="0" pivotButton="0" quotePrefix="0" xfId="2"/>
    <xf numFmtId="9" fontId="0" fillId="4" borderId="7" applyAlignment="1" pivotButton="0" quotePrefix="0" xfId="2">
      <alignment horizontal="center"/>
    </xf>
    <xf numFmtId="0" fontId="0" fillId="3" borderId="8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1">
      <alignment horizontal="center"/>
    </xf>
    <xf numFmtId="167" fontId="0" fillId="0" borderId="8" pivotButton="0" quotePrefix="0" xfId="1"/>
    <xf numFmtId="9" fontId="0" fillId="0" borderId="8" pivotButton="0" quotePrefix="0" xfId="2"/>
    <xf numFmtId="10" fontId="0" fillId="4" borderId="8" applyAlignment="1" pivotButton="0" quotePrefix="0" xfId="2">
      <alignment horizontal="center"/>
    </xf>
    <xf numFmtId="1" fontId="1" fillId="4" borderId="7" applyAlignment="1" pivotButton="0" quotePrefix="0" xfId="0">
      <alignment horizontal="center"/>
    </xf>
    <xf numFmtId="9" fontId="1" fillId="4" borderId="7" applyAlignment="1" pivotButton="0" quotePrefix="0" xfId="0">
      <alignment horizontal="center"/>
    </xf>
    <xf numFmtId="3" fontId="1" fillId="4" borderId="8" applyAlignment="1" pivotButton="0" quotePrefix="0" xfId="0">
      <alignment horizontal="center"/>
    </xf>
    <xf numFmtId="1" fontId="1" fillId="4" borderId="7" applyAlignment="1" pivotButton="0" quotePrefix="0" xfId="0">
      <alignment horizontal="center" vertical="center"/>
    </xf>
    <xf numFmtId="1" fontId="1" fillId="4" borderId="8" applyAlignment="1" pivotButton="0" quotePrefix="0" xfId="0">
      <alignment horizontal="center" vertical="center"/>
    </xf>
    <xf numFmtId="9" fontId="1" fillId="4" borderId="8" applyAlignment="1" pivotButton="0" quotePrefix="0" xfId="2">
      <alignment horizontal="center"/>
    </xf>
    <xf numFmtId="1" fontId="1" fillId="4" borderId="8" applyAlignment="1" pivotButton="0" quotePrefix="0" xfId="0">
      <alignment horizontal="center"/>
    </xf>
    <xf numFmtId="10" fontId="1" fillId="4" borderId="8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2" fontId="1" fillId="4" borderId="8" applyAlignment="1" pivotButton="0" quotePrefix="0" xfId="0">
      <alignment horizontal="center"/>
    </xf>
    <xf numFmtId="9" fontId="1" fillId="4" borderId="8" applyAlignment="1" pivotButton="0" quotePrefix="0" xfId="0">
      <alignment horizontal="center"/>
    </xf>
    <xf numFmtId="0" fontId="0" fillId="4" borderId="10" applyAlignment="1" pivotButton="0" quotePrefix="0" xfId="0">
      <alignment horizontal="left"/>
    </xf>
    <xf numFmtId="1" fontId="0" fillId="4" borderId="8" pivotButton="0" quotePrefix="0" xfId="0"/>
    <xf numFmtId="170" fontId="0" fillId="0" borderId="8" pivotButton="0" quotePrefix="0" xfId="1"/>
    <xf numFmtId="10" fontId="12" fillId="4" borderId="8" applyAlignment="1" pivotButton="0" quotePrefix="0" xfId="2">
      <alignment horizontal="center"/>
    </xf>
    <xf numFmtId="1" fontId="1" fillId="4" borderId="13" applyAlignment="1" pivotButton="0" quotePrefix="0" xfId="0">
      <alignment horizontal="center"/>
    </xf>
    <xf numFmtId="0" fontId="2" fillId="4" borderId="14" applyAlignment="1" pivotButton="0" quotePrefix="0" xfId="0">
      <alignment horizontal="center"/>
    </xf>
    <xf numFmtId="3" fontId="0" fillId="4" borderId="15" applyAlignment="1" pivotButton="0" quotePrefix="0" xfId="0">
      <alignment horizontal="center"/>
    </xf>
    <xf numFmtId="0" fontId="1" fillId="4" borderId="16" applyAlignment="1" pivotButton="0" quotePrefix="0" xfId="0">
      <alignment horizontal="center"/>
    </xf>
    <xf numFmtId="1" fontId="1" fillId="4" borderId="16" applyAlignment="1" pivotButton="0" quotePrefix="0" xfId="0">
      <alignment horizontal="center"/>
    </xf>
    <xf numFmtId="1" fontId="1" fillId="4" borderId="13" applyAlignment="1" pivotButton="0" quotePrefix="0" xfId="0">
      <alignment horizontal="center" vertical="center"/>
    </xf>
    <xf numFmtId="1" fontId="1" fillId="4" borderId="16" applyAlignment="1" pivotButton="0" quotePrefix="0" xfId="0">
      <alignment horizontal="center" vertical="center"/>
    </xf>
    <xf numFmtId="9" fontId="1" fillId="4" borderId="16" applyAlignment="1" pivotButton="0" quotePrefix="0" xfId="2">
      <alignment horizontal="center"/>
    </xf>
    <xf numFmtId="1" fontId="0" fillId="4" borderId="11" applyAlignment="1" pivotButton="0" quotePrefix="0" xfId="0">
      <alignment horizontal="center"/>
    </xf>
    <xf numFmtId="170" fontId="0" fillId="0" borderId="11" pivotButton="0" quotePrefix="0" xfId="1"/>
    <xf numFmtId="1" fontId="0" fillId="4" borderId="11" pivotButton="0" quotePrefix="0" xfId="0"/>
    <xf numFmtId="10" fontId="0" fillId="4" borderId="11" applyAlignment="1" pivotButton="0" quotePrefix="0" xfId="2">
      <alignment horizontal="center"/>
    </xf>
    <xf numFmtId="3" fontId="0" fillId="4" borderId="18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/>
    </xf>
    <xf numFmtId="1" fontId="0" fillId="4" borderId="11" applyAlignment="1" pivotButton="0" quotePrefix="0" xfId="0">
      <alignment horizontal="center" vertical="center"/>
    </xf>
    <xf numFmtId="9" fontId="0" fillId="4" borderId="11" applyAlignment="1" pivotButton="0" quotePrefix="0" xfId="2">
      <alignment horizontal="center"/>
    </xf>
    <xf numFmtId="171" fontId="0" fillId="4" borderId="11" applyAlignment="1" pivotButton="0" quotePrefix="0" xfId="2">
      <alignment horizontal="center"/>
    </xf>
    <xf numFmtId="0" fontId="0" fillId="4" borderId="1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9" fontId="1" fillId="4" borderId="13" applyAlignment="1" pivotButton="0" quotePrefix="0" xfId="0">
      <alignment horizontal="center"/>
    </xf>
    <xf numFmtId="3" fontId="1" fillId="4" borderId="16" applyAlignment="1" pivotButton="0" quotePrefix="0" xfId="0">
      <alignment horizontal="center"/>
    </xf>
    <xf numFmtId="10" fontId="1" fillId="4" borderId="16" applyAlignment="1" pivotButton="0" quotePrefix="0" xfId="0">
      <alignment horizontal="center"/>
    </xf>
    <xf numFmtId="2" fontId="1" fillId="4" borderId="16" applyAlignment="1" pivotButton="0" quotePrefix="0" xfId="0">
      <alignment horizontal="center"/>
    </xf>
    <xf numFmtId="3" fontId="0" fillId="4" borderId="11" applyAlignment="1" pivotButton="0" quotePrefix="0" xfId="0">
      <alignment horizontal="center"/>
    </xf>
    <xf numFmtId="10" fontId="0" fillId="4" borderId="11" applyAlignment="1" pivotButton="0" quotePrefix="0" xfId="0">
      <alignment horizontal="center"/>
    </xf>
    <xf numFmtId="2" fontId="0" fillId="4" borderId="11" applyAlignment="1" pivotButton="0" quotePrefix="0" xfId="0">
      <alignment horizontal="center"/>
    </xf>
    <xf numFmtId="167" fontId="0" fillId="0" borderId="11" pivotButton="0" quotePrefix="0" xfId="1"/>
    <xf numFmtId="9" fontId="0" fillId="0" borderId="11" pivotButton="0" quotePrefix="0" xfId="2"/>
    <xf numFmtId="0" fontId="13" fillId="4" borderId="12" applyAlignment="1" pivotButton="0" quotePrefix="0" xfId="0">
      <alignment horizontal="center"/>
    </xf>
    <xf numFmtId="0" fontId="13" fillId="4" borderId="6" applyAlignment="1" pivotButton="0" quotePrefix="0" xfId="0">
      <alignment horizontal="center"/>
    </xf>
    <xf numFmtId="3" fontId="1" fillId="4" borderId="18" applyAlignment="1" pivotButton="0" quotePrefix="0" xfId="0">
      <alignment horizontal="center"/>
    </xf>
    <xf numFmtId="0" fontId="1" fillId="4" borderId="0" pivotButton="0" quotePrefix="0" xfId="0"/>
    <xf numFmtId="0" fontId="12" fillId="4" borderId="0" pivotButton="0" quotePrefix="0" xfId="0"/>
    <xf numFmtId="10" fontId="14" fillId="4" borderId="16" applyAlignment="1" pivotButton="0" quotePrefix="0" xfId="2">
      <alignment horizontal="center"/>
    </xf>
    <xf numFmtId="10" fontId="14" fillId="4" borderId="8" applyAlignment="1" pivotButton="0" quotePrefix="0" xfId="2">
      <alignment horizontal="center"/>
    </xf>
    <xf numFmtId="10" fontId="12" fillId="4" borderId="11" applyAlignment="1" pivotButton="0" quotePrefix="0" xfId="2">
      <alignment horizontal="center"/>
    </xf>
    <xf numFmtId="10" fontId="0" fillId="0" borderId="0" pivotButton="0" quotePrefix="0" xfId="0"/>
    <xf numFmtId="10" fontId="0" fillId="4" borderId="19" applyAlignment="1" pivotButton="0" quotePrefix="0" xfId="2">
      <alignment horizontal="center"/>
    </xf>
    <xf numFmtId="3" fontId="0" fillId="4" borderId="8" pivotButton="0" quotePrefix="0" xfId="0"/>
    <xf numFmtId="9" fontId="0" fillId="4" borderId="8" pivotButton="0" quotePrefix="0" xfId="2"/>
    <xf numFmtId="0" fontId="2" fillId="4" borderId="7" applyAlignment="1" pivotButton="0" quotePrefix="0" xfId="0">
      <alignment horizontal="left"/>
    </xf>
    <xf numFmtId="1" fontId="0" fillId="4" borderId="0" applyAlignment="1" pivotButton="0" quotePrefix="0" xfId="0">
      <alignment horizontal="center"/>
    </xf>
    <xf numFmtId="1" fontId="2" fillId="4" borderId="8" applyAlignment="1" pivotButton="0" quotePrefix="0" xfId="0">
      <alignment horizontal="center"/>
    </xf>
    <xf numFmtId="171" fontId="1" fillId="4" borderId="0" pivotButton="0" quotePrefix="0" xfId="0"/>
    <xf numFmtId="2" fontId="0" fillId="0" borderId="0" pivotButton="0" quotePrefix="0" xfId="2"/>
    <xf numFmtId="0" fontId="0" fillId="0" borderId="8" pivotButton="0" quotePrefix="0" xfId="0"/>
    <xf numFmtId="0" fontId="0" fillId="0" borderId="20" pivotButton="0" quotePrefix="0" xfId="0"/>
    <xf numFmtId="3" fontId="0" fillId="0" borderId="20" pivotButton="0" quotePrefix="0" xfId="0"/>
    <xf numFmtId="1" fontId="1" fillId="0" borderId="20" pivotButton="0" quotePrefix="0" xfId="0"/>
    <xf numFmtId="0" fontId="2" fillId="0" borderId="20" pivotButton="0" quotePrefix="0" xfId="0"/>
    <xf numFmtId="0" fontId="0" fillId="4" borderId="9" applyAlignment="1" pivotButton="0" quotePrefix="0" xfId="0">
      <alignment horizontal="left"/>
    </xf>
    <xf numFmtId="9" fontId="0" fillId="4" borderId="9" applyAlignment="1" pivotButton="0" quotePrefix="0" xfId="2">
      <alignment horizontal="center"/>
    </xf>
    <xf numFmtId="9" fontId="0" fillId="4" borderId="0" applyAlignment="1" pivotButton="0" quotePrefix="0" xfId="2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wrapText="1"/>
    </xf>
    <xf numFmtId="4" fontId="0" fillId="4" borderId="8" applyAlignment="1" pivotButton="0" quotePrefix="0" xfId="0">
      <alignment horizontal="center"/>
    </xf>
    <xf numFmtId="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15" fillId="5" borderId="0" pivotButton="0" quotePrefix="0" xfId="3"/>
    <xf numFmtId="10" fontId="16" fillId="0" borderId="0" applyAlignment="1" pivotButton="0" quotePrefix="0" xfId="2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" fontId="0" fillId="4" borderId="1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1" fontId="2" fillId="4" borderId="0" applyAlignment="1" pivotButton="0" quotePrefix="0" xfId="0">
      <alignment horizontal="center"/>
    </xf>
    <xf numFmtId="164" fontId="0" fillId="0" borderId="21" pivotButton="0" quotePrefix="0" xfId="0"/>
    <xf numFmtId="0" fontId="2" fillId="8" borderId="8" applyAlignment="1" pivotButton="0" quotePrefix="0" xfId="0">
      <alignment horizontal="center"/>
    </xf>
    <xf numFmtId="0" fontId="0" fillId="9" borderId="8" applyAlignment="1" pivotButton="0" quotePrefix="0" xfId="0">
      <alignment horizontal="center"/>
    </xf>
    <xf numFmtId="10" fontId="0" fillId="9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0" fontId="0" fillId="9" borderId="6" applyAlignment="1" pivotButton="0" quotePrefix="0" xfId="0">
      <alignment horizontal="center"/>
    </xf>
    <xf numFmtId="1" fontId="0" fillId="9" borderId="6" applyAlignment="1" pivotButton="0" quotePrefix="0" xfId="0">
      <alignment horizontal="center"/>
    </xf>
    <xf numFmtId="10" fontId="0" fillId="9" borderId="6" applyAlignment="1" pivotButton="0" quotePrefix="0" xfId="0">
      <alignment horizontal="center"/>
    </xf>
    <xf numFmtId="1" fontId="0" fillId="9" borderId="9" applyAlignment="1" pivotButton="0" quotePrefix="0" xfId="0">
      <alignment horizontal="center"/>
    </xf>
    <xf numFmtId="0" fontId="0" fillId="0" borderId="22" pivotButton="0" quotePrefix="0" xfId="0"/>
    <xf numFmtId="165" fontId="0" fillId="0" borderId="22" pivotButton="0" quotePrefix="0" xfId="0"/>
    <xf numFmtId="166" fontId="0" fillId="0" borderId="22" pivotButton="0" quotePrefix="0" xfId="0"/>
    <xf numFmtId="10" fontId="0" fillId="7" borderId="8" applyAlignment="1" pivotButton="0" quotePrefix="0" xfId="2">
      <alignment horizontal="right"/>
    </xf>
    <xf numFmtId="2" fontId="0" fillId="7" borderId="8" applyAlignment="1" pivotButton="0" quotePrefix="0" xfId="2">
      <alignment horizontal="right"/>
    </xf>
    <xf numFmtId="2" fontId="0" fillId="7" borderId="8" applyAlignment="1" pivotButton="0" quotePrefix="0" xfId="0">
      <alignment horizontal="right"/>
    </xf>
    <xf numFmtId="167" fontId="0" fillId="7" borderId="8" applyAlignment="1" pivotButton="0" quotePrefix="0" xfId="1">
      <alignment horizontal="right"/>
    </xf>
    <xf numFmtId="3" fontId="0" fillId="7" borderId="8" applyAlignment="1" pivotButton="0" quotePrefix="0" xfId="0">
      <alignment horizontal="right"/>
    </xf>
    <xf numFmtId="170" fontId="0" fillId="7" borderId="8" applyAlignment="1" pivotButton="0" quotePrefix="0" xfId="1">
      <alignment horizontal="right"/>
    </xf>
    <xf numFmtId="0" fontId="0" fillId="7" borderId="8" applyAlignment="1" pivotButton="0" quotePrefix="0" xfId="2">
      <alignment horizontal="right"/>
    </xf>
    <xf numFmtId="167" fontId="0" fillId="7" borderId="8" pivotButton="0" quotePrefix="0" xfId="1"/>
    <xf numFmtId="2" fontId="0" fillId="7" borderId="8" pivotButton="0" quotePrefix="0" xfId="0"/>
    <xf numFmtId="0" fontId="0" fillId="0" borderId="0" pivotButton="0" quotePrefix="0" xfId="0"/>
    <xf numFmtId="0" fontId="19" fillId="0" borderId="0" pivotButton="0" quotePrefix="0" xfId="7"/>
    <xf numFmtId="0" fontId="19" fillId="0" borderId="0" applyAlignment="1" pivotButton="0" quotePrefix="0" xfId="7">
      <alignment horizontal="left" indent="1"/>
    </xf>
    <xf numFmtId="168" fontId="19" fillId="0" borderId="0" applyAlignment="1" pivotButton="0" quotePrefix="0" xfId="8">
      <alignment horizontal="left" indent="1"/>
    </xf>
    <xf numFmtId="3" fontId="0" fillId="0" borderId="0" pivotButton="0" quotePrefix="0" xfId="0"/>
    <xf numFmtId="3" fontId="1" fillId="0" borderId="0" pivotButton="0" quotePrefix="0" xfId="0"/>
    <xf numFmtId="0" fontId="0" fillId="2" borderId="23" pivotButton="0" quotePrefix="0" xfId="0"/>
    <xf numFmtId="0" fontId="0" fillId="0" borderId="23" pivotButton="0" quotePrefix="0" xfId="0"/>
    <xf numFmtId="164" fontId="0" fillId="0" borderId="24" pivotButton="0" quotePrefix="0" xfId="0"/>
    <xf numFmtId="165" fontId="0" fillId="0" borderId="25" pivotButton="0" quotePrefix="0" xfId="0"/>
    <xf numFmtId="3" fontId="0" fillId="0" borderId="23" pivotButton="0" quotePrefix="0" xfId="0"/>
    <xf numFmtId="1" fontId="0" fillId="0" borderId="23" pivotButton="0" quotePrefix="0" xfId="0"/>
    <xf numFmtId="0" fontId="1" fillId="0" borderId="23" pivotButton="0" quotePrefix="0" xfId="0"/>
    <xf numFmtId="169" fontId="0" fillId="0" borderId="23" pivotButton="0" quotePrefix="0" xfId="0"/>
    <xf numFmtId="10" fontId="0" fillId="0" borderId="23" pivotButton="0" quotePrefix="0" xfId="2"/>
    <xf numFmtId="168" fontId="0" fillId="0" borderId="23" pivotButton="0" quotePrefix="0" xfId="2"/>
    <xf numFmtId="9" fontId="0" fillId="0" borderId="23" pivotButton="0" quotePrefix="0" xfId="2"/>
    <xf numFmtId="3" fontId="0" fillId="0" borderId="12" pivotButton="0" quotePrefix="0" xfId="0"/>
    <xf numFmtId="10" fontId="16" fillId="0" borderId="23" applyAlignment="1" pivotButton="0" quotePrefix="0" xfId="2">
      <alignment horizontal="center"/>
    </xf>
    <xf numFmtId="3" fontId="15" fillId="5" borderId="23" pivotButton="0" quotePrefix="0" xfId="3"/>
    <xf numFmtId="2" fontId="0" fillId="4" borderId="8" applyAlignment="1" pivotButton="0" quotePrefix="0" xfId="2">
      <alignment horizontal="center" vertical="center"/>
    </xf>
    <xf numFmtId="167" fontId="0" fillId="0" borderId="0" pivotButton="0" quotePrefix="0" xfId="0"/>
    <xf numFmtId="0" fontId="20" fillId="0" borderId="0" pivotButton="0" quotePrefix="0" xfId="0"/>
    <xf numFmtId="9" fontId="20" fillId="0" borderId="0" pivotButton="0" quotePrefix="0" xfId="2"/>
    <xf numFmtId="10" fontId="0" fillId="0" borderId="0" pivotButton="0" quotePrefix="0" xfId="2"/>
    <xf numFmtId="1" fontId="0" fillId="0" borderId="0" applyAlignment="1" pivotButton="0" quotePrefix="0" xfId="0">
      <alignment horizontal="center"/>
    </xf>
    <xf numFmtId="1" fontId="10" fillId="0" borderId="0" pivotButton="0" quotePrefix="0" xfId="0"/>
    <xf numFmtId="3" fontId="10" fillId="0" borderId="0" pivotButton="0" quotePrefix="0" xfId="0"/>
    <xf numFmtId="0" fontId="10" fillId="0" borderId="0" pivotButton="0" quotePrefix="0" xfId="0"/>
    <xf numFmtId="10" fontId="10" fillId="0" borderId="0" pivotButton="0" quotePrefix="0" xfId="0"/>
    <xf numFmtId="164" fontId="21" fillId="0" borderId="3" pivotButton="0" quotePrefix="0" xfId="0"/>
    <xf numFmtId="1" fontId="21" fillId="0" borderId="0" pivotButton="0" quotePrefix="0" xfId="0"/>
    <xf numFmtId="3" fontId="21" fillId="0" borderId="0" pivotButton="0" quotePrefix="0" xfId="0"/>
    <xf numFmtId="0" fontId="21" fillId="0" borderId="0" pivotButton="0" quotePrefix="0" xfId="0"/>
    <xf numFmtId="3" fontId="21" fillId="0" borderId="0" pivotButton="0" quotePrefix="0" xfId="0"/>
    <xf numFmtId="2" fontId="21" fillId="0" borderId="0" pivotButton="0" quotePrefix="0" xfId="0"/>
    <xf numFmtId="1" fontId="10" fillId="0" borderId="0" pivotButton="0" quotePrefix="0" xfId="0"/>
    <xf numFmtId="3" fontId="22" fillId="0" borderId="0" pivotButton="0" quotePrefix="0" xfId="0"/>
    <xf numFmtId="1" fontId="22" fillId="0" borderId="0" pivotButton="0" quotePrefix="0" xfId="0"/>
    <xf numFmtId="3" fontId="21" fillId="0" borderId="3" pivotButton="0" quotePrefix="0" xfId="0"/>
    <xf numFmtId="4" fontId="21" fillId="0" borderId="0" pivotButton="0" quotePrefix="0" xfId="0"/>
    <xf numFmtId="1" fontId="2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8" fontId="10" fillId="0" borderId="0" pivotButton="0" quotePrefix="0" xfId="2"/>
    <xf numFmtId="1" fontId="0" fillId="0" borderId="26" pivotButton="0" quotePrefix="0" xfId="0"/>
    <xf numFmtId="9" fontId="1" fillId="0" borderId="26" pivotButton="0" quotePrefix="0" xfId="0"/>
    <xf numFmtId="9" fontId="1" fillId="4" borderId="16" applyAlignment="1" pivotButton="0" quotePrefix="0" xfId="0">
      <alignment horizontal="center"/>
    </xf>
    <xf numFmtId="167" fontId="1" fillId="4" borderId="16" applyAlignment="1" pivotButton="0" quotePrefix="0" xfId="1">
      <alignment horizontal="center"/>
    </xf>
    <xf numFmtId="0" fontId="19" fillId="0" borderId="21" pivotButton="0" quotePrefix="0" xfId="7"/>
    <xf numFmtId="0" fontId="0" fillId="0" borderId="21" pivotButton="0" quotePrefix="0" xfId="0"/>
    <xf numFmtId="168" fontId="19" fillId="0" borderId="22" applyAlignment="1" pivotButton="0" quotePrefix="0" xfId="8">
      <alignment horizontal="left" indent="1"/>
    </xf>
    <xf numFmtId="1" fontId="0" fillId="0" borderId="21" pivotButton="0" quotePrefix="0" xfId="0"/>
    <xf numFmtId="10" fontId="1" fillId="0" borderId="0" pivotButton="0" quotePrefix="0" xfId="0"/>
    <xf numFmtId="167" fontId="23" fillId="9" borderId="16" applyAlignment="1" pivotButton="0" quotePrefix="0" xfId="0">
      <alignment horizontal="left"/>
    </xf>
    <xf numFmtId="1" fontId="0" fillId="0" borderId="0" pivotButton="0" quotePrefix="0" xfId="0"/>
    <xf numFmtId="1" fontId="0" fillId="0" borderId="0" pivotButton="0" quotePrefix="0" xfId="0"/>
    <xf numFmtId="168" fontId="19" fillId="0" borderId="0" applyAlignment="1" pivotButton="0" quotePrefix="0" xfId="8">
      <alignment horizontal="left" indent="1"/>
    </xf>
    <xf numFmtId="1" fontId="0" fillId="0" borderId="22" pivotButton="0" quotePrefix="0" xfId="0"/>
    <xf numFmtId="1" fontId="0" fillId="0" borderId="0" pivotButton="0" quotePrefix="0" xfId="0"/>
    <xf numFmtId="0" fontId="0" fillId="0" borderId="22" pivotButton="0" quotePrefix="0" xfId="0"/>
    <xf numFmtId="1" fontId="0" fillId="0" borderId="22" pivotButton="0" quotePrefix="0" xfId="0"/>
    <xf numFmtId="168" fontId="19" fillId="0" borderId="22" applyAlignment="1" pivotButton="0" quotePrefix="0" xfId="8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0" fontId="0" fillId="7" borderId="8" applyAlignment="1" pivotButton="0" quotePrefix="0" xfId="2">
      <alignment horizontal="right"/>
    </xf>
    <xf numFmtId="167" fontId="0" fillId="7" borderId="8" applyAlignment="1" pivotButton="0" quotePrefix="0" xfId="1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0" fontId="0" fillId="7" borderId="8" applyAlignment="1" pivotButton="0" quotePrefix="0" xfId="2">
      <alignment horizontal="right"/>
    </xf>
    <xf numFmtId="0" fontId="0" fillId="0" borderId="0" pivotButton="0" quotePrefix="0" xfId="0"/>
    <xf numFmtId="167" fontId="0" fillId="7" borderId="8" applyAlignment="1" pivotButton="0" quotePrefix="0" xfId="1">
      <alignment horizontal="right"/>
    </xf>
    <xf numFmtId="1" fontId="0" fillId="0" borderId="0" pivotButton="0" quotePrefix="0" xfId="0"/>
    <xf numFmtId="10" fontId="16" fillId="0" borderId="0" applyAlignment="1" pivotButton="0" quotePrefix="0" xfId="2">
      <alignment horizontal="center"/>
    </xf>
    <xf numFmtId="0" fontId="17" fillId="0" borderId="0" applyAlignment="1" pivotButton="0" quotePrefix="0" xfId="0">
      <alignment vertical="center"/>
    </xf>
    <xf numFmtId="10" fontId="0" fillId="0" borderId="0" pivotButton="0" quotePrefix="0" xfId="2"/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0" fontId="2" fillId="11" borderId="8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9" fontId="0" fillId="4" borderId="8" applyAlignment="1" pivotButton="0" quotePrefix="0" xfId="2">
      <alignment horizontal="center"/>
    </xf>
    <xf numFmtId="2" fontId="0" fillId="4" borderId="8" applyAlignment="1" pivotButton="0" quotePrefix="0" xfId="0">
      <alignment horizontal="center"/>
    </xf>
    <xf numFmtId="1" fontId="1" fillId="4" borderId="8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0" fillId="0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10" fontId="0" fillId="0" borderId="8" applyAlignment="1" pivotButton="0" quotePrefix="0" xfId="2">
      <alignment horizontal="center"/>
    </xf>
    <xf numFmtId="1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22" fillId="4" borderId="8" applyAlignment="1" pivotButton="0" quotePrefix="0" xfId="0">
      <alignment horizontal="center"/>
    </xf>
    <xf numFmtId="0" fontId="2" fillId="4" borderId="8" pivotButton="0" quotePrefix="0" xfId="0"/>
    <xf numFmtId="1" fontId="0" fillId="4" borderId="0" pivotButton="0" quotePrefix="0" xfId="0"/>
    <xf numFmtId="0" fontId="22" fillId="4" borderId="12" applyAlignment="1" pivotButton="0" quotePrefix="0" xfId="0">
      <alignment horizontal="center"/>
    </xf>
    <xf numFmtId="0" fontId="22" fillId="4" borderId="6" applyAlignment="1" pivotButton="0" quotePrefix="0" xfId="0">
      <alignment horizontal="center"/>
    </xf>
    <xf numFmtId="0" fontId="10" fillId="4" borderId="8" applyAlignment="1" pivotButton="0" quotePrefix="0" xfId="0">
      <alignment horizontal="left"/>
    </xf>
    <xf numFmtId="10" fontId="10" fillId="4" borderId="16" applyAlignment="1" pivotButton="0" quotePrefix="0" xfId="0">
      <alignment horizontal="center"/>
    </xf>
    <xf numFmtId="10" fontId="10" fillId="4" borderId="8" applyAlignment="1" pivotButton="0" quotePrefix="0" xfId="0">
      <alignment horizontal="center"/>
    </xf>
    <xf numFmtId="2" fontId="10" fillId="4" borderId="16" applyAlignment="1" pivotButton="0" quotePrefix="0" xfId="0">
      <alignment horizontal="center"/>
    </xf>
    <xf numFmtId="2" fontId="10" fillId="4" borderId="8" applyAlignment="1" pivotButton="0" quotePrefix="0" xfId="0">
      <alignment horizontal="center"/>
    </xf>
    <xf numFmtId="0" fontId="10" fillId="4" borderId="7" applyAlignment="1" pivotButton="0" quotePrefix="0" xfId="0">
      <alignment horizontal="left"/>
    </xf>
    <xf numFmtId="0" fontId="22" fillId="4" borderId="6" applyAlignment="1" pivotButton="0" quotePrefix="0" xfId="0">
      <alignment horizontal="left"/>
    </xf>
    <xf numFmtId="1" fontId="10" fillId="4" borderId="16" applyAlignment="1" pivotButton="0" quotePrefix="0" xfId="0">
      <alignment horizontal="center"/>
    </xf>
    <xf numFmtId="1" fontId="10" fillId="4" borderId="8" applyAlignment="1" pivotButton="0" quotePrefix="0" xfId="0">
      <alignment horizontal="center"/>
    </xf>
    <xf numFmtId="10" fontId="24" fillId="4" borderId="16" applyAlignment="1" pivotButton="0" quotePrefix="0" xfId="2">
      <alignment horizontal="center"/>
    </xf>
    <xf numFmtId="10" fontId="24" fillId="4" borderId="8" applyAlignment="1" pivotButton="0" quotePrefix="0" xfId="2">
      <alignment horizontal="center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0" fillId="0" borderId="0" pivotButton="0" quotePrefix="0" xfId="0"/>
    <xf numFmtId="0" fontId="29" fillId="0" borderId="0" applyAlignment="1" pivotButton="0" quotePrefix="0" xfId="0">
      <alignment horizontal="center"/>
    </xf>
    <xf numFmtId="0" fontId="31" fillId="0" borderId="0" applyAlignment="1" pivotButton="0" quotePrefix="0" xfId="11">
      <alignment horizont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1" fontId="0" fillId="4" borderId="17" applyAlignment="1" pivotButton="0" quotePrefix="0" xfId="0">
      <alignment horizontal="center" vertical="center"/>
    </xf>
    <xf numFmtId="1" fontId="0" fillId="4" borderId="1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10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/>
    </xf>
    <xf numFmtId="167" fontId="0" fillId="0" borderId="8" pivotButton="0" quotePrefix="0" xfId="1"/>
    <xf numFmtId="167" fontId="0" fillId="0" borderId="11" pivotButton="0" quotePrefix="0" xfId="1"/>
    <xf numFmtId="167" fontId="1" fillId="4" borderId="16" applyAlignment="1" pivotButton="0" quotePrefix="0" xfId="1">
      <alignment horizontal="center"/>
    </xf>
    <xf numFmtId="171" fontId="0" fillId="4" borderId="11" applyAlignment="1" pivotButton="0" quotePrefix="0" xfId="2">
      <alignment horizontal="center"/>
    </xf>
    <xf numFmtId="170" fontId="0" fillId="0" borderId="8" pivotButton="0" quotePrefix="0" xfId="1"/>
    <xf numFmtId="170" fontId="0" fillId="0" borderId="11" pivotButton="0" quotePrefix="0" xfId="1"/>
    <xf numFmtId="0" fontId="0" fillId="0" borderId="15" pivotButton="0" quotePrefix="0" xfId="0"/>
    <xf numFmtId="171" fontId="1" fillId="4" borderId="0" pivotButton="0" quotePrefix="0" xfId="0"/>
    <xf numFmtId="164" fontId="21" fillId="0" borderId="3" pivotButton="0" quotePrefix="0" xfId="0"/>
    <xf numFmtId="164" fontId="0" fillId="0" borderId="0" pivotButton="0" quotePrefix="0" xfId="0"/>
    <xf numFmtId="164" fontId="0" fillId="0" borderId="3" pivotButton="0" quotePrefix="0" xfId="0"/>
    <xf numFmtId="165" fontId="0" fillId="0" borderId="4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4" pivotButton="0" quotePrefix="0" xfId="0"/>
    <xf numFmtId="168" fontId="0" fillId="0" borderId="0" pivotButton="0" quotePrefix="0" xfId="2"/>
    <xf numFmtId="168" fontId="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7" fontId="0" fillId="0" borderId="0" pivotButton="0" quotePrefix="0" xfId="0"/>
    <xf numFmtId="167" fontId="0" fillId="0" borderId="0" pivotButton="0" quotePrefix="0" xfId="1"/>
    <xf numFmtId="164" fontId="0" fillId="0" borderId="24" pivotButton="0" quotePrefix="0" xfId="0"/>
    <xf numFmtId="165" fontId="0" fillId="0" borderId="25" pivotButton="0" quotePrefix="0" xfId="0"/>
    <xf numFmtId="169" fontId="0" fillId="0" borderId="0" pivotButton="0" quotePrefix="0" xfId="0"/>
    <xf numFmtId="169" fontId="0" fillId="0" borderId="23" pivotButton="0" quotePrefix="0" xfId="0"/>
    <xf numFmtId="169" fontId="1" fillId="0" borderId="0" pivotButton="0" quotePrefix="0" xfId="0"/>
    <xf numFmtId="168" fontId="0" fillId="0" borderId="23" pivotButton="0" quotePrefix="0" xfId="2"/>
    <xf numFmtId="168" fontId="0" fillId="3" borderId="0" pivotButton="0" quotePrefix="0" xfId="2"/>
    <xf numFmtId="167" fontId="0" fillId="0" borderId="0" applyAlignment="1" pivotButton="0" quotePrefix="0" xfId="1">
      <alignment horizontal="center"/>
    </xf>
    <xf numFmtId="168" fontId="10" fillId="0" borderId="0" pivotButton="0" quotePrefix="0" xfId="2"/>
    <xf numFmtId="169" fontId="0" fillId="0" borderId="0" applyAlignment="1" pivotButton="0" quotePrefix="0" xfId="0">
      <alignment horizontal="center"/>
    </xf>
    <xf numFmtId="167" fontId="0" fillId="7" borderId="8" pivotButton="0" quotePrefix="0" xfId="1"/>
    <xf numFmtId="170" fontId="0" fillId="7" borderId="8" applyAlignment="1" pivotButton="0" quotePrefix="0" xfId="1">
      <alignment horizontal="right"/>
    </xf>
    <xf numFmtId="167" fontId="0" fillId="7" borderId="8" applyAlignment="1" pivotButton="0" quotePrefix="0" xfId="1">
      <alignment horizontal="right"/>
    </xf>
    <xf numFmtId="164" fontId="0" fillId="0" borderId="21" pivotButton="0" quotePrefix="0" xfId="0"/>
    <xf numFmtId="165" fontId="0" fillId="0" borderId="22" pivotButton="0" quotePrefix="0" xfId="0"/>
    <xf numFmtId="166" fontId="0" fillId="0" borderId="22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28" pivotButton="0" quotePrefix="0" xfId="0"/>
    <xf numFmtId="167" fontId="23" fillId="9" borderId="16" applyAlignment="1" pivotButton="0" quotePrefix="0" xfId="0">
      <alignment horizontal="left"/>
    </xf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68" fontId="19" fillId="0" borderId="0" applyAlignment="1" pivotButton="0" quotePrefix="0" xfId="8">
      <alignment horizontal="left" indent="1"/>
    </xf>
    <xf numFmtId="168" fontId="19" fillId="0" borderId="22" applyAlignment="1" pivotButton="0" quotePrefix="0" xfId="8">
      <alignment horizontal="left" indent="1"/>
    </xf>
    <xf numFmtId="168" fontId="19" fillId="0" borderId="22" applyAlignment="1" pivotButton="0" quotePrefix="0" xfId="8">
      <alignment horizontal="left"/>
    </xf>
    <xf numFmtId="0" fontId="0" fillId="0" borderId="7" pivotButton="0" quotePrefix="0" xfId="0"/>
  </cellXfs>
  <cellStyles count="13">
    <cellStyle name="Normal" xfId="0" builtinId="0"/>
    <cellStyle name="Comma" xfId="1" builtinId="3"/>
    <cellStyle name="Percent" xfId="2" builtinId="5"/>
    <cellStyle name="Bad" xfId="3" builtinId="27"/>
    <cellStyle name="Comma 2" xfId="4"/>
    <cellStyle name="Normal 4" xfId="5"/>
    <cellStyle name="Normal 23" xfId="6"/>
    <cellStyle name="Normal 2" xfId="7"/>
    <cellStyle name="Percent 2" xfId="8"/>
    <cellStyle name="Comma 2 2" xfId="9"/>
    <cellStyle name="Comma 3" xfId="10"/>
    <cellStyle name="Hyperlink" xfId="11" builtinId="8"/>
    <cellStyle name="Normal 2 2" xfId="1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en-US"/>
            </a:pPr>
            <a:r>
              <a:rPr lang="en-US"/>
              <a:t>Capacity</a:t>
            </a:r>
            <a:r>
              <a:rPr lang="en-US" baseline="0"/>
              <a:t xml:space="preserve"> Growth Vs Efficiency </a:t>
            </a:r>
            <a:endParaRPr lang="en-US"/>
          </a:p>
        </rich>
      </tx>
      <overlay val="0"/>
    </title>
    <plotArea>
      <layout/>
      <lineChart>
        <grouping val="standard"/>
        <varyColors val="0"/>
        <ser>
          <idx val="1"/>
          <order val="0"/>
          <tx>
            <v>RASK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Sheet'!$D$6:$J$6</f>
              <numCache>
                <formatCode>General</formatCode>
                <ptCount val="7"/>
                <pt idx="0">
                  <v>3.1</v>
                </pt>
                <pt idx="1">
                  <v>3.1</v>
                </pt>
                <pt idx="2">
                  <v>3.7</v>
                </pt>
                <pt idx="3">
                  <v>3.72</v>
                </pt>
                <pt idx="4">
                  <v>3.95</v>
                </pt>
                <pt idx="5">
                  <v>3.78</v>
                </pt>
                <pt idx="6">
                  <v>3.44</v>
                </pt>
              </numCache>
            </numRef>
          </val>
          <smooth val="0"/>
        </ser>
        <ser>
          <idx val="2"/>
          <order val="1"/>
          <tx>
            <v>Yield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Sheet'!$D$7:$J$7</f>
              <numCache>
                <formatCode>0.00</formatCode>
                <ptCount val="7"/>
                <pt idx="0">
                  <v>3.188815121309009</v>
                </pt>
                <pt idx="1">
                  <v>3.363890462700661</v>
                </pt>
                <pt idx="2">
                  <v>4.0802847976308</v>
                </pt>
                <pt idx="3">
                  <v>4.289411739280774</v>
                </pt>
                <pt idx="4">
                  <v>4.363097561841218</v>
                </pt>
                <pt idx="5">
                  <v>3.90970362544484</v>
                </pt>
                <pt idx="6">
                  <v>3.499194607673695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6581608"/>
        <axId val="-2136846072"/>
      </lineChart>
      <lineChart>
        <grouping val="standard"/>
        <varyColors val="0"/>
        <ser>
          <idx val="3"/>
          <order val="2"/>
          <tx>
            <strRef>
              <f>'Assumptions Sheet'!$B$5</f>
              <strCache>
                <ptCount val="1"/>
                <pt idx="0">
                  <v>Passenger Load Factor (%)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'Assumptions Sheet'!$D$5:$J$5</f>
              <numCache>
                <formatCode>0.00%</formatCode>
                <ptCount val="7"/>
                <pt idx="0">
                  <v>0.851</v>
                </pt>
                <pt idx="1">
                  <v>0.823</v>
                </pt>
                <pt idx="2">
                  <v>0.8110000000000001</v>
                </pt>
                <pt idx="3">
                  <v>0.772</v>
                </pt>
                <pt idx="4">
                  <v>0.798</v>
                </pt>
                <pt idx="5">
                  <v>0.84</v>
                </pt>
                <pt idx="6">
                  <v>0.848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3308248"/>
        <axId val="-2136870952"/>
      </lineChart>
      <catAx>
        <axId val="-2136581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846072"/>
        <crosses val="autoZero"/>
        <auto val="1"/>
        <lblAlgn val="ctr"/>
        <lblOffset val="100"/>
        <noMultiLvlLbl val="0"/>
      </catAx>
      <valAx>
        <axId val="-2136846072"/>
        <scaling>
          <orientation val="minMax"/>
        </scaling>
        <delete val="0"/>
        <axPos val="l"/>
        <majorGridlines/>
        <title>
          <tx>
            <rich>
              <a:bodyPr/>
              <a:p>
                <a:r>
                  <a:t/>
                </a:r>
              </a:p>
            </rich>
          </tx>
          <overlay val="0"/>
          <txPr>
            <a:bodyPr/>
            <a:lstStyle/>
            <a:p>
              <a:pPr>
                <a:defRPr lang="en-US"/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581608"/>
        <crosses val="autoZero"/>
        <crossBetween val="between"/>
      </valAx>
      <catAx>
        <axId val="-21333082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-2136870952"/>
        <crosses val="autoZero"/>
        <auto val="1"/>
        <lblAlgn val="ctr"/>
        <lblOffset val="100"/>
        <noMultiLvlLbl val="0"/>
      </catAx>
      <valAx>
        <axId val="-2136870952"/>
        <scaling>
          <orientation val="minMax"/>
        </scaling>
        <delete val="0"/>
        <axPos val="r"/>
        <numFmt formatCode="0.00%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3308248"/>
        <crosses val="max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'ATF Fuel 2'!$M$1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2'!$M$2:$M$97</f>
              <numCache>
                <formatCode>General</formatCode>
                <ptCount val="96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2"/>
          <order val="1"/>
          <tx>
            <strRef>
              <f>'ATF Fuel 2'!$N$1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2'!$N$2:$N$97</f>
              <numCache>
                <formatCode>General</formatCode>
                <ptCount val="96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3"/>
          <order val="2"/>
          <tx>
            <strRef>
              <f>'ATF Fuel 2'!$O$1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2'!$O$2:$O$97</f>
              <numCache>
                <formatCode>General</formatCode>
                <ptCount val="96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ser>
          <idx val="4"/>
          <order val="3"/>
          <tx>
            <strRef>
              <f>'ATF Fuel 2'!$P$1</f>
              <strCache>
                <ptCount val="1"/>
                <pt idx="0">
                  <v>MCX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2'!$P$2:$P$97</f>
              <numCache>
                <formatCode>General</formatCode>
                <ptCount val="96"/>
                <pt idx="0">
                  <v>100</v>
                </pt>
                <pt idx="1">
                  <v>106.0361461458571</v>
                </pt>
                <pt idx="2">
                  <v>91.90526488604034</v>
                </pt>
                <pt idx="3">
                  <v>90.64872672811615</v>
                </pt>
                <pt idx="4">
                  <v>102.3206019663872</v>
                </pt>
                <pt idx="5">
                  <v>95.8185639072593</v>
                </pt>
                <pt idx="6">
                  <v>100.0949704514143</v>
                </pt>
                <pt idx="7">
                  <v>100.7987575999344</v>
                </pt>
                <pt idx="8">
                  <v>109.8344342605478</v>
                </pt>
                <pt idx="9">
                  <v>115.9627254023962</v>
                </pt>
                <pt idx="10">
                  <v>124.4644207297257</v>
                </pt>
                <pt idx="11">
                  <v>138.4527557356205</v>
                </pt>
                <pt idx="12">
                  <v>142.5413114028244</v>
                </pt>
                <pt idx="13">
                  <v>145.5569051048221</v>
                </pt>
                <pt idx="14">
                  <v>139.9837050983762</v>
                </pt>
                <pt idx="15">
                  <v>137.0821070316042</v>
                </pt>
                <pt idx="16">
                  <v>135.4355586890623</v>
                </pt>
                <pt idx="17">
                  <v>146.076045361727</v>
                </pt>
                <pt idx="18">
                  <v>139.6429943792634</v>
                </pt>
                <pt idx="19">
                  <v>148.1593820747917</v>
                </pt>
                <pt idx="20">
                  <v>154.434688827322</v>
                </pt>
                <pt idx="21">
                  <v>160.0649157170703</v>
                </pt>
                <pt idx="22">
                  <v>156.6867092848088</v>
                </pt>
                <pt idx="23">
                  <v>166.3512633760305</v>
                </pt>
                <pt idx="24">
                  <v>166.7925251589907</v>
                </pt>
                <pt idx="25">
                  <v>159.2802096882677</v>
                </pt>
                <pt idx="26">
                  <v>149.9320214351757</v>
                </pt>
                <pt idx="27">
                  <v>148.9046101374421</v>
                </pt>
                <pt idx="28">
                  <v>170.8085950516191</v>
                </pt>
                <pt idx="29">
                  <v>172.4366386889801</v>
                </pt>
                <pt idx="30">
                  <v>163.8058024742229</v>
                </pt>
                <pt idx="31">
                  <v>158.0027401780411</v>
                </pt>
                <pt idx="32">
                  <v>157.8716863626596</v>
                </pt>
                <pt idx="33">
                  <v>167.5069165526481</v>
                </pt>
                <pt idx="34">
                  <v>170.2299106874893</v>
                </pt>
                <pt idx="35">
                  <v>159.6619489942839</v>
                </pt>
                <pt idx="36">
                  <v>152.7633927398179</v>
                </pt>
                <pt idx="37">
                  <v>150.6997868984741</v>
                </pt>
                <pt idx="38">
                  <v>155.0827590764173</v>
                </pt>
                <pt idx="39">
                  <v>174.0998464033765</v>
                </pt>
                <pt idx="40">
                  <v>177.2028548293441</v>
                </pt>
                <pt idx="41">
                  <v>199.7644976145586</v>
                </pt>
                <pt idx="42">
                  <v>184.5239234690385</v>
                </pt>
                <pt idx="43">
                  <v>175.8892668059441</v>
                </pt>
                <pt idx="44">
                  <v>183.6015677411184</v>
                </pt>
                <pt idx="45">
                  <v>177.8547671570576</v>
                </pt>
                <pt idx="46">
                  <v>186.7852070942562</v>
                </pt>
                <pt idx="47">
                  <v>181.3516940889959</v>
                </pt>
                <pt idx="48">
                  <v>171.2557335114804</v>
                </pt>
                <pt idx="49">
                  <v>176.1570550891888</v>
                </pt>
                <pt idx="50">
                  <v>175.0126753445191</v>
                </pt>
                <pt idx="51">
                  <v>174.9285416637602</v>
                </pt>
                <pt idx="52">
                  <v>170.85799320528</v>
                </pt>
                <pt idx="53">
                  <v>162.8101768740503</v>
                </pt>
                <pt idx="54">
                  <v>152.2570332750506</v>
                </pt>
                <pt idx="55">
                  <v>138.3472756715473</v>
                </pt>
                <pt idx="56">
                  <v>114.4512230139266</v>
                </pt>
                <pt idx="57">
                  <v>84.42550298784481</v>
                </pt>
                <pt idx="58">
                  <v>95.551765209359</v>
                </pt>
                <pt idx="59">
                  <v>98.99598185089667</v>
                </pt>
                <pt idx="60">
                  <v>96.53599705914706</v>
                </pt>
                <pt idx="61">
                  <v>111.5487691991725</v>
                </pt>
                <pt idx="62">
                  <v>104.1218987449787</v>
                </pt>
                <pt idx="63">
                  <v>94.18568319836584</v>
                </pt>
                <pt idx="64">
                  <v>82.27713753949288</v>
                </pt>
                <pt idx="65">
                  <v>83.40119833918384</v>
                </pt>
                <pt idx="66">
                  <v>91.60052937949108</v>
                </pt>
                <pt idx="67">
                  <v>81.47489205678772</v>
                </pt>
                <pt idx="68">
                  <v>71.38476083993407</v>
                </pt>
                <pt idx="69">
                  <v>60.06898220985114</v>
                </pt>
                <pt idx="70">
                  <v>60.0279549748402</v>
                </pt>
                <pt idx="71">
                  <v>69.42332427781626</v>
                </pt>
                <pt idx="72">
                  <v>67.70686146032298</v>
                </pt>
                <pt idx="73">
                  <v>79.70595958576715</v>
                </pt>
                <pt idx="74">
                  <v>88.97414824550847</v>
                </pt>
                <pt idx="75">
                  <v>83.40501067616584</v>
                </pt>
                <pt idx="76">
                  <v>73.0578955013018</v>
                </pt>
                <pt idx="77">
                  <v>84.44548125590173</v>
                </pt>
                <pt idx="78">
                  <v>89.18131766695365</v>
                </pt>
                <pt idx="79">
                  <v>77.67875074746142</v>
                </pt>
                <pt idx="80">
                  <v>96.911260799864</v>
                </pt>
                <pt idx="81">
                  <v>102.7007081862069</v>
                </pt>
                <pt idx="82">
                  <v>102.2385069395889</v>
                </pt>
                <pt idx="83">
                  <v>97.71374962322759</v>
                </pt>
                <pt idx="84">
                  <v>93.00613532098312</v>
                </pt>
                <pt idx="85">
                  <v>85.57378023872697</v>
                </pt>
                <pt idx="86">
                  <v>87.89164056702921</v>
                </pt>
                <pt idx="87">
                  <v>85.9255886437566</v>
                </pt>
                <pt idx="88">
                  <v>90.11226196822371</v>
                </pt>
                <pt idx="89">
                  <v>91.09048195185605</v>
                </pt>
                <pt idx="90">
                  <v>104.3243581727908</v>
                </pt>
                <pt idx="91">
                  <v>106.1226118412594</v>
                </pt>
                <pt idx="92">
                  <v>111.0081744075494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1829240"/>
        <axId val="-2131826120"/>
      </lineChart>
      <catAx>
        <axId val="-213182924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6120"/>
        <crosses val="autoZero"/>
        <auto val="1"/>
        <lblAlgn val="ctr"/>
        <lblOffset val="100"/>
        <noMultiLvlLbl val="0"/>
      </catAx>
      <valAx>
        <axId val="-213182612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924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'ATF fuel'!$G$135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fuel'!$G$136:$G$228</f>
              <numCache>
                <formatCode>General</formatCode>
                <ptCount val="93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1"/>
          <order val="1"/>
          <tx>
            <strRef>
              <f>'ATF fuel'!$H$135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fuel'!$H$136:$H$228</f>
              <numCache>
                <formatCode>General</formatCode>
                <ptCount val="93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2"/>
          <order val="2"/>
          <tx>
            <strRef>
              <f>'ATF fuel'!$I$135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fuel'!$I$136:$I$228</f>
              <numCache>
                <formatCode>General</formatCode>
                <ptCount val="93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2262520"/>
        <axId val="-2135526248"/>
      </lineChart>
      <catAx>
        <axId val="-21322625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5526248"/>
        <crosses val="autoZero"/>
        <auto val="1"/>
        <lblAlgn val="ctr"/>
        <lblOffset val="100"/>
        <noMultiLvlLbl val="0"/>
      </catAx>
      <valAx>
        <axId val="-213552624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226252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</authors>
  <commentList>
    <comment ref="H19" authorId="0" shapeId="0">
      <text>
        <t xml:space="preserve">Author:
calculated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114300</colOff>
      <row>14</row>
      <rowOff>28575</rowOff>
    </from>
    <to>
      <col>29</col>
      <colOff>9525</colOff>
      <row>38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95250</colOff>
      <row>4</row>
      <rowOff>47625</rowOff>
    </from>
    <to>
      <col>36</col>
      <colOff>533400</colOff>
      <row>26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590550</colOff>
      <row>115</row>
      <rowOff>47625</rowOff>
    </from>
    <to>
      <col>13</col>
      <colOff>428625</colOff>
      <row>134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workbookViewId="0">
      <selection activeCell="E5" sqref="E5"/>
    </sheetView>
  </sheetViews>
  <sheetFormatPr baseColWidth="10" defaultRowHeight="14"/>
  <sheetData>
    <row r="1">
      <c r="A1" s="318" t="n"/>
      <c r="B1" s="318" t="n"/>
      <c r="C1" s="318" t="n"/>
      <c r="D1" s="318" t="n"/>
      <c r="E1" s="318" t="n"/>
      <c r="F1" s="318" t="n"/>
      <c r="G1" s="318" t="n"/>
    </row>
    <row r="2" ht="28" customHeight="1" s="322">
      <c r="A2" s="318" t="n"/>
      <c r="B2" s="318" t="n"/>
      <c r="C2" s="318" t="n"/>
      <c r="D2" s="318" t="n"/>
      <c r="E2" s="319" t="inlineStr">
        <is>
          <t>Reference Model</t>
        </is>
      </c>
      <c r="F2" s="318" t="n"/>
      <c r="G2" s="318" t="n"/>
    </row>
    <row r="3">
      <c r="A3" s="318" t="n"/>
      <c r="B3" s="318" t="n"/>
      <c r="C3" s="318" t="n"/>
      <c r="D3" s="318" t="n"/>
      <c r="E3" s="318" t="n"/>
      <c r="F3" s="318" t="n"/>
      <c r="G3" s="318" t="n"/>
    </row>
    <row r="4" ht="40" customHeight="1" s="322">
      <c r="A4" s="318" t="n"/>
      <c r="B4" s="318" t="n"/>
      <c r="C4" s="318" t="n"/>
      <c r="D4" s="318" t="n"/>
      <c r="E4" s="320" t="inlineStr">
        <is>
          <t xml:space="preserve">Indigo </t>
        </is>
      </c>
      <c r="F4" s="318" t="n"/>
      <c r="G4" s="318" t="n"/>
    </row>
    <row r="5">
      <c r="A5" s="318" t="n"/>
      <c r="B5" s="318" t="n"/>
      <c r="C5" s="318" t="n"/>
      <c r="D5" s="321" t="inlineStr">
        <is>
          <t xml:space="preserve">Prepared By: </t>
        </is>
      </c>
      <c r="E5" t="inlineStr">
        <is>
          <t>Sumit Todi , Tushar Bhati</t>
        </is>
      </c>
      <c r="F5" s="318" t="n"/>
      <c r="G5" s="318" t="n"/>
    </row>
    <row r="6">
      <c r="A6" s="318" t="n"/>
      <c r="B6" s="318" t="n"/>
      <c r="C6" s="318" t="n"/>
      <c r="D6" s="323" t="inlineStr">
        <is>
          <t>Year</t>
        </is>
      </c>
      <c r="E6" s="323" t="n">
        <v>2017</v>
      </c>
      <c r="F6" s="318" t="n"/>
      <c r="G6" s="318" t="n"/>
    </row>
    <row r="7">
      <c r="A7" s="318" t="n"/>
      <c r="B7" s="318" t="n"/>
      <c r="C7" s="318" t="n"/>
      <c r="D7" s="318" t="n"/>
      <c r="E7" s="318" t="n"/>
      <c r="F7" s="318" t="n"/>
      <c r="G7" s="318" t="n"/>
    </row>
    <row r="8">
      <c r="A8" s="318" t="n"/>
      <c r="B8" s="318" t="n"/>
      <c r="C8" s="318" t="n"/>
      <c r="D8" s="318" t="n"/>
      <c r="E8" s="318" t="n"/>
      <c r="F8" s="318" t="n"/>
      <c r="G8" s="318" t="n"/>
    </row>
    <row r="9">
      <c r="A9" s="318" t="n"/>
      <c r="B9" s="318" t="n"/>
      <c r="C9" s="318" t="n"/>
      <c r="D9" s="318" t="n"/>
      <c r="E9" s="318" t="n"/>
      <c r="F9" s="318" t="n"/>
      <c r="G9" s="318" t="n"/>
    </row>
    <row r="10">
      <c r="A10" s="318" t="n"/>
      <c r="B10" s="318" t="n"/>
      <c r="C10" s="318" t="n"/>
      <c r="D10" s="318" t="n"/>
      <c r="E10" s="318" t="n"/>
      <c r="F10" s="318" t="n"/>
      <c r="G10" s="318" t="n"/>
    </row>
    <row r="11">
      <c r="A11" s="318" t="n"/>
      <c r="B11" s="318" t="n"/>
      <c r="C11" s="318" t="n"/>
      <c r="D11" s="318" t="n"/>
      <c r="E11" s="318" t="n"/>
      <c r="F11" s="318" t="n"/>
      <c r="G11" s="318" t="n"/>
    </row>
    <row r="12">
      <c r="A12" s="318" t="n"/>
      <c r="B12" s="318" t="n"/>
      <c r="C12" s="318" t="n"/>
      <c r="D12" s="318" t="n"/>
      <c r="E12" s="318" t="n"/>
      <c r="F12" s="318" t="n"/>
      <c r="G12" s="318" t="n"/>
    </row>
    <row r="13">
      <c r="A13" s="318" t="n"/>
      <c r="B13" s="318" t="n"/>
      <c r="C13" s="318" t="n"/>
      <c r="D13" s="318" t="n"/>
      <c r="E13" s="324" t="inlineStr">
        <is>
          <t>http://proschoolonline.com</t>
        </is>
      </c>
      <c r="F13" s="318" t="n"/>
      <c r="G13" s="318" t="n"/>
    </row>
    <row r="14">
      <c r="A14" s="318" t="n"/>
      <c r="B14" s="318" t="n"/>
      <c r="C14" s="318" t="n"/>
      <c r="D14" s="318" t="n"/>
      <c r="E14" s="325" t="inlineStr">
        <is>
          <t>Email ID : mumbai@proschoolonline.com</t>
        </is>
      </c>
      <c r="F14" s="318" t="n"/>
      <c r="G14" s="318" t="n"/>
    </row>
    <row r="15">
      <c r="A15" s="318" t="n"/>
      <c r="B15" s="318" t="n"/>
      <c r="C15" s="318" t="n"/>
      <c r="D15" s="318" t="n"/>
      <c r="E15" s="325" t="n"/>
      <c r="F15" s="318" t="n"/>
      <c r="G15" s="318" t="n"/>
    </row>
    <row r="16">
      <c r="A16" s="318" t="n"/>
      <c r="B16" s="318" t="n"/>
      <c r="C16" s="318" t="n"/>
      <c r="D16" s="318" t="n"/>
      <c r="E16" s="325" t="inlineStr">
        <is>
          <t>Mumbai</t>
        </is>
      </c>
      <c r="F16" s="318" t="n"/>
      <c r="G16" s="318" t="n"/>
    </row>
    <row r="17">
      <c r="A17" s="318" t="n"/>
      <c r="B17" s="318" t="n"/>
      <c r="C17" s="318" t="n"/>
      <c r="D17" s="318" t="n"/>
      <c r="E17" s="326" t="n"/>
      <c r="F17" s="318" t="n"/>
      <c r="G17" s="318" t="n"/>
    </row>
    <row r="18">
      <c r="A18" s="318" t="n"/>
      <c r="B18" s="318" t="n"/>
      <c r="C18" s="318" t="n"/>
      <c r="D18" s="318" t="n"/>
      <c r="E18" s="327" t="inlineStr">
        <is>
          <t>IMS Proschool Pvt Ltd,</t>
        </is>
      </c>
      <c r="F18" s="318" t="n"/>
      <c r="G18" s="318" t="n"/>
    </row>
    <row r="19">
      <c r="A19" s="318" t="n"/>
      <c r="B19" s="318" t="n"/>
      <c r="C19" s="318" t="n"/>
      <c r="D19" s="318" t="n"/>
      <c r="E19" s="327" t="inlineStr">
        <is>
          <t>Maharashtra High School Complex,</t>
        </is>
      </c>
      <c r="F19" s="318" t="n"/>
      <c r="G19" s="318" t="n"/>
    </row>
    <row r="20">
      <c r="A20" s="318" t="n"/>
      <c r="B20" s="318" t="n"/>
      <c r="C20" s="318" t="n"/>
      <c r="D20" s="318" t="n"/>
      <c r="E20" s="327" t="inlineStr">
        <is>
          <t>Principal N.M Kale Marg, Off Gokhale Rd,</t>
        </is>
      </c>
      <c r="F20" s="318" t="n"/>
      <c r="G20" s="318" t="n"/>
    </row>
    <row r="21">
      <c r="A21" s="318" t="n"/>
      <c r="B21" s="318" t="n"/>
      <c r="C21" s="318" t="n"/>
      <c r="D21" s="318" t="n"/>
      <c r="E21" s="327" t="inlineStr">
        <is>
          <t>Dadar (W), Mumbai 400028</t>
        </is>
      </c>
      <c r="F21" s="318" t="n"/>
      <c r="G21" s="318" t="n"/>
    </row>
    <row r="22">
      <c r="A22" s="318" t="n"/>
      <c r="B22" s="318" t="n"/>
      <c r="C22" s="318" t="n"/>
      <c r="D22" s="318" t="n"/>
      <c r="E22" s="325" t="inlineStr">
        <is>
          <t>Tel. No. : 022-65285393/94</t>
        </is>
      </c>
      <c r="F22" s="318" t="n"/>
      <c r="G22" s="318" t="n"/>
    </row>
    <row r="23">
      <c r="A23" s="318" t="n"/>
      <c r="B23" s="318" t="n"/>
      <c r="C23" s="318" t="n"/>
      <c r="D23" s="318" t="n"/>
      <c r="E23" s="327" t="inlineStr">
        <is>
          <t>+91 9372895050</t>
        </is>
      </c>
      <c r="F23" s="318" t="n"/>
      <c r="G23" s="31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73"/>
  <sheetViews>
    <sheetView tabSelected="1" workbookViewId="0">
      <pane xSplit="2" ySplit="1" topLeftCell="T50" activePane="bottomRight" state="frozen"/>
      <selection pane="topRight" activeCell="C1" sqref="C1"/>
      <selection pane="bottomLeft" activeCell="A2" sqref="A2"/>
      <selection pane="bottomRight" activeCell="Z62" sqref="Z62"/>
    </sheetView>
  </sheetViews>
  <sheetFormatPr baseColWidth="10" defaultColWidth="8.83203125" defaultRowHeight="14"/>
  <cols>
    <col width="8.83203125" customWidth="1" style="70" min="1" max="1"/>
    <col width="56.5" bestFit="1" customWidth="1" style="90" min="2" max="2"/>
    <col width="11.5" bestFit="1" customWidth="1" style="134" min="3" max="5"/>
    <col width="13.33203125" customWidth="1" style="134" min="6" max="6"/>
    <col width="11.5" bestFit="1" customWidth="1" style="134" min="7" max="9"/>
    <col width="12.5" bestFit="1" customWidth="1" style="134" min="10" max="10"/>
    <col width="24.33203125" bestFit="1" customWidth="1" style="147" min="11" max="11"/>
    <col width="14.6640625" bestFit="1" customWidth="1" style="147" min="12" max="15"/>
    <col width="9.5" bestFit="1" customWidth="1" style="147" min="16" max="16"/>
    <col width="8.83203125" customWidth="1" style="70" min="17" max="18"/>
    <col width="24.5" bestFit="1" customWidth="1" style="70" min="19" max="19"/>
    <col width="8.83203125" customWidth="1" style="70" min="20" max="20"/>
    <col width="24.33203125" bestFit="1" customWidth="1" style="70" min="21" max="21"/>
    <col width="8.83203125" customWidth="1" style="70" min="22" max="16384"/>
  </cols>
  <sheetData>
    <row r="1" ht="15" customHeight="1" s="322" thickBot="1">
      <c r="B1" s="68" t="n"/>
      <c r="C1" s="69" t="n">
        <v>2010</v>
      </c>
      <c r="D1" s="69" t="n">
        <v>2011</v>
      </c>
      <c r="E1" s="69" t="n">
        <v>2012</v>
      </c>
      <c r="F1" s="69" t="n">
        <v>2013</v>
      </c>
      <c r="G1" s="69" t="n">
        <v>2014</v>
      </c>
      <c r="H1" s="69" t="n">
        <v>2015</v>
      </c>
      <c r="I1" s="69" t="n">
        <v>2016</v>
      </c>
      <c r="J1" s="117" t="n">
        <v>2017</v>
      </c>
      <c r="K1" s="144" t="inlineStr">
        <is>
          <t>2018E</t>
        </is>
      </c>
      <c r="L1" s="145" t="inlineStr">
        <is>
          <t>2019E</t>
        </is>
      </c>
      <c r="M1" s="145" t="inlineStr">
        <is>
          <t>2020E</t>
        </is>
      </c>
      <c r="N1" s="145" t="inlineStr">
        <is>
          <t>2021E</t>
        </is>
      </c>
      <c r="O1" s="145" t="inlineStr">
        <is>
          <t>2022E</t>
        </is>
      </c>
      <c r="P1" s="145" t="inlineStr">
        <is>
          <t>2023E</t>
        </is>
      </c>
    </row>
    <row r="2">
      <c r="B2" s="71" t="inlineStr">
        <is>
          <t>ASK (in million)</t>
        </is>
      </c>
      <c r="C2" s="72" t="n">
        <v>9286</v>
      </c>
      <c r="D2" s="72" t="n">
        <v>12491</v>
      </c>
      <c r="E2" s="72" t="n">
        <v>18006</v>
      </c>
      <c r="F2" s="72" t="n">
        <v>24977</v>
      </c>
      <c r="G2" s="72" t="n">
        <v>29967</v>
      </c>
      <c r="H2" s="73" t="n">
        <v>35327</v>
      </c>
      <c r="I2" s="73" t="n">
        <v>42826</v>
      </c>
      <c r="J2" s="118" t="n">
        <v>54583</v>
      </c>
      <c r="K2" s="116" t="n"/>
      <c r="L2" s="101" t="n"/>
      <c r="M2" s="101" t="n"/>
      <c r="N2" s="101" t="n"/>
      <c r="O2" s="101" t="n"/>
      <c r="P2" s="101" t="n"/>
      <c r="Q2" s="77" t="n"/>
      <c r="S2" s="285" t="inlineStr">
        <is>
          <t>Year</t>
        </is>
      </c>
      <c r="T2" s="285" t="inlineStr">
        <is>
          <t>2018E</t>
        </is>
      </c>
      <c r="U2" s="285" t="inlineStr">
        <is>
          <t>2019E</t>
        </is>
      </c>
      <c r="V2" s="285" t="inlineStr">
        <is>
          <t>2020E</t>
        </is>
      </c>
      <c r="W2" s="285" t="inlineStr">
        <is>
          <t>2021E</t>
        </is>
      </c>
      <c r="X2" s="285" t="inlineStr">
        <is>
          <t>2022E</t>
        </is>
      </c>
    </row>
    <row r="3">
      <c r="B3" s="71" t="inlineStr">
        <is>
          <t>Growth in ASK</t>
        </is>
      </c>
      <c r="C3" s="72" t="n"/>
      <c r="D3" s="94" t="n"/>
      <c r="E3" s="94" t="n"/>
      <c r="F3" s="94" t="n"/>
      <c r="G3" s="94" t="n"/>
      <c r="H3" s="94" t="n"/>
      <c r="I3" s="94" t="n"/>
      <c r="J3" s="131" t="n"/>
      <c r="K3" s="135" t="n">
        <v>0.2</v>
      </c>
      <c r="L3" s="102" t="n">
        <v>0.2</v>
      </c>
      <c r="M3" s="102" t="n">
        <v>0.2</v>
      </c>
      <c r="N3" s="102" t="n">
        <v>0.2</v>
      </c>
      <c r="O3" s="102" t="n">
        <v>0.2</v>
      </c>
      <c r="P3" s="102" t="n">
        <v>0.2</v>
      </c>
      <c r="Q3" s="93" t="n"/>
      <c r="S3" s="284" t="inlineStr">
        <is>
          <t>RPK (in million)</t>
        </is>
      </c>
      <c r="T3" s="286" t="n">
        <v>55019.664</v>
      </c>
      <c r="U3" s="286" t="n">
        <v>65237.60159999999</v>
      </c>
      <c r="V3" s="286" t="n">
        <v>77341.92767999998</v>
      </c>
      <c r="W3" s="286" t="n">
        <v>91678.48012799998</v>
      </c>
      <c r="X3" s="286" t="n">
        <v>108655.976448</v>
      </c>
    </row>
    <row r="4">
      <c r="B4" s="284" t="inlineStr">
        <is>
          <t>RPK (in million)</t>
        </is>
      </c>
      <c r="C4" s="285" t="n">
        <v>7429</v>
      </c>
      <c r="D4" s="285" t="n">
        <v>10634</v>
      </c>
      <c r="E4" s="285" t="n">
        <v>14826</v>
      </c>
      <c r="F4" s="285" t="n">
        <v>20260</v>
      </c>
      <c r="G4" s="285" t="n">
        <v>23136</v>
      </c>
      <c r="H4" s="76" t="n">
        <v>28177</v>
      </c>
      <c r="I4" s="76" t="n">
        <v>35968</v>
      </c>
      <c r="J4" s="139" t="n">
        <v>46288</v>
      </c>
      <c r="K4" s="136" t="n"/>
      <c r="L4" s="103" t="n"/>
      <c r="M4" s="103" t="n"/>
      <c r="N4" s="103" t="n"/>
      <c r="O4" s="103" t="n"/>
      <c r="P4" s="103" t="n"/>
      <c r="S4" s="284" t="inlineStr">
        <is>
          <t>ASK (in million)</t>
        </is>
      </c>
      <c r="T4" s="286" t="n">
        <v>65499.6</v>
      </c>
      <c r="U4" s="286" t="n">
        <v>78599.51999999999</v>
      </c>
      <c r="V4" s="286" t="n">
        <v>94319.42399999998</v>
      </c>
      <c r="W4" s="286" t="n">
        <v>113183.3088</v>
      </c>
      <c r="X4" s="286" t="n">
        <v>135819.97056</v>
      </c>
    </row>
    <row r="5">
      <c r="B5" s="284" t="inlineStr">
        <is>
          <t>Passenger Load Factor (%)</t>
        </is>
      </c>
      <c r="C5" s="78" t="n">
        <v>0.8</v>
      </c>
      <c r="D5" s="78" t="n">
        <v>0.851</v>
      </c>
      <c r="E5" s="78" t="n">
        <v>0.823</v>
      </c>
      <c r="F5" s="78" t="n">
        <v>0.8110000000000001</v>
      </c>
      <c r="G5" s="78" t="n">
        <v>0.772</v>
      </c>
      <c r="H5" s="78" t="n">
        <v>0.798</v>
      </c>
      <c r="I5" s="78" t="n">
        <v>0.84</v>
      </c>
      <c r="J5" s="140" t="n">
        <v>0.848</v>
      </c>
      <c r="K5" s="137" t="n">
        <v>0.85</v>
      </c>
      <c r="L5" s="108" t="n"/>
      <c r="M5" s="108" t="n"/>
      <c r="N5" s="108" t="n"/>
      <c r="O5" s="108" t="n"/>
      <c r="P5" s="108" t="n"/>
      <c r="S5" s="284" t="inlineStr">
        <is>
          <t>Passenger Load Factor (%)</t>
        </is>
      </c>
      <c r="T5" s="287" t="n">
        <v>0.84</v>
      </c>
      <c r="U5" s="287" t="n">
        <v>0.83</v>
      </c>
      <c r="V5" s="287" t="n">
        <v>0.82</v>
      </c>
      <c r="W5" s="287" t="n">
        <v>0.8099999999999999</v>
      </c>
      <c r="X5" s="287" t="n">
        <v>0.7999999999999999</v>
      </c>
    </row>
    <row r="6">
      <c r="B6" s="284" t="inlineStr">
        <is>
          <t>RASK (Rs.)</t>
        </is>
      </c>
      <c r="C6" s="285" t="n">
        <v>2.84</v>
      </c>
      <c r="D6" s="285" t="n">
        <v>3.1</v>
      </c>
      <c r="E6" s="285" t="n">
        <v>3.1</v>
      </c>
      <c r="F6" s="285" t="n">
        <v>3.7</v>
      </c>
      <c r="G6" s="285" t="n">
        <v>3.72</v>
      </c>
      <c r="H6" s="285" t="n">
        <v>3.95</v>
      </c>
      <c r="I6" s="285" t="n">
        <v>3.78</v>
      </c>
      <c r="J6" s="133" t="n">
        <v>3.44</v>
      </c>
      <c r="K6" s="138" t="n"/>
      <c r="L6" s="110" t="n"/>
      <c r="M6" s="110" t="n"/>
      <c r="N6" s="110" t="n"/>
      <c r="O6" s="110" t="n"/>
      <c r="P6" s="110" t="n"/>
      <c r="S6" s="284" t="inlineStr">
        <is>
          <t>RASK (Rs.)</t>
        </is>
      </c>
      <c r="T6" s="288" t="n">
        <v>3.023323470445904</v>
      </c>
      <c r="U6" s="288" t="n">
        <v>3.070331524369167</v>
      </c>
      <c r="V6" s="288" t="n">
        <v>3.11533957829243</v>
      </c>
      <c r="W6" s="288" t="n">
        <v>3.158347632215693</v>
      </c>
      <c r="X6" s="288" t="n">
        <v>3.199355686138956</v>
      </c>
    </row>
    <row r="7">
      <c r="B7" s="95" t="inlineStr">
        <is>
          <t>Yield (Rs.) (passenger revenue in ₹ / revenue passenger kms)</t>
        </is>
      </c>
      <c r="C7" s="288" t="n"/>
      <c r="D7" s="288" t="n"/>
      <c r="E7" s="288" t="n"/>
      <c r="F7" s="288" t="n"/>
      <c r="G7" s="288" t="n"/>
      <c r="H7" s="288" t="n"/>
      <c r="I7" s="288" t="n"/>
      <c r="J7" s="141" t="n"/>
      <c r="K7" s="138" t="n">
        <v>3.9</v>
      </c>
      <c r="L7" s="110" t="n"/>
      <c r="M7" s="110" t="n"/>
      <c r="N7" s="110" t="n"/>
      <c r="O7" s="110" t="n"/>
      <c r="P7" s="110" t="n"/>
      <c r="S7" s="284" t="inlineStr">
        <is>
          <t>Yield (Rs.)</t>
        </is>
      </c>
      <c r="T7" s="288" t="n">
        <v>3.599194607673695</v>
      </c>
      <c r="U7" s="288" t="n">
        <v>3.699194607673695</v>
      </c>
      <c r="V7" s="288" t="n">
        <v>3.799194607673695</v>
      </c>
      <c r="W7" s="288" t="n">
        <v>3.899194607673695</v>
      </c>
      <c r="X7" s="288" t="n">
        <v>3.999194607673696</v>
      </c>
    </row>
    <row r="8">
      <c r="B8" s="284" t="inlineStr">
        <is>
          <t>Block Hours</t>
        </is>
      </c>
      <c r="C8" s="154" t="n">
        <v>93487</v>
      </c>
      <c r="D8" s="285" t="n">
        <v>125553</v>
      </c>
      <c r="E8" s="285" t="n">
        <v>179252</v>
      </c>
      <c r="F8" s="285" t="n">
        <v>246140</v>
      </c>
      <c r="G8" s="285" t="n">
        <v>297653</v>
      </c>
      <c r="H8" s="285" t="n">
        <v>354276</v>
      </c>
      <c r="I8" s="285" t="n">
        <v>436739</v>
      </c>
      <c r="J8" s="133" t="n">
        <v>558567</v>
      </c>
      <c r="K8" s="120" t="n"/>
      <c r="L8" s="120" t="n"/>
      <c r="M8" s="120" t="n"/>
      <c r="N8" s="120" t="n"/>
      <c r="O8" s="120" t="n"/>
      <c r="P8" s="120" t="n"/>
      <c r="S8" s="284" t="inlineStr">
        <is>
          <t>Passenger Ticket Revenue</t>
        </is>
      </c>
      <c r="T8" s="286" t="n">
        <v>198026.4779848185</v>
      </c>
      <c r="U8" s="286" t="n">
        <v>241326.5840562848</v>
      </c>
      <c r="V8" s="286" t="n">
        <v>293837.0345889449</v>
      </c>
      <c r="W8" s="286" t="n">
        <v>357472.2353548176</v>
      </c>
      <c r="X8" s="286" t="n">
        <v>434536.3951023616</v>
      </c>
    </row>
    <row r="9">
      <c r="B9" s="284" t="inlineStr">
        <is>
          <t>Block Hours Per Aircraft</t>
        </is>
      </c>
      <c r="C9" s="113" t="n"/>
      <c r="D9" s="286" t="n"/>
      <c r="E9" s="286" t="n"/>
      <c r="F9" s="286" t="n"/>
      <c r="G9" s="286" t="n"/>
      <c r="H9" s="286" t="n"/>
      <c r="I9" s="286" t="n"/>
      <c r="J9" s="124" t="n"/>
      <c r="K9" s="120" t="n"/>
      <c r="L9" s="120" t="n"/>
      <c r="M9" s="120" t="n"/>
      <c r="N9" s="120" t="n"/>
      <c r="O9" s="120" t="n"/>
      <c r="P9" s="120" t="n"/>
    </row>
    <row r="10">
      <c r="B10" s="284" t="n"/>
      <c r="C10" s="155" t="n"/>
      <c r="D10" s="153" t="n"/>
      <c r="E10" s="153" t="n"/>
      <c r="F10" s="153" t="n"/>
      <c r="G10" s="153" t="n"/>
      <c r="H10" s="153" t="n"/>
      <c r="I10" s="153" t="n"/>
      <c r="J10" s="140" t="n"/>
      <c r="K10" s="119" t="n"/>
      <c r="L10" s="109" t="n"/>
      <c r="M10" s="109" t="n"/>
      <c r="N10" s="109" t="n"/>
      <c r="O10" s="109" t="n"/>
      <c r="P10" s="109" t="n"/>
    </row>
    <row r="11">
      <c r="B11" s="284" t="inlineStr">
        <is>
          <t>RASK (Rs.)</t>
        </is>
      </c>
      <c r="C11" s="284" t="n"/>
      <c r="D11" s="225" t="n"/>
      <c r="E11" s="225" t="n"/>
      <c r="F11" s="225" t="n"/>
      <c r="G11" s="225" t="n"/>
      <c r="H11" s="225" t="n"/>
      <c r="I11" s="225" t="n"/>
      <c r="J11" s="225" t="n"/>
      <c r="K11" s="225" t="n"/>
      <c r="L11" s="225" t="n"/>
      <c r="M11" s="225" t="n"/>
      <c r="N11" s="225" t="n"/>
      <c r="O11" s="225" t="n"/>
      <c r="P11" s="155" t="n"/>
      <c r="Q11" s="155" t="n"/>
    </row>
    <row r="12">
      <c r="B12" s="284" t="inlineStr">
        <is>
          <t>CASK (Rs.)</t>
        </is>
      </c>
      <c r="C12" s="285" t="n">
        <v>2.3</v>
      </c>
      <c r="D12" s="285" t="n">
        <v>2.53</v>
      </c>
      <c r="E12" s="285" t="n">
        <v>3.06</v>
      </c>
      <c r="F12" s="285" t="n">
        <v>3.3</v>
      </c>
      <c r="G12" s="285" t="n">
        <v>3.56</v>
      </c>
      <c r="H12" s="285" t="n">
        <v>3.42</v>
      </c>
      <c r="I12" s="285" t="n">
        <v>3.12</v>
      </c>
      <c r="J12" s="133" t="n">
        <v>3.04</v>
      </c>
      <c r="K12" s="138" t="n"/>
      <c r="L12" s="138" t="n"/>
      <c r="M12" s="138" t="n"/>
      <c r="N12" s="138" t="n"/>
      <c r="O12" s="138" t="n"/>
      <c r="P12" s="138" t="n"/>
    </row>
    <row r="13">
      <c r="B13" s="284" t="inlineStr">
        <is>
          <t>RASK - CASK (Rs)</t>
        </is>
      </c>
      <c r="C13" s="285" t="n"/>
      <c r="D13" s="288" t="n"/>
      <c r="E13" s="288" t="n"/>
      <c r="F13" s="288" t="n"/>
      <c r="G13" s="288" t="n"/>
      <c r="H13" s="288" t="n"/>
      <c r="I13" s="288" t="n"/>
      <c r="J13" s="288" t="n"/>
      <c r="K13" s="288" t="n"/>
      <c r="L13" s="288" t="n"/>
      <c r="M13" s="288" t="n"/>
      <c r="N13" s="288" t="n"/>
      <c r="O13" s="288" t="n"/>
      <c r="P13" s="288" t="n"/>
    </row>
    <row r="14">
      <c r="B14" s="284" t="inlineStr">
        <is>
          <t>CASK ex-fuel (Rs.)</t>
        </is>
      </c>
      <c r="C14" s="285" t="n"/>
      <c r="D14" s="288" t="n"/>
      <c r="E14" s="288" t="n"/>
      <c r="F14" s="288" t="n"/>
      <c r="G14" s="288" t="n"/>
      <c r="H14" s="285" t="n">
        <v>1.8</v>
      </c>
      <c r="I14" s="285" t="n">
        <v>2.01</v>
      </c>
      <c r="J14" s="133" t="n">
        <v>1.88</v>
      </c>
      <c r="K14" s="138" t="n"/>
      <c r="L14" s="138" t="n"/>
      <c r="M14" s="138" t="n"/>
      <c r="N14" s="138" t="n"/>
      <c r="O14" s="138" t="n"/>
      <c r="P14" s="109" t="n"/>
    </row>
    <row r="15" ht="33" customHeight="1" s="322">
      <c r="B15" s="79" t="inlineStr">
        <is>
          <t>Number of Scheduled Passengers Carried (in thousands)</t>
        </is>
      </c>
      <c r="C15" s="333" t="n">
        <v>45337263</v>
      </c>
      <c r="D15" s="333" t="n">
        <v>53842538</v>
      </c>
      <c r="E15" s="333" t="n">
        <v>60837455</v>
      </c>
      <c r="F15" s="333" t="n">
        <v>57647250</v>
      </c>
      <c r="G15" s="333" t="n">
        <v>60668409</v>
      </c>
      <c r="H15" s="333" t="n">
        <v>70083961</v>
      </c>
      <c r="I15" s="333" t="n">
        <v>85197675</v>
      </c>
      <c r="J15" s="334" t="n">
        <v>103748598</v>
      </c>
      <c r="K15" s="335" t="n"/>
      <c r="L15" s="335" t="n"/>
      <c r="M15" s="335" t="n"/>
      <c r="N15" s="335" t="n"/>
      <c r="O15" s="335" t="n"/>
      <c r="P15" s="109" t="n"/>
    </row>
    <row r="16" ht="18.75" customHeight="1" s="322">
      <c r="B16" s="79" t="inlineStr">
        <is>
          <t>Growth in Passengers</t>
        </is>
      </c>
      <c r="C16" s="333" t="n"/>
      <c r="D16" s="99" t="n"/>
      <c r="E16" s="99" t="n"/>
      <c r="F16" s="99" t="n"/>
      <c r="G16" s="99" t="n"/>
      <c r="H16" s="99" t="n"/>
      <c r="I16" s="99" t="n"/>
      <c r="J16" s="143" t="n"/>
      <c r="K16" s="252" t="n">
        <v>0.13</v>
      </c>
      <c r="L16" s="111" t="n">
        <v>0.14</v>
      </c>
      <c r="M16" s="111" t="n">
        <v>0.14</v>
      </c>
      <c r="N16" s="111" t="n">
        <v>0.15</v>
      </c>
      <c r="O16" s="111" t="n">
        <v>0.15</v>
      </c>
      <c r="P16" s="109" t="n"/>
    </row>
    <row r="17" ht="18.75" customHeight="1" s="322">
      <c r="B17" s="71" t="inlineStr">
        <is>
          <t>Number of Planes</t>
        </is>
      </c>
      <c r="C17" s="83" t="n">
        <v>25</v>
      </c>
      <c r="D17" s="83" t="n">
        <v>39</v>
      </c>
      <c r="E17" s="83" t="n">
        <v>55</v>
      </c>
      <c r="F17" s="83" t="n">
        <v>66</v>
      </c>
      <c r="G17" s="83" t="n">
        <v>77</v>
      </c>
      <c r="H17" s="84" t="n">
        <v>94</v>
      </c>
      <c r="I17" s="83" t="n">
        <v>107</v>
      </c>
      <c r="J17" s="129" t="n">
        <v>131</v>
      </c>
      <c r="K17" s="121" t="n">
        <v>160</v>
      </c>
      <c r="L17" s="104" t="n"/>
      <c r="M17" s="104" t="n"/>
      <c r="N17" s="104" t="n"/>
      <c r="O17" s="104" t="n"/>
      <c r="P17" s="104" t="n"/>
    </row>
    <row r="18">
      <c r="B18" s="284" t="n"/>
      <c r="C18" s="86" t="n"/>
      <c r="D18" s="86" t="n"/>
      <c r="E18" s="86" t="n"/>
      <c r="F18" s="86" t="n"/>
      <c r="G18" s="86" t="n"/>
      <c r="H18" s="86" t="n"/>
      <c r="I18" s="86" t="n"/>
      <c r="J18" s="130" t="n"/>
      <c r="K18" s="122" t="n"/>
      <c r="L18" s="105" t="n"/>
      <c r="M18" s="105" t="n"/>
      <c r="N18" s="105" t="n"/>
      <c r="O18" s="105" t="n"/>
      <c r="P18" s="105" t="n"/>
    </row>
    <row r="19">
      <c r="B19" s="284" t="n"/>
      <c r="C19" s="285" t="n"/>
      <c r="D19" s="287" t="n"/>
      <c r="E19" s="287" t="n"/>
      <c r="F19" s="287" t="n"/>
      <c r="G19" s="287" t="n"/>
      <c r="H19" s="287" t="n"/>
      <c r="I19" s="287" t="n"/>
      <c r="J19" s="131" t="n"/>
      <c r="K19" s="123" t="n"/>
      <c r="L19" s="106" t="n"/>
      <c r="M19" s="106" t="n"/>
      <c r="N19" s="106" t="n"/>
      <c r="O19" s="106" t="n"/>
      <c r="P19" s="106" t="n"/>
    </row>
    <row r="20">
      <c r="B20" s="284" t="inlineStr">
        <is>
          <t>ASK Per Plane</t>
        </is>
      </c>
      <c r="C20" s="87" t="n"/>
      <c r="D20" s="87" t="n"/>
      <c r="E20" s="87" t="n"/>
      <c r="F20" s="87" t="n"/>
      <c r="G20" s="87" t="n"/>
      <c r="H20" s="87" t="n"/>
      <c r="I20" s="87" t="n"/>
      <c r="J20" s="130" t="n"/>
      <c r="K20" s="120" t="n">
        <v>460</v>
      </c>
      <c r="L20" s="289" t="n"/>
      <c r="M20" s="289" t="n"/>
      <c r="N20" s="289" t="n"/>
      <c r="O20" s="289" t="n"/>
      <c r="P20" s="289" t="n"/>
    </row>
    <row r="21">
      <c r="B21" s="284" t="inlineStr">
        <is>
          <t>Average Fare</t>
        </is>
      </c>
      <c r="C21" s="76" t="n">
        <v>3548</v>
      </c>
      <c r="D21" s="76" t="n">
        <v>3582</v>
      </c>
      <c r="E21" s="76" t="n">
        <v>3911</v>
      </c>
      <c r="F21" s="76" t="n">
        <v>4895</v>
      </c>
      <c r="G21" s="76" t="n">
        <v>5071</v>
      </c>
      <c r="H21" s="285" t="n">
        <v>4882</v>
      </c>
      <c r="I21" s="285" t="n">
        <v>4248</v>
      </c>
      <c r="J21" s="336" t="n"/>
      <c r="K21" s="123" t="n"/>
      <c r="L21" s="123" t="n"/>
      <c r="M21" s="123" t="n"/>
      <c r="N21" s="123" t="n"/>
      <c r="O21" s="123" t="n"/>
      <c r="P21" s="123" t="n"/>
    </row>
    <row r="22">
      <c r="B22" s="79" t="n"/>
      <c r="C22" s="337" t="n"/>
      <c r="D22" s="337" t="n"/>
      <c r="E22" s="337" t="n"/>
      <c r="F22" s="337" t="n"/>
      <c r="G22" s="337" t="n"/>
      <c r="H22" s="337" t="n"/>
      <c r="I22" s="337" t="n"/>
      <c r="J22" s="338" t="n"/>
      <c r="K22" s="119" t="n"/>
      <c r="L22" s="109" t="n"/>
      <c r="M22" s="109" t="n"/>
      <c r="N22" s="109" t="n"/>
      <c r="O22" s="109" t="n"/>
      <c r="P22" s="109" t="n"/>
    </row>
    <row r="23">
      <c r="B23" s="284" t="inlineStr">
        <is>
          <t>Passenger Revenue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26" t="n"/>
      <c r="K23" s="119" t="n"/>
      <c r="L23" s="109" t="n"/>
      <c r="M23" s="109" t="n"/>
      <c r="N23" s="109" t="n"/>
      <c r="O23" s="109" t="n"/>
      <c r="P23" s="109" t="n"/>
    </row>
    <row r="24">
      <c r="B24" s="284" t="inlineStr">
        <is>
          <t>Passenger
ticket revenue</t>
        </is>
      </c>
      <c r="C24" s="76" t="n">
        <v>23259.89</v>
      </c>
      <c r="D24" s="76" t="n">
        <v>33909.86</v>
      </c>
      <c r="E24" s="76" t="n">
        <v>49873.04</v>
      </c>
      <c r="F24" s="76" t="n">
        <v>82666.57000000001</v>
      </c>
      <c r="G24" s="76" t="n">
        <v>99239.83</v>
      </c>
      <c r="H24" s="285" t="n">
        <v>122939</v>
      </c>
      <c r="I24" s="76" t="n">
        <v>140624.22</v>
      </c>
      <c r="J24" s="124" t="n">
        <v>161970.72</v>
      </c>
      <c r="K24" s="120" t="n"/>
      <c r="L24" s="289" t="n"/>
      <c r="M24" s="289" t="n"/>
      <c r="N24" s="289" t="n"/>
      <c r="O24" s="289" t="n"/>
      <c r="P24" s="289" t="n"/>
      <c r="Q24" s="148" t="n"/>
    </row>
    <row r="25">
      <c r="B25" s="284" t="n"/>
      <c r="C25" s="100" t="n"/>
      <c r="D25" s="100" t="n"/>
      <c r="E25" s="100" t="n"/>
      <c r="F25" s="100" t="n"/>
      <c r="G25" s="100" t="n"/>
      <c r="H25" s="100" t="n"/>
      <c r="I25" s="100" t="n"/>
      <c r="J25" s="127" t="n"/>
      <c r="K25" s="120" t="n"/>
      <c r="L25" s="289" t="n"/>
      <c r="M25" s="289" t="n"/>
      <c r="N25" s="289" t="n"/>
      <c r="O25" s="289" t="n"/>
      <c r="P25" s="289" t="n"/>
    </row>
    <row r="26">
      <c r="B26" s="284" t="inlineStr">
        <is>
          <t>Ancillary
revenue</t>
        </is>
      </c>
      <c r="C26" s="76" t="n"/>
      <c r="D26" s="76" t="n"/>
      <c r="E26" s="76" t="n"/>
      <c r="F26" s="76" t="n"/>
      <c r="G26" s="76" t="n"/>
      <c r="H26" s="76" t="n"/>
      <c r="I26" s="76" t="n"/>
      <c r="J26" s="124" t="n">
        <v>22667.6</v>
      </c>
      <c r="K26" s="120" t="n"/>
      <c r="L26" s="289" t="n"/>
      <c r="M26" s="289" t="n"/>
      <c r="N26" s="289" t="n"/>
      <c r="O26" s="289" t="n"/>
      <c r="P26" s="289" t="n"/>
    </row>
    <row r="27">
      <c r="B27" s="284" t="n"/>
      <c r="C27" s="115" t="n"/>
      <c r="D27" s="115" t="n"/>
      <c r="E27" s="115" t="n"/>
      <c r="F27" s="115" t="n"/>
      <c r="G27" s="115" t="n"/>
      <c r="H27" s="115" t="n"/>
      <c r="I27" s="115" t="n"/>
      <c r="J27" s="151" t="n"/>
      <c r="K27" s="149" t="n">
        <v>0.135</v>
      </c>
      <c r="L27" s="150" t="n">
        <v>0.135</v>
      </c>
      <c r="M27" s="150" t="n">
        <v>0.13</v>
      </c>
      <c r="N27" s="150" t="n">
        <v>0.125</v>
      </c>
      <c r="O27" s="150" t="n">
        <v>0.125</v>
      </c>
      <c r="P27" s="150" t="n">
        <v>0.125</v>
      </c>
    </row>
    <row r="28" ht="15" customHeight="1" s="322" thickBot="1">
      <c r="B28" s="284" t="inlineStr">
        <is>
          <t>Other
operating
revenue</t>
        </is>
      </c>
      <c r="C28" s="286" t="n">
        <v>29.57</v>
      </c>
      <c r="D28" s="286" t="n">
        <v>67.69</v>
      </c>
      <c r="E28" s="286" t="n">
        <v>93.22</v>
      </c>
      <c r="F28" s="286" t="n">
        <v>111.29</v>
      </c>
      <c r="G28" s="286" t="n">
        <v>372.69</v>
      </c>
      <c r="H28" s="286" t="n">
        <v>589.5</v>
      </c>
      <c r="I28" s="286" t="n">
        <v>754.9</v>
      </c>
      <c r="J28" s="124" t="n">
        <v>1167</v>
      </c>
      <c r="K28" s="120" t="n"/>
      <c r="L28" s="289" t="n"/>
      <c r="M28" s="289" t="n"/>
      <c r="N28" s="289" t="n"/>
      <c r="O28" s="289" t="n"/>
      <c r="P28" s="289" t="n"/>
      <c r="Q28" s="85" t="n">
        <v>0.19</v>
      </c>
    </row>
    <row r="29">
      <c r="B29" s="112" t="n"/>
      <c r="C29" s="115" t="n"/>
      <c r="D29" s="115" t="n"/>
      <c r="E29" s="115" t="n"/>
      <c r="F29" s="115" t="n"/>
      <c r="G29" s="115" t="n"/>
      <c r="H29" s="115" t="n"/>
      <c r="I29" s="115" t="n"/>
      <c r="J29" s="151" t="n"/>
      <c r="K29" s="149" t="n"/>
      <c r="L29" s="150" t="n"/>
      <c r="M29" s="150" t="n"/>
      <c r="N29" s="150" t="n"/>
      <c r="O29" s="150" t="n"/>
      <c r="P29" s="150" t="n"/>
    </row>
    <row r="30">
      <c r="B30" s="284" t="inlineStr">
        <is>
          <t>Other Income</t>
        </is>
      </c>
      <c r="C30" s="286" t="n">
        <v>621.9299999999999</v>
      </c>
      <c r="D30" s="286" t="n">
        <v>1107.37</v>
      </c>
      <c r="E30" s="286" t="n">
        <v>1439.6</v>
      </c>
      <c r="F30" s="286" t="n">
        <v>2371.04</v>
      </c>
      <c r="G30" s="286" t="n">
        <v>3155.34</v>
      </c>
      <c r="H30" s="286" t="n">
        <v>3945.83</v>
      </c>
      <c r="I30" s="286" t="n">
        <v>4613.93</v>
      </c>
      <c r="J30" s="124" t="n">
        <v>7890.7</v>
      </c>
      <c r="K30" s="120" t="n"/>
      <c r="L30" s="289" t="n"/>
      <c r="M30" s="289" t="n"/>
      <c r="N30" s="289" t="n"/>
      <c r="O30" s="289" t="n"/>
      <c r="P30" s="289" t="n"/>
    </row>
    <row r="31" ht="15" customHeight="1" s="322" thickBot="1">
      <c r="B31" s="68" t="n"/>
      <c r="C31" s="115" t="n"/>
      <c r="D31" s="115" t="n"/>
      <c r="E31" s="115" t="n"/>
      <c r="F31" s="115" t="n"/>
      <c r="G31" s="115" t="n"/>
      <c r="H31" s="115" t="n"/>
      <c r="I31" s="115" t="n"/>
      <c r="J31" s="151" t="n"/>
      <c r="K31" s="149" t="n">
        <v>0.03</v>
      </c>
      <c r="L31" s="150" t="n"/>
      <c r="M31" s="150" t="n"/>
      <c r="N31" s="150" t="n"/>
      <c r="O31" s="150" t="n"/>
      <c r="P31" s="150" t="n"/>
      <c r="Q31" s="77" t="n">
        <v>0.03</v>
      </c>
    </row>
    <row r="32" ht="15" customHeight="1" s="322" thickBot="1">
      <c r="B32" s="81" t="inlineStr">
        <is>
          <t>Total Revenue</t>
        </is>
      </c>
      <c r="C32" s="82" t="n"/>
      <c r="D32" s="82" t="n"/>
      <c r="E32" s="82" t="n"/>
      <c r="F32" s="82" t="n"/>
      <c r="G32" s="82" t="n"/>
      <c r="H32" s="82" t="n"/>
      <c r="I32" s="82" t="n"/>
      <c r="J32" s="128" t="n"/>
      <c r="K32" s="146" t="n"/>
      <c r="L32" s="146" t="n"/>
      <c r="M32" s="146" t="n"/>
      <c r="N32" s="146" t="n"/>
      <c r="O32" s="146" t="n"/>
      <c r="P32" s="146" t="n"/>
    </row>
    <row r="33">
      <c r="B33" s="284" t="n"/>
      <c r="C33" s="285" t="n"/>
      <c r="D33" s="285" t="n"/>
      <c r="E33" s="285" t="n"/>
      <c r="F33" s="285" t="n"/>
      <c r="G33" s="285" t="n"/>
      <c r="H33" s="285" t="n"/>
      <c r="I33" s="285" t="n"/>
      <c r="J33" s="133" t="n"/>
      <c r="K33" s="119" t="n"/>
      <c r="L33" s="109" t="n"/>
      <c r="M33" s="109" t="n"/>
      <c r="N33" s="109" t="n"/>
      <c r="O33" s="109" t="n"/>
      <c r="P33" s="109" t="n"/>
    </row>
    <row r="34">
      <c r="B34" s="284" t="inlineStr">
        <is>
          <t>(a) Revenue
 from 
Ancillary
 Passenger
 related
 services</t>
        </is>
      </c>
      <c r="C34" s="286" t="n">
        <v>934.38</v>
      </c>
      <c r="D34" s="286" t="n">
        <v>1508.03</v>
      </c>
      <c r="E34" s="286" t="n">
        <v>2075.43</v>
      </c>
      <c r="F34" s="286" t="n">
        <v>3936.81</v>
      </c>
      <c r="G34" s="286" t="n">
        <v>5394.52</v>
      </c>
      <c r="H34" s="286" t="n">
        <v>7608.24</v>
      </c>
      <c r="I34" s="286" t="n">
        <v>10464.65</v>
      </c>
      <c r="J34" s="124" t="n"/>
      <c r="K34" s="119" t="n"/>
      <c r="L34" s="111" t="n"/>
      <c r="M34" s="109" t="n"/>
      <c r="N34" s="109" t="n"/>
      <c r="O34" s="109" t="n"/>
      <c r="P34" s="109" t="n"/>
    </row>
    <row r="35">
      <c r="B35" s="284" t="inlineStr">
        <is>
          <t>(b) Cargo
 services</t>
        </is>
      </c>
      <c r="C35" s="286" t="n">
        <v>1565.4</v>
      </c>
      <c r="D35" s="286" t="n">
        <v>2451.26</v>
      </c>
      <c r="E35" s="286" t="n">
        <v>2903.72</v>
      </c>
      <c r="F35" s="286" t="n">
        <v>4102.94</v>
      </c>
      <c r="G35" s="286" t="n">
        <v>4859.78</v>
      </c>
      <c r="H35" s="286" t="n">
        <v>6538.8</v>
      </c>
      <c r="I35" s="286" t="n">
        <v>7576.65</v>
      </c>
      <c r="J35" s="124" t="n">
        <v>8761.860000000001</v>
      </c>
      <c r="K35" s="119" t="n"/>
      <c r="L35" s="111" t="n"/>
      <c r="M35" s="109" t="n"/>
      <c r="N35" s="109" t="n"/>
      <c r="O35" s="109" t="n"/>
      <c r="P35" s="109" t="n"/>
    </row>
    <row r="36">
      <c r="B36" s="284" t="inlineStr">
        <is>
          <t>(c) Tours and
 packages</t>
        </is>
      </c>
      <c r="C36" s="286" t="inlineStr">
        <is>
          <t>–</t>
        </is>
      </c>
      <c r="D36" s="286" t="n">
        <v>1.37</v>
      </c>
      <c r="E36" s="286" t="n">
        <v>61.78</v>
      </c>
      <c r="F36" s="286" t="n">
        <v>121.67</v>
      </c>
      <c r="G36" s="286" t="n">
        <v>142.03</v>
      </c>
      <c r="H36" s="286" t="n">
        <v>146</v>
      </c>
      <c r="I36" s="286" t="n">
        <v>33</v>
      </c>
      <c r="J36" s="124" t="n">
        <v>33</v>
      </c>
      <c r="K36" s="119" t="n"/>
      <c r="L36" s="111" t="n"/>
      <c r="M36" s="109" t="n"/>
      <c r="N36" s="109" t="n"/>
      <c r="O36" s="109" t="n"/>
      <c r="P36" s="109" t="n"/>
    </row>
    <row r="37">
      <c r="B37" s="284" t="inlineStr">
        <is>
          <t>In-flight sales</t>
        </is>
      </c>
      <c r="C37" s="286" t="n">
        <v>256.02</v>
      </c>
      <c r="D37" s="286" t="n">
        <v>383.57</v>
      </c>
      <c r="E37" s="286" t="n">
        <v>610.0700000000001</v>
      </c>
      <c r="F37" s="286" t="n">
        <v>1022.28</v>
      </c>
      <c r="G37" s="286" t="n">
        <v>1047.38</v>
      </c>
      <c r="H37" s="286" t="n">
        <v>1290.3</v>
      </c>
      <c r="I37" s="286" t="n">
        <v>1726.3</v>
      </c>
      <c r="J37" s="124" t="n">
        <v>1595.9</v>
      </c>
      <c r="K37" s="119" t="n"/>
      <c r="L37" s="111" t="n"/>
      <c r="M37" s="109" t="n"/>
      <c r="N37" s="109" t="n"/>
      <c r="O37" s="109" t="n"/>
      <c r="P37" s="109" t="n"/>
    </row>
    <row r="38">
      <c r="B38" s="284" t="inlineStr">
        <is>
          <t>Advertisement</t>
        </is>
      </c>
      <c r="C38" s="286" t="n">
        <v>9.550000000000001</v>
      </c>
      <c r="D38" s="286" t="n">
        <v>12.42</v>
      </c>
      <c r="E38" s="286" t="n">
        <v>23.29</v>
      </c>
      <c r="F38" s="286" t="n">
        <v>62.14</v>
      </c>
      <c r="G38" s="286" t="n">
        <v>106.97</v>
      </c>
      <c r="H38" s="286" t="n">
        <v>138.6</v>
      </c>
      <c r="I38" s="286" t="n">
        <v>218.9</v>
      </c>
      <c r="J38" s="130" t="n">
        <v>899.89</v>
      </c>
      <c r="K38" s="119" t="n"/>
      <c r="L38" s="111" t="n"/>
      <c r="M38" s="109" t="n"/>
      <c r="N38" s="109" t="n"/>
      <c r="O38" s="109" t="n"/>
      <c r="P38" s="109" t="n"/>
    </row>
    <row r="39">
      <c r="B39" s="284" t="inlineStr">
        <is>
          <t>Commission</t>
        </is>
      </c>
      <c r="C39" s="286" t="inlineStr">
        <is>
          <t>–</t>
        </is>
      </c>
      <c r="D39" s="286" t="inlineStr">
        <is>
          <t>–</t>
        </is>
      </c>
      <c r="E39" s="286" t="n">
        <v>6.05</v>
      </c>
      <c r="F39" s="286" t="n">
        <v>7.6</v>
      </c>
      <c r="G39" s="286" t="n">
        <v>2.65</v>
      </c>
      <c r="H39" s="286" t="n">
        <v>2.93</v>
      </c>
      <c r="I39" s="286" t="n">
        <v>0.45</v>
      </c>
      <c r="J39" s="339" t="n"/>
      <c r="K39" s="119" t="n"/>
      <c r="L39" s="111" t="n"/>
      <c r="M39" s="109" t="n"/>
      <c r="N39" s="109" t="n"/>
      <c r="O39" s="109" t="n"/>
      <c r="P39" s="109" t="n"/>
    </row>
    <row r="40">
      <c r="B40" s="89" t="inlineStr">
        <is>
          <t>Total Revenues
 from Ancillary
 Products and
 Services</t>
        </is>
      </c>
      <c r="C40" s="286" t="n"/>
      <c r="D40" s="286" t="n"/>
      <c r="E40" s="286" t="n"/>
      <c r="F40" s="286" t="n"/>
      <c r="G40" s="286" t="n"/>
      <c r="H40" s="286" t="n"/>
      <c r="I40" s="286" t="n"/>
      <c r="J40" s="124" t="n"/>
      <c r="K40" s="119" t="n"/>
      <c r="L40" s="109" t="n"/>
      <c r="M40" s="109" t="n"/>
      <c r="N40" s="109" t="n"/>
      <c r="O40" s="109" t="n"/>
      <c r="P40" s="109" t="n"/>
    </row>
    <row r="45">
      <c r="B45" s="90" t="inlineStr">
        <is>
          <t>Lease Payments</t>
        </is>
      </c>
    </row>
    <row r="46">
      <c r="B46" s="90" t="inlineStr">
        <is>
          <t>Operating Lease Expense</t>
        </is>
      </c>
    </row>
    <row r="47">
      <c r="B47" s="90" t="inlineStr">
        <is>
          <t>Finance Lease Interest Payment</t>
        </is>
      </c>
      <c r="Q47" s="70" t="inlineStr">
        <is>
          <t>2023E</t>
        </is>
      </c>
    </row>
    <row r="48">
      <c r="B48" s="90" t="inlineStr">
        <is>
          <t>Finance Lease Principal Payment</t>
        </is>
      </c>
      <c r="C48" s="168" t="n"/>
      <c r="D48" s="168" t="n"/>
      <c r="E48" s="168" t="n"/>
      <c r="F48" s="168" t="n"/>
      <c r="G48" s="168" t="n"/>
      <c r="H48" s="168" t="n"/>
      <c r="I48" s="168" t="n"/>
      <c r="J48" s="168" t="n"/>
      <c r="Q48" s="70" t="n">
        <v>460</v>
      </c>
    </row>
    <row r="49">
      <c r="B49" s="285" t="n"/>
      <c r="C49" s="285" t="n">
        <v>2010</v>
      </c>
      <c r="D49" s="285" t="n"/>
      <c r="E49" s="285" t="n"/>
      <c r="F49" s="285" t="n"/>
      <c r="G49" s="285" t="n"/>
      <c r="H49" s="285" t="n"/>
      <c r="I49" s="285" t="n"/>
      <c r="J49" s="285" t="n"/>
    </row>
    <row r="50">
      <c r="B50" s="284" t="inlineStr">
        <is>
          <t>Aircraft and engine rentals</t>
        </is>
      </c>
      <c r="C50" s="76" t="n">
        <v>4703.81</v>
      </c>
      <c r="D50" s="76" t="n">
        <v>6372.43</v>
      </c>
      <c r="E50" s="76" t="n">
        <v>10634.4</v>
      </c>
      <c r="F50" s="76" t="n">
        <v>17149.51</v>
      </c>
      <c r="G50" s="76" t="n">
        <v>20310.31</v>
      </c>
      <c r="H50" s="76" t="n"/>
      <c r="I50" s="76" t="n"/>
      <c r="J50" s="76" t="n"/>
    </row>
    <row r="51">
      <c r="B51" s="284" t="inlineStr">
        <is>
          <t>Cash and non-cash
incentives</t>
        </is>
      </c>
      <c r="C51" s="76" t="n">
        <v>-1940.95</v>
      </c>
      <c r="D51" s="76" t="n">
        <v>-2273.94</v>
      </c>
      <c r="E51" s="76" t="n">
        <v>-2627.25</v>
      </c>
      <c r="F51" s="76" t="n">
        <v>-3588.03</v>
      </c>
      <c r="G51" s="76" t="n">
        <v>-3607.17</v>
      </c>
      <c r="H51" s="76" t="n">
        <v>-3553.12</v>
      </c>
      <c r="I51" s="76" t="n">
        <v>-3565.96</v>
      </c>
      <c r="J51" s="76" t="n">
        <v>-5332</v>
      </c>
      <c r="AA51" s="304" t="n">
        <v>354.3129666782608</v>
      </c>
    </row>
    <row r="52">
      <c r="B52" s="284" t="inlineStr">
        <is>
          <t>Aircraft and engine rentals (net)</t>
        </is>
      </c>
      <c r="C52" s="76" t="n">
        <v>2762.86</v>
      </c>
      <c r="D52" s="76" t="n">
        <v>4098.49</v>
      </c>
      <c r="E52" s="76" t="n">
        <v>8007.15</v>
      </c>
      <c r="F52" s="76" t="n">
        <v>13561.48</v>
      </c>
      <c r="G52" s="76" t="n">
        <v>16703.14</v>
      </c>
      <c r="H52" s="76" t="n">
        <v>19522.38</v>
      </c>
      <c r="I52" s="76" t="n">
        <v>26121.52</v>
      </c>
      <c r="J52" s="76" t="n">
        <v>31253.73</v>
      </c>
    </row>
    <row r="53">
      <c r="B53" s="284" t="inlineStr">
        <is>
          <t>Finance lease charges (Interest)</t>
        </is>
      </c>
      <c r="C53" s="76" t="n">
        <v>87.77</v>
      </c>
      <c r="D53" s="76" t="n">
        <v>300.35</v>
      </c>
      <c r="E53" s="76" t="n">
        <v>313.18</v>
      </c>
      <c r="F53" s="76" t="n">
        <v>364.29</v>
      </c>
      <c r="G53" s="76" t="n">
        <v>826.5700000000001</v>
      </c>
      <c r="H53" s="76" t="n">
        <v>929.36</v>
      </c>
      <c r="I53" s="76" t="n">
        <v>1019.02</v>
      </c>
      <c r="J53" s="76" t="n">
        <v>1299</v>
      </c>
      <c r="U53" s="303" t="inlineStr">
        <is>
          <t>Year</t>
        </is>
      </c>
      <c r="V53" s="302" t="inlineStr">
        <is>
          <t>2018E</t>
        </is>
      </c>
      <c r="W53" s="302" t="inlineStr">
        <is>
          <t>2019E</t>
        </is>
      </c>
      <c r="X53" s="302" t="inlineStr">
        <is>
          <t>2020E</t>
        </is>
      </c>
      <c r="Y53" s="302" t="inlineStr">
        <is>
          <t>2021E</t>
        </is>
      </c>
      <c r="Z53" s="302" t="inlineStr">
        <is>
          <t>2022E</t>
        </is>
      </c>
    </row>
    <row r="54">
      <c r="B54" s="284" t="inlineStr">
        <is>
          <t>Finance lease charges paid</t>
        </is>
      </c>
      <c r="C54" s="76" t="n">
        <v>80.68000000000001</v>
      </c>
      <c r="D54" s="76" t="n">
        <v>302.35</v>
      </c>
      <c r="E54" s="76" t="n">
        <v>312.73</v>
      </c>
      <c r="F54" s="76" t="n">
        <v>363.12</v>
      </c>
      <c r="G54" s="76" t="n">
        <v>603.2</v>
      </c>
      <c r="H54" s="76" t="n">
        <v>669.67</v>
      </c>
      <c r="I54" s="76" t="n">
        <v>701.5700000000001</v>
      </c>
      <c r="J54" s="76" t="n">
        <v>478.8</v>
      </c>
      <c r="U54" s="303" t="inlineStr">
        <is>
          <t>Number of Planes</t>
        </is>
      </c>
      <c r="V54" s="286" t="n">
        <v>160</v>
      </c>
      <c r="W54" s="286" t="n">
        <v>170.8685217391304</v>
      </c>
      <c r="X54" s="286" t="n">
        <v>205.0422260869565</v>
      </c>
      <c r="Y54" s="286" t="n">
        <v>246.0506713043478</v>
      </c>
      <c r="Z54" s="286" t="n">
        <v>295.2608055652174</v>
      </c>
    </row>
    <row r="55" ht="15" customHeight="1" s="322" thickBot="1">
      <c r="B55" s="166" t="inlineStr">
        <is>
          <t>Total Finance %</t>
        </is>
      </c>
      <c r="C55" s="167" t="n"/>
      <c r="D55" s="167" t="n"/>
      <c r="E55" s="167" t="n"/>
      <c r="F55" s="167" t="n"/>
      <c r="G55" s="167" t="n"/>
      <c r="H55" s="167" t="n"/>
      <c r="I55" s="167" t="n"/>
      <c r="J55" s="167" t="n"/>
      <c r="U55" s="303" t="inlineStr">
        <is>
          <t>ASK Per Plane</t>
        </is>
      </c>
      <c r="V55" s="301" t="n">
        <v>460</v>
      </c>
      <c r="W55" s="301" t="n">
        <v>460</v>
      </c>
      <c r="X55" s="301" t="n">
        <v>460</v>
      </c>
      <c r="Y55" s="301" t="n">
        <v>460</v>
      </c>
      <c r="Z55" s="301" t="n">
        <v>460</v>
      </c>
    </row>
    <row r="56">
      <c r="B56" s="156" t="inlineStr">
        <is>
          <t xml:space="preserve">Total Lease Payment </t>
        </is>
      </c>
      <c r="C56" s="73" t="n"/>
      <c r="D56" s="73" t="n"/>
      <c r="E56" s="73" t="n"/>
      <c r="F56" s="73" t="n"/>
      <c r="G56" s="73" t="n"/>
      <c r="H56" s="73" t="n"/>
      <c r="I56" s="73" t="n"/>
      <c r="J56" s="73" t="n"/>
    </row>
    <row r="57">
      <c r="B57" s="89" t="inlineStr">
        <is>
          <t>Total Lease Payment ( Net of Incentive )</t>
        </is>
      </c>
      <c r="C57" s="76" t="n"/>
      <c r="D57" s="76" t="n"/>
      <c r="E57" s="76" t="n"/>
      <c r="F57" s="76" t="n"/>
      <c r="G57" s="76" t="n"/>
      <c r="H57" s="76" t="n"/>
      <c r="I57" s="76" t="n"/>
      <c r="J57" s="76" t="n"/>
      <c r="N57" s="340" t="n"/>
    </row>
    <row r="58" ht="15" customHeight="1" s="322" thickBot="1">
      <c r="B58" s="90" t="inlineStr">
        <is>
          <t>Number of Planes</t>
        </is>
      </c>
      <c r="C58" s="134" t="n"/>
      <c r="D58" s="134" t="n"/>
      <c r="E58" s="134" t="n"/>
      <c r="F58" s="134" t="n"/>
      <c r="G58" s="134" t="n"/>
      <c r="H58" s="134" t="n"/>
      <c r="I58" s="134" t="n"/>
      <c r="J58" s="134" t="n"/>
      <c r="U58" s="313" t="inlineStr">
        <is>
          <t>Year</t>
        </is>
      </c>
      <c r="V58" s="305" t="inlineStr">
        <is>
          <t>2018E</t>
        </is>
      </c>
      <c r="W58" s="306" t="inlineStr">
        <is>
          <t>2019E</t>
        </is>
      </c>
      <c r="X58" s="306" t="inlineStr">
        <is>
          <t>2020E</t>
        </is>
      </c>
      <c r="Y58" s="306" t="inlineStr">
        <is>
          <t>2021E</t>
        </is>
      </c>
      <c r="Z58" s="306" t="inlineStr">
        <is>
          <t>2022E</t>
        </is>
      </c>
    </row>
    <row r="59">
      <c r="C59" s="182" t="n"/>
      <c r="D59" s="182" t="n"/>
      <c r="E59" s="182" t="n"/>
      <c r="F59" s="182" t="n"/>
      <c r="G59" s="182" t="n"/>
      <c r="H59" s="182" t="n"/>
      <c r="I59" s="182" t="n"/>
      <c r="J59" s="182" t="n"/>
      <c r="U59" s="312" t="inlineStr">
        <is>
          <t>Passenger Load Factor (%)</t>
        </is>
      </c>
      <c r="V59" s="308" t="n">
        <v>0.85</v>
      </c>
      <c r="W59" s="309" t="n"/>
      <c r="X59" s="309" t="n"/>
      <c r="Y59" s="309" t="n"/>
      <c r="Z59" s="309" t="n"/>
    </row>
    <row r="60">
      <c r="B60" s="90" t="inlineStr">
        <is>
          <t xml:space="preserve">operating Lease </t>
        </is>
      </c>
      <c r="U60" s="307" t="inlineStr">
        <is>
          <t>Yield (Rs.)</t>
        </is>
      </c>
      <c r="V60" s="310" t="n">
        <v>3.9</v>
      </c>
      <c r="W60" s="311" t="n"/>
      <c r="X60" s="311" t="n"/>
      <c r="Y60" s="311" t="n"/>
      <c r="Z60" s="311" t="n"/>
    </row>
    <row r="61">
      <c r="B61" s="90" t="inlineStr">
        <is>
          <t>Capitalized Operating Lease</t>
        </is>
      </c>
      <c r="C61" s="285" t="inlineStr">
        <is>
          <t>1 Year</t>
        </is>
      </c>
      <c r="D61" s="285" t="inlineStr">
        <is>
          <t>1-5 Year</t>
        </is>
      </c>
      <c r="E61" s="285" t="inlineStr">
        <is>
          <t>&gt;5 Years</t>
        </is>
      </c>
      <c r="F61" s="285" t="n">
        <v>1</v>
      </c>
      <c r="G61" s="285" t="n">
        <v>2</v>
      </c>
      <c r="H61" s="285" t="n">
        <v>3</v>
      </c>
      <c r="I61" s="285" t="n">
        <v>4</v>
      </c>
      <c r="J61" s="285" t="n">
        <v>5</v>
      </c>
      <c r="K61" s="285" t="n">
        <v>6</v>
      </c>
      <c r="L61" s="285" t="n">
        <v>7</v>
      </c>
      <c r="M61" s="285" t="n">
        <v>8</v>
      </c>
      <c r="N61" s="285" t="n">
        <v>9</v>
      </c>
      <c r="O61" s="285" t="n">
        <v>10</v>
      </c>
      <c r="P61" s="285" t="n"/>
      <c r="U61" s="307" t="inlineStr">
        <is>
          <t>RASK (Rs.)</t>
        </is>
      </c>
      <c r="V61" s="310" t="n">
        <v>3.315</v>
      </c>
      <c r="W61" s="311" t="n">
        <v>3.315</v>
      </c>
      <c r="X61" s="311" t="n">
        <v>3.315</v>
      </c>
      <c r="Y61" s="311" t="n">
        <v>3.315</v>
      </c>
      <c r="Z61" s="311" t="n">
        <v>3.315</v>
      </c>
    </row>
    <row r="62">
      <c r="C62" s="286" t="n">
        <v>25603.42</v>
      </c>
      <c r="D62" s="286" t="n">
        <v>54159.89</v>
      </c>
      <c r="E62" s="286" t="n">
        <v>3445.52</v>
      </c>
      <c r="F62" s="286" t="n"/>
      <c r="G62" s="286" t="n"/>
      <c r="H62" s="286" t="n"/>
      <c r="I62" s="286" t="n"/>
      <c r="J62" s="286" t="n"/>
      <c r="K62" s="286" t="n"/>
      <c r="L62" s="286" t="n"/>
      <c r="M62" s="286" t="n"/>
      <c r="N62" s="286" t="n"/>
      <c r="O62" s="286" t="n"/>
      <c r="P62" s="78" t="n">
        <v>0.105</v>
      </c>
    </row>
    <row r="63"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86" t="n"/>
      <c r="P63" s="158" t="n"/>
    </row>
    <row r="64" ht="15" customHeight="1" s="322" thickBot="1">
      <c r="C64" s="285" t="inlineStr">
        <is>
          <t>1 Year</t>
        </is>
      </c>
      <c r="D64" s="285" t="inlineStr">
        <is>
          <t>1-5 Year</t>
        </is>
      </c>
      <c r="E64" s="285" t="inlineStr">
        <is>
          <t>&gt;5 Years</t>
        </is>
      </c>
      <c r="F64" s="285" t="n">
        <v>1</v>
      </c>
      <c r="G64" s="285" t="n">
        <v>2</v>
      </c>
      <c r="H64" s="285" t="n">
        <v>3</v>
      </c>
      <c r="I64" s="285" t="n">
        <v>4</v>
      </c>
      <c r="J64" s="285" t="n">
        <v>5</v>
      </c>
      <c r="K64" s="285" t="n">
        <v>6</v>
      </c>
      <c r="L64" s="285" t="n">
        <v>7</v>
      </c>
      <c r="M64" s="285" t="n">
        <v>8</v>
      </c>
      <c r="N64" s="285" t="n">
        <v>9</v>
      </c>
      <c r="O64" s="285" t="n">
        <v>10</v>
      </c>
      <c r="P64" s="285" t="n"/>
      <c r="U64" s="313" t="inlineStr">
        <is>
          <t>Year</t>
        </is>
      </c>
      <c r="V64" s="305" t="inlineStr">
        <is>
          <t>2018E</t>
        </is>
      </c>
      <c r="W64" s="306" t="inlineStr">
        <is>
          <t>2019E</t>
        </is>
      </c>
      <c r="X64" s="306" t="inlineStr">
        <is>
          <t>2020E</t>
        </is>
      </c>
      <c r="Y64" s="306" t="inlineStr">
        <is>
          <t>2021E</t>
        </is>
      </c>
      <c r="Z64" s="306" t="inlineStr">
        <is>
          <t>2022E</t>
        </is>
      </c>
    </row>
    <row r="65">
      <c r="C65" s="286" t="n">
        <v>2993</v>
      </c>
      <c r="D65" s="286" t="n">
        <v>11980</v>
      </c>
      <c r="E65" s="285" t="n">
        <v>11336</v>
      </c>
      <c r="F65" s="286" t="n"/>
      <c r="G65" s="286" t="n"/>
      <c r="H65" s="286" t="n"/>
      <c r="I65" s="286" t="n"/>
      <c r="J65" s="286" t="n"/>
      <c r="K65" s="286" t="n"/>
      <c r="L65" s="286" t="n"/>
      <c r="M65" s="286" t="n"/>
      <c r="N65" s="286" t="n"/>
      <c r="O65" s="286" t="n"/>
      <c r="P65" s="78" t="n">
        <v>0.105</v>
      </c>
      <c r="U65" s="284" t="inlineStr">
        <is>
          <t>Ancillary
revenue</t>
        </is>
      </c>
      <c r="V65" s="314" t="n">
        <v>29312.70849</v>
      </c>
      <c r="W65" s="315" t="n">
        <v>35175.250188</v>
      </c>
      <c r="X65" s="315" t="n">
        <v>40646.95577279999</v>
      </c>
      <c r="Y65" s="315" t="n">
        <v>46900.33358399999</v>
      </c>
      <c r="Z65" s="315" t="n">
        <v>56280.40030079999</v>
      </c>
    </row>
    <row r="66">
      <c r="F66" s="286" t="n"/>
      <c r="G66" s="286" t="n"/>
      <c r="H66" s="286" t="n"/>
      <c r="I66" s="286" t="n"/>
      <c r="J66" s="286" t="n"/>
      <c r="K66" s="286" t="n"/>
      <c r="L66" s="286" t="n"/>
      <c r="M66" s="286" t="n"/>
      <c r="N66" s="286" t="n"/>
      <c r="O66" s="286" t="n"/>
      <c r="P66" s="158" t="n"/>
      <c r="U66" s="284" t="n"/>
      <c r="V66" s="316" t="n">
        <v>0.135</v>
      </c>
      <c r="W66" s="317" t="n">
        <v>0.135</v>
      </c>
      <c r="X66" s="317" t="n">
        <v>0.13</v>
      </c>
      <c r="Y66" s="317" t="n">
        <v>0.125</v>
      </c>
      <c r="Z66" s="317" t="n">
        <v>0.125</v>
      </c>
    </row>
    <row r="67">
      <c r="F67" s="181" t="n"/>
      <c r="G67" s="181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3" t="n"/>
      <c r="U67" s="284" t="inlineStr">
        <is>
          <t>Other
operating
revenue</t>
        </is>
      </c>
      <c r="V67" s="314" t="n">
        <v>1694.710103223194</v>
      </c>
      <c r="W67" s="315" t="n">
        <v>2189.986569147833</v>
      </c>
      <c r="X67" s="315" t="n">
        <v>2815.585217313399</v>
      </c>
      <c r="Y67" s="315" t="n">
        <v>3603.823861979279</v>
      </c>
      <c r="Z67" s="315" t="n">
        <v>4594.734555818975</v>
      </c>
    </row>
    <row r="68" ht="15" customHeight="1" s="322" thickBot="1">
      <c r="D68" s="69" t="n">
        <v>2011</v>
      </c>
      <c r="E68" s="69" t="n">
        <v>2012</v>
      </c>
      <c r="F68" s="69" t="n">
        <v>2013</v>
      </c>
      <c r="G68" s="69" t="n">
        <v>2014</v>
      </c>
      <c r="U68" s="112" t="n"/>
      <c r="V68" s="316" t="n">
        <v>0.007805005941814668</v>
      </c>
      <c r="W68" s="317" t="n">
        <v>0.008405005941814668</v>
      </c>
      <c r="X68" s="317" t="n">
        <v>0.009005005941814668</v>
      </c>
      <c r="Y68" s="317" t="n">
        <v>0.009605005941814668</v>
      </c>
      <c r="Z68" s="317" t="n">
        <v>0.01020500594181467</v>
      </c>
    </row>
    <row r="69">
      <c r="B69" s="169" t="inlineStr">
        <is>
          <t>Landing fee and en-route
charges</t>
        </is>
      </c>
      <c r="C69" s="169" t="n"/>
      <c r="D69" s="172" t="n">
        <v>2725.81</v>
      </c>
      <c r="E69" s="172" t="n">
        <v>4066.52</v>
      </c>
      <c r="F69" s="172" t="n">
        <v>6418.78</v>
      </c>
      <c r="G69" s="172" t="n">
        <v>8794.309999999999</v>
      </c>
      <c r="I69" s="134" t="n"/>
      <c r="J69" s="147" t="n"/>
      <c r="P69" s="70" t="n"/>
      <c r="U69" s="284" t="inlineStr">
        <is>
          <t>Other Income</t>
        </is>
      </c>
      <c r="V69" s="314" t="n">
        <v>6513.935219999998</v>
      </c>
      <c r="W69" s="315" t="n">
        <v>7816.722263999998</v>
      </c>
      <c r="X69" s="315" t="n">
        <v>9380.066716799996</v>
      </c>
      <c r="Y69" s="315" t="n">
        <v>11256.08006016</v>
      </c>
      <c r="Z69" s="315" t="n">
        <v>13507.296072192</v>
      </c>
    </row>
    <row r="70" ht="15" customHeight="1" s="322" thickBot="1">
      <c r="B70" s="170" t="inlineStr">
        <is>
          <t>Maintenance Cost</t>
        </is>
      </c>
      <c r="C70" s="169" t="n"/>
      <c r="D70" s="293" t="n">
        <v>955.0700000000001</v>
      </c>
      <c r="E70" s="172" t="n">
        <v>1574.29</v>
      </c>
      <c r="F70" s="172" t="n">
        <v>2617.47</v>
      </c>
      <c r="G70" s="172" t="n">
        <v>3167.07</v>
      </c>
      <c r="I70" s="134" t="n"/>
      <c r="J70" s="147" t="n"/>
      <c r="P70" s="70" t="n"/>
      <c r="U70" s="68" t="n"/>
      <c r="V70" s="316" t="n">
        <v>0.03</v>
      </c>
      <c r="W70" s="317" t="n">
        <v>0.03</v>
      </c>
      <c r="X70" s="317" t="n">
        <v>0.03</v>
      </c>
      <c r="Y70" s="317" t="n">
        <v>0.03</v>
      </c>
      <c r="Z70" s="317" t="n">
        <v>0.03</v>
      </c>
    </row>
    <row r="71">
      <c r="B71" s="169" t="inlineStr">
        <is>
          <t>Selling and Distribution
Cost</t>
        </is>
      </c>
      <c r="C71" s="169" t="n"/>
      <c r="D71" s="172" t="n">
        <v>3119.38</v>
      </c>
      <c r="E71" s="172" t="n">
        <v>4195.32</v>
      </c>
      <c r="F71" s="172" t="n">
        <v>5564.58</v>
      </c>
      <c r="G71" s="172" t="n">
        <v>6945.46</v>
      </c>
      <c r="I71" s="134" t="n"/>
      <c r="J71" s="147" t="n"/>
      <c r="P71" s="70" t="n"/>
    </row>
    <row r="72">
      <c r="B72" s="169" t="inlineStr">
        <is>
          <t>Other Operating Expenses</t>
        </is>
      </c>
      <c r="C72" s="169" t="n"/>
      <c r="D72" s="172" t="n">
        <v>1983.46</v>
      </c>
      <c r="E72" s="172" t="n">
        <v>3124.91</v>
      </c>
      <c r="F72" s="172" t="n">
        <v>4360.57</v>
      </c>
      <c r="G72" s="172" t="n">
        <v>5565.11</v>
      </c>
      <c r="I72" s="134" t="n"/>
      <c r="J72" s="147" t="n"/>
      <c r="P72" s="70" t="n"/>
    </row>
    <row r="73">
      <c r="B73" s="284" t="n"/>
      <c r="C73" s="285" t="n"/>
      <c r="D73" s="171" t="n"/>
      <c r="E73" s="171" t="n"/>
      <c r="F73" s="171" t="n"/>
      <c r="G73" s="171" t="n"/>
      <c r="H73" s="171" t="n">
        <v>30876.97</v>
      </c>
      <c r="I73" s="171" t="n">
        <v>38393.71</v>
      </c>
      <c r="J73" s="171" t="n">
        <v>47985.83</v>
      </c>
    </row>
  </sheetData>
  <mergeCells count="1">
    <mergeCell ref="J38:J39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3" ySplit="6" topLeftCell="G21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.6640625" bestFit="1" customWidth="1" style="322" min="7" max="10"/>
    <col width="9.5" bestFit="1" customWidth="1" style="322" min="11" max="14"/>
    <col width="12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C4" s="4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D5" s="341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t="inlineStr">
        <is>
          <t>Revenue from operations</t>
        </is>
      </c>
      <c r="D7" s="239" t="n">
        <v>38334.2</v>
      </c>
      <c r="E7" s="239" t="n">
        <v>55646.6</v>
      </c>
      <c r="F7" s="239" t="n">
        <v>92031.3</v>
      </c>
      <c r="G7" s="239" t="n">
        <v>111165.84</v>
      </c>
      <c r="H7" s="244" t="n">
        <v>139253.36</v>
      </c>
      <c r="I7" s="239" t="n">
        <v>161399.09</v>
      </c>
      <c r="J7" s="239" t="n">
        <v>185805</v>
      </c>
      <c r="K7" s="241" t="n"/>
      <c r="L7" s="241" t="n"/>
      <c r="M7" s="241" t="n"/>
      <c r="N7" s="241" t="n"/>
      <c r="O7" s="241" t="n"/>
      <c r="P7" s="233" t="n"/>
    </row>
    <row r="8">
      <c r="A8" t="inlineStr">
        <is>
          <t>Other Income</t>
        </is>
      </c>
      <c r="C8" s="2" t="n"/>
      <c r="D8" s="245" t="n">
        <v>1107.37</v>
      </c>
      <c r="E8" s="245" t="n">
        <v>1439.6</v>
      </c>
      <c r="F8" s="245" t="n">
        <v>2371.04</v>
      </c>
      <c r="G8" s="245" t="n">
        <v>3155.34</v>
      </c>
      <c r="H8" s="245" t="n">
        <v>3945.83</v>
      </c>
      <c r="I8" s="245" t="n">
        <v>4613.93</v>
      </c>
      <c r="J8" s="245" t="n">
        <v>7890.7</v>
      </c>
      <c r="K8" s="241" t="n"/>
      <c r="L8" s="241" t="n"/>
      <c r="M8" s="241" t="n"/>
      <c r="N8" s="241" t="n"/>
      <c r="O8" s="241" t="n"/>
      <c r="P8" s="233" t="n"/>
    </row>
    <row r="9">
      <c r="A9" s="26" t="inlineStr">
        <is>
          <t>Total Revenue</t>
        </is>
      </c>
      <c r="D9" s="21" t="n"/>
      <c r="E9" s="21" t="n"/>
      <c r="F9" s="21" t="n"/>
      <c r="G9" s="21" t="n"/>
      <c r="H9" s="21" t="n"/>
      <c r="I9" s="21" t="n"/>
      <c r="J9" s="21" t="n"/>
      <c r="K9" s="242" t="n"/>
      <c r="L9" s="242" t="n"/>
      <c r="M9" s="242" t="n"/>
      <c r="N9" s="242" t="n"/>
      <c r="O9" s="242" t="n"/>
      <c r="P9" s="233" t="n"/>
    </row>
    <row r="10">
      <c r="A10" t="inlineStr">
        <is>
          <t>Purchase of stock in trade</t>
        </is>
      </c>
      <c r="D10" s="246" t="n">
        <v>190.93</v>
      </c>
      <c r="E10" s="246" t="n">
        <v>341.79</v>
      </c>
      <c r="F10" s="246" t="n">
        <v>559.9400000000001</v>
      </c>
      <c r="G10" s="246" t="n">
        <v>589.63</v>
      </c>
      <c r="H10" s="246" t="n">
        <v>817.1</v>
      </c>
      <c r="I10" s="246" t="n">
        <v>1147.82</v>
      </c>
      <c r="J10" s="246" t="n">
        <v>1238.32</v>
      </c>
      <c r="K10" s="232" t="n"/>
      <c r="L10" s="232" t="n"/>
      <c r="M10" s="232" t="n"/>
      <c r="N10" s="232" t="n"/>
      <c r="O10" s="232" t="n"/>
      <c r="P10" s="233" t="n"/>
    </row>
    <row r="11">
      <c r="A11" t="inlineStr">
        <is>
          <t>Changes in inventories of stock in trade</t>
        </is>
      </c>
      <c r="D11" s="246" t="n">
        <v>-1.1</v>
      </c>
      <c r="E11" s="246" t="n">
        <v>-6.83</v>
      </c>
      <c r="F11" s="246" t="n">
        <v>-18.65</v>
      </c>
      <c r="G11" s="246" t="n">
        <v>7.06</v>
      </c>
      <c r="H11" s="246" t="n">
        <v>-31.72</v>
      </c>
      <c r="I11" s="246" t="n">
        <v>-11.32</v>
      </c>
      <c r="J11" s="246" t="n">
        <v>-2.94</v>
      </c>
      <c r="K11" s="233" t="n"/>
      <c r="L11" s="233" t="n"/>
      <c r="M11" s="233" t="n"/>
      <c r="N11" s="233" t="n"/>
      <c r="O11" s="233" t="n"/>
      <c r="P11" s="233" t="n"/>
    </row>
    <row r="12">
      <c r="A12" t="inlineStr">
        <is>
          <t>Employee benefits</t>
        </is>
      </c>
      <c r="D12" s="239" t="n">
        <v>2930.16</v>
      </c>
      <c r="E12" s="239" t="n">
        <v>5118.6</v>
      </c>
      <c r="F12" s="239" t="n">
        <v>6904.52</v>
      </c>
      <c r="G12" s="239" t="n">
        <v>9211.08</v>
      </c>
      <c r="H12" s="239" t="n">
        <v>11886.91</v>
      </c>
      <c r="I12" s="239" t="n">
        <v>17899.23</v>
      </c>
      <c r="J12" s="239" t="n">
        <v>20481.9</v>
      </c>
      <c r="K12" s="232" t="n"/>
      <c r="L12" s="232" t="n"/>
      <c r="M12" s="232" t="n"/>
      <c r="N12" s="232" t="n"/>
      <c r="O12" s="232" t="n"/>
      <c r="P12" s="233" t="n"/>
    </row>
    <row r="13">
      <c r="A13" t="inlineStr">
        <is>
          <t>Other expenses</t>
        </is>
      </c>
      <c r="D13" s="239" t="n">
        <v>8783.719999999999</v>
      </c>
      <c r="E13" s="239" t="n">
        <v>12961.04</v>
      </c>
      <c r="F13" s="239" t="n">
        <v>18961.4</v>
      </c>
      <c r="G13" s="239" t="n">
        <v>24471.95</v>
      </c>
      <c r="H13" s="239" t="n">
        <v>30876.97</v>
      </c>
      <c r="I13" s="239" t="n">
        <v>38393.71</v>
      </c>
      <c r="J13" s="239" t="n">
        <v>47986.24</v>
      </c>
      <c r="K13" s="232" t="n"/>
      <c r="L13" s="232" t="n"/>
      <c r="M13" s="232" t="n"/>
      <c r="N13" s="232" t="n"/>
      <c r="O13" s="232" t="n"/>
      <c r="P13" s="233" t="n"/>
    </row>
    <row r="14">
      <c r="A14" t="inlineStr">
        <is>
          <t>Operating Expenses(Excluding fuel)</t>
        </is>
      </c>
      <c r="D14" s="277" t="n"/>
      <c r="E14" s="277" t="n"/>
      <c r="F14" s="277" t="n"/>
      <c r="G14" s="277" t="n"/>
      <c r="H14" s="277" t="n"/>
      <c r="I14" s="277" t="n"/>
      <c r="J14" s="277" t="n"/>
      <c r="K14" s="241" t="n"/>
      <c r="L14" s="241" t="n"/>
      <c r="M14" s="241" t="n"/>
      <c r="N14" s="241" t="n"/>
      <c r="O14" s="241" t="n"/>
      <c r="P14" s="233" t="n"/>
    </row>
    <row r="15">
      <c r="A15" s="26" t="inlineStr">
        <is>
          <t>EBITDAR(fuel)</t>
        </is>
      </c>
      <c r="D15" s="21" t="n"/>
      <c r="E15" s="21" t="n"/>
      <c r="F15" s="21" t="n"/>
      <c r="G15" s="21" t="n"/>
      <c r="H15" s="21" t="n"/>
      <c r="I15" s="21" t="n"/>
      <c r="J15" s="21" t="n"/>
      <c r="K15" s="242" t="n"/>
      <c r="L15" s="242" t="n"/>
      <c r="M15" s="242" t="n"/>
      <c r="N15" s="242" t="n"/>
      <c r="O15" s="242" t="n"/>
      <c r="P15" s="233" t="n"/>
    </row>
    <row r="16">
      <c r="A16" t="inlineStr">
        <is>
          <t>Aircraft fuel expenses</t>
        </is>
      </c>
      <c r="D16" s="239" t="n">
        <v>15213.26</v>
      </c>
      <c r="E16" s="239" t="n">
        <v>28735.91</v>
      </c>
      <c r="F16" s="239" t="n">
        <v>43126.26</v>
      </c>
      <c r="G16" s="239" t="n">
        <v>55133.5</v>
      </c>
      <c r="H16" s="239" t="n">
        <v>57484.86</v>
      </c>
      <c r="I16" s="239" t="n">
        <v>47793.24</v>
      </c>
      <c r="J16" s="239" t="n">
        <v>63415.13</v>
      </c>
      <c r="K16" s="232" t="n"/>
      <c r="L16" s="232" t="n"/>
      <c r="M16" s="232" t="n"/>
      <c r="N16" s="232" t="n"/>
      <c r="O16" s="232" t="n"/>
      <c r="P16" s="233" t="n"/>
    </row>
    <row r="17">
      <c r="A17" s="26" t="inlineStr">
        <is>
          <t>EBITDAR</t>
        </is>
      </c>
      <c r="B17" s="26" t="n"/>
      <c r="C17" s="26" t="n"/>
      <c r="D17" s="21" t="n"/>
      <c r="E17" s="21" t="n"/>
      <c r="F17" s="21" t="n"/>
      <c r="G17" s="21" t="n"/>
      <c r="H17" s="21" t="n"/>
      <c r="I17" s="21" t="n"/>
      <c r="J17" s="21" t="n"/>
      <c r="K17" s="242" t="n"/>
      <c r="L17" s="242" t="n"/>
      <c r="M17" s="242" t="n"/>
      <c r="N17" s="242" t="n"/>
      <c r="O17" s="242" t="n"/>
      <c r="P17" s="233" t="n"/>
    </row>
    <row r="18">
      <c r="A18" t="inlineStr">
        <is>
          <t>Aircraft and engine rentals</t>
        </is>
      </c>
      <c r="D18" s="239" t="n">
        <v>6372.43</v>
      </c>
      <c r="E18" s="239" t="n">
        <v>10634.4</v>
      </c>
      <c r="F18" s="239" t="n">
        <v>17149.51</v>
      </c>
      <c r="G18" s="239" t="n">
        <v>20310.31</v>
      </c>
      <c r="H18" s="209" t="n"/>
      <c r="I18" s="209" t="n"/>
      <c r="J18" s="209" t="n"/>
      <c r="K18" s="243" t="n"/>
      <c r="L18" s="243" t="n"/>
      <c r="M18" s="243" t="n"/>
      <c r="N18" s="243" t="n"/>
      <c r="O18" s="243" t="n"/>
      <c r="P18" s="233" t="n"/>
    </row>
    <row r="19">
      <c r="A19" t="inlineStr">
        <is>
          <t>Less: Cash and non-cash incentives</t>
        </is>
      </c>
      <c r="D19" s="239" t="n">
        <v>-2273.94</v>
      </c>
      <c r="E19" s="239" t="n">
        <v>-2627.25</v>
      </c>
      <c r="F19" s="239" t="n">
        <v>-3588.03</v>
      </c>
      <c r="G19" s="239" t="n">
        <v>-3607.17</v>
      </c>
      <c r="H19" s="239" t="n">
        <v>-3553.12</v>
      </c>
      <c r="I19" s="239" t="n">
        <v>-3565.96</v>
      </c>
      <c r="J19" s="239" t="n">
        <v>-5332.06</v>
      </c>
      <c r="K19" s="232" t="n"/>
      <c r="L19" s="232" t="n"/>
      <c r="M19" s="232" t="n"/>
      <c r="N19" s="232" t="n"/>
      <c r="O19" s="232" t="n"/>
      <c r="P19" s="233" t="n"/>
    </row>
    <row r="20">
      <c r="A20" t="inlineStr">
        <is>
          <t>Aircraft and engine rentals (net)</t>
        </is>
      </c>
      <c r="D20" s="209" t="n"/>
      <c r="E20" s="209" t="n"/>
      <c r="F20" s="209" t="n"/>
      <c r="G20" s="209" t="n"/>
      <c r="H20" s="239" t="n">
        <v>19522.38</v>
      </c>
      <c r="I20" s="239" t="n">
        <v>26121.52</v>
      </c>
      <c r="J20" s="239" t="n">
        <v>31253.73</v>
      </c>
      <c r="K20" s="241" t="n"/>
      <c r="L20" s="241" t="n"/>
      <c r="M20" s="241" t="n"/>
      <c r="N20" s="241" t="n"/>
      <c r="O20" s="241" t="n"/>
      <c r="P20" s="233" t="n"/>
    </row>
    <row r="21">
      <c r="A21" s="26" t="inlineStr">
        <is>
          <t>EBITDA</t>
        </is>
      </c>
      <c r="D21" s="21" t="n"/>
      <c r="E21" s="21" t="n"/>
      <c r="F21" s="21" t="n"/>
      <c r="G21" s="21" t="n"/>
      <c r="H21" s="21" t="n"/>
      <c r="I21" s="21" t="n"/>
      <c r="J21" s="21" t="n"/>
      <c r="K21" s="242" t="n"/>
      <c r="L21" s="242" t="n"/>
      <c r="M21" s="242" t="n"/>
      <c r="N21" s="242" t="n"/>
      <c r="O21" s="242" t="n"/>
      <c r="P21" s="233" t="n"/>
    </row>
    <row r="22">
      <c r="A22" t="inlineStr">
        <is>
          <t>Depreciation and amortisation</t>
        </is>
      </c>
      <c r="D22" s="246" t="n">
        <v>628.7</v>
      </c>
      <c r="E22" s="246" t="n">
        <v>665.23</v>
      </c>
      <c r="F22" s="246" t="n">
        <v>856.2</v>
      </c>
      <c r="G22" s="246" t="n">
        <v>2260.08</v>
      </c>
      <c r="H22" s="246" t="n">
        <v>3022.14</v>
      </c>
      <c r="I22" s="246" t="n">
        <v>5030.79</v>
      </c>
      <c r="J22" s="246" t="n">
        <v>4572.53</v>
      </c>
      <c r="K22" s="232" t="n"/>
      <c r="L22" s="232" t="n"/>
      <c r="M22" s="232" t="n"/>
      <c r="N22" s="232" t="n"/>
      <c r="O22" s="232" t="n"/>
      <c r="P22" s="233" t="n"/>
    </row>
    <row r="23">
      <c r="A23" s="26" t="inlineStr">
        <is>
          <t>EBIT</t>
        </is>
      </c>
      <c r="B23" s="26" t="n"/>
      <c r="C23" s="26" t="n"/>
      <c r="D23" s="21" t="n"/>
      <c r="E23" s="21" t="n"/>
      <c r="F23" s="21" t="n"/>
      <c r="G23" s="21" t="n"/>
      <c r="H23" s="21" t="n"/>
      <c r="I23" s="21" t="n"/>
      <c r="J23" s="21" t="n"/>
      <c r="K23" s="242" t="n"/>
      <c r="L23" s="242" t="n"/>
      <c r="M23" s="242" t="n"/>
      <c r="N23" s="242" t="n"/>
      <c r="O23" s="242" t="n"/>
      <c r="P23" s="233" t="n"/>
    </row>
    <row r="24">
      <c r="A24" t="inlineStr">
        <is>
          <t>Finance costs</t>
        </is>
      </c>
      <c r="D24" s="246" t="n">
        <v>449.91</v>
      </c>
      <c r="E24" s="246" t="n">
        <v>514.27</v>
      </c>
      <c r="F24" s="246" t="n">
        <v>578.01</v>
      </c>
      <c r="G24" s="246" t="n">
        <v>1225.77</v>
      </c>
      <c r="H24" s="246" t="n">
        <v>1155.32</v>
      </c>
      <c r="I24" s="246" t="n">
        <v>1348.53</v>
      </c>
      <c r="J24" s="246" t="n">
        <v>3307.8</v>
      </c>
      <c r="K24" s="232" t="n"/>
      <c r="L24" s="232" t="n"/>
      <c r="M24" s="232" t="n"/>
      <c r="N24" s="232" t="n"/>
      <c r="O24" s="232" t="n"/>
      <c r="P24" s="233" t="n"/>
    </row>
    <row r="25">
      <c r="A25" s="26" t="inlineStr">
        <is>
          <t>EBT</t>
        </is>
      </c>
      <c r="D25" s="20" t="n"/>
      <c r="E25" s="20" t="n"/>
      <c r="F25" s="20" t="n"/>
      <c r="G25" s="20" t="n"/>
      <c r="H25" s="20" t="n"/>
      <c r="I25" s="20" t="n"/>
      <c r="J25" s="20" t="n"/>
      <c r="K25" s="243" t="n"/>
      <c r="L25" s="243" t="n"/>
      <c r="M25" s="243" t="n"/>
      <c r="N25" s="243" t="n"/>
      <c r="O25" s="243" t="n"/>
      <c r="P25" s="233" t="n"/>
    </row>
    <row r="26">
      <c r="A26" t="inlineStr">
        <is>
          <t>Tax</t>
        </is>
      </c>
      <c r="D26" s="209" t="n"/>
      <c r="E26" s="209" t="n"/>
      <c r="F26" s="209" t="n"/>
      <c r="G26" s="209" t="n"/>
      <c r="H26" s="209" t="n"/>
      <c r="I26" s="209" t="n"/>
      <c r="J26" s="209" t="n"/>
      <c r="K26" s="241" t="n"/>
      <c r="L26" s="241" t="n"/>
      <c r="M26" s="241" t="n"/>
      <c r="N26" s="241" t="n"/>
      <c r="O26" s="241" t="n"/>
      <c r="P26" s="233" t="n"/>
    </row>
    <row r="27" s="322">
      <c r="A27" s="227" t="inlineStr">
        <is>
          <t>Effective Tax rate</t>
        </is>
      </c>
      <c r="B27" s="227" t="n"/>
      <c r="C27" s="227" t="n"/>
      <c r="D27" s="228" t="n"/>
      <c r="E27" s="228" t="n"/>
      <c r="F27" s="228" t="n"/>
      <c r="G27" s="228" t="n"/>
      <c r="H27" s="228" t="n"/>
      <c r="I27" s="228" t="n"/>
      <c r="J27" s="228" t="n"/>
      <c r="K27" s="258" t="n">
        <v>0.215</v>
      </c>
      <c r="L27" s="258" t="n">
        <v>0.215</v>
      </c>
      <c r="M27" s="258" t="n">
        <v>0.215</v>
      </c>
      <c r="N27" s="258" t="n">
        <v>0.215</v>
      </c>
      <c r="O27" s="258" t="n">
        <v>0.215</v>
      </c>
      <c r="P27" s="233" t="n"/>
    </row>
    <row r="28">
      <c r="A28" t="inlineStr">
        <is>
          <t>Current period</t>
        </is>
      </c>
      <c r="D28" s="239" t="n">
        <v>-1356.05</v>
      </c>
      <c r="E28" s="239" t="n">
        <v>-77.90000000000001</v>
      </c>
      <c r="F28" s="239" t="n">
        <v>-1924.25</v>
      </c>
      <c r="G28" s="239" t="n">
        <v>-926.35</v>
      </c>
      <c r="H28" s="239" t="n">
        <v>-3889.77</v>
      </c>
      <c r="I28" s="239" t="n">
        <v>-7303.93</v>
      </c>
      <c r="J28" s="239" t="n">
        <v>-4911.51</v>
      </c>
      <c r="K28" s="233" t="n"/>
      <c r="L28" s="233" t="n"/>
      <c r="M28" s="233" t="n"/>
      <c r="N28" s="233" t="n"/>
      <c r="O28" s="233" t="n"/>
      <c r="P28" s="233" t="n"/>
    </row>
    <row r="29">
      <c r="A29" t="inlineStr">
        <is>
          <t>Less: MAT credit entitlement</t>
        </is>
      </c>
      <c r="D29" s="239" t="n">
        <v>611.65</v>
      </c>
      <c r="E29" s="239" t="n">
        <v>77.90000000000001</v>
      </c>
      <c r="F29" s="239" t="n">
        <v>1086.89</v>
      </c>
      <c r="G29" s="239" t="n">
        <v>926.35</v>
      </c>
      <c r="H29" s="239" t="n">
        <v>2014.85</v>
      </c>
      <c r="I29" s="239" t="n">
        <v>0</v>
      </c>
      <c r="J29" s="239" t="n">
        <v>0</v>
      </c>
      <c r="K29" s="233" t="n"/>
      <c r="L29" s="233" t="n"/>
      <c r="M29" s="233" t="n"/>
      <c r="N29" s="233" t="n"/>
      <c r="O29" s="233" t="n"/>
      <c r="P29" s="233" t="n"/>
    </row>
    <row r="30">
      <c r="A30" t="inlineStr">
        <is>
          <t>Deferred tax credit / (charge)</t>
        </is>
      </c>
      <c r="D30" s="239" t="n">
        <v>-608.45</v>
      </c>
      <c r="E30" s="239" t="n">
        <v>656.9</v>
      </c>
      <c r="F30" s="239" t="n">
        <v>-1202.25</v>
      </c>
      <c r="G30" s="239" t="n">
        <v>14.3</v>
      </c>
      <c r="H30" s="239" t="n">
        <v>-3548.59</v>
      </c>
      <c r="I30" s="239" t="n">
        <v>-1088.37</v>
      </c>
      <c r="J30" s="239" t="n">
        <v>-59.99</v>
      </c>
      <c r="K30" s="233" t="n"/>
      <c r="L30" s="233" t="n"/>
      <c r="M30" s="233" t="n"/>
      <c r="N30" s="233" t="n"/>
      <c r="O30" s="233" t="n"/>
      <c r="P30" s="233" t="n"/>
    </row>
    <row r="31">
      <c r="A31" s="26" t="inlineStr">
        <is>
          <t>EAT</t>
        </is>
      </c>
      <c r="B31" s="26" t="n"/>
      <c r="C31" s="26" t="n"/>
      <c r="D31" s="20" t="n"/>
      <c r="E31" s="20" t="n"/>
      <c r="F31" s="20" t="n"/>
      <c r="G31" s="20" t="n"/>
      <c r="H31" s="20" t="n"/>
      <c r="I31" s="20" t="n"/>
      <c r="J31" s="20" t="n"/>
      <c r="K31" s="243" t="n"/>
      <c r="L31" s="243" t="n"/>
      <c r="M31" s="243" t="n"/>
      <c r="N31" s="243" t="n"/>
      <c r="O31" s="243" t="n"/>
      <c r="P31" s="233" t="n"/>
    </row>
    <row r="32">
      <c r="D32" s="31" t="n"/>
      <c r="E32" s="31" t="n"/>
      <c r="F32" s="31" t="n"/>
      <c r="G32" s="31" t="n"/>
      <c r="H32" s="31" t="n"/>
      <c r="I32" s="31" t="n"/>
      <c r="J32" s="31" t="n"/>
      <c r="K32" s="67" t="n"/>
      <c r="L32" s="67" t="n"/>
      <c r="M32" s="67" t="n"/>
      <c r="N32" s="67" t="n"/>
      <c r="O32" s="67" t="n"/>
      <c r="P32" s="233" t="n"/>
    </row>
    <row r="33" ht="29.25" customHeight="1" s="322">
      <c r="A33" s="27" t="inlineStr">
        <is>
          <t>Earnings per equity share of face value of Rs. 1000 each</t>
        </is>
      </c>
      <c r="D33" s="22" t="n"/>
      <c r="E33" s="22" t="n"/>
      <c r="F33" s="22" t="n"/>
      <c r="G33" s="22" t="n"/>
      <c r="H33" s="22" t="n"/>
      <c r="I33" s="22" t="n"/>
      <c r="J33" s="22" t="n"/>
    </row>
    <row r="34">
      <c r="A34" t="inlineStr">
        <is>
          <t>Basic (Rs.)</t>
        </is>
      </c>
      <c r="D34" s="239" t="n">
        <v>18875</v>
      </c>
      <c r="E34" s="239" t="n">
        <v>4580</v>
      </c>
      <c r="F34" s="239" t="n">
        <v>25517</v>
      </c>
      <c r="G34" s="239" t="n">
        <v>15418</v>
      </c>
      <c r="H34" s="238" t="n">
        <v>42.48</v>
      </c>
      <c r="I34" s="238" t="n">
        <v>58.17</v>
      </c>
      <c r="J34" s="238" t="n">
        <v>45.94</v>
      </c>
    </row>
    <row r="35">
      <c r="A35" t="inlineStr">
        <is>
          <t>Diluted (Rs.)</t>
        </is>
      </c>
      <c r="D35" s="239" t="n">
        <v>16859</v>
      </c>
      <c r="E35" s="239" t="n">
        <v>4090</v>
      </c>
      <c r="F35" s="239" t="n">
        <v>22791</v>
      </c>
      <c r="G35" s="239" t="n">
        <v>13771</v>
      </c>
      <c r="H35" s="238" t="n">
        <v>37.94</v>
      </c>
      <c r="I35" s="238" t="n">
        <v>56.49</v>
      </c>
      <c r="J35" s="238" t="n">
        <v>45.85</v>
      </c>
    </row>
    <row r="37">
      <c r="D37" s="160" t="n"/>
      <c r="E37" s="160" t="n"/>
      <c r="F37" s="160" t="n"/>
      <c r="G37" s="160" t="n"/>
      <c r="H37" s="160" t="n"/>
      <c r="I37" s="160" t="n"/>
      <c r="J37" s="160" t="n"/>
    </row>
    <row r="38">
      <c r="D38" s="209" t="n"/>
      <c r="E38" s="209" t="n"/>
      <c r="F38" s="209" t="n"/>
      <c r="G38" s="209" t="n"/>
      <c r="H38" s="209" t="n"/>
      <c r="I38" s="209" t="n"/>
      <c r="J38" s="209" t="n"/>
    </row>
    <row r="39"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>
      <c r="D40" s="22" t="n"/>
      <c r="E40" s="22" t="n"/>
      <c r="F40" s="22" t="n"/>
      <c r="G40" s="22" t="n"/>
      <c r="H40" s="22" t="n"/>
      <c r="I40" s="22" t="n"/>
      <c r="J40" s="22" t="n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8" sqref="K18:O18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7"/>
    <col width="9.5" customWidth="1" style="322" min="8" max="8"/>
    <col width="8.83203125" customWidth="1" style="322" min="9" max="10"/>
    <col width="10" bestFit="1" customWidth="1" style="322" min="11" max="11"/>
    <col width="8.83203125" customWidth="1" style="322" min="12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6" t="inlineStr">
        <is>
          <t>Tangible assets</t>
        </is>
      </c>
    </row>
    <row r="8">
      <c r="A8" t="inlineStr">
        <is>
          <t>Opening Balance</t>
        </is>
      </c>
      <c r="D8" s="209" t="n"/>
      <c r="E8" s="209" t="n"/>
      <c r="F8" s="209" t="n"/>
      <c r="G8" s="209" t="n"/>
      <c r="H8" s="239" t="n"/>
      <c r="I8" s="239" t="n"/>
      <c r="J8" s="239" t="n"/>
      <c r="K8" s="209" t="n"/>
      <c r="L8" s="209" t="n"/>
      <c r="M8" s="209" t="n"/>
      <c r="N8" s="209" t="n"/>
      <c r="O8" s="209" t="n"/>
    </row>
    <row r="9">
      <c r="A9" t="inlineStr">
        <is>
          <t>Addition</t>
        </is>
      </c>
      <c r="H9" s="239" t="n">
        <v>10776.51</v>
      </c>
      <c r="I9" s="239" t="n">
        <v>1944.73</v>
      </c>
      <c r="J9" s="239" t="n">
        <v>2017.57</v>
      </c>
      <c r="K9" s="209" t="n"/>
      <c r="L9" s="209" t="n"/>
      <c r="M9" s="209" t="n"/>
      <c r="N9" s="209" t="n"/>
      <c r="O9" s="209" t="n"/>
    </row>
    <row r="10">
      <c r="A10" t="inlineStr">
        <is>
          <t>Depreciation</t>
        </is>
      </c>
      <c r="D10" s="277" t="n"/>
      <c r="E10" s="277" t="n"/>
      <c r="F10" s="277" t="n"/>
      <c r="G10" s="277" t="n"/>
      <c r="H10" s="239" t="n">
        <v>-2941.52</v>
      </c>
      <c r="I10" s="239" t="n">
        <v>-4913.81</v>
      </c>
      <c r="J10" s="239" t="n">
        <v>-4398.09</v>
      </c>
      <c r="K10" s="277" t="n"/>
      <c r="L10" s="277" t="n"/>
      <c r="M10" s="277" t="n"/>
      <c r="N10" s="277" t="n"/>
      <c r="O10" s="277" t="n"/>
    </row>
    <row r="11">
      <c r="A11" t="inlineStr">
        <is>
          <t>Adjustments</t>
        </is>
      </c>
      <c r="E11" s="31" t="n"/>
      <c r="F11" s="31" t="n"/>
      <c r="G11" s="31" t="n"/>
      <c r="H11" s="209" t="n"/>
      <c r="I11" s="209" t="n"/>
      <c r="J11" s="209" t="n"/>
      <c r="K11" s="277" t="n"/>
      <c r="L11" s="277" t="n"/>
      <c r="M11" s="277" t="n"/>
      <c r="N11" s="277" t="n"/>
      <c r="O11" s="277" t="n"/>
    </row>
    <row r="12">
      <c r="A12" t="inlineStr">
        <is>
          <t>Closing Balance</t>
        </is>
      </c>
      <c r="H12" s="239" t="n">
        <v>48664.02</v>
      </c>
      <c r="I12" s="239" t="n">
        <v>46755.15</v>
      </c>
      <c r="J12" s="239" t="n">
        <v>37474.72</v>
      </c>
      <c r="K12" s="209" t="n"/>
      <c r="L12" s="209" t="n"/>
      <c r="M12" s="209" t="n"/>
      <c r="N12" s="209" t="n"/>
      <c r="O12" s="209" t="n"/>
      <c r="R12" t="n">
        <v>26</v>
      </c>
    </row>
    <row r="13"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  <c r="N13" s="277" t="n"/>
      <c r="O13" s="277" t="n"/>
    </row>
    <row r="14">
      <c r="A14" t="inlineStr">
        <is>
          <t>Addition to Aircaft</t>
        </is>
      </c>
      <c r="H14" s="238" t="n">
        <v>4</v>
      </c>
      <c r="K14" s="210" t="n">
        <v>6</v>
      </c>
      <c r="L14" s="210" t="n">
        <v>6</v>
      </c>
      <c r="M14" s="210" t="n">
        <v>6</v>
      </c>
      <c r="N14" s="210" t="n">
        <v>6</v>
      </c>
      <c r="O14" s="210" t="n">
        <v>6</v>
      </c>
    </row>
    <row r="15">
      <c r="A15" t="inlineStr">
        <is>
          <t>Gross Amount of addition</t>
        </is>
      </c>
      <c r="H15" s="246" t="n">
        <v>9859.51</v>
      </c>
      <c r="Q15" t="n">
        <v>800</v>
      </c>
    </row>
    <row r="16">
      <c r="A16" t="inlineStr">
        <is>
          <t>Cost per aircraft</t>
        </is>
      </c>
      <c r="H16" s="277" t="n"/>
      <c r="K16" s="291" t="n"/>
      <c r="L16" s="291" t="n"/>
      <c r="M16" s="291" t="n"/>
      <c r="N16" s="291" t="n"/>
      <c r="O16" s="291" t="n"/>
      <c r="Q16" t="n">
        <v>26</v>
      </c>
    </row>
    <row r="17"/>
    <row r="18">
      <c r="A18" t="inlineStr">
        <is>
          <t>Depreciation rate</t>
        </is>
      </c>
      <c r="H18" s="348" t="n"/>
      <c r="I18" s="348" t="n"/>
      <c r="J18" s="348" t="n"/>
      <c r="K18" s="349" t="n">
        <v>-0.092</v>
      </c>
      <c r="L18" s="349" t="n">
        <v>-0.092</v>
      </c>
      <c r="M18" s="349" t="n">
        <v>-0.092</v>
      </c>
      <c r="N18" s="349" t="n">
        <v>-0.092</v>
      </c>
      <c r="O18" s="349" t="n">
        <v>-0.092</v>
      </c>
    </row>
    <row r="20">
      <c r="A20" s="26" t="inlineStr">
        <is>
          <t>Intangible assets</t>
        </is>
      </c>
    </row>
    <row r="21">
      <c r="A21" t="inlineStr">
        <is>
          <t>Opening Balance</t>
        </is>
      </c>
      <c r="H21" s="350" t="n"/>
      <c r="I21" s="351" t="n"/>
      <c r="J21" s="351" t="n"/>
      <c r="K21" s="352" t="n"/>
      <c r="L21" s="352" t="n"/>
      <c r="M21" s="352" t="n"/>
      <c r="N21" s="352" t="n"/>
      <c r="O21" s="352" t="n"/>
    </row>
    <row r="22">
      <c r="A22" t="inlineStr">
        <is>
          <t>Addition</t>
        </is>
      </c>
      <c r="H22" s="350" t="n">
        <v>24.52</v>
      </c>
      <c r="I22" s="246" t="n">
        <v>220.36</v>
      </c>
      <c r="J22" s="239" t="n">
        <v>438.39</v>
      </c>
      <c r="K22" s="291" t="n">
        <v>438</v>
      </c>
      <c r="L22" s="291" t="n">
        <v>438</v>
      </c>
      <c r="M22" s="291" t="n">
        <v>438</v>
      </c>
      <c r="N22" s="291" t="n">
        <v>438</v>
      </c>
      <c r="O22" s="291" t="n">
        <v>438</v>
      </c>
    </row>
    <row r="23">
      <c r="A23" t="inlineStr">
        <is>
          <t>Amortisation</t>
        </is>
      </c>
      <c r="H23" s="350" t="n">
        <v>-80.62</v>
      </c>
      <c r="I23" s="246" t="n">
        <v>-116.98</v>
      </c>
      <c r="J23" s="246" t="n">
        <v>-174.44</v>
      </c>
      <c r="K23" s="277" t="n"/>
      <c r="L23" s="277" t="n"/>
      <c r="M23" s="277" t="n"/>
      <c r="N23" s="277" t="n"/>
      <c r="O23" s="277" t="n"/>
    </row>
    <row r="24">
      <c r="A24" t="inlineStr">
        <is>
          <t>Adjustments</t>
        </is>
      </c>
      <c r="H24" s="353" t="n"/>
      <c r="I24" s="353" t="n"/>
      <c r="J24" s="353" t="n"/>
    </row>
    <row r="25">
      <c r="A25" t="inlineStr">
        <is>
          <t>Closing Balance</t>
        </is>
      </c>
      <c r="H25" s="350" t="n">
        <v>96.37</v>
      </c>
      <c r="I25" s="246" t="n">
        <v>199.74</v>
      </c>
      <c r="J25" s="246" t="n">
        <v>463.69</v>
      </c>
      <c r="K25" s="352" t="n"/>
      <c r="L25" s="352" t="n"/>
      <c r="M25" s="352" t="n"/>
      <c r="N25" s="352" t="n"/>
      <c r="O25" s="352" t="n"/>
    </row>
    <row r="27">
      <c r="A27" t="inlineStr">
        <is>
          <t>Amortisation rate</t>
        </is>
      </c>
      <c r="H27" s="31" t="n"/>
      <c r="I27" s="31" t="n"/>
      <c r="J27" s="31" t="n"/>
      <c r="K27" s="38" t="n">
        <v>-0.42</v>
      </c>
      <c r="L27" s="38" t="n">
        <v>-0.42</v>
      </c>
      <c r="M27" s="38" t="n">
        <v>-0.42</v>
      </c>
      <c r="N27" s="38" t="n">
        <v>-0.42</v>
      </c>
      <c r="O27" s="38" t="n">
        <v>-0.42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H25" sqref="AH25"/>
    </sheetView>
  </sheetViews>
  <sheetFormatPr baseColWidth="10" defaultColWidth="8.83203125" defaultRowHeight="14"/>
  <cols>
    <col width="35.16406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" customWidth="1" style="322" min="5" max="5"/>
    <col width="10.1640625" customWidth="1" style="322" min="6" max="6"/>
    <col width="10.1640625" bestFit="1" customWidth="1" style="322" min="7" max="9"/>
    <col width="11.1640625" bestFit="1" customWidth="1" style="212" min="10" max="10"/>
    <col width="10.5" customWidth="1" style="322" min="11" max="11"/>
    <col width="10.1640625" bestFit="1" customWidth="1" style="322" min="12" max="12"/>
    <col width="11.1640625" bestFit="1" customWidth="1" style="322" min="13" max="15"/>
    <col width="18.5" bestFit="1" customWidth="1" style="322" min="17" max="17"/>
    <col width="18.5" bestFit="1" customWidth="1" style="322" min="35" max="35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211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/>
      <c r="F5" s="342" t="n"/>
      <c r="G5" s="342" t="n"/>
      <c r="H5" s="343" t="n"/>
      <c r="I5" s="343" t="n"/>
      <c r="J5" s="354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55" t="n"/>
      <c r="K6" s="346" t="n"/>
      <c r="L6" s="347" t="n"/>
      <c r="M6" s="347" t="n"/>
      <c r="N6" s="347" t="n"/>
      <c r="O6" s="347" t="n"/>
    </row>
    <row r="7">
      <c r="A7" t="inlineStr">
        <is>
          <t>Block hours</t>
        </is>
      </c>
      <c r="C7" s="2" t="n"/>
      <c r="D7" s="209" t="n">
        <v>125553</v>
      </c>
      <c r="E7" s="209" t="n"/>
      <c r="F7" s="209" t="n"/>
      <c r="G7" s="209" t="n"/>
      <c r="H7" s="23" t="n">
        <v>354276</v>
      </c>
      <c r="I7" s="209" t="n">
        <v>436739</v>
      </c>
      <c r="J7" s="215" t="n">
        <v>558567</v>
      </c>
      <c r="K7" s="44" t="n"/>
      <c r="L7" s="44" t="n"/>
      <c r="M7" s="44" t="n"/>
      <c r="N7" s="44" t="n"/>
      <c r="O7" s="44" t="n"/>
    </row>
    <row r="8">
      <c r="A8" t="inlineStr">
        <is>
          <t>No of aircrafts</t>
        </is>
      </c>
      <c r="D8" t="n">
        <v>39</v>
      </c>
      <c r="E8" t="n">
        <v>55</v>
      </c>
      <c r="F8" t="n">
        <v>66</v>
      </c>
      <c r="G8" t="n">
        <v>77</v>
      </c>
      <c r="H8" t="n">
        <v>94</v>
      </c>
      <c r="I8" t="n">
        <v>107</v>
      </c>
      <c r="J8" s="212" t="n">
        <v>131</v>
      </c>
      <c r="K8" s="40" t="n"/>
      <c r="L8" s="40" t="n"/>
      <c r="M8" s="40" t="n"/>
      <c r="N8" s="40" t="n"/>
      <c r="O8" s="40" t="n"/>
    </row>
    <row r="9">
      <c r="A9" t="inlineStr">
        <is>
          <t>Block hours per aircraft</t>
        </is>
      </c>
      <c r="E9" s="277" t="n"/>
      <c r="F9" s="277" t="n"/>
      <c r="G9" s="277" t="n"/>
      <c r="H9" s="277" t="n"/>
      <c r="I9" s="277" t="n"/>
      <c r="J9" s="216" t="n"/>
      <c r="K9" s="277" t="n"/>
      <c r="L9" s="277" t="n"/>
      <c r="M9" s="277" t="n"/>
      <c r="N9" s="277" t="n"/>
      <c r="O9" s="277" t="n"/>
    </row>
    <row r="10">
      <c r="A10" t="inlineStr">
        <is>
          <t>No of days</t>
        </is>
      </c>
      <c r="E10" s="291" t="n">
        <v>365</v>
      </c>
      <c r="F10" s="291" t="n">
        <v>365</v>
      </c>
      <c r="G10" s="291" t="n">
        <v>365</v>
      </c>
      <c r="H10" s="291" t="n">
        <v>365</v>
      </c>
      <c r="I10" s="291" t="n">
        <v>365</v>
      </c>
      <c r="J10" s="217" t="n">
        <v>365</v>
      </c>
      <c r="K10" s="291" t="n">
        <v>365</v>
      </c>
      <c r="L10" s="291" t="n">
        <v>365</v>
      </c>
      <c r="M10" s="291" t="n">
        <v>365</v>
      </c>
      <c r="N10" s="291" t="n">
        <v>365</v>
      </c>
      <c r="O10" s="291" t="n">
        <v>365</v>
      </c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</row>
    <row r="11">
      <c r="A11" t="inlineStr">
        <is>
          <t>Block hours per day</t>
        </is>
      </c>
      <c r="D11" t="n">
        <v>10.7</v>
      </c>
      <c r="E11" s="356" t="n"/>
      <c r="F11" s="356" t="n"/>
      <c r="G11" s="356" t="n"/>
      <c r="H11" s="356" t="n"/>
      <c r="I11" s="356" t="n"/>
      <c r="J11" s="357" t="n"/>
      <c r="K11" s="358" t="n">
        <v>12.6</v>
      </c>
      <c r="L11" s="358" t="n"/>
      <c r="M11" s="358" t="n"/>
      <c r="N11" s="358" t="n"/>
      <c r="O11" s="358" t="n"/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</row>
    <row r="12">
      <c r="J12" s="219" t="n"/>
      <c r="Q12" s="299" t="inlineStr">
        <is>
          <t>Year</t>
        </is>
      </c>
      <c r="R12" s="299" t="n">
        <v>2018</v>
      </c>
      <c r="S12" s="299" t="n">
        <v>2019</v>
      </c>
      <c r="T12" s="299" t="n">
        <v>2020</v>
      </c>
      <c r="U12" s="299" t="n">
        <v>2021</v>
      </c>
      <c r="V12" s="299" t="n">
        <v>2022</v>
      </c>
      <c r="AG12" s="70" t="n"/>
      <c r="AH12" s="70" t="n"/>
      <c r="AI12" s="300" t="inlineStr">
        <is>
          <t>Year</t>
        </is>
      </c>
      <c r="AJ12" s="300" t="n">
        <v>2018</v>
      </c>
      <c r="AK12" s="300" t="n">
        <v>2019</v>
      </c>
      <c r="AL12" s="300" t="n">
        <v>2020</v>
      </c>
      <c r="AM12" s="300" t="n">
        <v>2021</v>
      </c>
      <c r="AN12" s="300" t="n">
        <v>2022</v>
      </c>
      <c r="AO12" s="70" t="n"/>
      <c r="AP12" s="70" t="n"/>
    </row>
    <row r="13">
      <c r="A13" t="inlineStr">
        <is>
          <t>Aircraft fuel expenses</t>
        </is>
      </c>
      <c r="D13" s="209" t="n">
        <v>15213.26</v>
      </c>
      <c r="E13" s="209" t="n">
        <v>28735.91</v>
      </c>
      <c r="F13" s="209" t="n">
        <v>43126.26</v>
      </c>
      <c r="G13" s="209" t="n">
        <v>55133.5</v>
      </c>
      <c r="H13" s="209" t="n">
        <v>57484.86</v>
      </c>
      <c r="I13" s="209" t="n">
        <v>47793.24</v>
      </c>
      <c r="J13" s="215" t="n">
        <v>63415.13</v>
      </c>
      <c r="K13" s="277" t="n"/>
      <c r="L13" s="277" t="n"/>
      <c r="M13" s="277" t="n"/>
      <c r="N13" s="277" t="n"/>
      <c r="O13" s="277" t="n"/>
      <c r="Q13" s="293" t="inlineStr">
        <is>
          <t>USD/INR E</t>
        </is>
      </c>
      <c r="R13" s="293" t="n">
        <v>63</v>
      </c>
      <c r="S13" s="293" t="n">
        <v>65</v>
      </c>
      <c r="T13" s="293" t="n">
        <v>67</v>
      </c>
      <c r="U13" s="293" t="n">
        <v>69</v>
      </c>
      <c r="V13" s="293" t="n">
        <v>71</v>
      </c>
      <c r="AG13" s="70" t="n"/>
      <c r="AH13" s="70" t="n"/>
      <c r="AI13" s="285" t="inlineStr">
        <is>
          <t>USD/INR E</t>
        </is>
      </c>
      <c r="AJ13" s="285" t="n">
        <v>63</v>
      </c>
      <c r="AK13" s="285" t="n">
        <v>65</v>
      </c>
      <c r="AL13" s="285" t="n">
        <v>67</v>
      </c>
      <c r="AM13" s="285" t="n">
        <v>69</v>
      </c>
      <c r="AN13" s="285" t="n">
        <v>71</v>
      </c>
      <c r="AO13" s="70" t="n"/>
      <c r="AP13" s="70" t="n"/>
    </row>
    <row r="14">
      <c r="A14" t="inlineStr">
        <is>
          <t>Average fuel price</t>
        </is>
      </c>
      <c r="E14" s="356" t="n">
        <v>63.8</v>
      </c>
      <c r="F14" t="n">
        <v>70.8</v>
      </c>
      <c r="G14" s="356" t="n">
        <v>75.7</v>
      </c>
      <c r="H14" s="356" t="n">
        <v>68.37</v>
      </c>
      <c r="I14" s="356" t="n">
        <v>47.28</v>
      </c>
      <c r="J14" s="357" t="n">
        <v>50.87</v>
      </c>
      <c r="K14" s="292" t="n"/>
      <c r="L14" s="292" t="n"/>
      <c r="M14" s="292" t="n"/>
      <c r="N14" s="292" t="n"/>
      <c r="O14" s="292" t="n"/>
      <c r="Q14" s="293" t="inlineStr">
        <is>
          <t>Brent ($) E</t>
        </is>
      </c>
      <c r="R14" s="293" t="n">
        <v>67.5</v>
      </c>
      <c r="S14" s="293" t="n">
        <v>75</v>
      </c>
      <c r="T14" s="293" t="n">
        <v>75</v>
      </c>
      <c r="U14" s="293" t="n">
        <v>75</v>
      </c>
      <c r="V14" s="293" t="n">
        <v>75</v>
      </c>
      <c r="AG14" s="70" t="n"/>
      <c r="AH14" s="70" t="n"/>
      <c r="AI14" s="285" t="inlineStr">
        <is>
          <t>Brent ($) E</t>
        </is>
      </c>
      <c r="AJ14" s="285" t="n">
        <v>67.5</v>
      </c>
      <c r="AK14" s="285" t="n">
        <v>75</v>
      </c>
      <c r="AL14" s="285" t="n">
        <v>75</v>
      </c>
      <c r="AM14" s="285" t="n">
        <v>75</v>
      </c>
      <c r="AN14" s="285" t="n">
        <v>75</v>
      </c>
      <c r="AO14" s="70" t="n"/>
      <c r="AP14" s="70" t="n"/>
    </row>
    <row r="15">
      <c r="A15" t="inlineStr">
        <is>
          <t>Fuel comsumption in million Lt</t>
        </is>
      </c>
      <c r="E15" s="277" t="n"/>
      <c r="F15" s="277" t="n"/>
      <c r="G15" s="277" t="n"/>
      <c r="H15" s="277" t="n"/>
      <c r="I15" s="277" t="n"/>
      <c r="J15" s="216" t="n"/>
      <c r="K15" s="277" t="n"/>
      <c r="L15" s="277" t="n"/>
      <c r="M15" s="277" t="n"/>
      <c r="N15" s="277" t="n"/>
      <c r="O15" s="277" t="n"/>
      <c r="Q15" s="293" t="inlineStr">
        <is>
          <t>USD/INR * Brent ($)</t>
        </is>
      </c>
      <c r="R15" s="293" t="n">
        <v>4252.5</v>
      </c>
      <c r="S15" s="293" t="n"/>
      <c r="T15" s="293" t="n"/>
      <c r="U15" s="293" t="n"/>
      <c r="V15" s="293" t="n"/>
      <c r="AG15" s="70" t="n"/>
      <c r="AH15" s="70" t="n"/>
      <c r="AI15" s="285" t="inlineStr">
        <is>
          <t>USD/INR * Brent ($)</t>
        </is>
      </c>
      <c r="AJ15" s="285" t="n">
        <v>4252.5</v>
      </c>
      <c r="AK15" s="285" t="n"/>
      <c r="AL15" s="285" t="n"/>
      <c r="AM15" s="285" t="n"/>
      <c r="AN15" s="285" t="n"/>
      <c r="AO15" s="70" t="n"/>
      <c r="AP15" s="70" t="n"/>
    </row>
    <row r="16">
      <c r="J16" s="219" t="n"/>
      <c r="Q16" s="293" t="inlineStr">
        <is>
          <t>Change (%)</t>
        </is>
      </c>
      <c r="R16" s="295" t="n">
        <v>0.0357657147397219</v>
      </c>
      <c r="S16" s="295" t="n"/>
      <c r="T16" s="295" t="n"/>
      <c r="U16" s="295" t="n"/>
      <c r="V16" s="295" t="n"/>
      <c r="AG16" s="70" t="n"/>
      <c r="AH16" s="70" t="n"/>
      <c r="AI16" s="285" t="inlineStr">
        <is>
          <t>Change (%)</t>
        </is>
      </c>
      <c r="AJ16" s="100" t="n">
        <v>0.0357657147397219</v>
      </c>
      <c r="AK16" s="100" t="n"/>
      <c r="AL16" s="100" t="n"/>
      <c r="AM16" s="100" t="n"/>
      <c r="AN16" s="100" t="n"/>
      <c r="AO16" s="70" t="n"/>
      <c r="AP16" s="70" t="n"/>
    </row>
    <row r="17">
      <c r="A17" t="inlineStr">
        <is>
          <t>Fuel consumed per block hour</t>
        </is>
      </c>
      <c r="E17" s="277" t="n"/>
      <c r="F17" s="277" t="n"/>
      <c r="G17" s="277" t="n"/>
      <c r="H17" s="277" t="n"/>
      <c r="I17" s="277" t="n"/>
      <c r="J17" s="216" t="n"/>
      <c r="K17" s="277" t="n"/>
      <c r="L17" s="277" t="n"/>
      <c r="M17" s="277" t="n"/>
      <c r="N17" s="277" t="n"/>
      <c r="O17" s="277" t="n"/>
      <c r="Q17" s="293" t="inlineStr">
        <is>
          <t>ATF Forecast Price</t>
        </is>
      </c>
      <c r="R17" s="296" t="n">
        <v>61095.15856677986</v>
      </c>
      <c r="S17" s="296" t="n"/>
      <c r="T17" s="296" t="n"/>
      <c r="U17" s="296" t="n"/>
      <c r="V17" s="296" t="n"/>
      <c r="AG17" s="70" t="n"/>
      <c r="AH17" s="70" t="n"/>
      <c r="AI17" s="285" t="inlineStr">
        <is>
          <t>ATF Forecast Price</t>
        </is>
      </c>
      <c r="AJ17" s="286" t="n">
        <v>61095.15856677986</v>
      </c>
      <c r="AK17" s="286" t="n"/>
      <c r="AL17" s="286" t="n"/>
      <c r="AM17" s="286" t="n"/>
      <c r="AN17" s="286" t="n"/>
      <c r="AO17" s="70" t="n"/>
      <c r="AP17" s="70" t="n"/>
    </row>
    <row r="18">
      <c r="A18" t="inlineStr">
        <is>
          <t>Growth</t>
        </is>
      </c>
      <c r="F18" s="348" t="n"/>
      <c r="G18" s="348" t="n"/>
      <c r="H18" s="348" t="n"/>
      <c r="I18" s="348" t="n"/>
      <c r="J18" s="359" t="n"/>
      <c r="K18" s="152" t="n">
        <v>0.035</v>
      </c>
      <c r="L18" s="33" t="n">
        <v>0.06</v>
      </c>
      <c r="M18" s="152" t="n">
        <v>0.068</v>
      </c>
      <c r="N18" s="152" t="n">
        <v>0.07099999999999999</v>
      </c>
      <c r="O18" s="152" t="n">
        <v>0.074</v>
      </c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>
      <c r="J19" s="219" t="n"/>
      <c r="Q19" s="297" t="n"/>
      <c r="R19" s="297" t="n"/>
      <c r="S19" s="297" t="n"/>
      <c r="T19" s="297" t="n"/>
      <c r="U19" s="297" t="n"/>
      <c r="V19" s="297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>
      <c r="Q20" s="297" t="n"/>
      <c r="R20" s="298" t="n"/>
      <c r="S20" s="298" t="n"/>
      <c r="T20" s="298" t="n"/>
      <c r="U20" s="298" t="n"/>
      <c r="V20" s="298" t="n"/>
    </row>
    <row r="21">
      <c r="A21" t="inlineStr">
        <is>
          <t>Passenger
ticket revenue</t>
        </is>
      </c>
      <c r="D21" s="209" t="n">
        <v>33909.86</v>
      </c>
      <c r="E21" s="209" t="n">
        <v>49873.04</v>
      </c>
      <c r="F21" s="209" t="n">
        <v>82666.57000000001</v>
      </c>
      <c r="G21" s="209" t="n">
        <v>99239.83</v>
      </c>
      <c r="H21" t="n">
        <v>122939</v>
      </c>
      <c r="I21" s="209" t="n">
        <v>140624.22</v>
      </c>
      <c r="J21" s="216" t="n">
        <v>161970.72</v>
      </c>
      <c r="K21" s="40" t="n">
        <v>198026.4779848185</v>
      </c>
      <c r="L21" s="40" t="n">
        <v>241326.5840562848</v>
      </c>
      <c r="M21" s="40" t="n">
        <v>293837.0345889449</v>
      </c>
      <c r="N21" s="40" t="n">
        <v>357472.2353548176</v>
      </c>
      <c r="O21" s="40" t="n">
        <v>434536.3951023616</v>
      </c>
      <c r="P21" s="291" t="n"/>
    </row>
    <row r="22">
      <c r="A22" t="inlineStr">
        <is>
          <t>Ancillary
revenue</t>
        </is>
      </c>
      <c r="D22" s="209" t="n">
        <v>4356.65</v>
      </c>
      <c r="E22" s="209" t="n">
        <v>5680.339999999999</v>
      </c>
      <c r="F22" s="209" t="n">
        <v>9253.440000000001</v>
      </c>
      <c r="G22" s="209" t="n">
        <v>11553.33</v>
      </c>
      <c r="H22" s="209" t="n">
        <v>15724.87</v>
      </c>
      <c r="I22" s="209" t="n">
        <v>20019.95</v>
      </c>
      <c r="J22" s="216" t="n">
        <v>22667.6</v>
      </c>
      <c r="K22" s="40" t="n">
        <v>26733.5745279505</v>
      </c>
      <c r="L22" s="40" t="n">
        <v>32579.08884759845</v>
      </c>
      <c r="M22" s="40" t="n">
        <v>38198.81449656283</v>
      </c>
      <c r="N22" s="40" t="n">
        <v>44684.0294193522</v>
      </c>
      <c r="O22" s="40" t="n">
        <v>54317.0493877952</v>
      </c>
      <c r="P22" s="40" t="n"/>
    </row>
    <row r="23">
      <c r="A23" t="inlineStr">
        <is>
          <t>Other
operating
revenue</t>
        </is>
      </c>
      <c r="D23" s="277" t="n">
        <v>67.69</v>
      </c>
      <c r="E23" s="277" t="n">
        <v>93.22</v>
      </c>
      <c r="F23" s="277" t="n">
        <v>111.29</v>
      </c>
      <c r="G23" s="277" t="n">
        <v>372.69</v>
      </c>
      <c r="H23" s="277" t="n">
        <v>589.5</v>
      </c>
      <c r="I23" s="277" t="n">
        <v>754.9</v>
      </c>
      <c r="J23" s="216" t="n">
        <v>1167</v>
      </c>
      <c r="K23" s="40" t="n">
        <v>1545.59783730814</v>
      </c>
      <c r="L23" s="40" t="n">
        <v>2028.35137291091</v>
      </c>
      <c r="M23" s="40" t="n">
        <v>2646.004242398651</v>
      </c>
      <c r="N23" s="40" t="n">
        <v>3433.522944616794</v>
      </c>
      <c r="O23" s="40" t="n">
        <v>4434.446493954327</v>
      </c>
      <c r="P23" s="291" t="n"/>
    </row>
    <row r="24">
      <c r="A24" t="inlineStr">
        <is>
          <t>Other Income</t>
        </is>
      </c>
      <c r="D24" s="277" t="n">
        <v>1107.37</v>
      </c>
      <c r="E24" s="277" t="n">
        <v>1439.6</v>
      </c>
      <c r="F24" s="277" t="n">
        <v>2371.04</v>
      </c>
      <c r="G24" s="277" t="n">
        <v>3155.34</v>
      </c>
      <c r="H24" s="277" t="n">
        <v>3945.83</v>
      </c>
      <c r="I24" s="277" t="n">
        <v>4613.93</v>
      </c>
      <c r="J24" s="216" t="n">
        <v>7890.7</v>
      </c>
      <c r="K24" s="40" t="n">
        <v>5940.794339544555</v>
      </c>
      <c r="L24" s="40" t="n">
        <v>7239.797521688543</v>
      </c>
      <c r="M24" s="40" t="n">
        <v>8815.111037668346</v>
      </c>
      <c r="N24" s="40" t="n">
        <v>10724.16706064453</v>
      </c>
      <c r="O24" s="40" t="n">
        <v>13036.09185307085</v>
      </c>
      <c r="P24" s="291" t="n"/>
    </row>
    <row r="25" ht="15" customHeight="1" s="322" thickBot="1">
      <c r="A25" s="165" t="inlineStr">
        <is>
          <t>Total Revenue</t>
        </is>
      </c>
      <c r="B25" s="162" t="n"/>
      <c r="C25" s="162" t="n"/>
      <c r="D25" s="163" t="n">
        <v>39441.70047355549</v>
      </c>
      <c r="E25" s="163" t="n">
        <v>57086.31576515087</v>
      </c>
      <c r="F25" s="163" t="n">
        <v>94402.45328315666</v>
      </c>
      <c r="G25" s="163" t="n">
        <v>114321.3101737246</v>
      </c>
      <c r="H25" s="163" t="n">
        <v>143199.3327029665</v>
      </c>
      <c r="I25" s="163" t="n">
        <v>166013.1477330861</v>
      </c>
      <c r="J25" s="222" t="n">
        <v>193696.1671537572</v>
      </c>
      <c r="K25" s="164" t="n">
        <v>232246.5874946276</v>
      </c>
      <c r="L25" s="164" t="n">
        <v>283173.9652034887</v>
      </c>
      <c r="M25" s="164" t="n">
        <v>343497.1033705806</v>
      </c>
      <c r="N25" s="164" t="n">
        <v>416314.0893844371</v>
      </c>
      <c r="O25" s="164" t="n">
        <v>506324.1180421879</v>
      </c>
      <c r="P25" s="291" t="n"/>
    </row>
    <row r="26">
      <c r="A26" t="inlineStr">
        <is>
          <t>Aircraft fuel expenses</t>
        </is>
      </c>
      <c r="D26" s="209" t="n">
        <v>15213.26</v>
      </c>
      <c r="E26" s="209" t="n">
        <v>28735.91</v>
      </c>
      <c r="F26" s="209" t="n">
        <v>43126.26</v>
      </c>
      <c r="G26" s="209" t="n">
        <v>55133.5</v>
      </c>
      <c r="H26" s="209" t="n">
        <v>57484.86</v>
      </c>
      <c r="I26" s="209" t="n">
        <v>47793.24</v>
      </c>
      <c r="J26" s="215" t="n">
        <v>63415.13</v>
      </c>
      <c r="K26" s="209" t="n"/>
      <c r="L26" s="209" t="n"/>
      <c r="M26" s="209" t="n"/>
      <c r="N26" s="209" t="n"/>
      <c r="O26" s="209" t="n"/>
    </row>
    <row r="27">
      <c r="D27" s="278" t="n"/>
      <c r="E27" s="278" t="n"/>
      <c r="F27" s="278" t="n"/>
      <c r="G27" s="278" t="n"/>
      <c r="H27" s="278" t="n"/>
      <c r="I27" s="278" t="n"/>
      <c r="J27" s="223" t="n"/>
      <c r="K27" s="278" t="n"/>
      <c r="L27" s="278" t="n"/>
      <c r="M27" s="278" t="n"/>
      <c r="N27" s="278" t="n"/>
      <c r="O27" s="278" t="n"/>
    </row>
    <row r="28">
      <c r="A28" t="inlineStr">
        <is>
          <t>Aircraft and engine rentals</t>
        </is>
      </c>
      <c r="D28" s="209" t="n">
        <v>6372.43</v>
      </c>
      <c r="E28" s="209" t="n">
        <v>10634.4</v>
      </c>
      <c r="F28" s="209" t="n">
        <v>17149.51</v>
      </c>
      <c r="G28" s="209" t="n">
        <v>20310.31</v>
      </c>
      <c r="H28" s="209" t="n">
        <v>23075.5</v>
      </c>
      <c r="I28" s="209" t="n">
        <v>29687.48</v>
      </c>
      <c r="J28" s="215" t="n">
        <v>36585.73</v>
      </c>
      <c r="K28" s="209" t="n"/>
      <c r="L28" s="209" t="n"/>
      <c r="M28" s="209" t="n"/>
      <c r="N28" s="209" t="n"/>
      <c r="O28" s="209" t="n"/>
    </row>
    <row r="29">
      <c r="D29" s="278" t="n"/>
      <c r="E29" s="278" t="n"/>
      <c r="F29" s="278" t="n"/>
      <c r="G29" s="278" t="n"/>
      <c r="H29" s="278" t="n"/>
      <c r="I29" s="278" t="n"/>
      <c r="J29" s="223" t="n"/>
      <c r="K29" s="278" t="n">
        <v>0.18</v>
      </c>
      <c r="L29" s="278" t="n"/>
      <c r="M29" s="278" t="n"/>
      <c r="N29" s="278" t="n"/>
      <c r="O29" s="278" t="n"/>
    </row>
    <row r="30">
      <c r="A30" t="inlineStr">
        <is>
          <t>Incentives</t>
        </is>
      </c>
      <c r="D30" s="209" t="n"/>
      <c r="E30" s="209" t="n"/>
      <c r="F30" s="209" t="n"/>
      <c r="G30" s="209" t="n"/>
      <c r="H30" s="209" t="n"/>
      <c r="I30" s="209" t="n"/>
      <c r="J30" s="215" t="n"/>
      <c r="K30" s="209" t="n"/>
      <c r="L30" s="209" t="n"/>
      <c r="M30" s="209" t="n"/>
      <c r="N30" s="209" t="n"/>
      <c r="O30" s="209" t="n"/>
    </row>
    <row r="31">
      <c r="D31" s="278" t="n"/>
      <c r="E31" s="278" t="n"/>
      <c r="F31" s="278" t="n"/>
      <c r="G31" s="278" t="n"/>
      <c r="H31" s="278" t="n"/>
      <c r="I31" s="278" t="n"/>
      <c r="J31" s="223" t="n"/>
      <c r="K31" s="278" t="n"/>
      <c r="L31" s="278" t="n"/>
      <c r="M31" s="278" t="n"/>
      <c r="N31" s="278" t="n"/>
      <c r="O31" s="278" t="n"/>
    </row>
    <row r="32">
      <c r="A32" t="inlineStr">
        <is>
          <t>Purchase of stock in trade</t>
        </is>
      </c>
      <c r="D32" s="209" t="n">
        <v>190.93</v>
      </c>
      <c r="E32" s="209" t="n">
        <v>341.79</v>
      </c>
      <c r="F32" s="209" t="n">
        <v>559.9400000000001</v>
      </c>
      <c r="G32" s="209" t="n">
        <v>589.63</v>
      </c>
      <c r="H32" s="209" t="n">
        <v>817.1</v>
      </c>
      <c r="I32" s="209" t="n">
        <v>1147.82</v>
      </c>
      <c r="J32" s="215" t="n">
        <v>1238.32</v>
      </c>
      <c r="K32" s="209" t="n"/>
      <c r="L32" s="209" t="n"/>
      <c r="M32" s="209" t="n"/>
      <c r="N32" s="209" t="n"/>
      <c r="O32" s="209" t="n"/>
    </row>
    <row r="33">
      <c r="D33" s="278" t="n"/>
      <c r="E33" s="278" t="n"/>
      <c r="F33" s="278" t="n"/>
      <c r="G33" s="278" t="n"/>
      <c r="H33" s="278" t="n"/>
      <c r="I33" s="278" t="n"/>
      <c r="J33" s="223" t="n"/>
      <c r="K33" s="278" t="n">
        <v>0.006</v>
      </c>
      <c r="L33" s="278" t="n"/>
      <c r="M33" s="278" t="n"/>
      <c r="N33" s="278" t="n"/>
      <c r="O33" s="278" t="n"/>
    </row>
    <row r="34">
      <c r="A34" t="inlineStr">
        <is>
          <t>Change in inventories of
stock in trade</t>
        </is>
      </c>
      <c r="D34" s="209" t="n">
        <v>-1.1</v>
      </c>
      <c r="E34" s="209" t="n">
        <v>-6.83</v>
      </c>
      <c r="F34" s="209" t="n">
        <v>-18.65</v>
      </c>
      <c r="G34" s="209" t="n">
        <v>7.06</v>
      </c>
      <c r="H34" s="209" t="n">
        <v>-31.72</v>
      </c>
      <c r="I34" s="209" t="n">
        <v>-11.32</v>
      </c>
      <c r="J34" s="215" t="n">
        <v>-2.94</v>
      </c>
      <c r="K34" s="209" t="n"/>
      <c r="L34" s="209" t="n"/>
      <c r="M34" s="209" t="n"/>
      <c r="N34" s="209" t="n"/>
      <c r="O34" s="209" t="n"/>
    </row>
    <row r="35" ht="16.5" customHeight="1" s="322">
      <c r="A35" t="inlineStr">
        <is>
          <t>Employee benefits</t>
        </is>
      </c>
      <c r="D35" s="209" t="n">
        <v>2930.16</v>
      </c>
      <c r="E35" s="209" t="n">
        <v>5118.6</v>
      </c>
      <c r="F35" s="209" t="n">
        <v>6904.52</v>
      </c>
      <c r="G35" s="209" t="n">
        <v>9211.08</v>
      </c>
      <c r="H35" s="209" t="n">
        <v>11886.91</v>
      </c>
      <c r="I35" s="209" t="n">
        <v>17899.23</v>
      </c>
      <c r="J35" s="215" t="n">
        <v>20481.9</v>
      </c>
      <c r="K35" s="209" t="n"/>
      <c r="L35" s="209" t="n"/>
      <c r="M35" s="209" t="n"/>
      <c r="N35" s="209" t="n"/>
      <c r="O35" s="209" t="n"/>
    </row>
    <row r="36" ht="16.5" customHeight="1" s="322">
      <c r="D36" s="278" t="n"/>
      <c r="E36" s="278" t="n"/>
      <c r="F36" s="278" t="n"/>
      <c r="G36" s="278" t="n"/>
      <c r="H36" s="278" t="n"/>
      <c r="I36" s="278" t="n"/>
      <c r="J36" s="223" t="n"/>
      <c r="K36" s="278" t="n">
        <v>0.105</v>
      </c>
      <c r="L36" s="278" t="n">
        <v>0.105</v>
      </c>
      <c r="M36" s="278" t="n">
        <v>0.105</v>
      </c>
      <c r="N36" s="278" t="n">
        <v>0.105</v>
      </c>
      <c r="O36" s="278" t="n">
        <v>0.105</v>
      </c>
    </row>
    <row r="37">
      <c r="A37" t="inlineStr">
        <is>
          <t>Finance costs</t>
        </is>
      </c>
      <c r="D37" s="209" t="n">
        <v>449.91</v>
      </c>
      <c r="E37" s="209" t="n">
        <v>514.27</v>
      </c>
      <c r="F37" s="209" t="n">
        <v>578.01</v>
      </c>
      <c r="G37" s="209" t="n">
        <v>1225.77</v>
      </c>
      <c r="H37" s="209" t="n">
        <v>1155.32</v>
      </c>
      <c r="I37" s="174" t="n">
        <v>3041</v>
      </c>
      <c r="J37" s="224" t="n">
        <v>3307.8</v>
      </c>
      <c r="K37" s="209" t="n"/>
      <c r="L37" s="209" t="n"/>
      <c r="M37" s="209" t="n"/>
      <c r="N37" s="209" t="n"/>
      <c r="O37" s="209" t="n"/>
      <c r="T37" t="n">
        <v>58985.5</v>
      </c>
    </row>
    <row r="38">
      <c r="D38" s="278" t="n"/>
      <c r="E38" s="278" t="n"/>
      <c r="F38" s="278" t="n"/>
      <c r="G38" s="278" t="n"/>
      <c r="H38" s="278" t="n"/>
      <c r="I38" s="278" t="n"/>
      <c r="J38" s="223" t="n"/>
      <c r="K38" s="278" t="n">
        <v>0.017</v>
      </c>
      <c r="L38" s="278" t="n">
        <v>0.017</v>
      </c>
      <c r="M38" s="278" t="n">
        <v>0.017</v>
      </c>
      <c r="N38" s="278" t="n">
        <v>0.017</v>
      </c>
      <c r="O38" s="278" t="n">
        <v>0.017</v>
      </c>
    </row>
    <row r="39">
      <c r="A39" t="inlineStr">
        <is>
          <t>Depreciation and
Amortization</t>
        </is>
      </c>
      <c r="D39" s="209" t="n">
        <v>628.7</v>
      </c>
      <c r="E39" s="209" t="n">
        <v>665.23</v>
      </c>
      <c r="F39" s="209" t="n">
        <v>856.2</v>
      </c>
      <c r="G39" s="209" t="n">
        <v>2260.08</v>
      </c>
      <c r="H39" s="209" t="n">
        <v>3022.14</v>
      </c>
      <c r="I39" s="209" t="n">
        <v>5054.68</v>
      </c>
      <c r="J39" s="215" t="n">
        <v>4572.53</v>
      </c>
      <c r="K39" s="209" t="n"/>
      <c r="L39" s="209" t="n"/>
      <c r="M39" s="209" t="n"/>
      <c r="N39" s="209" t="n"/>
      <c r="O39" s="209" t="n"/>
    </row>
    <row r="40">
      <c r="D40" s="278" t="n"/>
      <c r="E40" s="278" t="n"/>
      <c r="F40" s="278" t="n"/>
      <c r="G40" s="278" t="n"/>
      <c r="H40" s="278" t="n"/>
      <c r="I40" s="278" t="n"/>
      <c r="J40" s="223" t="n"/>
      <c r="K40" s="278" t="n">
        <v>0.025</v>
      </c>
      <c r="L40" s="278" t="n">
        <v>0.025</v>
      </c>
      <c r="M40" s="278" t="n">
        <v>0.025</v>
      </c>
      <c r="N40" s="278" t="n">
        <v>0.025</v>
      </c>
      <c r="O40" s="278" t="n">
        <v>0.025</v>
      </c>
    </row>
    <row r="41">
      <c r="A41" t="inlineStr">
        <is>
          <t>Other Expenses</t>
        </is>
      </c>
      <c r="D41" s="209" t="n"/>
      <c r="E41" s="209" t="n"/>
      <c r="F41" s="209" t="n"/>
      <c r="G41" s="209" t="n"/>
      <c r="H41" s="209" t="n"/>
      <c r="I41" s="209" t="n"/>
      <c r="J41" s="215" t="n"/>
      <c r="K41" s="209" t="n"/>
      <c r="L41" s="209" t="n"/>
      <c r="M41" s="209" t="n"/>
      <c r="N41" s="209" t="n"/>
      <c r="O41" s="209" t="n"/>
    </row>
    <row r="42">
      <c r="D42" s="278" t="n"/>
      <c r="E42" s="278" t="n"/>
      <c r="F42" s="278" t="n"/>
      <c r="G42" s="278" t="n"/>
      <c r="H42" s="278" t="n"/>
      <c r="I42" s="278" t="n"/>
      <c r="J42" s="223" t="n"/>
      <c r="K42" s="278" t="n"/>
      <c r="L42" s="278" t="n"/>
      <c r="M42" s="278" t="n"/>
      <c r="N42" s="278" t="n"/>
      <c r="O42" s="278" t="n"/>
    </row>
    <row r="43" ht="15" customHeight="1" s="322" thickBot="1">
      <c r="A43" s="165" t="inlineStr">
        <is>
          <t>Total Expenses</t>
        </is>
      </c>
      <c r="B43" s="162" t="n"/>
      <c r="C43" s="162" t="n"/>
      <c r="D43" s="163" t="n"/>
      <c r="E43" s="163" t="n"/>
      <c r="F43" s="163" t="n"/>
      <c r="G43" s="163" t="n"/>
      <c r="H43" s="163" t="n"/>
      <c r="I43" s="163" t="n"/>
      <c r="J43" s="222" t="n"/>
      <c r="K43" s="163" t="n"/>
      <c r="L43" s="163" t="n"/>
      <c r="M43" s="163" t="n"/>
      <c r="N43" s="163" t="n"/>
      <c r="O43" s="163" t="n"/>
    </row>
    <row r="44">
      <c r="D44" s="209" t="n"/>
      <c r="E44" s="209" t="n"/>
      <c r="F44" s="209" t="n"/>
      <c r="G44" s="209" t="n"/>
      <c r="H44" s="209" t="n"/>
      <c r="I44" s="209" t="n"/>
      <c r="J44" s="215" t="n"/>
      <c r="K44" s="277" t="n"/>
      <c r="L44" s="277" t="n"/>
      <c r="M44" s="277" t="n"/>
      <c r="N44" s="277" t="n"/>
      <c r="O44" s="277" t="n"/>
    </row>
    <row r="45">
      <c r="D45" s="31" t="n"/>
      <c r="E45" s="31" t="n"/>
      <c r="F45" s="31" t="n"/>
      <c r="G45" s="31" t="n"/>
      <c r="H45" s="31" t="n"/>
      <c r="I45" s="31" t="n"/>
      <c r="J45" s="221" t="n"/>
    </row>
    <row r="46">
      <c r="A46" t="inlineStr">
        <is>
          <t>Dividend Paid</t>
        </is>
      </c>
      <c r="D46" s="277" t="n"/>
      <c r="E46" s="277" t="n"/>
      <c r="F46" s="277" t="n"/>
      <c r="G46" s="277" t="n"/>
      <c r="H46" s="277" t="n"/>
      <c r="I46" s="277" t="n"/>
      <c r="J46" s="277" t="n"/>
      <c r="K46" s="250" t="n"/>
      <c r="L46" s="277" t="n"/>
      <c r="M46" s="277" t="n"/>
      <c r="N46" s="277" t="n"/>
      <c r="O46" s="277" t="n"/>
    </row>
    <row r="47">
      <c r="A47" t="inlineStr">
        <is>
          <t>Dividend Tax</t>
        </is>
      </c>
      <c r="D47" s="277" t="n"/>
      <c r="E47" s="277" t="n"/>
      <c r="F47" s="277" t="n"/>
      <c r="G47" s="277" t="n"/>
      <c r="H47" s="277" t="n"/>
      <c r="I47" s="277" t="n"/>
      <c r="J47" s="277" t="n"/>
      <c r="K47" s="250" t="n"/>
      <c r="L47" s="277" t="n"/>
      <c r="M47" s="277" t="n"/>
      <c r="N47" s="277" t="n"/>
      <c r="O47" s="277" t="n"/>
    </row>
    <row r="48">
      <c r="A48" t="inlineStr">
        <is>
          <t>Dividend Payout Ratio (Dividends paid)</t>
        </is>
      </c>
      <c r="D48" s="31" t="n"/>
      <c r="E48" s="31" t="n"/>
      <c r="F48" s="31" t="n"/>
      <c r="G48" s="31" t="n"/>
      <c r="H48" s="31" t="n"/>
      <c r="I48" s="31" t="n"/>
      <c r="J48" s="31" t="n"/>
      <c r="K48" s="251" t="n"/>
      <c r="L48" s="38" t="n"/>
      <c r="M48" s="38" t="n"/>
      <c r="N48" s="38" t="n"/>
      <c r="O48" s="38" t="n"/>
    </row>
    <row r="49">
      <c r="A49" t="inlineStr">
        <is>
          <t>Dividend tax as a % of Dividends Paid</t>
        </is>
      </c>
      <c r="D49" s="31" t="n">
        <v>0</v>
      </c>
      <c r="E49" s="31" t="n"/>
      <c r="F49" s="31" t="n"/>
      <c r="G49" s="31" t="n">
        <v>0</v>
      </c>
      <c r="H49" s="31" t="n"/>
      <c r="I49" s="31" t="n"/>
      <c r="J49" s="31" t="n"/>
      <c r="K49" s="251" t="n"/>
      <c r="L49" s="38" t="n"/>
      <c r="M49" s="38" t="n"/>
      <c r="N49" s="38" t="n"/>
      <c r="O49" s="38" t="n"/>
    </row>
    <row r="53">
      <c r="D53" s="31" t="n"/>
      <c r="E53" s="31" t="n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8"/>
  <sheetViews>
    <sheetView workbookViewId="0">
      <pane ySplit="1" topLeftCell="A91" activePane="bottomLeft" state="frozen"/>
      <selection pane="bottomLeft" activeCell="F96" sqref="F96"/>
    </sheetView>
  </sheetViews>
  <sheetFormatPr baseColWidth="10" defaultColWidth="8.83203125" defaultRowHeight="14"/>
  <cols>
    <col width="18.5" bestFit="1" customWidth="1" style="322" min="1" max="1"/>
    <col width="10" bestFit="1" customWidth="1" style="322" min="6" max="6"/>
    <col width="10.1640625" bestFit="1" customWidth="1" style="322" min="7" max="7"/>
    <col width="18.5" bestFit="1" customWidth="1" style="322" min="8" max="8"/>
    <col width="11" bestFit="1" customWidth="1" style="31" min="9" max="9"/>
    <col width="17.33203125" bestFit="1" customWidth="1" style="322" min="10" max="10"/>
    <col width="18.5" bestFit="1" customWidth="1" style="322" min="12" max="12"/>
    <col width="10" bestFit="1" customWidth="1" style="322" min="40" max="41"/>
  </cols>
  <sheetData>
    <row r="1" ht="28" customHeight="1" s="322">
      <c r="A1" s="57" t="inlineStr">
        <is>
          <t>Date</t>
        </is>
      </c>
      <c r="B1" s="55" t="inlineStr">
        <is>
          <t>ATF Price (Rs)</t>
        </is>
      </c>
      <c r="C1" s="55" t="n"/>
      <c r="D1" s="55" t="inlineStr">
        <is>
          <t>USD/INR</t>
        </is>
      </c>
      <c r="E1" s="55" t="n"/>
      <c r="F1" s="55" t="inlineStr">
        <is>
          <t>Brent ($)</t>
        </is>
      </c>
      <c r="G1" s="57" t="n"/>
      <c r="H1" s="57" t="inlineStr">
        <is>
          <t>MCX</t>
        </is>
      </c>
      <c r="I1" s="66" t="n"/>
      <c r="J1" s="57" t="inlineStr">
        <is>
          <t>US Oil ($)</t>
        </is>
      </c>
      <c r="K1" s="57" t="n"/>
      <c r="L1" s="60" t="inlineStr">
        <is>
          <t>Date</t>
        </is>
      </c>
      <c r="M1" s="59" t="inlineStr">
        <is>
          <t>ATF Price (Rs)</t>
        </is>
      </c>
      <c r="N1" s="59" t="inlineStr">
        <is>
          <t>Brent ($)</t>
        </is>
      </c>
      <c r="O1" s="60" t="inlineStr">
        <is>
          <t>US Oil ($)</t>
        </is>
      </c>
      <c r="P1" s="60" t="inlineStr">
        <is>
          <t>MCX</t>
        </is>
      </c>
      <c r="Q1" s="60" t="inlineStr">
        <is>
          <t>Premium</t>
        </is>
      </c>
    </row>
    <row r="2">
      <c r="A2" t="inlineStr">
        <is>
          <t>April 01, 2010</t>
        </is>
      </c>
      <c r="B2" t="n">
        <v>44361.80250000001</v>
      </c>
      <c r="C2" s="67" t="n"/>
      <c r="D2" t="n">
        <v>44.76</v>
      </c>
      <c r="F2" t="n">
        <v>82.63</v>
      </c>
      <c r="H2" s="277" t="n"/>
      <c r="I2" s="65" t="n"/>
      <c r="J2" t="n">
        <v>84.53</v>
      </c>
      <c r="L2" s="273" t="inlineStr">
        <is>
          <t>April 01, 2010</t>
        </is>
      </c>
      <c r="M2" s="273" t="n">
        <v>100</v>
      </c>
      <c r="N2" s="273" t="n">
        <v>100</v>
      </c>
      <c r="O2" s="273" t="n">
        <v>100</v>
      </c>
      <c r="P2" s="273" t="n">
        <v>100</v>
      </c>
      <c r="Q2" s="348" t="n"/>
    </row>
    <row r="3">
      <c r="A3" t="inlineStr">
        <is>
          <t>May 01, 2010</t>
        </is>
      </c>
      <c r="B3" t="n">
        <v>46016.395</v>
      </c>
      <c r="C3" s="67" t="n"/>
      <c r="D3" t="n">
        <v>44.52</v>
      </c>
      <c r="E3" s="31" t="n"/>
      <c r="F3" t="n">
        <v>88.09</v>
      </c>
      <c r="G3" s="31" t="n"/>
      <c r="H3" s="277" t="n"/>
      <c r="I3" s="65" t="n"/>
      <c r="J3" t="n">
        <v>86.19</v>
      </c>
      <c r="K3" s="31" t="n"/>
      <c r="L3" s="273" t="inlineStr">
        <is>
          <t>May 01, 2010</t>
        </is>
      </c>
      <c r="M3" s="273" t="n"/>
      <c r="N3" s="273" t="n"/>
      <c r="O3" s="273" t="n"/>
      <c r="P3" s="273" t="n"/>
      <c r="Q3" s="348" t="n"/>
      <c r="AN3" t="inlineStr">
        <is>
          <t>Q2</t>
        </is>
      </c>
      <c r="AO3" t="inlineStr">
        <is>
          <t>Q1</t>
        </is>
      </c>
    </row>
    <row r="4">
      <c r="A4" t="inlineStr">
        <is>
          <t>June 01, 2010</t>
        </is>
      </c>
      <c r="B4" t="n">
        <v>42951.23</v>
      </c>
      <c r="C4" s="67" t="n"/>
      <c r="D4" t="n">
        <v>46.5125</v>
      </c>
      <c r="E4" s="31" t="n"/>
      <c r="F4" t="n">
        <v>73.08</v>
      </c>
      <c r="G4" s="31" t="n"/>
      <c r="H4" s="277" t="n"/>
      <c r="I4" s="65" t="n"/>
      <c r="J4" t="n">
        <v>72.7</v>
      </c>
      <c r="K4" s="31" t="n"/>
      <c r="L4" s="273" t="inlineStr">
        <is>
          <t>June 01, 2010</t>
        </is>
      </c>
      <c r="M4" s="273" t="n"/>
      <c r="N4" s="273" t="n"/>
      <c r="O4" s="273" t="n"/>
      <c r="P4" s="273" t="n"/>
      <c r="Q4" s="348" t="n"/>
      <c r="AM4" t="inlineStr">
        <is>
          <t>O</t>
        </is>
      </c>
      <c r="AN4" t="n">
        <v>64.685</v>
      </c>
      <c r="AO4" t="n">
        <v>64.80500000000001</v>
      </c>
    </row>
    <row r="5">
      <c r="A5" t="inlineStr">
        <is>
          <t>July 01, 2010</t>
        </is>
      </c>
      <c r="B5" t="n">
        <v>45016.6925</v>
      </c>
      <c r="C5" s="67" t="n"/>
      <c r="D5" t="n">
        <v>46.74</v>
      </c>
      <c r="E5" s="31" t="n"/>
      <c r="F5" t="n">
        <v>71.73</v>
      </c>
      <c r="G5" s="31" t="n"/>
      <c r="H5" s="277" t="n"/>
      <c r="I5" s="65" t="n"/>
      <c r="J5" t="n">
        <v>72.95</v>
      </c>
      <c r="K5" s="31" t="n"/>
      <c r="L5" s="273" t="inlineStr">
        <is>
          <t>July 01, 2010</t>
        </is>
      </c>
      <c r="M5" s="273" t="n"/>
      <c r="N5" s="273" t="n"/>
      <c r="O5" s="273" t="n"/>
      <c r="P5" s="273" t="n"/>
      <c r="Q5" s="348" t="n"/>
      <c r="AM5" t="inlineStr">
        <is>
          <t>C</t>
        </is>
      </c>
      <c r="AN5" t="n">
        <v>65.28</v>
      </c>
      <c r="AO5" t="n">
        <v>64.575</v>
      </c>
    </row>
    <row r="6">
      <c r="A6" t="inlineStr">
        <is>
          <t>August 01, 2010</t>
        </is>
      </c>
      <c r="B6" t="n">
        <v>44697.1475</v>
      </c>
      <c r="C6" s="67" t="n"/>
      <c r="D6" t="n">
        <v>46.19</v>
      </c>
      <c r="E6" s="31" t="n"/>
      <c r="F6" t="n">
        <v>81.93000000000001</v>
      </c>
      <c r="G6" s="31" t="n"/>
      <c r="H6" s="277" t="n"/>
      <c r="I6" s="65" t="n"/>
      <c r="J6" t="n">
        <v>81.25</v>
      </c>
      <c r="K6" s="31" t="n"/>
      <c r="L6" s="273" t="inlineStr">
        <is>
          <t>August 01, 2010</t>
        </is>
      </c>
      <c r="M6" s="273" t="n"/>
      <c r="N6" s="273" t="n"/>
      <c r="O6" s="273" t="n"/>
      <c r="P6" s="273" t="n"/>
      <c r="Q6" s="348" t="n"/>
      <c r="AN6" t="n">
        <v>1000</v>
      </c>
      <c r="AO6" t="n">
        <v>1000</v>
      </c>
    </row>
    <row r="7">
      <c r="A7" t="inlineStr">
        <is>
          <t>September 01, 2010</t>
        </is>
      </c>
      <c r="B7" t="n">
        <v>43596.4</v>
      </c>
      <c r="C7" s="67" t="n"/>
      <c r="D7" t="n">
        <v>46.92</v>
      </c>
      <c r="E7" s="31" t="n"/>
      <c r="F7" t="n">
        <v>75.53</v>
      </c>
      <c r="G7" s="31" t="n"/>
      <c r="H7" s="277" t="n"/>
      <c r="I7" s="65" t="n"/>
      <c r="J7" t="n">
        <v>73.97</v>
      </c>
      <c r="K7" s="31" t="n"/>
      <c r="L7" s="273" t="inlineStr">
        <is>
          <t>September 01, 2010</t>
        </is>
      </c>
      <c r="M7" s="273" t="n"/>
      <c r="N7" s="273" t="n"/>
      <c r="O7" s="273" t="n"/>
      <c r="P7" s="273" t="n"/>
      <c r="Q7" s="348" t="n"/>
      <c r="AR7" t="n">
        <v>900</v>
      </c>
      <c r="AS7" t="n">
        <v>48</v>
      </c>
    </row>
    <row r="8">
      <c r="A8" t="inlineStr">
        <is>
          <t>October 01, 2010</t>
        </is>
      </c>
      <c r="B8" t="n">
        <v>44195.2675</v>
      </c>
      <c r="C8" s="67" t="n"/>
      <c r="D8" t="n">
        <v>44.77</v>
      </c>
      <c r="E8" s="31" t="n"/>
      <c r="F8" t="n">
        <v>82.69</v>
      </c>
      <c r="G8" s="31" t="n"/>
      <c r="H8" s="277" t="n"/>
      <c r="I8" s="65" t="n"/>
      <c r="J8" t="n">
        <v>81.56999999999999</v>
      </c>
      <c r="K8" s="31" t="n"/>
      <c r="L8" s="273" t="inlineStr">
        <is>
          <t>October 01, 2010</t>
        </is>
      </c>
      <c r="M8" s="273" t="n"/>
      <c r="N8" s="273" t="n"/>
      <c r="O8" s="273" t="n"/>
      <c r="P8" s="273" t="n"/>
      <c r="Q8" s="348" t="n"/>
      <c r="AR8" t="n">
        <v>270</v>
      </c>
    </row>
    <row r="9">
      <c r="A9" t="inlineStr">
        <is>
          <t>November 01, 2010</t>
        </is>
      </c>
      <c r="B9" t="n">
        <v>45777</v>
      </c>
      <c r="C9" s="67" t="n"/>
      <c r="D9" t="n">
        <v>44.35</v>
      </c>
      <c r="E9" s="31" t="n"/>
      <c r="F9" t="n">
        <v>84.06</v>
      </c>
      <c r="G9" s="31" t="n"/>
      <c r="H9" s="277" t="n"/>
      <c r="I9" s="65" t="n"/>
      <c r="J9" t="n">
        <v>82.94</v>
      </c>
      <c r="K9" s="31" t="n"/>
      <c r="L9" s="273" t="inlineStr">
        <is>
          <t>November 01, 2010</t>
        </is>
      </c>
      <c r="M9" s="273" t="n"/>
      <c r="N9" s="273" t="n"/>
      <c r="O9" s="273" t="n"/>
      <c r="P9" s="273" t="n"/>
      <c r="Q9" s="348" t="n"/>
      <c r="AN9" t="n">
        <v>460000000</v>
      </c>
      <c r="AO9" t="n">
        <v>346000000</v>
      </c>
    </row>
    <row r="10">
      <c r="A10" t="inlineStr">
        <is>
          <t>December 01, 2010</t>
        </is>
      </c>
      <c r="B10" t="n">
        <v>47892.11500000001</v>
      </c>
      <c r="C10" s="67" t="n"/>
      <c r="D10" t="n">
        <v>45.87</v>
      </c>
      <c r="E10" s="31" t="n"/>
      <c r="F10" t="n">
        <v>88.56</v>
      </c>
      <c r="G10" s="31" t="n"/>
      <c r="H10" s="277" t="n"/>
      <c r="I10" s="65" t="n"/>
      <c r="J10" t="n">
        <v>86.75</v>
      </c>
      <c r="K10" s="31" t="n"/>
      <c r="L10" s="273" t="inlineStr">
        <is>
          <t>December 01, 2010</t>
        </is>
      </c>
      <c r="M10" s="273" t="n"/>
      <c r="N10" s="273" t="n"/>
      <c r="O10" s="273" t="n"/>
      <c r="P10" s="273" t="n"/>
      <c r="Q10" s="348" t="n"/>
    </row>
    <row r="11">
      <c r="A11" t="inlineStr">
        <is>
          <t>January 01, 2011</t>
        </is>
      </c>
      <c r="B11" t="n">
        <v>50576.88</v>
      </c>
      <c r="C11" s="67" t="n"/>
      <c r="D11" t="n">
        <v>44.76</v>
      </c>
      <c r="E11" s="31" t="n"/>
      <c r="F11" t="n">
        <v>95.81999999999999</v>
      </c>
      <c r="G11" s="31" t="n"/>
      <c r="H11" s="277" t="n"/>
      <c r="I11" s="65" t="n"/>
      <c r="J11" t="n">
        <v>91.59</v>
      </c>
      <c r="K11" s="31" t="n"/>
      <c r="L11" s="273" t="inlineStr">
        <is>
          <t>January 01, 2011</t>
        </is>
      </c>
      <c r="M11" s="273" t="n"/>
      <c r="N11" s="273" t="n"/>
      <c r="O11" s="273" t="n"/>
      <c r="P11" s="273" t="n"/>
      <c r="Q11" s="348" t="n"/>
    </row>
    <row r="12">
      <c r="A12" t="inlineStr">
        <is>
          <t>February 01, 2011</t>
        </is>
      </c>
      <c r="B12" t="n">
        <v>53872.265</v>
      </c>
      <c r="C12" s="67" t="n"/>
      <c r="D12" t="n">
        <v>45.85</v>
      </c>
      <c r="E12" s="31" t="n"/>
      <c r="F12" t="n">
        <v>100.4</v>
      </c>
      <c r="G12" s="31" t="n"/>
      <c r="H12" s="277" t="n"/>
      <c r="I12" s="65" t="n"/>
      <c r="J12" t="n">
        <v>89.54000000000001</v>
      </c>
      <c r="K12" s="31" t="n"/>
      <c r="L12" s="273" t="inlineStr">
        <is>
          <t>February 01, 2011</t>
        </is>
      </c>
      <c r="M12" s="273" t="n"/>
      <c r="N12" s="273" t="n"/>
      <c r="O12" s="273" t="n"/>
      <c r="P12" s="273" t="n"/>
      <c r="Q12" s="348" t="n"/>
    </row>
    <row r="13">
      <c r="A13" t="inlineStr">
        <is>
          <t>March 01, 2011</t>
        </is>
      </c>
      <c r="B13" t="n">
        <v>58021.2925</v>
      </c>
      <c r="C13" s="67" t="n"/>
      <c r="D13" t="n">
        <v>45.18</v>
      </c>
      <c r="E13" s="31" t="n"/>
      <c r="F13" t="n">
        <v>113.34</v>
      </c>
      <c r="G13" s="31" t="n"/>
      <c r="H13" s="277" t="n"/>
      <c r="I13" s="65" t="n"/>
      <c r="J13" t="n">
        <v>99.63</v>
      </c>
      <c r="K13" s="31" t="n"/>
      <c r="L13" s="273" t="inlineStr">
        <is>
          <t>March 01, 2011</t>
        </is>
      </c>
      <c r="M13" s="273" t="n"/>
      <c r="N13" s="273" t="n"/>
      <c r="O13" s="273" t="n"/>
      <c r="P13" s="273" t="n"/>
      <c r="Q13" s="348" t="n"/>
    </row>
    <row r="14">
      <c r="A14" t="inlineStr">
        <is>
          <t>April 01, 2011</t>
        </is>
      </c>
      <c r="B14" t="n">
        <v>62458.0975</v>
      </c>
      <c r="C14" s="67" t="n"/>
      <c r="D14" t="n">
        <v>44.44</v>
      </c>
      <c r="E14" s="31" t="n"/>
      <c r="F14" t="n">
        <v>118.63</v>
      </c>
      <c r="G14" s="31" t="n"/>
      <c r="H14" s="277" t="n"/>
      <c r="I14" s="65" t="n"/>
      <c r="J14" t="n">
        <v>107.55</v>
      </c>
      <c r="K14" s="31" t="n"/>
      <c r="L14" s="273" t="inlineStr">
        <is>
          <t>April 01, 2011</t>
        </is>
      </c>
      <c r="M14" s="273" t="n"/>
      <c r="N14" s="273" t="n"/>
      <c r="O14" s="273" t="n"/>
      <c r="P14" s="273" t="n"/>
      <c r="Q14" s="348" t="n"/>
    </row>
    <row r="15">
      <c r="A15" t="inlineStr">
        <is>
          <t>May 01, 2011</t>
        </is>
      </c>
      <c r="B15" t="n">
        <v>63967.75</v>
      </c>
      <c r="C15" s="67" t="n"/>
      <c r="D15" t="n">
        <v>44.29</v>
      </c>
      <c r="E15" s="31" t="n"/>
      <c r="F15" t="n">
        <v>121.55</v>
      </c>
      <c r="G15" s="31" t="n"/>
      <c r="H15" s="277" t="n"/>
      <c r="I15" s="65" t="n"/>
      <c r="J15" t="n">
        <v>113.03</v>
      </c>
      <c r="K15" s="31" t="n"/>
      <c r="L15" s="273" t="inlineStr">
        <is>
          <t>May 01, 2011</t>
        </is>
      </c>
      <c r="M15" s="273" t="n"/>
      <c r="N15" s="273" t="n"/>
      <c r="O15" s="273" t="n"/>
      <c r="P15" s="273" t="n"/>
      <c r="Q15" s="348" t="n"/>
    </row>
    <row r="16">
      <c r="A16" t="inlineStr">
        <is>
          <t>June 01, 2011</t>
        </is>
      </c>
      <c r="B16" t="n">
        <v>59747.9725</v>
      </c>
      <c r="C16" s="67" t="n"/>
      <c r="D16" t="n">
        <v>44.985</v>
      </c>
      <c r="E16" s="31" t="n"/>
      <c r="F16" t="n">
        <v>115.09</v>
      </c>
      <c r="G16" s="31" t="n"/>
      <c r="H16" s="277" t="n"/>
      <c r="I16" s="65" t="n"/>
      <c r="J16" t="n">
        <v>100.3</v>
      </c>
      <c r="K16" s="31" t="n"/>
      <c r="L16" s="273" t="inlineStr">
        <is>
          <t>June 01, 2011</t>
        </is>
      </c>
      <c r="M16" s="273" t="n"/>
      <c r="N16" s="273" t="n"/>
      <c r="O16" s="273" t="n"/>
      <c r="P16" s="273" t="n"/>
      <c r="Q16" s="348" t="n"/>
    </row>
    <row r="17">
      <c r="A17" t="inlineStr">
        <is>
          <t>July 01, 2011</t>
        </is>
      </c>
      <c r="B17" t="n">
        <v>59498.0825</v>
      </c>
      <c r="C17" s="67" t="n"/>
      <c r="D17" t="n">
        <v>44.65</v>
      </c>
      <c r="E17" s="31" t="n"/>
      <c r="F17" t="n">
        <v>113.55</v>
      </c>
      <c r="G17" s="31" t="n"/>
      <c r="H17" s="277" t="n"/>
      <c r="I17" s="65" t="n"/>
      <c r="J17" t="n">
        <v>94.81</v>
      </c>
      <c r="K17" s="31" t="n"/>
      <c r="L17" s="273" t="inlineStr">
        <is>
          <t>July 01, 2011</t>
        </is>
      </c>
      <c r="M17" s="273" t="n"/>
      <c r="N17" s="273" t="n"/>
      <c r="O17" s="273" t="n"/>
      <c r="P17" s="273" t="n"/>
      <c r="Q17" s="348" t="n"/>
    </row>
    <row r="18">
      <c r="A18" t="inlineStr">
        <is>
          <t>August 01, 2011</t>
        </is>
      </c>
      <c r="B18" t="n">
        <v>61142.5</v>
      </c>
      <c r="C18" s="67" t="n"/>
      <c r="D18" t="n">
        <v>44.04</v>
      </c>
      <c r="E18" s="31" t="n"/>
      <c r="F18" t="n">
        <v>113.74</v>
      </c>
      <c r="G18" s="31" t="n"/>
      <c r="H18" s="277" t="n"/>
      <c r="I18" s="65" t="n"/>
      <c r="J18" t="n">
        <v>94.98</v>
      </c>
      <c r="K18" s="31" t="n"/>
      <c r="L18" s="273" t="inlineStr">
        <is>
          <t>August 01, 2011</t>
        </is>
      </c>
      <c r="M18" s="273" t="n"/>
      <c r="N18" s="273" t="n"/>
      <c r="O18" s="273" t="n"/>
      <c r="P18" s="273" t="n"/>
      <c r="Q18" s="348" t="n"/>
    </row>
    <row r="19">
      <c r="A19" t="inlineStr">
        <is>
          <t>September 01, 2011</t>
        </is>
      </c>
      <c r="B19" t="n">
        <v>59492</v>
      </c>
      <c r="C19" s="67" t="n"/>
      <c r="D19" t="n">
        <v>45.98</v>
      </c>
      <c r="E19" s="31" t="n"/>
      <c r="F19" t="n">
        <v>117.5</v>
      </c>
      <c r="G19" s="31" t="n"/>
      <c r="H19" s="277" t="n"/>
      <c r="I19" s="65" t="n"/>
      <c r="J19" t="n">
        <v>88.93000000000001</v>
      </c>
      <c r="K19" s="31" t="n"/>
      <c r="L19" s="273" t="inlineStr">
        <is>
          <t>September 01, 2011</t>
        </is>
      </c>
      <c r="M19" s="273" t="n"/>
      <c r="N19" s="273" t="n"/>
      <c r="O19" s="273" t="n"/>
      <c r="P19" s="273" t="n"/>
      <c r="Q19" s="348" t="n"/>
    </row>
    <row r="20">
      <c r="A20" t="inlineStr">
        <is>
          <t>October 01, 2011</t>
        </is>
      </c>
      <c r="B20" t="n">
        <v>61886.75</v>
      </c>
      <c r="C20" s="67" t="n"/>
      <c r="D20" t="n">
        <v>49.48</v>
      </c>
      <c r="E20" s="31" t="n"/>
      <c r="F20" t="n">
        <v>104.38</v>
      </c>
      <c r="G20" s="31" t="n"/>
      <c r="H20" s="277" t="n"/>
      <c r="I20" s="65" t="n"/>
      <c r="J20" t="n">
        <v>77.34</v>
      </c>
      <c r="K20" s="31" t="n"/>
      <c r="L20" s="273" t="inlineStr">
        <is>
          <t>October 01, 2011</t>
        </is>
      </c>
      <c r="M20" s="273" t="n"/>
      <c r="N20" s="273" t="n"/>
      <c r="O20" s="273" t="n"/>
      <c r="P20" s="273" t="n"/>
      <c r="Q20" s="348" t="n"/>
    </row>
    <row r="21">
      <c r="A21" t="inlineStr">
        <is>
          <t>November 01, 2011</t>
        </is>
      </c>
      <c r="B21" t="n">
        <v>64490.41500000001</v>
      </c>
      <c r="C21" s="67" t="n"/>
      <c r="D21" t="n">
        <v>48.83</v>
      </c>
      <c r="E21" s="31" t="n"/>
      <c r="F21" t="n">
        <v>112.22</v>
      </c>
      <c r="G21" s="31" t="n"/>
      <c r="H21" s="277" t="n"/>
      <c r="I21" s="65" t="n"/>
      <c r="J21" t="n">
        <v>92.19</v>
      </c>
      <c r="K21" s="31" t="n"/>
      <c r="L21" s="273" t="inlineStr">
        <is>
          <t>November 01, 2011</t>
        </is>
      </c>
      <c r="M21" s="273" t="n"/>
      <c r="N21" s="273" t="n"/>
      <c r="O21" s="273" t="n"/>
      <c r="P21" s="273" t="n"/>
      <c r="Q21" s="348" t="n"/>
    </row>
    <row r="22">
      <c r="A22" t="inlineStr">
        <is>
          <t>December 01, 2011</t>
        </is>
      </c>
      <c r="B22" t="n">
        <v>68172.64999999999</v>
      </c>
      <c r="C22" s="67" t="n"/>
      <c r="D22" t="n">
        <v>51.85</v>
      </c>
      <c r="E22" s="31" t="n"/>
      <c r="F22" t="n">
        <v>110.16</v>
      </c>
      <c r="G22" s="31" t="n"/>
      <c r="H22" s="277" t="n"/>
      <c r="I22" s="65" t="n"/>
      <c r="J22" t="n">
        <v>100.2</v>
      </c>
      <c r="K22" s="31" t="n"/>
      <c r="L22" s="273" t="inlineStr">
        <is>
          <t>December 01, 2011</t>
        </is>
      </c>
      <c r="M22" s="273" t="n"/>
      <c r="N22" s="273" t="n"/>
      <c r="O22" s="273" t="n"/>
      <c r="P22" s="273" t="n"/>
      <c r="Q22" s="348" t="n"/>
    </row>
    <row r="23">
      <c r="A23" t="inlineStr">
        <is>
          <t>January 01, 2012</t>
        </is>
      </c>
      <c r="B23" t="n">
        <v>66600.0575</v>
      </c>
      <c r="C23" s="67" t="n"/>
      <c r="D23" t="n">
        <v>53.3</v>
      </c>
      <c r="E23" s="31" t="n"/>
      <c r="F23" t="n">
        <v>111.07</v>
      </c>
      <c r="G23" s="31" t="n"/>
      <c r="H23" s="277" t="n"/>
      <c r="I23" s="65" t="n"/>
      <c r="J23" t="n">
        <v>102.96</v>
      </c>
      <c r="K23" s="31" t="n"/>
      <c r="L23" s="273" t="inlineStr">
        <is>
          <t>January 01, 2012</t>
        </is>
      </c>
      <c r="M23" s="273" t="n"/>
      <c r="N23" s="273" t="n"/>
      <c r="O23" s="273" t="n"/>
      <c r="P23" s="273" t="n"/>
      <c r="Q23" s="348" t="n"/>
    </row>
    <row r="24">
      <c r="A24" t="inlineStr">
        <is>
          <t>February 01, 2012</t>
        </is>
      </c>
      <c r="B24" t="n">
        <v>66407.39</v>
      </c>
      <c r="C24" s="67" t="n"/>
      <c r="D24" t="n">
        <v>49.59</v>
      </c>
      <c r="E24" s="31" t="n"/>
      <c r="F24" t="n">
        <v>116.86</v>
      </c>
      <c r="G24" s="31" t="n"/>
      <c r="H24" s="277" t="n"/>
      <c r="I24" s="65" t="n"/>
      <c r="J24" t="n">
        <v>97.63</v>
      </c>
      <c r="K24" s="31" t="n"/>
      <c r="L24" s="273" t="inlineStr">
        <is>
          <t>February 01, 2012</t>
        </is>
      </c>
      <c r="M24" s="273" t="n"/>
      <c r="N24" s="273" t="n"/>
      <c r="O24" s="273" t="n"/>
      <c r="P24" s="273" t="n"/>
      <c r="Q24" s="348" t="n"/>
    </row>
    <row r="25">
      <c r="A25" t="inlineStr">
        <is>
          <t>March 01, 2012</t>
        </is>
      </c>
      <c r="B25" t="n">
        <v>68179.9025</v>
      </c>
      <c r="C25" s="67" t="n"/>
      <c r="D25" t="n">
        <v>49.075</v>
      </c>
      <c r="E25" s="31" t="n"/>
      <c r="F25" t="n">
        <v>125.37</v>
      </c>
      <c r="G25" s="31" t="n"/>
      <c r="H25" s="277" t="n"/>
      <c r="I25" s="65" t="n"/>
      <c r="J25" t="n">
        <v>108.76</v>
      </c>
      <c r="K25" s="31" t="n"/>
      <c r="L25" s="273" t="inlineStr">
        <is>
          <t>March 01, 2012</t>
        </is>
      </c>
      <c r="M25" s="273" t="n"/>
      <c r="N25" s="273" t="n"/>
      <c r="O25" s="273" t="n"/>
      <c r="P25" s="273" t="n"/>
      <c r="Q25" s="348" t="n"/>
    </row>
    <row r="26">
      <c r="A26" t="inlineStr">
        <is>
          <t>April 01, 2012</t>
        </is>
      </c>
      <c r="B26" t="n">
        <v>71514.10250000001</v>
      </c>
      <c r="C26" s="67" t="n"/>
      <c r="D26" t="n">
        <v>50.61</v>
      </c>
      <c r="E26" s="31" t="n"/>
      <c r="F26" t="n">
        <v>121.89</v>
      </c>
      <c r="G26" s="31" t="n"/>
      <c r="H26" s="277" t="n"/>
      <c r="I26" s="65" t="n"/>
      <c r="J26" t="n">
        <v>105.25</v>
      </c>
      <c r="K26" s="31" t="n"/>
      <c r="L26" s="273" t="inlineStr">
        <is>
          <t>April 01, 2012</t>
        </is>
      </c>
      <c r="M26" s="273" t="n"/>
      <c r="N26" s="273" t="n"/>
      <c r="O26" s="273" t="n"/>
      <c r="P26" s="273" t="n"/>
      <c r="Q26" s="348" t="n"/>
    </row>
    <row r="27">
      <c r="A27" s="62" t="inlineStr">
        <is>
          <t>May 01, 2012</t>
        </is>
      </c>
      <c r="B27" s="62" t="n">
        <v>71028.2375</v>
      </c>
      <c r="C27" s="67" t="n"/>
      <c r="D27" t="n">
        <v>52.65</v>
      </c>
      <c r="E27" s="31" t="n"/>
      <c r="F27" s="62" t="n">
        <v>111.89</v>
      </c>
      <c r="G27" s="31" t="n"/>
      <c r="H27" s="277" t="n"/>
      <c r="I27" s="65" t="n"/>
      <c r="J27" s="62" t="n">
        <v>106.17</v>
      </c>
      <c r="K27" s="31" t="n"/>
      <c r="L27" s="63" t="inlineStr">
        <is>
          <t>May 01, 2012</t>
        </is>
      </c>
      <c r="M27" s="63" t="n"/>
      <c r="N27" s="63" t="n"/>
      <c r="O27" s="63" t="n"/>
      <c r="P27" s="273" t="n"/>
      <c r="Q27" s="360" t="n"/>
    </row>
    <row r="28">
      <c r="A28" t="inlineStr">
        <is>
          <t>June 01, 2012</t>
        </is>
      </c>
      <c r="B28" t="n">
        <v>69315.495</v>
      </c>
      <c r="C28" s="67" t="n"/>
      <c r="D28" t="n">
        <v>56.24</v>
      </c>
      <c r="E28" s="31" t="n"/>
      <c r="F28" t="n">
        <v>98.59999999999999</v>
      </c>
      <c r="G28" s="31" t="n"/>
      <c r="H28" s="277" t="n"/>
      <c r="I28" s="65" t="n"/>
      <c r="J28" t="n">
        <v>83.17</v>
      </c>
      <c r="K28" s="31" t="n"/>
      <c r="L28" s="273" t="inlineStr">
        <is>
          <t>June 01, 2012</t>
        </is>
      </c>
      <c r="M28" s="273" t="n"/>
      <c r="N28" s="273" t="n"/>
      <c r="O28" s="273" t="n"/>
      <c r="P28" s="273" t="n"/>
      <c r="Q28" s="348" t="n"/>
    </row>
    <row r="29">
      <c r="A29" t="inlineStr">
        <is>
          <t>July 01, 2012</t>
        </is>
      </c>
      <c r="B29" t="n">
        <v>64652</v>
      </c>
      <c r="C29" s="67" t="n"/>
      <c r="D29" t="n">
        <v>55.5</v>
      </c>
      <c r="E29" s="31" t="n"/>
      <c r="F29" t="n">
        <v>99.23</v>
      </c>
      <c r="G29" s="31" t="n"/>
      <c r="H29" s="277" t="n"/>
      <c r="I29" s="65" t="n"/>
      <c r="J29" t="n">
        <v>83.72</v>
      </c>
      <c r="K29" s="31" t="n"/>
      <c r="L29" s="273" t="inlineStr">
        <is>
          <t>July 01, 2012</t>
        </is>
      </c>
      <c r="M29" s="273" t="n"/>
      <c r="N29" s="273" t="n"/>
      <c r="O29" s="273" t="n"/>
      <c r="P29" s="273" t="n"/>
      <c r="Q29" s="348" t="n"/>
    </row>
    <row r="30">
      <c r="A30" t="inlineStr">
        <is>
          <t>August 01, 2012</t>
        </is>
      </c>
      <c r="B30" t="n">
        <v>68561.29000000001</v>
      </c>
      <c r="C30" s="67" t="n"/>
      <c r="D30" t="n">
        <v>55.65</v>
      </c>
      <c r="E30" s="31" t="n"/>
      <c r="F30" t="n">
        <v>113.52</v>
      </c>
      <c r="G30" s="31" t="n"/>
      <c r="H30" s="277" t="n"/>
      <c r="I30" s="65" t="n"/>
      <c r="J30" t="n">
        <v>88.98999999999999</v>
      </c>
      <c r="K30" s="31" t="n"/>
      <c r="L30" s="273" t="inlineStr">
        <is>
          <t>August 01, 2012</t>
        </is>
      </c>
      <c r="M30" s="273" t="n"/>
      <c r="N30" s="273" t="n"/>
      <c r="O30" s="273" t="n"/>
      <c r="P30" s="273" t="n"/>
      <c r="Q30" s="348" t="n"/>
    </row>
    <row r="31">
      <c r="A31" t="inlineStr">
        <is>
          <t>September 01, 2012</t>
        </is>
      </c>
      <c r="B31" t="n">
        <v>75263.3425</v>
      </c>
      <c r="C31" s="67" t="n"/>
      <c r="D31" t="n">
        <v>55.525</v>
      </c>
      <c r="E31" s="31" t="n"/>
      <c r="F31" t="n">
        <v>114.86</v>
      </c>
      <c r="G31" s="31" t="n"/>
      <c r="H31" s="277" t="n"/>
      <c r="I31" s="65" t="n"/>
      <c r="J31" t="n">
        <v>95.34</v>
      </c>
      <c r="K31" s="31" t="n"/>
      <c r="L31" s="273" t="inlineStr">
        <is>
          <t>September 01, 2012</t>
        </is>
      </c>
      <c r="M31" s="273" t="n"/>
      <c r="N31" s="273" t="n"/>
      <c r="O31" s="273" t="n"/>
      <c r="P31" s="273" t="n"/>
      <c r="Q31" s="348" t="n"/>
    </row>
    <row r="32">
      <c r="A32" t="inlineStr">
        <is>
          <t>October 01, 2012</t>
        </is>
      </c>
      <c r="B32" t="n">
        <v>73406.565</v>
      </c>
      <c r="C32" s="67" t="n"/>
      <c r="D32" t="n">
        <v>52.995</v>
      </c>
      <c r="E32" s="31" t="n"/>
      <c r="F32" t="n">
        <v>114.32</v>
      </c>
      <c r="G32" s="31" t="n"/>
      <c r="H32" s="277" t="n"/>
      <c r="I32" s="65" t="n"/>
      <c r="J32" t="n">
        <v>92.44</v>
      </c>
      <c r="K32" s="31" t="n"/>
      <c r="L32" s="273" t="inlineStr">
        <is>
          <t>October 01, 2012</t>
        </is>
      </c>
      <c r="M32" s="273" t="n"/>
      <c r="N32" s="273" t="n"/>
      <c r="O32" s="273" t="n"/>
      <c r="P32" s="273" t="n"/>
      <c r="Q32" s="348" t="n"/>
    </row>
    <row r="33">
      <c r="A33" t="inlineStr">
        <is>
          <t>November 01, 2012</t>
        </is>
      </c>
      <c r="B33" t="n">
        <v>71455.92999999999</v>
      </c>
      <c r="C33" s="67" t="n"/>
      <c r="D33" t="n">
        <v>53.805</v>
      </c>
      <c r="E33" s="31" t="n"/>
      <c r="F33" t="n">
        <v>108.61</v>
      </c>
      <c r="G33" s="31" t="n"/>
      <c r="H33" s="277" t="n"/>
      <c r="I33" s="65" t="n"/>
      <c r="J33" t="n">
        <v>87.05</v>
      </c>
      <c r="K33" s="31" t="n"/>
      <c r="L33" s="273" t="inlineStr">
        <is>
          <t>November 01, 2012</t>
        </is>
      </c>
      <c r="M33" s="273" t="n"/>
      <c r="N33" s="273" t="n"/>
      <c r="O33" s="273" t="n"/>
      <c r="P33" s="273" t="n"/>
      <c r="Q33" s="348" t="n"/>
    </row>
    <row r="34">
      <c r="A34" t="inlineStr">
        <is>
          <t>December 01, 2012</t>
        </is>
      </c>
      <c r="B34" t="n">
        <v>70760.785</v>
      </c>
      <c r="C34" s="67" t="n"/>
      <c r="D34" t="n">
        <v>54.265</v>
      </c>
      <c r="E34" s="31" t="n"/>
      <c r="F34" t="n">
        <v>107.6</v>
      </c>
      <c r="G34" s="31" t="n"/>
      <c r="H34" s="277" t="n"/>
      <c r="I34" s="65" t="n"/>
      <c r="J34" t="n">
        <v>88.69</v>
      </c>
      <c r="K34" s="31" t="n"/>
      <c r="L34" s="273" t="inlineStr">
        <is>
          <t>December 01, 2012</t>
        </is>
      </c>
      <c r="M34" s="273" t="n"/>
      <c r="N34" s="273" t="n"/>
      <c r="O34" s="273" t="n"/>
      <c r="P34" s="273" t="n"/>
      <c r="Q34" s="348" t="n"/>
    </row>
    <row r="35">
      <c r="A35" t="inlineStr">
        <is>
          <t>January 01, 2013</t>
        </is>
      </c>
      <c r="B35" t="n">
        <v>70473.55</v>
      </c>
      <c r="C35" s="67" t="n"/>
      <c r="D35" t="n">
        <v>54.84</v>
      </c>
      <c r="E35" s="31" t="n"/>
      <c r="F35" t="n">
        <v>112.97</v>
      </c>
      <c r="G35" s="31" t="n"/>
      <c r="H35" s="277" t="n"/>
      <c r="I35" s="65" t="n"/>
      <c r="J35" t="n">
        <v>93.14</v>
      </c>
      <c r="K35" s="31" t="n"/>
      <c r="L35" s="273" t="inlineStr">
        <is>
          <t>January 01, 2013</t>
        </is>
      </c>
      <c r="M35" s="273" t="n"/>
      <c r="N35" s="273" t="n"/>
      <c r="O35" s="273" t="n"/>
      <c r="P35" s="273" t="n"/>
      <c r="Q35" s="348" t="n"/>
    </row>
    <row r="36">
      <c r="A36" t="inlineStr">
        <is>
          <t>February 01, 2013</t>
        </is>
      </c>
      <c r="B36" t="n">
        <v>71872.72249999999</v>
      </c>
      <c r="C36" s="67" t="n"/>
      <c r="D36" t="n">
        <v>53.225</v>
      </c>
      <c r="E36" s="31" t="n"/>
      <c r="F36" t="n">
        <v>118.29</v>
      </c>
      <c r="G36" s="31" t="n"/>
      <c r="H36" s="277" t="n"/>
      <c r="I36" s="65" t="n"/>
      <c r="J36" t="n">
        <v>97.45999999999999</v>
      </c>
      <c r="K36" s="31" t="n"/>
      <c r="L36" s="273" t="inlineStr">
        <is>
          <t>February 01, 2013</t>
        </is>
      </c>
      <c r="M36" s="273" t="n"/>
      <c r="N36" s="273" t="n"/>
      <c r="O36" s="273" t="n"/>
      <c r="P36" s="273" t="n"/>
      <c r="Q36" s="348" t="n"/>
    </row>
    <row r="37">
      <c r="A37" t="inlineStr">
        <is>
          <t>March 01, 2013</t>
        </is>
      </c>
      <c r="B37" t="n">
        <v>74502.5475</v>
      </c>
      <c r="C37" s="67" t="n"/>
      <c r="D37" t="n">
        <v>54.355</v>
      </c>
      <c r="E37" s="31" t="n"/>
      <c r="F37" t="n">
        <v>108.64</v>
      </c>
      <c r="G37" s="31" t="n"/>
      <c r="H37" s="277" t="n"/>
      <c r="I37" s="65" t="n"/>
      <c r="J37" t="n">
        <v>90.70999999999999</v>
      </c>
      <c r="K37" s="31" t="n"/>
      <c r="L37" s="273" t="inlineStr">
        <is>
          <t>March 01, 2013</t>
        </is>
      </c>
      <c r="M37" s="273" t="n"/>
      <c r="N37" s="273" t="n"/>
      <c r="O37" s="273" t="n"/>
      <c r="P37" s="273" t="n"/>
      <c r="Q37" s="348" t="n"/>
    </row>
    <row r="38">
      <c r="A38" t="inlineStr">
        <is>
          <t>April 01, 2013</t>
        </is>
      </c>
      <c r="B38" t="n">
        <v>70671.505</v>
      </c>
      <c r="C38" s="67" t="n"/>
      <c r="D38" t="n">
        <v>54.285</v>
      </c>
      <c r="E38" s="31" t="n"/>
      <c r="F38" t="n">
        <v>104.08</v>
      </c>
      <c r="G38" s="31" t="n"/>
      <c r="H38" s="277" t="n"/>
      <c r="I38" s="65" t="n"/>
      <c r="J38" t="n">
        <v>97.09999999999999</v>
      </c>
      <c r="K38" s="31" t="n"/>
      <c r="L38" s="273" t="inlineStr">
        <is>
          <t>April 01, 2013</t>
        </is>
      </c>
      <c r="M38" s="273" t="n"/>
      <c r="N38" s="273" t="n"/>
      <c r="O38" s="273" t="n"/>
      <c r="P38" s="273" t="n"/>
      <c r="Q38" s="348" t="n"/>
    </row>
    <row r="39">
      <c r="A39" t="inlineStr">
        <is>
          <t>May 01, 2013</t>
        </is>
      </c>
      <c r="B39" t="n">
        <v>66995.0975</v>
      </c>
      <c r="C39" s="67" t="n"/>
      <c r="D39" t="n">
        <v>53.805</v>
      </c>
      <c r="E39" s="31" t="n"/>
      <c r="F39" t="n">
        <v>103.59</v>
      </c>
      <c r="G39" s="31" t="n"/>
      <c r="H39" s="277" t="n"/>
      <c r="I39" s="65" t="n"/>
      <c r="J39" t="n">
        <v>90.73999999999999</v>
      </c>
      <c r="K39" s="31" t="n"/>
      <c r="L39" s="273" t="inlineStr">
        <is>
          <t>May 01, 2013</t>
        </is>
      </c>
      <c r="M39" s="273" t="n"/>
      <c r="N39" s="273" t="n"/>
      <c r="O39" s="273" t="n"/>
      <c r="P39" s="273" t="n"/>
      <c r="Q39" s="348" t="n"/>
    </row>
    <row r="40">
      <c r="A40" t="inlineStr">
        <is>
          <t>June 01, 2013</t>
        </is>
      </c>
      <c r="B40" t="n">
        <v>66745.17249999999</v>
      </c>
      <c r="C40" s="67" t="n"/>
      <c r="D40" t="n">
        <v>56.51</v>
      </c>
      <c r="E40" s="31" t="n"/>
      <c r="F40" t="n">
        <v>101.5</v>
      </c>
      <c r="G40" s="31" t="n"/>
      <c r="H40" s="277" t="n"/>
      <c r="I40" s="65" t="n"/>
      <c r="J40" t="n">
        <v>93.41</v>
      </c>
      <c r="K40" s="31" t="n"/>
      <c r="L40" s="273" t="inlineStr">
        <is>
          <t>June 01, 2013</t>
        </is>
      </c>
      <c r="M40" s="273" t="n"/>
      <c r="N40" s="273" t="n"/>
      <c r="O40" s="273" t="n"/>
      <c r="P40" s="273" t="n"/>
      <c r="Q40" s="348" t="n"/>
    </row>
    <row r="41">
      <c r="A41" t="inlineStr">
        <is>
          <t>July 01, 2013</t>
        </is>
      </c>
      <c r="B41" t="n">
        <v>70506.75</v>
      </c>
      <c r="C41" s="67" t="n"/>
      <c r="D41" t="n">
        <v>59.385</v>
      </c>
      <c r="E41" s="31" t="n"/>
      <c r="F41" t="n">
        <v>108.43</v>
      </c>
      <c r="G41" s="31" t="n"/>
      <c r="H41" s="277" t="n"/>
      <c r="I41" s="65" t="n"/>
      <c r="J41" t="n">
        <v>97.94</v>
      </c>
      <c r="K41" s="31" t="n"/>
      <c r="L41" s="273" t="inlineStr">
        <is>
          <t>July 01, 2013</t>
        </is>
      </c>
      <c r="M41" s="273" t="n"/>
      <c r="N41" s="273" t="n"/>
      <c r="O41" s="273" t="n"/>
      <c r="P41" s="273" t="n"/>
      <c r="Q41" s="348" t="n"/>
    </row>
    <row r="42">
      <c r="A42" t="inlineStr">
        <is>
          <t>August 01, 2013</t>
        </is>
      </c>
      <c r="B42" t="n">
        <v>74827.64499999999</v>
      </c>
      <c r="C42" s="67" t="n"/>
      <c r="D42" t="n">
        <v>60.41</v>
      </c>
      <c r="E42" s="31" t="n"/>
      <c r="F42" t="n">
        <v>108.49</v>
      </c>
      <c r="G42" s="31" t="n"/>
      <c r="H42" s="277" t="n"/>
      <c r="I42" s="65" t="n"/>
      <c r="J42" t="n">
        <v>107.93</v>
      </c>
      <c r="K42" s="31" t="n"/>
      <c r="L42" s="273" t="inlineStr">
        <is>
          <t>August 01, 2013</t>
        </is>
      </c>
      <c r="M42" s="273" t="n"/>
      <c r="N42" s="273" t="n"/>
      <c r="O42" s="273" t="n"/>
      <c r="P42" s="273" t="n"/>
      <c r="Q42" s="348" t="n"/>
    </row>
    <row r="43">
      <c r="A43" t="inlineStr">
        <is>
          <t>September 01, 2013</t>
        </is>
      </c>
      <c r="B43" t="n">
        <v>80012.23999999999</v>
      </c>
      <c r="C43" s="67" t="n"/>
      <c r="D43" t="n">
        <v>65.75</v>
      </c>
      <c r="E43" s="31" t="n"/>
      <c r="F43" t="n">
        <v>112.37</v>
      </c>
      <c r="G43" s="31" t="n"/>
      <c r="H43" s="277" t="n"/>
      <c r="I43" s="65" t="n"/>
      <c r="J43" t="n">
        <v>108.67</v>
      </c>
      <c r="K43" s="31" t="n"/>
      <c r="L43" s="273" t="inlineStr">
        <is>
          <t>September 01, 2013</t>
        </is>
      </c>
      <c r="M43" s="273" t="n"/>
      <c r="N43" s="273" t="n"/>
      <c r="O43" s="273" t="n"/>
      <c r="P43" s="273" t="n"/>
      <c r="Q43" s="348" t="n"/>
    </row>
    <row r="44">
      <c r="A44" s="62" t="inlineStr">
        <is>
          <t>October 01, 2013</t>
        </is>
      </c>
      <c r="B44" s="62" t="n">
        <v>82073.53749999999</v>
      </c>
      <c r="C44" s="67" t="n"/>
      <c r="D44" t="n">
        <v>62.6</v>
      </c>
      <c r="E44" s="31" t="n"/>
      <c r="F44" s="62" t="n">
        <v>109.02</v>
      </c>
      <c r="G44" s="31" t="n"/>
      <c r="H44" s="277" t="n"/>
      <c r="I44" s="65" t="n"/>
      <c r="J44" s="62" t="n">
        <v>102.09</v>
      </c>
      <c r="K44" s="31" t="n"/>
      <c r="L44" s="63" t="inlineStr">
        <is>
          <t>October 01, 2013</t>
        </is>
      </c>
      <c r="M44" s="63" t="n"/>
      <c r="N44" s="63" t="n"/>
      <c r="O44" s="63" t="n"/>
      <c r="P44" s="273" t="n"/>
      <c r="Q44" s="360" t="n"/>
    </row>
    <row r="45">
      <c r="A45" t="inlineStr">
        <is>
          <t>November 01, 2013</t>
        </is>
      </c>
      <c r="B45" t="n">
        <v>78427.93000000001</v>
      </c>
      <c r="C45" s="67" t="n"/>
      <c r="D45" t="n">
        <v>61.51</v>
      </c>
      <c r="E45" s="31" t="n"/>
      <c r="F45" t="n">
        <v>105.76</v>
      </c>
      <c r="G45" s="31" t="n"/>
      <c r="H45" s="277" t="n"/>
      <c r="I45" s="65" t="n"/>
      <c r="J45" t="n">
        <v>94.56</v>
      </c>
      <c r="K45" s="31" t="n"/>
      <c r="L45" s="273" t="inlineStr">
        <is>
          <t>November 01, 2013</t>
        </is>
      </c>
      <c r="M45" s="273" t="n"/>
      <c r="N45" s="273" t="n"/>
      <c r="O45" s="273" t="n"/>
      <c r="P45" s="273" t="n"/>
      <c r="Q45" s="348" t="n"/>
    </row>
    <row r="46">
      <c r="A46" t="inlineStr">
        <is>
          <t>December 01, 2013</t>
        </is>
      </c>
      <c r="B46" t="n">
        <v>79031.935</v>
      </c>
      <c r="C46" s="67" t="n"/>
      <c r="D46" t="n">
        <v>62.35</v>
      </c>
      <c r="E46" s="31" t="n"/>
      <c r="F46" t="n">
        <v>108.91</v>
      </c>
      <c r="G46" s="31" t="n"/>
      <c r="H46" s="277" t="n"/>
      <c r="I46" s="65" t="n"/>
      <c r="J46" t="n">
        <v>93.61</v>
      </c>
      <c r="K46" s="31" t="n"/>
      <c r="L46" s="273" t="inlineStr">
        <is>
          <t>December 01, 2013</t>
        </is>
      </c>
      <c r="M46" s="273" t="n"/>
      <c r="N46" s="273" t="n"/>
      <c r="O46" s="273" t="n"/>
      <c r="P46" s="273" t="n"/>
      <c r="Q46" s="348" t="n"/>
    </row>
    <row r="47">
      <c r="A47" t="inlineStr">
        <is>
          <t>January 01, 2014</t>
        </is>
      </c>
      <c r="B47" t="n">
        <v>81109.5325</v>
      </c>
      <c r="C47" s="67" t="n"/>
      <c r="D47" t="n">
        <v>61.8</v>
      </c>
      <c r="E47" s="31" t="n"/>
      <c r="F47" t="n">
        <v>106.44</v>
      </c>
      <c r="G47" s="31" t="n"/>
      <c r="H47" s="277" t="n"/>
      <c r="I47" s="65" t="n"/>
      <c r="J47" t="n">
        <v>95.14</v>
      </c>
      <c r="K47" s="31" t="n"/>
      <c r="L47" s="273" t="inlineStr">
        <is>
          <t>January 01, 2014</t>
        </is>
      </c>
      <c r="M47" s="273" t="n"/>
      <c r="N47" s="273" t="n"/>
      <c r="O47" s="273" t="n"/>
      <c r="P47" s="273" t="n"/>
      <c r="Q47" s="348" t="n"/>
    </row>
    <row r="48">
      <c r="A48" t="inlineStr">
        <is>
          <t>February 01, 2014</t>
        </is>
      </c>
      <c r="B48" t="n">
        <v>78878.30499999999</v>
      </c>
      <c r="C48" s="67" t="n"/>
      <c r="D48" t="n">
        <v>62.7</v>
      </c>
      <c r="E48" s="31" t="n"/>
      <c r="F48" t="n">
        <v>110.18</v>
      </c>
      <c r="G48" s="31" t="n"/>
      <c r="H48" s="277" t="n"/>
      <c r="I48" s="65" t="n"/>
      <c r="J48" t="n">
        <v>96.44</v>
      </c>
      <c r="K48" s="31" t="n"/>
      <c r="L48" s="273" t="inlineStr">
        <is>
          <t>February 01, 2014</t>
        </is>
      </c>
      <c r="M48" s="273" t="n"/>
      <c r="N48" s="273" t="n"/>
      <c r="O48" s="273" t="n"/>
      <c r="P48" s="273" t="n"/>
      <c r="Q48" s="348" t="n"/>
    </row>
    <row r="49">
      <c r="A49" t="inlineStr">
        <is>
          <t>March 01, 2014</t>
        </is>
      </c>
      <c r="B49" t="n">
        <v>79712.8625</v>
      </c>
      <c r="C49" s="67" t="n"/>
      <c r="D49" t="n">
        <v>61.95</v>
      </c>
      <c r="E49" s="31" t="n"/>
      <c r="F49" t="n">
        <v>108.27</v>
      </c>
      <c r="G49" s="31" t="n"/>
      <c r="H49" s="277" t="n"/>
      <c r="I49" s="65" t="n"/>
      <c r="J49" t="n">
        <v>105.34</v>
      </c>
      <c r="K49" s="31" t="n"/>
      <c r="L49" s="273" t="inlineStr">
        <is>
          <t>March 01, 2014</t>
        </is>
      </c>
      <c r="M49" s="273" t="n"/>
      <c r="N49" s="273" t="n"/>
      <c r="O49" s="273" t="n"/>
      <c r="P49" s="273" t="n"/>
      <c r="Q49" s="348" t="n"/>
    </row>
    <row r="50">
      <c r="A50" t="inlineStr">
        <is>
          <t>April 01, 2014</t>
        </is>
      </c>
      <c r="B50" t="n">
        <v>76610.8625</v>
      </c>
      <c r="C50" s="67" t="n"/>
      <c r="D50" t="n">
        <v>59.85</v>
      </c>
      <c r="E50" s="31" t="n"/>
      <c r="F50" t="n">
        <v>105.83</v>
      </c>
      <c r="G50" s="31" t="n"/>
      <c r="H50" s="277" t="n"/>
      <c r="I50" s="65" t="n"/>
      <c r="J50" t="n">
        <v>99.69</v>
      </c>
      <c r="K50" s="31" t="n"/>
      <c r="L50" s="273" t="inlineStr">
        <is>
          <t>April 01, 2014</t>
        </is>
      </c>
      <c r="M50" s="273" t="n"/>
      <c r="N50" s="273" t="n"/>
      <c r="O50" s="273" t="n"/>
      <c r="P50" s="273" t="n"/>
      <c r="Q50" s="348" t="n"/>
    </row>
    <row r="51">
      <c r="A51" t="inlineStr">
        <is>
          <t>May 01, 2014</t>
        </is>
      </c>
      <c r="B51" t="n">
        <v>75796.8275</v>
      </c>
      <c r="C51" s="67" t="n"/>
      <c r="D51" t="n">
        <v>60.22</v>
      </c>
      <c r="E51" s="31" t="n"/>
      <c r="F51" t="n">
        <v>108.19</v>
      </c>
      <c r="G51" s="31" t="n"/>
      <c r="H51" s="277" t="n"/>
      <c r="I51" s="65" t="n"/>
      <c r="J51" t="n">
        <v>99.69</v>
      </c>
      <c r="K51" s="31" t="n"/>
      <c r="L51" s="273" t="inlineStr">
        <is>
          <t>May 01, 2014</t>
        </is>
      </c>
      <c r="M51" s="273" t="n"/>
      <c r="N51" s="273" t="n"/>
      <c r="O51" s="273" t="n"/>
      <c r="P51" s="273" t="n"/>
      <c r="Q51" s="348" t="n"/>
    </row>
    <row r="52">
      <c r="A52" t="inlineStr">
        <is>
          <t>June 01, 2014</t>
        </is>
      </c>
      <c r="B52" t="n">
        <v>74401.7775</v>
      </c>
      <c r="C52" s="67" t="n"/>
      <c r="D52" t="n">
        <v>59.27</v>
      </c>
      <c r="E52" s="31" t="n"/>
      <c r="F52" t="n">
        <v>109.21</v>
      </c>
      <c r="G52" s="31" t="n"/>
      <c r="H52" s="277" t="n"/>
      <c r="I52" s="65" t="n"/>
      <c r="J52" t="n">
        <v>103.07</v>
      </c>
      <c r="K52" s="31" t="n"/>
      <c r="L52" s="273" t="inlineStr">
        <is>
          <t>June 01, 2014</t>
        </is>
      </c>
      <c r="M52" s="273" t="n"/>
      <c r="N52" s="273" t="n"/>
      <c r="O52" s="273" t="n"/>
      <c r="P52" s="273" t="n"/>
      <c r="Q52" s="348" t="n"/>
    </row>
    <row r="53">
      <c r="A53" t="inlineStr">
        <is>
          <t>July 01, 2014</t>
        </is>
      </c>
      <c r="B53" t="n">
        <v>74794.07000000001</v>
      </c>
      <c r="C53" s="67" t="n"/>
      <c r="D53" t="n">
        <v>60.1</v>
      </c>
      <c r="E53" s="31" t="n"/>
      <c r="F53" t="n">
        <v>107.65</v>
      </c>
      <c r="G53" s="31" t="n"/>
      <c r="H53" s="277" t="n"/>
      <c r="I53" s="65" t="n"/>
      <c r="J53" t="n">
        <v>106.06</v>
      </c>
      <c r="K53" s="31" t="n"/>
      <c r="L53" s="273" t="inlineStr">
        <is>
          <t>July 01, 2014</t>
        </is>
      </c>
      <c r="M53" s="273" t="n"/>
      <c r="N53" s="273" t="n"/>
      <c r="O53" s="273" t="n"/>
      <c r="P53" s="273" t="n"/>
      <c r="Q53" s="348" t="n"/>
    </row>
    <row r="54">
      <c r="A54" t="inlineStr">
        <is>
          <t>August 01, 2014</t>
        </is>
      </c>
      <c r="B54" t="n">
        <v>74690.465</v>
      </c>
      <c r="C54" s="67" t="n"/>
      <c r="D54" t="n">
        <v>60.75</v>
      </c>
      <c r="E54" s="31" t="n"/>
      <c r="F54" t="n">
        <v>104.02</v>
      </c>
      <c r="G54" s="31" t="n"/>
      <c r="H54" s="277" t="n"/>
      <c r="I54" s="65" t="n"/>
      <c r="J54" t="n">
        <v>97.86</v>
      </c>
      <c r="K54" s="31" t="n"/>
      <c r="L54" s="273" t="inlineStr">
        <is>
          <t>August 01, 2014</t>
        </is>
      </c>
      <c r="M54" s="273" t="n"/>
      <c r="N54" s="273" t="n"/>
      <c r="O54" s="273" t="n"/>
      <c r="P54" s="273" t="n"/>
      <c r="Q54" s="348" t="n"/>
    </row>
    <row r="55">
      <c r="A55" t="inlineStr">
        <is>
          <t>September 01, 2014</t>
        </is>
      </c>
      <c r="B55" t="n">
        <v>74248.495</v>
      </c>
      <c r="C55" s="67" t="n"/>
      <c r="D55" t="n">
        <v>60.5</v>
      </c>
      <c r="E55" s="31" t="n"/>
      <c r="F55" t="n">
        <v>99.53</v>
      </c>
      <c r="G55" s="31" t="n"/>
      <c r="H55" s="277" t="n"/>
      <c r="I55" s="65" t="n"/>
      <c r="J55" t="n">
        <v>92.92</v>
      </c>
      <c r="K55" s="31" t="n"/>
      <c r="L55" s="273" t="inlineStr">
        <is>
          <t>September 01, 2014</t>
        </is>
      </c>
      <c r="M55" s="273" t="n"/>
      <c r="N55" s="273" t="n"/>
      <c r="O55" s="273" t="n"/>
      <c r="P55" s="273" t="n"/>
      <c r="Q55" s="348" t="n"/>
    </row>
    <row r="56">
      <c r="A56" t="inlineStr">
        <is>
          <t>October 01, 2014</t>
        </is>
      </c>
      <c r="B56" t="n">
        <v>72071.14999999999</v>
      </c>
      <c r="C56" s="67" t="n"/>
      <c r="D56" t="n">
        <v>61.95</v>
      </c>
      <c r="E56" s="31" t="n"/>
      <c r="F56" t="n">
        <v>90.90000000000001</v>
      </c>
      <c r="G56" s="31" t="n"/>
      <c r="H56" s="277" t="n"/>
      <c r="I56" s="65" t="n"/>
      <c r="J56" t="n">
        <v>90.73999999999999</v>
      </c>
      <c r="K56" s="31" t="n"/>
      <c r="L56" s="273" t="inlineStr">
        <is>
          <t>October 01, 2014</t>
        </is>
      </c>
      <c r="M56" s="273" t="n"/>
      <c r="N56" s="273" t="n"/>
      <c r="O56" s="273" t="n"/>
      <c r="P56" s="273" t="n"/>
      <c r="Q56" s="348" t="n"/>
    </row>
    <row r="57">
      <c r="A57" t="inlineStr">
        <is>
          <t>November 01, 2014</t>
        </is>
      </c>
      <c r="B57" t="n">
        <v>66899.7975</v>
      </c>
      <c r="C57" s="67" t="n"/>
      <c r="D57" t="n">
        <v>61.5</v>
      </c>
      <c r="E57" s="31" t="n"/>
      <c r="F57" t="n">
        <v>83.2</v>
      </c>
      <c r="G57" s="31" t="n"/>
      <c r="H57" s="277" t="n"/>
      <c r="I57" s="65" t="n"/>
      <c r="J57" t="n">
        <v>78.77</v>
      </c>
      <c r="K57" s="31" t="n"/>
      <c r="L57" s="273" t="inlineStr">
        <is>
          <t>November 01, 2014</t>
        </is>
      </c>
      <c r="M57" s="273" t="n"/>
      <c r="N57" s="273" t="n"/>
      <c r="O57" s="273" t="n"/>
      <c r="P57" s="273" t="n"/>
      <c r="Q57" s="348" t="n"/>
    </row>
    <row r="58">
      <c r="A58" s="62" t="inlineStr">
        <is>
          <t>December 01, 2014</t>
        </is>
      </c>
      <c r="B58" s="62" t="n">
        <v>64145</v>
      </c>
      <c r="C58" s="67" t="n"/>
      <c r="D58" t="n">
        <v>62.25</v>
      </c>
      <c r="E58" s="31" t="n"/>
      <c r="F58" s="62" t="n">
        <v>68</v>
      </c>
      <c r="G58" s="31" t="n"/>
      <c r="H58" s="277" t="n"/>
      <c r="I58" s="65" t="n"/>
      <c r="J58" s="62" t="n">
        <v>68.98</v>
      </c>
      <c r="K58" s="31" t="n"/>
      <c r="L58" s="63" t="inlineStr">
        <is>
          <t>December 01, 2014</t>
        </is>
      </c>
      <c r="M58" s="63" t="n"/>
      <c r="N58" s="63" t="n"/>
      <c r="O58" s="63" t="n"/>
      <c r="P58" s="273" t="n"/>
      <c r="Q58" s="360" t="n"/>
    </row>
    <row r="59">
      <c r="A59" t="inlineStr">
        <is>
          <t>January 01, 2015</t>
        </is>
      </c>
      <c r="B59" t="n">
        <v>56316.75</v>
      </c>
      <c r="C59" s="67" t="n"/>
      <c r="D59" t="n">
        <v>63.17</v>
      </c>
      <c r="E59" s="31" t="n"/>
      <c r="F59" t="n">
        <v>49.43</v>
      </c>
      <c r="G59" s="31" t="n"/>
      <c r="H59" s="277" t="n"/>
      <c r="I59" s="65" t="n"/>
      <c r="J59" t="n">
        <v>53.45</v>
      </c>
      <c r="K59" s="31" t="n"/>
      <c r="L59" s="273" t="inlineStr">
        <is>
          <t>January 01, 2015</t>
        </is>
      </c>
      <c r="M59" s="273" t="n"/>
      <c r="N59" s="273" t="n"/>
      <c r="O59" s="273" t="n"/>
      <c r="P59" s="273" t="n"/>
      <c r="Q59" s="348" t="n"/>
    </row>
    <row r="60">
      <c r="A60" t="inlineStr">
        <is>
          <t>February 01, 2015</t>
        </is>
      </c>
      <c r="B60" t="n">
        <v>50207.86</v>
      </c>
      <c r="C60" s="67" t="n"/>
      <c r="D60" t="n">
        <v>62</v>
      </c>
      <c r="E60" s="31" t="n"/>
      <c r="F60" t="n">
        <v>57</v>
      </c>
      <c r="G60" s="31" t="n"/>
      <c r="H60" s="277" t="n"/>
      <c r="I60" s="65" t="n"/>
      <c r="J60" t="n">
        <v>49.25</v>
      </c>
      <c r="K60" s="31" t="n"/>
      <c r="L60" s="273" t="inlineStr">
        <is>
          <t>February 01, 2015</t>
        </is>
      </c>
      <c r="M60" s="273" t="n"/>
      <c r="N60" s="273" t="n"/>
      <c r="O60" s="273" t="n"/>
      <c r="P60" s="273" t="n"/>
      <c r="Q60" s="348" t="n"/>
    </row>
    <row r="61">
      <c r="A61" t="inlineStr">
        <is>
          <t>March 01, 2015</t>
        </is>
      </c>
      <c r="B61" t="n">
        <v>54223</v>
      </c>
      <c r="C61" s="67" t="n"/>
      <c r="D61" t="n">
        <v>61.9</v>
      </c>
      <c r="E61" s="31" t="n"/>
      <c r="F61" t="n">
        <v>59.15</v>
      </c>
      <c r="G61" s="31" t="n"/>
      <c r="H61" s="277" t="n"/>
      <c r="I61" s="65" t="n"/>
      <c r="J61" t="n">
        <v>49.59</v>
      </c>
      <c r="K61" s="31" t="n"/>
      <c r="L61" s="273" t="inlineStr">
        <is>
          <t>March 01, 2015</t>
        </is>
      </c>
      <c r="M61" s="273" t="n"/>
      <c r="N61" s="273" t="n"/>
      <c r="O61" s="273" t="n"/>
      <c r="P61" s="273" t="n"/>
      <c r="Q61" s="348" t="n"/>
    </row>
    <row r="62">
      <c r="A62" t="inlineStr">
        <is>
          <t>April 01, 2015</t>
        </is>
      </c>
      <c r="B62" t="n">
        <v>53280.5</v>
      </c>
      <c r="C62" s="67" t="n"/>
      <c r="D62" t="n">
        <v>62.04</v>
      </c>
      <c r="E62" s="31" t="n"/>
      <c r="F62" t="n">
        <v>57.55</v>
      </c>
      <c r="G62" s="31" t="n"/>
      <c r="H62" s="277" t="n"/>
      <c r="I62" s="65" t="n"/>
      <c r="J62" t="n">
        <v>50.12</v>
      </c>
      <c r="K62" s="31" t="n"/>
      <c r="L62" s="273" t="inlineStr">
        <is>
          <t>April 01, 2015</t>
        </is>
      </c>
      <c r="M62" s="273" t="n"/>
      <c r="N62" s="273" t="n"/>
      <c r="O62" s="273" t="n"/>
      <c r="P62" s="273" t="n"/>
      <c r="Q62" s="348" t="n"/>
    </row>
    <row r="63">
      <c r="A63" t="inlineStr">
        <is>
          <t>May 01, 2015</t>
        </is>
      </c>
      <c r="B63" t="n">
        <v>53589.1825</v>
      </c>
      <c r="C63" s="67" t="n"/>
      <c r="D63" t="n">
        <v>63.54</v>
      </c>
      <c r="E63" s="31" t="n"/>
      <c r="F63" t="n">
        <v>64.93000000000001</v>
      </c>
      <c r="G63" s="31" t="n"/>
      <c r="H63" s="277" t="n"/>
      <c r="I63" s="65" t="n"/>
      <c r="J63" t="n">
        <v>59.1</v>
      </c>
      <c r="K63" s="31" t="n"/>
      <c r="L63" s="273" t="inlineStr">
        <is>
          <t>May 01, 2015</t>
        </is>
      </c>
      <c r="M63" s="273" t="n"/>
      <c r="N63" s="273" t="n"/>
      <c r="O63" s="273" t="n"/>
      <c r="P63" s="273" t="n"/>
      <c r="Q63" s="348" t="n"/>
    </row>
    <row r="64">
      <c r="A64" t="inlineStr">
        <is>
          <t>June 01, 2015</t>
        </is>
      </c>
      <c r="B64" t="n">
        <v>57433.275</v>
      </c>
      <c r="C64" s="67" t="n"/>
      <c r="D64" t="n">
        <v>63.8</v>
      </c>
      <c r="E64" s="31" t="n"/>
      <c r="F64" t="n">
        <v>60.36</v>
      </c>
      <c r="G64" s="31" t="n"/>
      <c r="H64" s="277" t="n"/>
      <c r="I64" s="65" t="n"/>
      <c r="J64" t="n">
        <v>60.24</v>
      </c>
      <c r="K64" s="31" t="n"/>
      <c r="L64" s="273" t="inlineStr">
        <is>
          <t>June 01, 2015</t>
        </is>
      </c>
      <c r="M64" s="273" t="n"/>
      <c r="N64" s="273" t="n"/>
      <c r="O64" s="273" t="n"/>
      <c r="P64" s="273" t="n"/>
      <c r="Q64" s="348" t="n"/>
    </row>
    <row r="65">
      <c r="A65" t="inlineStr">
        <is>
          <t>July 01, 2015</t>
        </is>
      </c>
      <c r="B65" t="n">
        <v>55291.01</v>
      </c>
      <c r="C65" s="67" t="n"/>
      <c r="D65" t="n">
        <v>63.66</v>
      </c>
      <c r="E65" s="31" t="n"/>
      <c r="F65" t="n">
        <v>54.72</v>
      </c>
      <c r="G65" s="31" t="n"/>
      <c r="H65" s="277" t="n"/>
      <c r="I65" s="65" t="n"/>
      <c r="J65" t="n">
        <v>56.94</v>
      </c>
      <c r="K65" s="31" t="n"/>
      <c r="L65" s="273" t="inlineStr">
        <is>
          <t>July 01, 2015</t>
        </is>
      </c>
      <c r="M65" s="273" t="n"/>
      <c r="N65" s="273" t="n"/>
      <c r="O65" s="273" t="n"/>
      <c r="P65" s="273" t="n"/>
      <c r="Q65" s="348" t="n"/>
    </row>
    <row r="66">
      <c r="A66" t="inlineStr">
        <is>
          <t>August 01, 2015</t>
        </is>
      </c>
      <c r="B66" t="n">
        <v>50204.425</v>
      </c>
      <c r="C66" s="67" t="n"/>
      <c r="D66" t="n">
        <v>64.01000000000001</v>
      </c>
      <c r="E66" s="31" t="n"/>
      <c r="F66" t="n">
        <v>47.54</v>
      </c>
      <c r="G66" s="31" t="n"/>
      <c r="H66" s="277" t="n"/>
      <c r="I66" s="65" t="n"/>
      <c r="J66" t="n">
        <v>45.25</v>
      </c>
      <c r="K66" s="31" t="n"/>
      <c r="L66" s="273" t="inlineStr">
        <is>
          <t>August 01, 2015</t>
        </is>
      </c>
      <c r="M66" s="273" t="n"/>
      <c r="N66" s="273" t="n"/>
      <c r="O66" s="273" t="n"/>
      <c r="P66" s="273" t="n"/>
      <c r="Q66" s="348" t="n"/>
    </row>
    <row r="67">
      <c r="A67" t="inlineStr">
        <is>
          <t>September 01, 2015</t>
        </is>
      </c>
      <c r="B67" t="n">
        <v>44388.0575</v>
      </c>
      <c r="C67" s="67" t="n"/>
      <c r="D67" t="n">
        <v>66.45</v>
      </c>
      <c r="E67" s="31" t="n"/>
      <c r="F67" t="n">
        <v>46.42</v>
      </c>
      <c r="G67" s="31" t="n"/>
      <c r="H67" s="277" t="n"/>
      <c r="I67" s="65" t="n"/>
      <c r="J67" t="n">
        <v>45.38</v>
      </c>
      <c r="K67" s="31" t="n"/>
      <c r="L67" s="273" t="inlineStr">
        <is>
          <t>September 01, 2015</t>
        </is>
      </c>
      <c r="M67" s="273" t="n"/>
      <c r="N67" s="273" t="n"/>
      <c r="O67" s="273" t="n"/>
      <c r="P67" s="273" t="n"/>
      <c r="Q67" s="348" t="n"/>
    </row>
    <row r="68">
      <c r="A68" t="inlineStr">
        <is>
          <t>October 01, 2015</t>
        </is>
      </c>
      <c r="B68" t="n">
        <v>46716.475</v>
      </c>
      <c r="C68" s="67" t="n"/>
      <c r="D68" t="n">
        <v>65.58</v>
      </c>
      <c r="E68" s="31" t="n"/>
      <c r="F68" t="n">
        <v>51.66</v>
      </c>
      <c r="G68" s="31" t="n"/>
      <c r="H68" s="277" t="n"/>
      <c r="I68" s="65" t="n"/>
      <c r="J68" t="n">
        <v>44.75</v>
      </c>
      <c r="K68" s="31" t="n"/>
      <c r="L68" s="273" t="inlineStr">
        <is>
          <t>October 01, 2015</t>
        </is>
      </c>
      <c r="M68" s="273" t="n"/>
      <c r="N68" s="273" t="n"/>
      <c r="O68" s="273" t="n"/>
      <c r="P68" s="273" t="n"/>
      <c r="Q68" s="348" t="n"/>
    </row>
    <row r="69">
      <c r="A69" t="inlineStr">
        <is>
          <t>November 01, 2015</t>
        </is>
      </c>
      <c r="B69" t="n">
        <v>46493.61</v>
      </c>
      <c r="C69" s="67" t="n"/>
      <c r="D69" t="n">
        <v>65.38</v>
      </c>
      <c r="E69" s="31" t="n"/>
      <c r="F69" t="n">
        <v>46.09</v>
      </c>
      <c r="G69" s="31" t="n"/>
      <c r="H69" s="277" t="n"/>
      <c r="I69" s="65" t="n"/>
      <c r="J69" t="n">
        <v>46.12</v>
      </c>
      <c r="K69" s="31" t="n"/>
      <c r="L69" s="273" t="inlineStr">
        <is>
          <t>November 01, 2015</t>
        </is>
      </c>
      <c r="M69" s="273" t="n"/>
      <c r="N69" s="273" t="n"/>
      <c r="O69" s="273" t="n"/>
      <c r="P69" s="273" t="n"/>
      <c r="Q69" s="348" t="n"/>
    </row>
    <row r="70">
      <c r="A70" s="62" t="inlineStr">
        <is>
          <t>December 01, 2015</t>
        </is>
      </c>
      <c r="B70" s="62" t="n">
        <v>46406.12</v>
      </c>
      <c r="C70" s="67" t="n"/>
      <c r="D70" t="n">
        <v>66.52</v>
      </c>
      <c r="E70" s="31" t="n"/>
      <c r="F70" s="62" t="n">
        <v>39.69</v>
      </c>
      <c r="G70" s="31" t="n"/>
      <c r="H70" s="277" t="n"/>
      <c r="I70" s="65" t="n"/>
      <c r="J70" s="62" t="n">
        <v>40.58</v>
      </c>
      <c r="K70" s="31" t="n"/>
      <c r="L70" s="63" t="inlineStr">
        <is>
          <t>December 01, 2015</t>
        </is>
      </c>
      <c r="M70" s="63" t="n"/>
      <c r="N70" s="63" t="n"/>
      <c r="O70" s="63" t="n"/>
      <c r="P70" s="273" t="n"/>
      <c r="Q70" s="360" t="n"/>
    </row>
    <row r="71">
      <c r="A71" t="inlineStr">
        <is>
          <t>January 01, 2016</t>
        </is>
      </c>
      <c r="B71" t="n">
        <v>41922.23</v>
      </c>
      <c r="C71" s="67" t="n"/>
      <c r="D71" t="n">
        <v>66.18000000000001</v>
      </c>
      <c r="E71" s="31" t="n"/>
      <c r="F71" t="n">
        <v>33.57</v>
      </c>
      <c r="G71" s="31" t="n"/>
      <c r="H71" s="277" t="n"/>
      <c r="I71" s="65" t="n"/>
      <c r="J71" t="n">
        <v>37.13</v>
      </c>
      <c r="K71" s="31" t="n"/>
      <c r="L71" s="273" t="inlineStr">
        <is>
          <t>January 01, 2016</t>
        </is>
      </c>
      <c r="M71" s="273" t="n"/>
      <c r="N71" s="273" t="n"/>
      <c r="O71" s="273" t="n"/>
      <c r="P71" s="273" t="n"/>
      <c r="Q71" s="348" t="n"/>
    </row>
    <row r="72">
      <c r="A72" t="inlineStr">
        <is>
          <t>February 01,2016</t>
        </is>
      </c>
      <c r="B72" t="n">
        <v>37121.7925</v>
      </c>
      <c r="C72" s="67" t="n"/>
      <c r="D72" t="n">
        <v>67.77</v>
      </c>
      <c r="E72" s="31" t="n"/>
      <c r="F72" t="n">
        <v>32.76</v>
      </c>
      <c r="G72" s="31" t="n"/>
      <c r="H72" s="277" t="n"/>
      <c r="I72" s="65" t="n"/>
      <c r="J72" t="n">
        <v>31.62</v>
      </c>
      <c r="K72" s="31" t="n"/>
      <c r="L72" s="273" t="inlineStr">
        <is>
          <t>February 01,2016</t>
        </is>
      </c>
      <c r="M72" s="273" t="n"/>
      <c r="N72" s="273" t="n"/>
      <c r="O72" s="273" t="n"/>
      <c r="P72" s="273" t="n"/>
      <c r="Q72" s="348" t="n"/>
    </row>
    <row r="73">
      <c r="A73" t="inlineStr">
        <is>
          <t>March 01,2016</t>
        </is>
      </c>
      <c r="B73" t="n">
        <v>41439.265</v>
      </c>
      <c r="C73" s="67" t="n"/>
      <c r="D73" t="n">
        <v>68.27</v>
      </c>
      <c r="E73" s="31" t="n"/>
      <c r="F73" t="n">
        <v>37.61</v>
      </c>
      <c r="G73" s="31" t="n"/>
      <c r="H73" s="277" t="n"/>
      <c r="I73" s="65" t="n"/>
      <c r="J73" t="n">
        <v>34.39</v>
      </c>
      <c r="K73" s="31" t="n"/>
      <c r="L73" s="273" t="inlineStr">
        <is>
          <t>March 01,2016</t>
        </is>
      </c>
      <c r="M73" s="273" t="n"/>
      <c r="N73" s="273" t="n"/>
      <c r="O73" s="273" t="n"/>
      <c r="P73" s="273" t="n"/>
      <c r="Q73" s="348" t="n"/>
    </row>
    <row r="74">
      <c r="A74" t="inlineStr">
        <is>
          <t>April 01,2016</t>
        </is>
      </c>
      <c r="B74" t="n">
        <v>43960.28999999999</v>
      </c>
      <c r="C74" s="67" t="n"/>
      <c r="D74" t="n">
        <v>66.3</v>
      </c>
      <c r="E74" s="31" t="n"/>
      <c r="F74" t="n">
        <v>37.77</v>
      </c>
      <c r="G74" s="31" t="n"/>
      <c r="H74" s="277" t="n"/>
      <c r="I74" s="65" t="n"/>
      <c r="J74" t="n">
        <v>35.36</v>
      </c>
      <c r="K74" s="31" t="n"/>
      <c r="L74" s="273" t="inlineStr">
        <is>
          <t>April 01,2016</t>
        </is>
      </c>
      <c r="M74" s="273" t="n"/>
      <c r="N74" s="273" t="n"/>
      <c r="O74" s="273" t="n"/>
      <c r="P74" s="273" t="n"/>
      <c r="Q74" s="348" t="n"/>
    </row>
    <row r="75">
      <c r="A75" t="inlineStr">
        <is>
          <t>May 01,2016</t>
        </is>
      </c>
      <c r="B75" t="n">
        <v>44362.0425</v>
      </c>
      <c r="C75" s="67" t="n"/>
      <c r="D75" t="n">
        <v>66.41</v>
      </c>
      <c r="E75" s="31" t="n"/>
      <c r="F75" t="n">
        <v>44.39</v>
      </c>
      <c r="G75" s="31" t="n"/>
      <c r="H75" s="277" t="n"/>
      <c r="I75" s="65" t="n"/>
      <c r="J75" t="n">
        <v>44.75</v>
      </c>
      <c r="K75" s="31" t="n"/>
      <c r="L75" s="273" t="inlineStr">
        <is>
          <t>May 01,2016</t>
        </is>
      </c>
      <c r="M75" s="273" t="n"/>
      <c r="N75" s="273" t="n"/>
      <c r="O75" s="273" t="n"/>
      <c r="P75" s="273" t="n"/>
      <c r="Q75" s="348" t="n"/>
    </row>
    <row r="76">
      <c r="A76" t="inlineStr">
        <is>
          <t>June 01,2016</t>
        </is>
      </c>
      <c r="B76" t="n">
        <v>48331.79750000001</v>
      </c>
      <c r="C76" s="67" t="n"/>
      <c r="D76" t="n">
        <v>67.23999999999999</v>
      </c>
      <c r="E76" s="31" t="n"/>
      <c r="F76" t="n">
        <v>48.94</v>
      </c>
      <c r="G76" s="31" t="n"/>
      <c r="H76" s="277" t="n"/>
      <c r="I76" s="65" t="n"/>
      <c r="J76" t="n">
        <v>49.07</v>
      </c>
      <c r="K76" s="31" t="n"/>
      <c r="L76" s="273" t="inlineStr">
        <is>
          <t>June 01,2016</t>
        </is>
      </c>
      <c r="M76" s="273" t="n"/>
      <c r="N76" s="273" t="n"/>
      <c r="O76" s="273" t="n"/>
      <c r="P76" s="273" t="n"/>
      <c r="Q76" s="348" t="n"/>
    </row>
    <row r="77">
      <c r="A77" t="inlineStr">
        <is>
          <t>July 01,2016</t>
        </is>
      </c>
      <c r="B77" t="n">
        <v>50958.6975</v>
      </c>
      <c r="C77" s="67" t="n"/>
      <c r="D77" t="n">
        <v>67.5</v>
      </c>
      <c r="E77" s="31" t="n"/>
      <c r="F77" t="n">
        <v>45.7</v>
      </c>
      <c r="G77" s="31" t="n"/>
      <c r="H77" s="277" t="n"/>
      <c r="I77" s="65" t="n"/>
      <c r="J77" t="n">
        <v>49.02</v>
      </c>
      <c r="K77" s="31" t="n"/>
      <c r="L77" s="273" t="inlineStr">
        <is>
          <t>July 01,2016</t>
        </is>
      </c>
      <c r="M77" s="273" t="n"/>
      <c r="N77" s="273" t="n"/>
      <c r="O77" s="273" t="n"/>
      <c r="P77" s="273" t="n"/>
      <c r="Q77" s="348" t="n"/>
    </row>
    <row r="78">
      <c r="A78" t="inlineStr">
        <is>
          <t>August 01,2016</t>
        </is>
      </c>
      <c r="B78" t="n">
        <v>48882.4375</v>
      </c>
      <c r="C78" s="67" t="n"/>
      <c r="D78" t="n">
        <v>66.8</v>
      </c>
      <c r="E78" s="31" t="n"/>
      <c r="F78" t="n">
        <v>40.45</v>
      </c>
      <c r="G78" s="31" t="n"/>
      <c r="H78" s="277" t="n"/>
      <c r="I78" s="65" t="n"/>
      <c r="J78" t="n">
        <v>40.05</v>
      </c>
      <c r="K78" s="31" t="n"/>
      <c r="L78" s="273" t="inlineStr">
        <is>
          <t>August 01,2016</t>
        </is>
      </c>
      <c r="M78" s="273" t="n"/>
      <c r="N78" s="273" t="n"/>
      <c r="O78" s="273" t="n"/>
      <c r="P78" s="273" t="n"/>
      <c r="Q78" s="348" t="n"/>
    </row>
    <row r="79">
      <c r="A79" t="inlineStr">
        <is>
          <t>September 01,2016</t>
        </is>
      </c>
      <c r="B79" t="n">
        <v>47050.97</v>
      </c>
      <c r="C79" s="67" t="n"/>
      <c r="D79" t="n">
        <v>66.84999999999999</v>
      </c>
      <c r="E79" s="31" t="n"/>
      <c r="F79" t="n">
        <v>46.72</v>
      </c>
      <c r="G79" s="31" t="n"/>
      <c r="H79" s="277" t="n"/>
      <c r="I79" s="65" t="n"/>
      <c r="J79" t="n">
        <v>43.17</v>
      </c>
      <c r="K79" s="31" t="n"/>
      <c r="L79" s="273" t="inlineStr">
        <is>
          <t>September 01,2016</t>
        </is>
      </c>
      <c r="M79" s="273" t="n"/>
      <c r="N79" s="273" t="n"/>
      <c r="O79" s="273" t="n"/>
      <c r="P79" s="273" t="n"/>
      <c r="Q79" s="348" t="n"/>
    </row>
    <row r="80">
      <c r="A80" t="inlineStr">
        <is>
          <t>October 01,2016</t>
        </is>
      </c>
      <c r="B80" t="n">
        <v>48442.3075</v>
      </c>
      <c r="C80" s="67" t="n"/>
      <c r="D80" t="n">
        <v>66.54000000000001</v>
      </c>
      <c r="E80" s="31" t="n"/>
      <c r="F80" t="n">
        <v>49.57</v>
      </c>
      <c r="G80" s="31" t="n"/>
      <c r="H80" s="277" t="n"/>
      <c r="I80" s="65" t="n"/>
      <c r="J80" t="n">
        <v>48.8</v>
      </c>
      <c r="K80" s="31" t="n"/>
      <c r="L80" s="273" t="inlineStr">
        <is>
          <t>October 01,2016</t>
        </is>
      </c>
      <c r="M80" s="273" t="n"/>
      <c r="N80" s="273" t="n"/>
      <c r="O80" s="273" t="n"/>
      <c r="P80" s="273" t="n"/>
      <c r="Q80" s="348" t="n"/>
    </row>
    <row r="81">
      <c r="A81" t="inlineStr">
        <is>
          <t>November 01,2016</t>
        </is>
      </c>
      <c r="B81" t="n">
        <v>51901.2025</v>
      </c>
      <c r="C81" s="67" t="n"/>
      <c r="D81" t="n">
        <v>66.72</v>
      </c>
      <c r="E81" s="31" t="n"/>
      <c r="F81" t="n">
        <v>43.06</v>
      </c>
      <c r="G81" s="31" t="n"/>
      <c r="H81" s="277" t="n"/>
      <c r="I81" s="65" t="n"/>
      <c r="J81" t="n">
        <v>46.66</v>
      </c>
      <c r="K81" s="31" t="n"/>
      <c r="L81" s="273" t="inlineStr">
        <is>
          <t>November 01,2016</t>
        </is>
      </c>
      <c r="M81" s="273" t="n"/>
      <c r="N81" s="273" t="n"/>
      <c r="O81" s="273" t="n"/>
      <c r="P81" s="273" t="n"/>
      <c r="Q81" s="348" t="n"/>
    </row>
    <row r="82">
      <c r="A82" t="inlineStr">
        <is>
          <t>December 01,2016</t>
        </is>
      </c>
      <c r="B82" t="n">
        <v>49998.025</v>
      </c>
      <c r="C82" s="67" t="n"/>
      <c r="D82" t="n">
        <v>68.52</v>
      </c>
      <c r="E82" s="31" t="n"/>
      <c r="F82" t="n">
        <v>52.31</v>
      </c>
      <c r="G82" s="31" t="n"/>
      <c r="H82" s="277" t="n"/>
      <c r="I82" s="65" t="n"/>
      <c r="J82" t="n">
        <v>51.08</v>
      </c>
      <c r="K82" s="31" t="n"/>
      <c r="L82" s="273" t="inlineStr">
        <is>
          <t>December 01,2016</t>
        </is>
      </c>
      <c r="M82" s="273" t="n"/>
      <c r="N82" s="273" t="n"/>
      <c r="O82" s="273" t="n"/>
      <c r="P82" s="273" t="n"/>
      <c r="Q82" s="348" t="n"/>
    </row>
    <row r="83">
      <c r="A83" t="inlineStr">
        <is>
          <t>January 01, 2017</t>
        </is>
      </c>
      <c r="B83" t="n">
        <v>54213.9175</v>
      </c>
      <c r="C83" s="67" t="n"/>
      <c r="D83" t="n">
        <v>67.95</v>
      </c>
      <c r="E83" s="31" t="n"/>
      <c r="F83" t="n">
        <v>55.9</v>
      </c>
      <c r="G83" s="31" t="n"/>
      <c r="H83" s="277" t="n"/>
      <c r="I83" s="65" t="n"/>
      <c r="J83" t="n">
        <v>52.36</v>
      </c>
      <c r="K83" s="31" t="n"/>
      <c r="L83" s="273" t="inlineStr">
        <is>
          <t>January 01, 2017</t>
        </is>
      </c>
      <c r="M83" s="273" t="n"/>
      <c r="N83" s="273" t="n"/>
      <c r="O83" s="273" t="n"/>
      <c r="P83" s="273" t="n"/>
      <c r="Q83" s="348" t="n"/>
    </row>
    <row r="84">
      <c r="A84" t="inlineStr">
        <is>
          <t>February 01,2017</t>
        </is>
      </c>
      <c r="B84" t="n">
        <v>55817.3925</v>
      </c>
      <c r="C84" s="67" t="n"/>
      <c r="D84" t="n">
        <v>67.62</v>
      </c>
      <c r="E84" s="31" t="n"/>
      <c r="F84" t="n">
        <v>55.92</v>
      </c>
      <c r="G84" s="31" t="n"/>
      <c r="H84" s="277" t="n"/>
      <c r="I84" s="65" t="n"/>
      <c r="J84" t="n">
        <v>53.9</v>
      </c>
      <c r="K84" s="31" t="n"/>
      <c r="L84" s="273" t="inlineStr">
        <is>
          <t>February 01,2017</t>
        </is>
      </c>
      <c r="M84" s="273" t="n"/>
      <c r="N84" s="273" t="n"/>
      <c r="O84" s="273" t="n"/>
      <c r="P84" s="273" t="n"/>
      <c r="Q84" s="348" t="n"/>
    </row>
    <row r="85">
      <c r="A85" t="inlineStr">
        <is>
          <t>March 01,2017</t>
        </is>
      </c>
      <c r="B85" t="n">
        <v>56104.89999999999</v>
      </c>
      <c r="C85" s="67" t="n"/>
      <c r="D85" t="n">
        <v>66.72750000000001</v>
      </c>
      <c r="E85" s="31" t="n"/>
      <c r="F85" t="n">
        <v>54.16</v>
      </c>
      <c r="G85" s="31" t="n"/>
      <c r="H85" s="277" t="n"/>
      <c r="I85" s="65" t="n"/>
      <c r="J85" t="n">
        <v>53.82</v>
      </c>
      <c r="K85" s="31" t="n"/>
      <c r="L85" s="273" t="inlineStr">
        <is>
          <t>March 01,2017</t>
        </is>
      </c>
      <c r="M85" s="273" t="n"/>
      <c r="N85" s="273" t="n"/>
      <c r="O85" s="273" t="n"/>
      <c r="P85" s="273" t="n"/>
      <c r="Q85" s="348" t="n"/>
    </row>
    <row r="86">
      <c r="A86" t="inlineStr">
        <is>
          <t>April 01, 2017</t>
        </is>
      </c>
      <c r="B86" t="n">
        <v>53242.5</v>
      </c>
      <c r="C86" s="67" t="n"/>
      <c r="D86" t="n">
        <v>64.80500000000001</v>
      </c>
      <c r="E86" s="31" t="n"/>
      <c r="F86" t="n">
        <v>53.08</v>
      </c>
      <c r="G86" s="31" t="n"/>
      <c r="H86" s="277" t="n"/>
      <c r="I86" s="65" t="n"/>
      <c r="J86" t="n">
        <v>50.25</v>
      </c>
      <c r="K86" s="31" t="n"/>
      <c r="L86" s="273" t="inlineStr">
        <is>
          <t>April 01, 2017</t>
        </is>
      </c>
      <c r="M86" s="273" t="n"/>
      <c r="N86" s="273" t="n"/>
      <c r="O86" s="273" t="n"/>
      <c r="P86" s="273" t="n"/>
      <c r="Q86" s="348" t="n"/>
    </row>
    <row r="87">
      <c r="A87" t="inlineStr">
        <is>
          <t>May 01, 2017</t>
        </is>
      </c>
      <c r="B87" t="n">
        <v>53435.25</v>
      </c>
      <c r="C87" s="67" t="n"/>
      <c r="D87" t="n">
        <v>64.185</v>
      </c>
      <c r="E87" s="31" t="n"/>
      <c r="F87" t="n">
        <v>49.31</v>
      </c>
      <c r="G87" s="31" t="n"/>
      <c r="H87" s="277" t="n"/>
      <c r="I87" s="65" t="n"/>
      <c r="J87" t="n">
        <v>48.83</v>
      </c>
      <c r="K87" s="31" t="n"/>
      <c r="L87" s="273" t="inlineStr">
        <is>
          <t>May 01, 2017</t>
        </is>
      </c>
      <c r="M87" s="273" t="n"/>
      <c r="N87" s="273" t="n"/>
      <c r="O87" s="273" t="n"/>
      <c r="P87" s="273" t="n"/>
      <c r="Q87" s="348" t="n"/>
    </row>
    <row r="88">
      <c r="A88" t="inlineStr">
        <is>
          <t>June 01, 2017</t>
        </is>
      </c>
      <c r="B88" t="n">
        <v>51442.25</v>
      </c>
      <c r="C88" s="67" t="n"/>
      <c r="D88" t="n">
        <v>64.485</v>
      </c>
      <c r="E88" s="31" t="n"/>
      <c r="F88" t="n">
        <v>50.41</v>
      </c>
      <c r="G88" s="31" t="n"/>
      <c r="H88" s="277" t="n"/>
      <c r="I88" s="65" t="n"/>
      <c r="J88" t="n">
        <v>48.32</v>
      </c>
      <c r="K88" s="31" t="n"/>
      <c r="L88" s="273" t="inlineStr">
        <is>
          <t>June 01, 2017</t>
        </is>
      </c>
      <c r="M88" s="273" t="n"/>
      <c r="N88" s="273" t="n"/>
      <c r="O88" s="273" t="n"/>
      <c r="P88" s="273" t="n"/>
      <c r="Q88" s="348" t="n"/>
    </row>
    <row r="89">
      <c r="A89" t="inlineStr">
        <is>
          <t>July 01, 2017</t>
        </is>
      </c>
      <c r="B89" t="n">
        <v>48646.25</v>
      </c>
      <c r="C89" s="67" t="n"/>
      <c r="D89" t="n">
        <v>64.685</v>
      </c>
      <c r="E89" s="31" t="n"/>
      <c r="F89" t="n">
        <v>49.13</v>
      </c>
      <c r="G89" s="31" t="n"/>
      <c r="H89" s="277" t="n"/>
      <c r="I89" s="65" t="n"/>
      <c r="J89" t="n">
        <v>46.02</v>
      </c>
      <c r="K89" s="31" t="n"/>
      <c r="L89" s="273" t="inlineStr">
        <is>
          <t>July 01, 2017</t>
        </is>
      </c>
      <c r="M89" s="273" t="n"/>
      <c r="N89" s="273" t="n"/>
      <c r="O89" s="273" t="n"/>
      <c r="P89" s="273" t="n"/>
      <c r="Q89" s="348" t="n"/>
    </row>
    <row r="90">
      <c r="A90" t="inlineStr">
        <is>
          <t>August 01, 2017</t>
        </is>
      </c>
      <c r="B90" t="n">
        <v>50259.33333333334</v>
      </c>
      <c r="C90" s="67" t="n"/>
      <c r="D90" t="n">
        <v>64.105</v>
      </c>
      <c r="E90" s="31" t="n"/>
      <c r="F90" t="n">
        <v>51.99</v>
      </c>
      <c r="G90" s="31" t="n"/>
      <c r="H90" s="277" t="n"/>
      <c r="I90" s="65" t="n"/>
      <c r="J90" t="n">
        <v>49.19</v>
      </c>
      <c r="K90" s="31" t="n"/>
      <c r="L90" s="273" t="inlineStr">
        <is>
          <t>August 01, 2017</t>
        </is>
      </c>
      <c r="M90" s="273" t="n"/>
      <c r="N90" s="273" t="n"/>
      <c r="O90" s="273" t="n"/>
      <c r="P90" s="273" t="n"/>
      <c r="Q90" s="348" t="n"/>
    </row>
    <row r="91">
      <c r="A91" t="inlineStr">
        <is>
          <t>September 01,2017</t>
        </is>
      </c>
      <c r="B91" t="n">
        <v>51639.75</v>
      </c>
      <c r="C91" s="67" t="n"/>
      <c r="D91" t="n">
        <v>63.94</v>
      </c>
      <c r="E91" s="31" t="n"/>
      <c r="F91" t="n">
        <v>52.69</v>
      </c>
      <c r="G91" s="31" t="n"/>
      <c r="H91" s="277" t="n"/>
      <c r="I91" s="65" t="n"/>
      <c r="J91" t="n">
        <v>47.32</v>
      </c>
      <c r="K91" s="31" t="n"/>
      <c r="L91" s="273" t="inlineStr">
        <is>
          <t>September 01,2017</t>
        </is>
      </c>
      <c r="M91" s="273" t="n"/>
      <c r="N91" s="273" t="n"/>
      <c r="O91" s="273" t="n"/>
      <c r="P91" s="273" t="n"/>
      <c r="Q91" s="348" t="n"/>
    </row>
    <row r="92">
      <c r="A92" t="inlineStr">
        <is>
          <t>October 01,2017</t>
        </is>
      </c>
      <c r="B92" t="n">
        <v>54617.5</v>
      </c>
      <c r="C92" s="67" t="n"/>
      <c r="D92" t="n">
        <v>65.62</v>
      </c>
      <c r="E92" s="31" t="n"/>
      <c r="F92" t="n">
        <v>58.8</v>
      </c>
      <c r="G92" s="31" t="n"/>
      <c r="H92" s="277" t="n"/>
      <c r="I92" s="65" t="n"/>
      <c r="J92" t="n">
        <v>50.59</v>
      </c>
      <c r="K92" s="31" t="n"/>
      <c r="L92" s="273" t="inlineStr">
        <is>
          <t>October 01,2017</t>
        </is>
      </c>
      <c r="M92" s="273" t="n"/>
      <c r="N92" s="273" t="n"/>
      <c r="O92" s="273" t="n"/>
      <c r="P92" s="273" t="n"/>
      <c r="Q92" s="348" t="n"/>
    </row>
    <row r="93">
      <c r="A93" t="inlineStr">
        <is>
          <t>November 01,2017</t>
        </is>
      </c>
      <c r="B93" t="n">
        <v>55746.25</v>
      </c>
      <c r="C93" s="67" t="n"/>
      <c r="D93" t="n">
        <v>64.715</v>
      </c>
      <c r="E93" s="31" t="n"/>
      <c r="F93" t="n">
        <v>60.65</v>
      </c>
      <c r="G93" s="31" t="n"/>
      <c r="H93" s="277" t="n"/>
      <c r="I93" s="65" t="n"/>
      <c r="J93" t="n">
        <v>54.32</v>
      </c>
      <c r="K93" s="31" t="n"/>
      <c r="L93" s="273" t="inlineStr">
        <is>
          <t>November 01,2017</t>
        </is>
      </c>
      <c r="M93" s="273" t="n"/>
      <c r="N93" s="273" t="n"/>
      <c r="O93" s="273" t="n"/>
      <c r="P93" s="273" t="n"/>
      <c r="Q93" s="348" t="n"/>
    </row>
    <row r="94">
      <c r="A94" t="inlineStr">
        <is>
          <t>December 01,2017</t>
        </is>
      </c>
      <c r="B94" t="n">
        <v>58985.5</v>
      </c>
      <c r="C94" s="67" t="n"/>
      <c r="D94" t="n">
        <v>64.595</v>
      </c>
      <c r="E94" s="31" t="n"/>
      <c r="F94" t="n">
        <v>63.56</v>
      </c>
      <c r="G94" s="31" t="n"/>
      <c r="H94" s="277" t="n"/>
      <c r="I94" s="65" t="n"/>
      <c r="J94" t="n">
        <v>58.35</v>
      </c>
      <c r="K94" s="31" t="n"/>
      <c r="L94" s="273" t="inlineStr">
        <is>
          <t>December 01,2017</t>
        </is>
      </c>
      <c r="M94" s="273" t="n"/>
      <c r="N94" s="273" t="n"/>
      <c r="O94" s="273" t="n"/>
      <c r="P94" s="273" t="n"/>
      <c r="Q94" s="348" t="n"/>
    </row>
    <row r="95">
      <c r="A95" s="291" t="n">
        <v>2018</v>
      </c>
      <c r="B95" s="358" t="n"/>
      <c r="C95" s="38" t="n"/>
      <c r="D95" s="291" t="n">
        <v>63</v>
      </c>
      <c r="E95" s="291" t="n"/>
      <c r="F95" s="40" t="n">
        <v>67.5</v>
      </c>
      <c r="G95" s="65" t="n"/>
      <c r="H95" s="40" t="n"/>
      <c r="I95" s="65" t="n"/>
      <c r="J95" s="291" t="n">
        <v>60.3</v>
      </c>
      <c r="K95" s="65" t="n"/>
      <c r="L95" s="291" t="n"/>
      <c r="M95" s="291" t="n"/>
      <c r="N95" s="291" t="n"/>
      <c r="O95" s="291" t="n"/>
      <c r="P95" s="291" t="n"/>
      <c r="Q95" s="291" t="n"/>
    </row>
    <row r="96">
      <c r="A96" s="291" t="n">
        <v>2019</v>
      </c>
      <c r="B96" s="358" t="n"/>
      <c r="C96" s="38" t="n"/>
      <c r="D96" s="291" t="n">
        <v>65</v>
      </c>
      <c r="E96" s="291" t="n"/>
      <c r="F96" s="291" t="n">
        <v>70</v>
      </c>
      <c r="G96" s="291" t="n"/>
      <c r="H96" s="291" t="n"/>
      <c r="I96" s="65" t="n"/>
      <c r="J96" s="291" t="n"/>
      <c r="K96" s="291" t="n"/>
      <c r="L96" s="291" t="n"/>
      <c r="M96" s="291" t="n"/>
      <c r="N96" s="291" t="n"/>
      <c r="O96" s="291" t="n"/>
      <c r="P96" s="291" t="n"/>
      <c r="Q96" s="291" t="n"/>
    </row>
    <row r="97">
      <c r="A97" s="291" t="n">
        <v>2020</v>
      </c>
      <c r="B97" s="358" t="n"/>
      <c r="C97" s="38" t="n"/>
      <c r="D97" s="291" t="n">
        <v>67</v>
      </c>
      <c r="E97" s="291" t="n"/>
      <c r="F97" s="291" t="n">
        <v>70</v>
      </c>
      <c r="G97" s="291" t="n"/>
      <c r="H97" s="291" t="n"/>
      <c r="I97" s="65" t="n"/>
      <c r="J97" s="291" t="n"/>
      <c r="K97" s="291" t="n"/>
      <c r="L97" s="291" t="n"/>
      <c r="M97" s="291" t="n"/>
      <c r="N97" s="291" t="n"/>
      <c r="O97" s="291" t="n"/>
      <c r="P97" s="291" t="n"/>
      <c r="Q97" s="291" t="n"/>
    </row>
    <row r="98">
      <c r="A98" s="291" t="n">
        <v>2021</v>
      </c>
      <c r="B98" s="358" t="n"/>
      <c r="C98" s="38" t="n"/>
      <c r="D98" s="291" t="n">
        <v>69</v>
      </c>
      <c r="E98" s="291" t="n"/>
      <c r="F98" s="291" t="n"/>
      <c r="G98" s="291" t="n"/>
      <c r="H98" s="291" t="n"/>
      <c r="I98" s="65" t="n"/>
      <c r="J98" s="291" t="n"/>
      <c r="K98" s="291" t="n"/>
      <c r="L98" s="291" t="n"/>
      <c r="M98" s="291" t="n"/>
      <c r="N98" s="291" t="n"/>
      <c r="O98" s="291" t="n"/>
      <c r="P98" s="291" t="n"/>
      <c r="Q98" s="291" t="n"/>
    </row>
    <row r="99">
      <c r="A99" s="291" t="n">
        <v>2022</v>
      </c>
      <c r="B99" s="358" t="n"/>
      <c r="C99" s="38" t="n"/>
      <c r="D99" s="291" t="n">
        <v>71</v>
      </c>
      <c r="E99" s="291" t="n"/>
      <c r="F99" s="291" t="n"/>
      <c r="G99" s="291" t="n"/>
      <c r="H99" s="291" t="n"/>
      <c r="I99" s="65" t="n"/>
      <c r="J99" s="291" t="n"/>
      <c r="K99" s="291" t="n"/>
      <c r="L99" s="291" t="n"/>
      <c r="M99" s="291" t="n"/>
      <c r="N99" s="291" t="n"/>
      <c r="O99" s="291" t="n"/>
      <c r="P99" s="291" t="n"/>
      <c r="Q99" s="291" t="n"/>
    </row>
    <row r="103">
      <c r="E103" s="293" t="inlineStr">
        <is>
          <t>Year</t>
        </is>
      </c>
      <c r="F103" s="293" t="inlineStr">
        <is>
          <t>USD/INR E</t>
        </is>
      </c>
      <c r="G103" s="293" t="inlineStr">
        <is>
          <t>Brent ($) E</t>
        </is>
      </c>
      <c r="H103" s="293" t="inlineStr">
        <is>
          <t>USD/INR * Brent ($)</t>
        </is>
      </c>
      <c r="I103" s="293" t="inlineStr">
        <is>
          <t>Change (%)</t>
        </is>
      </c>
      <c r="J103" s="293" t="inlineStr">
        <is>
          <t>ATF Forecast Price</t>
        </is>
      </c>
    </row>
    <row r="104">
      <c r="E104" s="293" t="n">
        <v>2018</v>
      </c>
      <c r="F104" s="293" t="n">
        <v>63</v>
      </c>
      <c r="G104" s="293" t="n">
        <v>67.5</v>
      </c>
      <c r="H104" s="293" t="n">
        <v>4252.5</v>
      </c>
      <c r="I104" s="295" t="n">
        <v>0.0357657147397219</v>
      </c>
      <c r="J104" s="296" t="n">
        <v>61095.15856677986</v>
      </c>
    </row>
    <row r="105">
      <c r="E105" s="293" t="n">
        <v>2019</v>
      </c>
      <c r="F105" s="293" t="n">
        <v>65</v>
      </c>
      <c r="G105" s="293" t="n">
        <v>70</v>
      </c>
      <c r="H105" s="293" t="n">
        <v>4550</v>
      </c>
      <c r="I105" s="295" t="n">
        <v>0.06995884773662553</v>
      </c>
      <c r="J105" s="296" t="n">
        <v>63280.27058005739</v>
      </c>
    </row>
    <row r="106">
      <c r="E106" s="293" t="n">
        <v>2020</v>
      </c>
      <c r="F106" s="293" t="n">
        <v>67</v>
      </c>
      <c r="G106" s="293" t="n">
        <v>70</v>
      </c>
      <c r="H106" s="293" t="n">
        <v>4690</v>
      </c>
      <c r="I106" s="295" t="n">
        <v>0.03076923076923066</v>
      </c>
      <c r="J106" s="296" t="n">
        <v>65543.53468627614</v>
      </c>
    </row>
    <row r="107">
      <c r="E107" s="293" t="n">
        <v>2021</v>
      </c>
      <c r="F107" s="293" t="n">
        <v>69</v>
      </c>
      <c r="G107" s="293" t="n">
        <v>70</v>
      </c>
      <c r="H107" s="293" t="n">
        <v>4830</v>
      </c>
      <c r="I107" s="295" t="n">
        <v>0.0298507462686568</v>
      </c>
      <c r="J107" s="296" t="n">
        <v>67887.74605089855</v>
      </c>
    </row>
    <row r="108">
      <c r="E108" s="293" t="n">
        <v>2022</v>
      </c>
      <c r="F108" s="293" t="n">
        <v>71</v>
      </c>
      <c r="G108" s="293" t="n">
        <v>70</v>
      </c>
      <c r="H108" s="293" t="n">
        <v>4970</v>
      </c>
      <c r="I108" s="295" t="n">
        <v>0.02898550724637672</v>
      </c>
      <c r="J108" s="296" t="n">
        <v>70315.79981047768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K49" sqref="K49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0.83203125" customWidth="1" style="322" min="3" max="3"/>
    <col width="10.83203125" customWidth="1" style="322" min="4" max="4"/>
    <col width="9.33203125" customWidth="1" style="322" min="11" max="11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6" t="inlineStr">
        <is>
          <t>Equity and Liabilities</t>
        </is>
      </c>
    </row>
    <row r="8">
      <c r="A8" t="inlineStr">
        <is>
          <t>Share capital</t>
        </is>
      </c>
      <c r="D8" s="246" t="n">
        <v>343.72</v>
      </c>
      <c r="E8" s="246" t="n">
        <v>343.72</v>
      </c>
      <c r="F8" s="246" t="n">
        <v>343.72</v>
      </c>
      <c r="G8" s="246" t="n">
        <v>343.72</v>
      </c>
      <c r="H8" s="246" t="n">
        <v>343.72</v>
      </c>
      <c r="I8" s="239" t="n">
        <v>3603.57</v>
      </c>
      <c r="J8" s="239" t="n">
        <v>3614.68</v>
      </c>
      <c r="K8" s="209" t="n"/>
      <c r="L8" s="209" t="n"/>
      <c r="M8" s="209" t="n"/>
      <c r="N8" s="209" t="n"/>
      <c r="O8" s="209" t="n"/>
    </row>
    <row r="9">
      <c r="A9" t="inlineStr">
        <is>
          <t>Reserves and surplus</t>
        </is>
      </c>
      <c r="D9" s="246" t="n">
        <v>683.67</v>
      </c>
      <c r="E9" s="246" t="n">
        <v>2089.61</v>
      </c>
      <c r="F9" s="246" t="n">
        <v>3546.77</v>
      </c>
      <c r="G9" s="246" t="n">
        <v>3862.56</v>
      </c>
      <c r="H9" s="246" t="n">
        <v>3863.23</v>
      </c>
      <c r="I9" s="239" t="n">
        <v>14739.2</v>
      </c>
      <c r="J9" s="239" t="n">
        <v>34177.08</v>
      </c>
      <c r="K9" s="209" t="n"/>
      <c r="L9" s="209" t="n"/>
      <c r="M9" s="209" t="n"/>
      <c r="N9" s="209" t="n"/>
      <c r="O9" s="209" t="n"/>
    </row>
    <row r="10">
      <c r="A10" s="26" t="inlineStr">
        <is>
          <t>Shareholders’ funds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2">
      <c r="A12" t="inlineStr">
        <is>
          <t>Deferred tax liabilities (net)</t>
        </is>
      </c>
      <c r="D12" s="238" t="n">
        <v>0</v>
      </c>
      <c r="E12" s="238" t="n">
        <v>0</v>
      </c>
      <c r="F12" s="246" t="n">
        <v>537.15</v>
      </c>
      <c r="G12" s="246" t="n">
        <v>522.85</v>
      </c>
      <c r="H12" s="239" t="n">
        <v>4091.35</v>
      </c>
      <c r="I12" s="239" t="n">
        <v>5179.72</v>
      </c>
      <c r="J12" s="239" t="n">
        <v>1618.06</v>
      </c>
      <c r="K12" s="209" t="n"/>
      <c r="L12" s="209" t="n"/>
      <c r="M12" s="209" t="n"/>
      <c r="N12" s="209" t="n"/>
      <c r="O12" s="209" t="n"/>
    </row>
    <row r="13">
      <c r="A13" t="inlineStr">
        <is>
          <t>Long-term borrowings</t>
        </is>
      </c>
      <c r="D13" s="239" t="n">
        <v>8069.76</v>
      </c>
      <c r="E13" s="239" t="n">
        <v>9055.48</v>
      </c>
      <c r="F13" s="246" t="n">
        <v>16173.32</v>
      </c>
      <c r="G13" s="246" t="n">
        <v>30807.4</v>
      </c>
      <c r="H13" s="239" t="n">
        <v>35884.02</v>
      </c>
      <c r="I13" s="239" t="n">
        <v>29498.61</v>
      </c>
      <c r="J13" s="239" t="n">
        <v>23957.08</v>
      </c>
      <c r="K13" s="209" t="n"/>
      <c r="L13" s="209" t="n"/>
      <c r="M13" s="209" t="n"/>
      <c r="N13" s="209" t="n"/>
      <c r="O13" s="209" t="n"/>
    </row>
    <row r="14">
      <c r="A14" t="inlineStr">
        <is>
          <t>Other long-term liabilities</t>
        </is>
      </c>
      <c r="D14" s="239" t="n">
        <v>1014.6</v>
      </c>
      <c r="E14" s="239" t="n">
        <v>2793.79</v>
      </c>
      <c r="F14" s="246" t="n">
        <v>7234.82</v>
      </c>
      <c r="G14" s="246" t="n">
        <v>12957.85</v>
      </c>
      <c r="H14" s="239" t="n">
        <v>20169.51</v>
      </c>
      <c r="I14" s="239" t="n">
        <v>24722.47</v>
      </c>
      <c r="J14" s="239" t="n"/>
      <c r="K14" s="277" t="n"/>
      <c r="L14" s="277" t="n"/>
      <c r="M14" s="277" t="n"/>
      <c r="N14" s="277" t="n"/>
      <c r="O14" s="277" t="n"/>
    </row>
    <row r="15">
      <c r="A15" t="inlineStr">
        <is>
          <t>Long-term provisions</t>
        </is>
      </c>
      <c r="D15" s="239" t="n">
        <v>133.82</v>
      </c>
      <c r="E15" s="239" t="n">
        <v>158.31</v>
      </c>
      <c r="F15" s="246" t="n">
        <v>231.64</v>
      </c>
      <c r="G15" s="246" t="n">
        <v>368.32</v>
      </c>
      <c r="H15" s="239" t="n">
        <v>522.91</v>
      </c>
      <c r="I15" s="239" t="n">
        <v>810.64</v>
      </c>
      <c r="J15" s="239" t="n">
        <v>1223.94</v>
      </c>
      <c r="K15" s="209" t="n"/>
      <c r="L15" s="209" t="n"/>
      <c r="M15" s="209" t="n"/>
      <c r="N15" s="209" t="n"/>
      <c r="O15" s="209" t="n"/>
    </row>
    <row r="16">
      <c r="A16" t="inlineStr">
        <is>
          <t>Deferred incentives</t>
        </is>
      </c>
      <c r="D16" s="239" t="n">
        <v>4678.16</v>
      </c>
      <c r="E16" s="239" t="n">
        <v>8748.389999999999</v>
      </c>
      <c r="F16" s="246" t="n">
        <v>11677.54</v>
      </c>
      <c r="G16" s="246" t="n">
        <v>13654.32</v>
      </c>
      <c r="H16" s="239" t="n">
        <v>13317.44</v>
      </c>
      <c r="I16" s="239" t="n">
        <v>11778.16</v>
      </c>
      <c r="J16" s="239" t="n">
        <v>16899.9</v>
      </c>
      <c r="K16" s="277" t="n"/>
      <c r="L16" s="277" t="n"/>
      <c r="M16" s="277" t="n"/>
      <c r="N16" s="277" t="n"/>
      <c r="O16" s="277" t="n"/>
    </row>
    <row r="17">
      <c r="A17" s="26" t="inlineStr">
        <is>
          <t>Non-current liabilities</t>
        </is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>
      <c r="D18" s="209" t="n"/>
      <c r="E18" s="209" t="n"/>
      <c r="F18" s="209" t="n"/>
      <c r="G18" s="209" t="n"/>
      <c r="H18" s="209" t="n"/>
      <c r="I18" s="209" t="n"/>
      <c r="J18" s="209" t="n"/>
    </row>
    <row r="19" s="322">
      <c r="D19" s="31" t="n"/>
      <c r="E19" s="31" t="n"/>
      <c r="F19" s="31" t="n"/>
      <c r="G19" s="31" t="n"/>
      <c r="H19" s="31" t="n"/>
      <c r="I19" s="31" t="n"/>
      <c r="J19" s="31" t="n"/>
      <c r="K19" s="33" t="n"/>
    </row>
    <row r="20">
      <c r="A20" t="inlineStr">
        <is>
          <t>Short-term borrowings</t>
        </is>
      </c>
      <c r="D20" s="246" t="n">
        <v>540.29</v>
      </c>
      <c r="E20" s="246" t="n">
        <v>305.58</v>
      </c>
      <c r="F20" s="246" t="n">
        <v>814.34</v>
      </c>
      <c r="G20" s="246" t="n">
        <v>0</v>
      </c>
      <c r="H20" s="246" t="n">
        <v>0</v>
      </c>
      <c r="I20" s="246" t="n">
        <v>0</v>
      </c>
      <c r="J20" s="246" t="n">
        <v>0</v>
      </c>
      <c r="K20" s="277" t="n"/>
      <c r="L20" s="277" t="n"/>
      <c r="M20" s="277" t="n"/>
      <c r="N20" s="277" t="n"/>
      <c r="O20" s="277" t="n"/>
    </row>
    <row r="21">
      <c r="A21" t="inlineStr">
        <is>
          <t>Trade payables</t>
        </is>
      </c>
      <c r="D21" s="246" t="n">
        <v>1076.17</v>
      </c>
      <c r="E21" s="246" t="n">
        <v>1584.84</v>
      </c>
      <c r="F21" s="246" t="n">
        <v>2647.91</v>
      </c>
      <c r="G21" s="239" t="n">
        <v>3844.46</v>
      </c>
      <c r="H21" s="246" t="n"/>
      <c r="I21" s="246" t="n"/>
      <c r="J21" s="239" t="n">
        <v>7746.1</v>
      </c>
      <c r="K21" s="277" t="n"/>
      <c r="L21" s="277" t="n"/>
      <c r="M21" s="277" t="n"/>
      <c r="N21" s="277" t="n"/>
      <c r="O21" s="277" t="n"/>
    </row>
    <row r="22">
      <c r="A22" t="inlineStr">
        <is>
          <t>Other current liabilities</t>
        </is>
      </c>
      <c r="D22" s="246" t="n">
        <v>4624.85</v>
      </c>
      <c r="E22" s="246" t="n">
        <v>8149.01</v>
      </c>
      <c r="F22" s="246" t="n">
        <v>11383.29</v>
      </c>
      <c r="G22" s="239" t="n">
        <v>16149.4</v>
      </c>
      <c r="H22" s="246" t="n">
        <v>19007.99</v>
      </c>
      <c r="I22" s="246" t="n">
        <v>21509.21</v>
      </c>
      <c r="J22" s="239" t="n"/>
      <c r="K22" s="353" t="n"/>
      <c r="L22" s="353" t="n"/>
      <c r="M22" s="353" t="n"/>
      <c r="N22" s="353" t="n"/>
      <c r="O22" s="353" t="n"/>
    </row>
    <row r="23">
      <c r="A23" t="inlineStr">
        <is>
          <t>Short-term provision</t>
        </is>
      </c>
      <c r="D23" s="246" t="n">
        <v>5808.63</v>
      </c>
      <c r="E23" s="246" t="n">
        <v>186.51</v>
      </c>
      <c r="F23" s="246" t="n">
        <v>307.85</v>
      </c>
      <c r="G23" s="239" t="n">
        <v>4645.06</v>
      </c>
      <c r="H23" s="246" t="n">
        <v>1528.51</v>
      </c>
      <c r="I23" s="246" t="n">
        <v>6883.18</v>
      </c>
      <c r="J23" s="239" t="n">
        <v>667.0599999999999</v>
      </c>
      <c r="K23" s="277" t="n"/>
      <c r="L23" s="277" t="n"/>
      <c r="M23" s="277" t="n"/>
      <c r="N23" s="277" t="n"/>
      <c r="O23" s="277" t="n"/>
    </row>
    <row r="24">
      <c r="A24" t="inlineStr">
        <is>
          <t>Deferred incentives</t>
        </is>
      </c>
      <c r="D24" s="246" t="n">
        <v>2220.83</v>
      </c>
      <c r="E24" s="246" t="n">
        <v>3055.37</v>
      </c>
      <c r="F24" s="246" t="n">
        <v>3626.58</v>
      </c>
      <c r="G24" s="239" t="n">
        <v>3878.42</v>
      </c>
      <c r="H24" s="246" t="n">
        <v>4199.02</v>
      </c>
      <c r="I24" s="246" t="n">
        <v>4054.07</v>
      </c>
      <c r="J24" s="239" t="n">
        <v>4937.83</v>
      </c>
      <c r="K24" s="277" t="n"/>
      <c r="L24" s="277" t="n"/>
      <c r="M24" s="277" t="n"/>
      <c r="N24" s="277" t="n"/>
      <c r="O24" s="277" t="n"/>
    </row>
    <row r="25">
      <c r="A25" s="26" t="inlineStr">
        <is>
          <t>Current liabilities</t>
        </is>
      </c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6" t="inlineStr">
        <is>
          <t>Total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>
      <c r="A27" s="26" t="n"/>
      <c r="F27" t="inlineStr">
        <is>
          <t> </t>
        </is>
      </c>
    </row>
    <row r="28">
      <c r="A28" t="inlineStr">
        <is>
          <t>Tangible fixed assets</t>
        </is>
      </c>
      <c r="D28" s="239" t="n">
        <v>8310.120000000001</v>
      </c>
      <c r="E28" s="239" t="n">
        <v>8813.120000000001</v>
      </c>
      <c r="F28" s="239" t="n">
        <v>17547.89</v>
      </c>
      <c r="G28" s="239" t="n">
        <v>39407.2</v>
      </c>
      <c r="H28" s="239" t="n">
        <v>48664.02</v>
      </c>
      <c r="I28" s="239" t="n">
        <v>46755.15</v>
      </c>
      <c r="J28" s="239" t="n">
        <v>37474.72</v>
      </c>
      <c r="K28" s="209" t="n"/>
      <c r="L28" s="209" t="n"/>
      <c r="M28" s="209" t="n"/>
      <c r="N28" s="209" t="n"/>
      <c r="O28" s="209" t="n"/>
    </row>
    <row r="29">
      <c r="A29" t="inlineStr">
        <is>
          <t>Intangible fixed assets</t>
        </is>
      </c>
      <c r="D29" s="239" t="n">
        <v>1.29</v>
      </c>
      <c r="E29" s="239" t="n">
        <v>46.99</v>
      </c>
      <c r="F29" s="239" t="n">
        <v>96.7</v>
      </c>
      <c r="G29" s="239" t="n">
        <v>152.46</v>
      </c>
      <c r="H29" s="239" t="n">
        <v>96.37</v>
      </c>
      <c r="I29" s="239" t="n">
        <v>199.74</v>
      </c>
      <c r="J29" s="239" t="n">
        <v>463.69</v>
      </c>
      <c r="K29" s="277" t="n"/>
      <c r="L29" s="277" t="n"/>
      <c r="M29" s="277" t="n"/>
      <c r="N29" s="277" t="n"/>
      <c r="O29" s="277" t="n"/>
    </row>
    <row r="30">
      <c r="A30" t="inlineStr">
        <is>
          <t>Capital work in progress</t>
        </is>
      </c>
      <c r="D30" s="239" t="n">
        <v>0</v>
      </c>
      <c r="E30" s="238" t="n">
        <v>0</v>
      </c>
      <c r="F30" s="239" t="n">
        <v>68.47</v>
      </c>
      <c r="G30" s="238" t="n">
        <v>0</v>
      </c>
      <c r="H30" s="239" t="n">
        <v>4.53</v>
      </c>
      <c r="I30" s="239" t="n">
        <v>237.34</v>
      </c>
      <c r="J30" s="239" t="n">
        <v>233.03</v>
      </c>
      <c r="K30" s="209" t="n"/>
      <c r="L30" s="209" t="n"/>
      <c r="M30" s="209" t="n"/>
      <c r="N30" s="209" t="n"/>
      <c r="O30" s="209" t="n"/>
    </row>
    <row r="31">
      <c r="A31" t="inlineStr">
        <is>
          <t>Intangible assets under development</t>
        </is>
      </c>
      <c r="D31" s="239" t="n">
        <v>0</v>
      </c>
      <c r="E31" s="238" t="n">
        <v>0</v>
      </c>
      <c r="F31" s="239" t="n">
        <v>0</v>
      </c>
      <c r="G31" s="238" t="n">
        <v>0</v>
      </c>
      <c r="H31" s="239" t="n">
        <v>0</v>
      </c>
      <c r="I31" s="239" t="n">
        <v>82.31</v>
      </c>
      <c r="J31" s="239" t="n">
        <v>18.83</v>
      </c>
      <c r="K31" s="209" t="n"/>
      <c r="L31" s="209" t="n"/>
      <c r="M31" s="209" t="n"/>
      <c r="N31" s="209" t="n"/>
      <c r="O31" s="209" t="n"/>
    </row>
    <row r="32">
      <c r="A32" s="26" t="inlineStr">
        <is>
          <t>Fixed assets</t>
        </is>
      </c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</row>
    <row r="34">
      <c r="A34" t="inlineStr">
        <is>
          <t>Non-current investments</t>
        </is>
      </c>
      <c r="D34" s="238" t="n">
        <v>0</v>
      </c>
      <c r="E34" s="239" t="n">
        <v>0</v>
      </c>
      <c r="F34" s="240" t="n">
        <v>0.35</v>
      </c>
      <c r="G34" s="240" t="n">
        <v>0.47</v>
      </c>
      <c r="H34" s="240" t="n">
        <v>0.46</v>
      </c>
      <c r="I34" s="238" t="n">
        <v>0.25</v>
      </c>
      <c r="J34" s="238" t="n">
        <v>0.18</v>
      </c>
    </row>
    <row r="35">
      <c r="A35" t="inlineStr">
        <is>
          <t>Deferred tax asset (net)</t>
        </is>
      </c>
      <c r="D35" s="246" t="n">
        <v>8.199999999999999</v>
      </c>
      <c r="E35" s="246" t="n">
        <v>665.1</v>
      </c>
      <c r="F35" s="238" t="n">
        <v>0</v>
      </c>
      <c r="G35" s="238" t="n">
        <v>0</v>
      </c>
      <c r="H35" s="238" t="n">
        <v>0</v>
      </c>
      <c r="I35" s="238" t="n">
        <v>0</v>
      </c>
      <c r="J35" s="246" t="n">
        <v>97.59999999999999</v>
      </c>
      <c r="K35" s="277" t="n"/>
      <c r="L35" s="277" t="n"/>
      <c r="M35" s="277" t="n"/>
      <c r="N35" s="277" t="n"/>
      <c r="O35" s="277" t="n"/>
    </row>
    <row r="36">
      <c r="A36" t="inlineStr">
        <is>
          <t>Long-term loans and advances</t>
        </is>
      </c>
      <c r="D36" s="246" t="n">
        <v>1268.71</v>
      </c>
      <c r="E36" s="239" t="n">
        <v>2973.09</v>
      </c>
      <c r="F36" s="239" t="n">
        <v>5246.98</v>
      </c>
      <c r="G36" s="239" t="n">
        <v>8012.06</v>
      </c>
      <c r="H36" s="239" t="n">
        <v>11181.34</v>
      </c>
      <c r="I36" s="239" t="n">
        <v>11930.62</v>
      </c>
      <c r="J36" s="239" t="n">
        <v>5440.26</v>
      </c>
      <c r="K36" s="209" t="n"/>
      <c r="L36" s="209" t="n"/>
      <c r="M36" s="209" t="n"/>
      <c r="N36" s="209" t="n"/>
      <c r="O36" s="209" t="n"/>
    </row>
    <row r="37">
      <c r="A37" t="inlineStr">
        <is>
          <t>Other non-current assets</t>
        </is>
      </c>
      <c r="D37" s="246" t="n">
        <v>118.95</v>
      </c>
      <c r="E37" s="239" t="n">
        <v>885.3</v>
      </c>
      <c r="F37" s="239" t="n">
        <v>4857.72</v>
      </c>
      <c r="G37" s="239" t="n">
        <v>14315.23</v>
      </c>
      <c r="H37" s="239" t="n">
        <v>16055.6</v>
      </c>
      <c r="I37" s="239" t="n">
        <v>14977.84</v>
      </c>
      <c r="J37" s="239" t="n"/>
      <c r="K37" s="209" t="n"/>
      <c r="L37" s="209" t="n"/>
      <c r="M37" s="209" t="n"/>
      <c r="N37" s="209" t="n"/>
      <c r="O37" s="209" t="n"/>
    </row>
    <row r="38">
      <c r="A38" s="26" t="inlineStr">
        <is>
          <t>Non-current assets</t>
        </is>
      </c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>
      <c r="A39" s="353" t="n"/>
    </row>
    <row r="40">
      <c r="A40" t="inlineStr">
        <is>
          <t>Current investments</t>
        </is>
      </c>
      <c r="D40" s="239" t="n">
        <v>8022.44</v>
      </c>
      <c r="E40" s="239" t="n">
        <v>5234.18</v>
      </c>
      <c r="F40" s="239" t="n">
        <v>11383.42</v>
      </c>
      <c r="G40" s="239" t="n">
        <v>12714.84</v>
      </c>
      <c r="H40" s="239" t="n">
        <v>5167.52</v>
      </c>
      <c r="I40" s="239" t="n">
        <v>9741.200000000001</v>
      </c>
      <c r="J40" s="239" t="n">
        <v>37134.1</v>
      </c>
      <c r="K40" s="209" t="n"/>
      <c r="L40" s="209" t="n"/>
      <c r="M40" s="209" t="n"/>
      <c r="N40" s="209" t="n"/>
      <c r="O40" s="209" t="n"/>
    </row>
    <row r="41">
      <c r="A41" t="inlineStr">
        <is>
          <t>Inventories</t>
        </is>
      </c>
      <c r="D41" s="239" t="n">
        <v>446.74</v>
      </c>
      <c r="E41" s="239" t="n">
        <v>373.88</v>
      </c>
      <c r="F41" s="239" t="n">
        <v>522.75</v>
      </c>
      <c r="G41" s="239" t="n">
        <v>672.86</v>
      </c>
      <c r="H41" s="239" t="n">
        <v>1305.54</v>
      </c>
      <c r="I41" s="239" t="n">
        <v>1267.2</v>
      </c>
      <c r="J41" s="239" t="n">
        <v>1631.5</v>
      </c>
      <c r="K41" s="277" t="n"/>
      <c r="L41" s="277" t="n"/>
      <c r="M41" s="277" t="n"/>
      <c r="N41" s="277" t="n"/>
      <c r="O41" s="277" t="n"/>
    </row>
    <row r="42">
      <c r="A42" t="inlineStr">
        <is>
          <t>Trade receivables</t>
        </is>
      </c>
      <c r="D42" s="239" t="n">
        <v>166.58</v>
      </c>
      <c r="E42" s="239" t="n">
        <v>389.2</v>
      </c>
      <c r="F42" s="239" t="n">
        <v>685.22</v>
      </c>
      <c r="G42" s="239" t="n">
        <v>891.22</v>
      </c>
      <c r="H42" s="239" t="n">
        <v>1045.5</v>
      </c>
      <c r="I42" s="239" t="n">
        <v>1571.14</v>
      </c>
      <c r="J42" s="239" t="n">
        <v>1587.02</v>
      </c>
      <c r="K42" s="353" t="n"/>
      <c r="L42" s="353" t="n"/>
      <c r="M42" s="353" t="n"/>
      <c r="N42" s="353" t="n"/>
      <c r="O42" s="353" t="n"/>
    </row>
    <row r="43">
      <c r="A43" t="inlineStr">
        <is>
          <t>Cash and bank balances</t>
        </is>
      </c>
      <c r="D43" s="239" t="n">
        <v>7756.93</v>
      </c>
      <c r="E43" s="239" t="n">
        <v>13088.26</v>
      </c>
      <c r="F43" s="239" t="n">
        <v>13405.88</v>
      </c>
      <c r="G43" s="239" t="n">
        <v>11015.33</v>
      </c>
      <c r="H43" s="239" t="n">
        <v>19993.8</v>
      </c>
      <c r="I43" s="239" t="n">
        <v>37186.7</v>
      </c>
      <c r="J43" s="239" t="n"/>
      <c r="K43" s="277" t="n"/>
      <c r="L43" s="277" t="n"/>
      <c r="M43" s="277" t="n"/>
      <c r="N43" s="277" t="n"/>
      <c r="O43" s="277" t="n"/>
    </row>
    <row r="44">
      <c r="A44" t="inlineStr">
        <is>
          <t>Short-term loans and advances</t>
        </is>
      </c>
      <c r="D44" s="239" t="n">
        <v>2491.33</v>
      </c>
      <c r="E44" s="239" t="n">
        <v>3179.45</v>
      </c>
      <c r="F44" s="239" t="n">
        <v>3586.59</v>
      </c>
      <c r="G44" s="239" t="n">
        <v>2231.34</v>
      </c>
      <c r="H44" s="239" t="n">
        <v>1555.61</v>
      </c>
      <c r="I44" s="239" t="n">
        <v>2248.75</v>
      </c>
      <c r="J44" s="239" t="n">
        <v>39.76</v>
      </c>
      <c r="K44" s="277" t="n"/>
      <c r="L44" s="277" t="n"/>
      <c r="M44" s="277" t="n"/>
      <c r="N44" s="277" t="n"/>
      <c r="O44" s="277" t="n"/>
    </row>
    <row r="45">
      <c r="A45" t="inlineStr">
        <is>
          <t>Other current assets</t>
        </is>
      </c>
      <c r="D45" s="239" t="n">
        <v>603.21</v>
      </c>
      <c r="E45" s="239" t="n">
        <v>822.04</v>
      </c>
      <c r="F45" s="239" t="n">
        <v>1122.96</v>
      </c>
      <c r="G45" s="239" t="n">
        <v>1621.35</v>
      </c>
      <c r="H45" s="239" t="n">
        <v>2612.16</v>
      </c>
      <c r="I45" s="239" t="n">
        <v>3992.87</v>
      </c>
      <c r="J45" s="239" t="n"/>
      <c r="K45" s="277" t="n"/>
      <c r="L45" s="277" t="n"/>
      <c r="M45" s="277" t="n"/>
      <c r="N45" s="277" t="n"/>
      <c r="O45" s="277" t="n"/>
    </row>
    <row r="46">
      <c r="A46" s="26" t="inlineStr">
        <is>
          <t>Current assets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</row>
    <row r="47">
      <c r="A47" s="26" t="inlineStr">
        <is>
          <t>Total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</row>
    <row r="48">
      <c r="A48" s="16" t="inlineStr">
        <is>
          <t>Checksum</t>
        </is>
      </c>
      <c r="D48" s="291" t="n"/>
      <c r="E48" s="291" t="n"/>
      <c r="F48" s="291" t="n"/>
      <c r="G48" s="291" t="n"/>
      <c r="H48" s="291" t="n"/>
      <c r="I48" s="291" t="n"/>
      <c r="J48" s="40" t="n"/>
      <c r="K48" s="40" t="n"/>
      <c r="L48" s="40" t="n"/>
      <c r="M48" s="40" t="n"/>
      <c r="N48" s="40" t="n"/>
      <c r="O48" s="40" t="n"/>
    </row>
    <row r="50">
      <c r="A50" t="inlineStr">
        <is>
          <t>Payable as a % of cost</t>
        </is>
      </c>
      <c r="D50" s="280" t="n"/>
      <c r="E50" s="280" t="n"/>
      <c r="F50" s="280" t="n"/>
      <c r="G50" s="280" t="n"/>
      <c r="H50" s="280" t="n"/>
      <c r="I50" s="280" t="n"/>
      <c r="J50" s="280" t="n"/>
      <c r="K50" s="234" t="n">
        <v>0.0582</v>
      </c>
      <c r="L50" s="234" t="n">
        <v>0.0582</v>
      </c>
      <c r="M50" s="234" t="n">
        <v>0.0582</v>
      </c>
      <c r="N50" s="234" t="n">
        <v>0.0582</v>
      </c>
      <c r="O50" s="234" t="n">
        <v>0.0582</v>
      </c>
    </row>
    <row r="51">
      <c r="A51" t="inlineStr">
        <is>
          <t>other current liabilities as a % of operating cost</t>
        </is>
      </c>
      <c r="D51" s="280" t="n"/>
      <c r="E51" s="280" t="n"/>
      <c r="F51" s="280" t="n"/>
      <c r="G51" s="280" t="n"/>
      <c r="H51" s="280" t="n"/>
      <c r="I51" s="280" t="n"/>
      <c r="J51" s="280" t="n"/>
      <c r="K51" s="234" t="n"/>
      <c r="L51" s="234" t="n"/>
      <c r="M51" s="234" t="n"/>
      <c r="N51" s="234" t="n"/>
      <c r="O51" s="234" t="n"/>
    </row>
    <row r="52">
      <c r="A52" t="inlineStr">
        <is>
          <t>Short term provisions as a % of operating cost</t>
        </is>
      </c>
      <c r="D52" s="280" t="n"/>
      <c r="E52" s="280" t="n"/>
      <c r="F52" s="280" t="n"/>
      <c r="G52" s="280" t="n"/>
      <c r="H52" s="280" t="n"/>
      <c r="I52" s="280" t="n"/>
      <c r="J52" s="280" t="n"/>
      <c r="K52" s="234" t="n">
        <v>0.009599999999999999</v>
      </c>
      <c r="L52" s="234" t="n">
        <v>0.009599999999999999</v>
      </c>
      <c r="M52" s="234" t="n">
        <v>0.009599999999999999</v>
      </c>
      <c r="N52" s="234" t="n">
        <v>0.009599999999999999</v>
      </c>
      <c r="O52" s="234" t="n">
        <v>0.009599999999999999</v>
      </c>
    </row>
    <row r="53">
      <c r="A53" t="inlineStr">
        <is>
          <t>Inventory as % of total expenses</t>
        </is>
      </c>
      <c r="D53" s="280" t="n"/>
      <c r="E53" s="280" t="n"/>
      <c r="F53" s="280" t="n"/>
      <c r="G53" s="280" t="n"/>
      <c r="H53" s="280" t="n"/>
      <c r="I53" s="280" t="n"/>
      <c r="J53" s="280" t="n"/>
      <c r="K53" s="234" t="n"/>
      <c r="L53" s="234" t="n"/>
      <c r="M53" s="234" t="n"/>
      <c r="N53" s="234" t="n"/>
      <c r="O53" s="234" t="n"/>
    </row>
    <row r="54">
      <c r="A54" t="inlineStr">
        <is>
          <t>Trade receivable as a % of Revenue</t>
        </is>
      </c>
      <c r="D54" s="280" t="n"/>
      <c r="E54" s="280" t="n"/>
      <c r="F54" s="280" t="n"/>
      <c r="G54" s="280" t="n"/>
      <c r="H54" s="280" t="n"/>
      <c r="I54" s="280" t="n"/>
      <c r="J54" s="280" t="n"/>
      <c r="K54" s="234" t="n"/>
      <c r="L54" s="234" t="n"/>
      <c r="M54" s="234" t="n"/>
      <c r="N54" s="234" t="n"/>
      <c r="O54" s="234" t="n"/>
    </row>
    <row r="55">
      <c r="A55" t="inlineStr">
        <is>
          <t>Short term loans and advances as a %pf sales</t>
        </is>
      </c>
      <c r="D55" s="280" t="n"/>
      <c r="E55" s="280" t="n"/>
      <c r="F55" s="280" t="n"/>
      <c r="G55" s="280" t="n"/>
      <c r="H55" s="280" t="n"/>
      <c r="I55" s="280" t="n"/>
      <c r="J55" s="280" t="n"/>
      <c r="K55" s="234" t="n">
        <v>0.0002</v>
      </c>
      <c r="L55" s="234" t="n">
        <v>0.0002</v>
      </c>
      <c r="M55" s="234" t="n">
        <v>0.0002</v>
      </c>
      <c r="N55" s="234" t="n">
        <v>0.0002</v>
      </c>
      <c r="O55" s="234" t="n">
        <v>0.0002</v>
      </c>
    </row>
    <row r="56">
      <c r="A56" t="inlineStr">
        <is>
          <t>Other current Assets as a % of sales</t>
        </is>
      </c>
      <c r="D56" s="280" t="n"/>
      <c r="E56" s="280" t="n"/>
      <c r="F56" s="280" t="n"/>
      <c r="G56" s="280" t="n"/>
      <c r="H56" s="280" t="n"/>
      <c r="I56" s="280" t="n"/>
      <c r="J56" s="280" t="n"/>
      <c r="K56" s="234" t="n"/>
      <c r="L56" s="234" t="n"/>
      <c r="M56" s="234" t="n"/>
      <c r="N56" s="234" t="n"/>
      <c r="O56" s="234" t="n"/>
    </row>
    <row r="57">
      <c r="A57" t="inlineStr">
        <is>
          <t>Other long term liabilities as a % of Rental</t>
        </is>
      </c>
      <c r="D57" s="280" t="n"/>
      <c r="E57" s="280" t="n"/>
      <c r="F57" s="280" t="n"/>
      <c r="G57" s="280" t="n"/>
      <c r="H57" s="280" t="n"/>
      <c r="I57" s="280" t="n"/>
      <c r="J57" s="280" t="n"/>
      <c r="K57" s="234" t="n"/>
      <c r="L57" s="234" t="n"/>
      <c r="M57" s="234" t="n"/>
      <c r="N57" s="234" t="n"/>
      <c r="O57" s="234" t="n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5" sqref="G25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10.5" customWidth="1" style="322" min="7" max="7"/>
    <col width="10.83203125" customWidth="1" style="322" min="8" max="8"/>
    <col width="10.5" customWidth="1" style="322" min="9" max="9"/>
    <col width="15.33203125" bestFit="1" customWidth="1" style="322" min="10" max="12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" t="inlineStr">
        <is>
          <t>Passenger ticket revenue</t>
        </is>
      </c>
      <c r="C7" s="2" t="n"/>
      <c r="D7" s="209" t="n">
        <v>33909.86</v>
      </c>
      <c r="E7" s="209" t="n">
        <v>49873.04</v>
      </c>
      <c r="F7" s="209" t="n">
        <v>82666.57000000001</v>
      </c>
      <c r="G7" s="209" t="n">
        <v>99239.83</v>
      </c>
      <c r="H7" s="23" t="n">
        <v>122938.97</v>
      </c>
      <c r="I7" s="209" t="n">
        <v>140624.22</v>
      </c>
      <c r="J7" s="209" t="n">
        <v>161970.72</v>
      </c>
      <c r="K7" s="23" t="n"/>
      <c r="L7" s="23" t="n"/>
      <c r="M7" s="23" t="n"/>
      <c r="N7" s="23" t="n"/>
      <c r="O7" s="23" t="n"/>
    </row>
    <row r="8">
      <c r="A8" t="inlineStr">
        <is>
          <t>Ancillary Revenue</t>
        </is>
      </c>
      <c r="D8" s="209" t="n">
        <v>4356.65</v>
      </c>
      <c r="E8" s="209" t="n">
        <v>5680.34</v>
      </c>
      <c r="F8" s="209" t="n">
        <v>9253.440000000001</v>
      </c>
      <c r="G8" s="209" t="n">
        <v>11553.32</v>
      </c>
      <c r="H8" s="209" t="n">
        <v>15724.94</v>
      </c>
      <c r="I8" s="209" t="n">
        <v>20019.97</v>
      </c>
      <c r="J8" s="209" t="n">
        <v>22667.58</v>
      </c>
      <c r="K8" s="209" t="n"/>
      <c r="L8" s="209" t="n"/>
      <c r="M8" s="209" t="n"/>
      <c r="N8" s="209" t="n"/>
      <c r="O8" s="209" t="n"/>
    </row>
    <row r="9">
      <c r="A9" t="inlineStr">
        <is>
          <t>Other operating revenue</t>
        </is>
      </c>
      <c r="D9" s="277" t="n">
        <v>67.69</v>
      </c>
      <c r="E9" s="277" t="n">
        <v>93.22</v>
      </c>
      <c r="F9" s="277" t="n">
        <v>111.29</v>
      </c>
      <c r="G9" s="277" t="n">
        <v>372.69</v>
      </c>
      <c r="H9" s="277" t="n">
        <v>589.45</v>
      </c>
      <c r="I9" s="277" t="n">
        <v>754.89</v>
      </c>
      <c r="J9" s="277" t="n"/>
      <c r="K9" s="40" t="n"/>
      <c r="L9" s="40" t="n"/>
      <c r="M9" s="40" t="n"/>
      <c r="N9" s="40" t="n"/>
      <c r="O9" s="40" t="n"/>
    </row>
    <row r="10" s="322">
      <c r="A10" t="inlineStr">
        <is>
          <t>Other Income</t>
        </is>
      </c>
      <c r="D10" s="277" t="n"/>
      <c r="E10" s="277" t="n"/>
      <c r="F10" s="277" t="n"/>
      <c r="G10" s="277" t="n"/>
      <c r="H10" s="277" t="n"/>
      <c r="I10" s="277" t="n"/>
      <c r="J10" s="277" t="n"/>
      <c r="K10" s="277" t="n"/>
      <c r="L10" s="277" t="n"/>
      <c r="M10" s="277" t="n"/>
      <c r="N10" s="277" t="n"/>
      <c r="O10" s="277" t="n"/>
    </row>
    <row r="11">
      <c r="A11" s="26" t="inlineStr">
        <is>
          <t>Revenue from operations</t>
        </is>
      </c>
      <c r="B11" s="26" t="n"/>
      <c r="C11" s="26" t="n"/>
      <c r="D11" s="21" t="n"/>
      <c r="E11" s="21" t="n"/>
      <c r="F11" s="21" t="n"/>
      <c r="G11" s="21" t="n"/>
      <c r="H11" s="21" t="n"/>
      <c r="I11" s="21" t="n"/>
      <c r="J11" s="21" t="n">
        <v>185805</v>
      </c>
      <c r="K11" s="21" t="n"/>
      <c r="L11" s="21" t="n"/>
      <c r="M11" s="21" t="n"/>
      <c r="N11" s="21" t="n"/>
      <c r="O11" s="21" t="n"/>
    </row>
    <row r="13">
      <c r="A13" t="inlineStr">
        <is>
          <t>ASK (millions)</t>
        </is>
      </c>
      <c r="D13" s="209" t="n">
        <v>12491</v>
      </c>
      <c r="E13" s="209" t="n"/>
      <c r="F13" s="209" t="n"/>
      <c r="G13" s="209" t="n"/>
      <c r="H13" s="209" t="n">
        <v>35327</v>
      </c>
      <c r="I13" s="209" t="n">
        <v>42826</v>
      </c>
      <c r="J13" s="209" t="n">
        <v>54583</v>
      </c>
      <c r="K13" s="277" t="n"/>
      <c r="L13" s="277" t="n"/>
      <c r="M13" s="277" t="n"/>
      <c r="N13" s="277" t="n"/>
      <c r="O13" s="277" t="n"/>
    </row>
    <row r="14">
      <c r="A14" t="inlineStr">
        <is>
          <t>No of aircrafts</t>
        </is>
      </c>
      <c r="D14" t="n">
        <v>39</v>
      </c>
      <c r="E14" t="n">
        <v>55</v>
      </c>
      <c r="F14" t="n">
        <v>66</v>
      </c>
      <c r="G14" t="n">
        <v>77</v>
      </c>
      <c r="H14" t="n">
        <v>94</v>
      </c>
      <c r="I14" t="n">
        <v>107</v>
      </c>
      <c r="J14" t="n">
        <v>131</v>
      </c>
      <c r="K14" s="40" t="n"/>
      <c r="L14" s="40" t="n"/>
      <c r="M14" s="40" t="n"/>
      <c r="N14" s="40" t="n"/>
      <c r="O14" s="40" t="n"/>
    </row>
    <row r="15">
      <c r="A15" t="inlineStr">
        <is>
          <t>ASK per aircraft</t>
        </is>
      </c>
      <c r="E15" s="277" t="n"/>
      <c r="F15" s="277" t="n"/>
      <c r="G15" s="277" t="n"/>
      <c r="H15" s="277" t="n"/>
      <c r="I15" s="277" t="n"/>
      <c r="J15" s="277" t="n"/>
      <c r="K15" s="40" t="n"/>
      <c r="L15" s="40" t="n"/>
      <c r="M15" s="40" t="n"/>
      <c r="N15" s="40" t="n"/>
      <c r="O15" s="40" t="n"/>
    </row>
    <row r="16"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</row>
    <row r="17">
      <c r="A17" t="inlineStr">
        <is>
          <t>RPK (millions)</t>
        </is>
      </c>
      <c r="D17" s="209" t="n">
        <v>10634</v>
      </c>
      <c r="E17" s="209" t="n"/>
      <c r="F17" s="209" t="n"/>
      <c r="G17" s="209" t="n"/>
      <c r="H17" s="209" t="n">
        <v>28177</v>
      </c>
      <c r="I17" s="209" t="n">
        <v>35968</v>
      </c>
      <c r="J17" s="209" t="n">
        <v>46288</v>
      </c>
      <c r="K17" s="277" t="n"/>
      <c r="L17" s="277" t="n"/>
      <c r="M17" s="277" t="n"/>
      <c r="N17" s="277" t="n"/>
      <c r="O17" s="277" t="n"/>
    </row>
    <row r="18">
      <c r="A18" t="inlineStr">
        <is>
          <t>Load Factor</t>
        </is>
      </c>
      <c r="D18" s="33" t="n">
        <v>0.85</v>
      </c>
      <c r="E18" s="33" t="n">
        <v>0.82</v>
      </c>
      <c r="F18" s="33" t="n">
        <v>0.8100000000000001</v>
      </c>
      <c r="G18" s="33" t="n">
        <v>0.77</v>
      </c>
      <c r="H18" s="33" t="n">
        <v>0.798</v>
      </c>
      <c r="I18" s="33" t="n">
        <v>0.84</v>
      </c>
      <c r="J18" s="33" t="n">
        <v>0.848</v>
      </c>
      <c r="K18" s="65" t="n"/>
      <c r="L18" s="65" t="n"/>
      <c r="M18" s="65" t="n"/>
      <c r="N18" s="65" t="n"/>
      <c r="O18" s="65" t="n"/>
    </row>
    <row r="19">
      <c r="A19" t="inlineStr">
        <is>
          <t>Yields (Rs)</t>
        </is>
      </c>
      <c r="D19" t="n">
        <v>3.19</v>
      </c>
      <c r="E19" t="n">
        <v>3.36</v>
      </c>
      <c r="F19" t="n">
        <v>4.08</v>
      </c>
      <c r="G19" t="n">
        <v>4.29</v>
      </c>
      <c r="H19" s="22" t="n"/>
      <c r="I19" s="22" t="n">
        <v>3.91</v>
      </c>
      <c r="J19" s="22" t="n">
        <v>3.5</v>
      </c>
      <c r="K19" s="292" t="n"/>
      <c r="L19" s="292" t="n"/>
      <c r="M19" s="292" t="n"/>
      <c r="N19" s="292" t="n"/>
      <c r="O19" s="292" t="n"/>
      <c r="Q19" s="33" t="n"/>
      <c r="R19" s="292" t="n">
        <v>85</v>
      </c>
    </row>
    <row r="20">
      <c r="Q20" s="33" t="n"/>
      <c r="R20" s="40" t="n">
        <v>100</v>
      </c>
    </row>
    <row r="21">
      <c r="A21" s="62" t="n"/>
      <c r="D21" s="348" t="n"/>
      <c r="E21" s="348" t="n"/>
      <c r="F21" s="348" t="n"/>
      <c r="G21" s="348" t="n"/>
      <c r="H21" s="348" t="n"/>
      <c r="I21" s="348" t="n"/>
      <c r="J21" s="348" t="n"/>
      <c r="K21" s="349" t="n"/>
      <c r="L21" s="349" t="n"/>
      <c r="M21" s="349" t="n"/>
      <c r="N21" s="349" t="n"/>
      <c r="O21" s="349" t="n"/>
    </row>
    <row r="23">
      <c r="D23" s="209" t="n"/>
      <c r="E23" s="209" t="n"/>
      <c r="F23" s="209" t="n"/>
      <c r="G23" s="209" t="n"/>
      <c r="H23" s="209" t="n"/>
      <c r="I23" s="209" t="n"/>
      <c r="J23" s="209" t="n"/>
    </row>
    <row r="24">
      <c r="D24" s="209" t="n"/>
      <c r="E24" s="209" t="n"/>
      <c r="F24" s="209" t="n"/>
      <c r="G24" s="209" t="n"/>
      <c r="H24" s="209" t="n"/>
      <c r="I24" s="209" t="n"/>
    </row>
    <row r="27">
      <c r="I27" s="297" t="n"/>
      <c r="J27" s="297" t="n"/>
    </row>
    <row r="28">
      <c r="I28" s="297" t="n"/>
      <c r="J28" s="361" t="n"/>
      <c r="K28" s="353" t="n"/>
      <c r="L28" s="353" t="n"/>
    </row>
    <row r="29">
      <c r="I29" s="297" t="n"/>
      <c r="J29" s="361" t="n"/>
      <c r="K29" s="353" t="n"/>
      <c r="L29" s="353" t="n"/>
    </row>
    <row r="30">
      <c r="I30" s="297" t="n"/>
      <c r="J30" s="361" t="n"/>
      <c r="K30" s="353" t="n"/>
      <c r="L30" s="353" t="n"/>
    </row>
    <row r="31">
      <c r="I31" s="297" t="n"/>
      <c r="J31" s="361" t="n"/>
      <c r="K31" s="353" t="n"/>
      <c r="L31" s="353" t="n"/>
    </row>
    <row r="32">
      <c r="I32" s="297" t="n"/>
      <c r="J32" s="361" t="n"/>
      <c r="K32" s="353" t="n"/>
      <c r="L32" s="353" t="n"/>
    </row>
    <row r="33">
      <c r="I33" s="297" t="n"/>
      <c r="J33" s="361" t="n"/>
      <c r="K33" s="353" t="n"/>
      <c r="L33" s="353" t="n"/>
    </row>
    <row r="34">
      <c r="I34" s="297" t="n"/>
      <c r="J34" s="361" t="n"/>
      <c r="K34" s="353" t="n"/>
      <c r="L34" s="353" t="n"/>
    </row>
    <row r="35">
      <c r="I35" s="297" t="n"/>
      <c r="J35" s="353" t="n"/>
      <c r="K35" s="353" t="n"/>
      <c r="L35" s="353" t="n"/>
    </row>
  </sheetData>
  <mergeCells count="1">
    <mergeCell ref="A1:C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6" sqref="J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" t="inlineStr">
        <is>
          <t>Opening Balance</t>
        </is>
      </c>
      <c r="C7" s="2" t="n"/>
      <c r="D7" s="351" t="n">
        <v>6603</v>
      </c>
      <c r="E7" s="239" t="n"/>
      <c r="F7" s="239" t="n"/>
      <c r="G7" s="239" t="n"/>
      <c r="H7" s="239" t="n"/>
      <c r="I7" s="239" t="n"/>
      <c r="J7" s="239" t="n"/>
      <c r="K7" s="209" t="n"/>
      <c r="L7" s="209" t="n"/>
      <c r="M7" s="209" t="n"/>
      <c r="N7" s="209" t="n"/>
      <c r="O7" s="209" t="n"/>
    </row>
    <row r="8">
      <c r="A8" t="inlineStr">
        <is>
          <t>Addition</t>
        </is>
      </c>
      <c r="D8" s="238" t="n"/>
      <c r="E8" s="238" t="n"/>
      <c r="F8" s="238" t="n"/>
      <c r="G8" s="238" t="n"/>
      <c r="H8" s="238" t="n"/>
      <c r="I8" s="238" t="n"/>
      <c r="J8" s="238" t="n"/>
      <c r="K8" s="209" t="n"/>
      <c r="L8" s="209" t="n"/>
      <c r="M8" s="209" t="n"/>
      <c r="N8" s="209" t="n"/>
      <c r="O8" s="209" t="n"/>
    </row>
    <row r="9">
      <c r="A9" t="inlineStr">
        <is>
          <t>Repayment</t>
        </is>
      </c>
      <c r="D9" s="238" t="n"/>
      <c r="E9" s="238" t="n"/>
      <c r="F9" s="238" t="n"/>
      <c r="G9" s="238" t="n"/>
      <c r="H9" s="238" t="n"/>
      <c r="I9" s="238" t="n"/>
      <c r="J9" s="238" t="n"/>
      <c r="K9" s="277" t="n"/>
      <c r="L9" s="277" t="n"/>
      <c r="M9" s="277" t="n"/>
      <c r="N9" s="277" t="n"/>
      <c r="O9" s="277" t="n"/>
    </row>
    <row r="10">
      <c r="A10" t="inlineStr">
        <is>
          <t>Closing Balance</t>
        </is>
      </c>
      <c r="D10" s="239" t="n">
        <v>8069.76</v>
      </c>
      <c r="E10" s="239" t="n">
        <v>9055.48</v>
      </c>
      <c r="F10" s="239" t="n">
        <v>16173.32</v>
      </c>
      <c r="G10" s="239" t="n">
        <v>30807.4</v>
      </c>
      <c r="H10" s="239" t="n">
        <v>35884.02</v>
      </c>
      <c r="I10" s="239" t="n">
        <v>29498.61</v>
      </c>
      <c r="J10" s="239" t="n">
        <v>23957.08</v>
      </c>
      <c r="K10" s="209" t="n"/>
      <c r="L10" s="209" t="n"/>
      <c r="M10" s="209" t="n"/>
      <c r="N10" s="209" t="n"/>
      <c r="O10" s="209" t="n"/>
    </row>
    <row r="11">
      <c r="D11" s="238" t="n"/>
      <c r="E11" s="238" t="n"/>
      <c r="F11" s="238" t="n"/>
      <c r="G11" s="238" t="n"/>
      <c r="H11" s="238" t="n"/>
      <c r="I11" s="238" t="n"/>
      <c r="J11" s="238" t="n"/>
    </row>
    <row r="12">
      <c r="A12" t="inlineStr">
        <is>
          <t>Finance cost</t>
        </is>
      </c>
      <c r="D12" s="350" t="n">
        <v>449.91</v>
      </c>
      <c r="E12" s="350" t="n">
        <v>514.27</v>
      </c>
      <c r="F12" s="350" t="n">
        <v>578.01</v>
      </c>
      <c r="G12" s="350" t="n">
        <v>1225.77</v>
      </c>
      <c r="H12" s="350" t="n">
        <v>1155.32</v>
      </c>
      <c r="I12" s="350" t="n">
        <v>1348.53</v>
      </c>
      <c r="J12" s="350" t="n">
        <v>1348.53</v>
      </c>
      <c r="K12" s="277" t="n"/>
      <c r="L12" s="277" t="n"/>
      <c r="M12" s="277" t="n"/>
      <c r="N12" s="277" t="n"/>
      <c r="O12" s="277" t="n"/>
    </row>
    <row r="13">
      <c r="A13" t="inlineStr">
        <is>
          <t>Interest Rate</t>
        </is>
      </c>
      <c r="D13" s="362" t="n"/>
      <c r="E13" s="362" t="n"/>
      <c r="F13" s="362" t="n"/>
      <c r="G13" s="362" t="n"/>
      <c r="H13" s="362" t="n"/>
      <c r="I13" s="362" t="n"/>
      <c r="J13" s="362" t="n"/>
      <c r="K13" s="349" t="n">
        <v>0.055</v>
      </c>
      <c r="L13" s="349" t="n">
        <v>0.06</v>
      </c>
      <c r="M13" s="349" t="n">
        <v>0.06</v>
      </c>
      <c r="N13" s="349" t="n">
        <v>0.06</v>
      </c>
      <c r="O13" s="349" t="n">
        <v>0.06</v>
      </c>
    </row>
    <row r="16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6" sqref="K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t="inlineStr">
        <is>
          <t>Long-term deferred incentives</t>
        </is>
      </c>
      <c r="C7" s="2" t="n"/>
      <c r="D7" s="239" t="n">
        <v>4678.16</v>
      </c>
      <c r="E7" s="239" t="n">
        <v>8748.389999999999</v>
      </c>
      <c r="F7" s="246" t="n">
        <v>11677.54</v>
      </c>
      <c r="G7" s="246" t="n">
        <v>13654.32</v>
      </c>
      <c r="H7" s="239" t="n">
        <v>13317.44</v>
      </c>
      <c r="I7" s="239" t="n">
        <v>11778.16</v>
      </c>
      <c r="J7" s="239" t="n">
        <v>16899.9</v>
      </c>
      <c r="K7" s="44" t="n"/>
      <c r="L7" s="44" t="n"/>
      <c r="M7" s="44" t="n"/>
      <c r="N7" s="44" t="n"/>
      <c r="O7" s="44" t="n"/>
    </row>
    <row r="8">
      <c r="A8" t="inlineStr">
        <is>
          <t>Short-term deferred incentives</t>
        </is>
      </c>
      <c r="D8" s="246" t="n">
        <v>2220.83</v>
      </c>
      <c r="E8" s="246" t="n">
        <v>3055.37</v>
      </c>
      <c r="F8" s="246" t="n">
        <v>3626.58</v>
      </c>
      <c r="G8" s="239" t="n">
        <v>3878.42</v>
      </c>
      <c r="H8" s="246" t="n">
        <v>4199.02</v>
      </c>
      <c r="I8" s="246" t="n">
        <v>4054.07</v>
      </c>
      <c r="J8" s="239" t="n">
        <v>4937.83</v>
      </c>
      <c r="K8" s="277" t="n"/>
      <c r="L8" s="277" t="n"/>
      <c r="M8" s="277" t="n"/>
      <c r="N8" s="277" t="n"/>
      <c r="O8" s="277" t="n"/>
    </row>
    <row r="10">
      <c r="A10" t="inlineStr">
        <is>
          <t>Additional Aircraft</t>
        </is>
      </c>
      <c r="L10" s="277" t="n"/>
      <c r="M10" s="277" t="n"/>
      <c r="N10" s="277" t="n"/>
      <c r="O10" s="277" t="n"/>
    </row>
    <row r="12">
      <c r="A12" t="inlineStr">
        <is>
          <t>Additional incentive</t>
        </is>
      </c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</row>
    <row r="14">
      <c r="A14" t="inlineStr">
        <is>
          <t>Incentive per aircraft</t>
        </is>
      </c>
      <c r="E14" s="277" t="n"/>
      <c r="F14" s="277" t="n"/>
      <c r="G14" s="277" t="n"/>
      <c r="H14" s="277" t="n"/>
      <c r="I14" s="277" t="n"/>
      <c r="J14" s="277" t="n"/>
      <c r="K14" s="291" t="n">
        <v>430</v>
      </c>
      <c r="L14" s="291" t="n">
        <v>430</v>
      </c>
      <c r="M14" s="291" t="n">
        <v>430</v>
      </c>
      <c r="N14" s="291" t="n">
        <v>430</v>
      </c>
      <c r="O14" s="291" t="n">
        <v>430</v>
      </c>
    </row>
    <row r="16">
      <c r="A16" t="inlineStr">
        <is>
          <t>Short -term as a % of Long term</t>
        </is>
      </c>
      <c r="E16" s="31" t="n"/>
      <c r="F16" s="31" t="n"/>
      <c r="G16" s="31" t="n"/>
      <c r="H16" s="31" t="n"/>
      <c r="I16" s="31" t="n"/>
      <c r="J16" s="31" t="n"/>
      <c r="K16" s="38" t="n">
        <v>0.42</v>
      </c>
      <c r="L16" s="38" t="n">
        <v>0.42</v>
      </c>
      <c r="M16" s="38" t="n">
        <v>0.42</v>
      </c>
      <c r="N16" s="38" t="n">
        <v>0.42</v>
      </c>
      <c r="O16" s="38" t="n">
        <v>0.42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xSplit="3" ySplit="6" topLeftCell="D43" activePane="bottomRight" state="frozen"/>
      <selection pane="topRight" activeCell="D1" sqref="D1"/>
      <selection pane="bottomLeft" activeCell="A7" sqref="A7"/>
      <selection pane="bottomRight" activeCell="O46" sqref="O46"/>
    </sheetView>
  </sheetViews>
  <sheetFormatPr baseColWidth="10" defaultColWidth="8.83203125" defaultRowHeight="14"/>
  <cols>
    <col width="41.5" customWidth="1" style="322" min="1" max="1"/>
    <col width="1.83203125" customWidth="1" style="322" min="2" max="2"/>
    <col width="1.33203125" customWidth="1" style="322" min="3" max="3"/>
    <col width="10.83203125" customWidth="1" style="322" min="4" max="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8" t="inlineStr">
        <is>
          <t>Cash flows from operating activities</t>
        </is>
      </c>
      <c r="C7" s="2" t="n"/>
      <c r="H7" s="8" t="n"/>
      <c r="K7" s="8" t="n"/>
    </row>
    <row r="8">
      <c r="A8" t="inlineStr">
        <is>
          <t>Net profit before tax</t>
        </is>
      </c>
      <c r="D8" s="239" t="n">
        <v>7147.5</v>
      </c>
      <c r="E8" s="239" t="n">
        <v>749.04</v>
      </c>
      <c r="F8" s="239" t="n">
        <v>9873.18</v>
      </c>
      <c r="G8" s="239" t="n">
        <v>4718.97</v>
      </c>
      <c r="H8" s="239" t="n">
        <v>18465.23</v>
      </c>
      <c r="I8" s="239" t="n">
        <v>28289.5</v>
      </c>
      <c r="J8" s="239" t="n">
        <v>21442.99</v>
      </c>
      <c r="K8" s="209" t="n"/>
      <c r="L8" s="209" t="n"/>
      <c r="M8" s="209" t="n"/>
      <c r="N8" s="209" t="n"/>
      <c r="O8" s="209" t="n"/>
    </row>
    <row r="9">
      <c r="A9" t="inlineStr">
        <is>
          <t>Adjustments for:</t>
        </is>
      </c>
      <c r="D9" s="209" t="n"/>
      <c r="E9" s="209" t="n"/>
      <c r="F9" s="209" t="n"/>
      <c r="G9" s="209" t="n"/>
      <c r="H9" s="209" t="n"/>
      <c r="I9" s="209" t="n"/>
      <c r="J9" s="209" t="n"/>
    </row>
    <row r="10">
      <c r="A10" t="inlineStr">
        <is>
          <t>Depreciation and amortisation</t>
        </is>
      </c>
      <c r="D10" s="239" t="n">
        <v>628.7</v>
      </c>
      <c r="E10" s="239" t="n">
        <v>665.23</v>
      </c>
      <c r="F10" s="239" t="n">
        <v>856.2</v>
      </c>
      <c r="G10" s="239" t="n">
        <v>2260.08</v>
      </c>
      <c r="H10" s="239" t="n">
        <v>3022.14</v>
      </c>
      <c r="I10" s="239" t="n">
        <v>5030.79</v>
      </c>
      <c r="J10" s="239" t="n">
        <v>4572.53</v>
      </c>
      <c r="K10" s="277" t="n"/>
      <c r="L10" s="277" t="n"/>
      <c r="M10" s="277" t="n"/>
      <c r="N10" s="277" t="n"/>
      <c r="O10" s="277" t="n"/>
    </row>
    <row r="11">
      <c r="A11" t="inlineStr">
        <is>
          <t>Provisions</t>
        </is>
      </c>
      <c r="D11" s="239" t="n"/>
      <c r="E11" s="239" t="n"/>
      <c r="F11" s="239" t="n"/>
      <c r="G11" s="239" t="n"/>
      <c r="H11" s="239" t="n"/>
      <c r="I11" s="239" t="n"/>
      <c r="J11" s="239" t="n"/>
      <c r="K11" s="297" t="inlineStr">
        <is>
          <t>-</t>
        </is>
      </c>
      <c r="L11" s="297" t="inlineStr">
        <is>
          <t>-</t>
        </is>
      </c>
      <c r="M11" s="297" t="inlineStr">
        <is>
          <t>-</t>
        </is>
      </c>
      <c r="N11" s="297" t="inlineStr">
        <is>
          <t>-</t>
        </is>
      </c>
      <c r="O11" s="297" t="inlineStr">
        <is>
          <t>-</t>
        </is>
      </c>
    </row>
    <row r="12" ht="15" customHeight="1" s="322">
      <c r="A12" t="inlineStr">
        <is>
          <t>Loss / (profit) on sale of fixed asset (net)</t>
        </is>
      </c>
      <c r="D12" s="239" t="n">
        <v>-222.48</v>
      </c>
      <c r="E12" s="239" t="n">
        <v>1.07</v>
      </c>
      <c r="F12" s="239" t="n">
        <v>0.6</v>
      </c>
      <c r="G12" s="239" t="n">
        <v>-0.66</v>
      </c>
      <c r="H12" s="239" t="n">
        <v>0.13</v>
      </c>
      <c r="I12" s="239" t="n">
        <v>-0.4</v>
      </c>
      <c r="J12" s="239" t="n">
        <v>-24.58</v>
      </c>
      <c r="K12" s="297" t="inlineStr">
        <is>
          <t>-</t>
        </is>
      </c>
      <c r="L12" s="297" t="inlineStr">
        <is>
          <t>-</t>
        </is>
      </c>
      <c r="M12" s="297" t="inlineStr">
        <is>
          <t>-</t>
        </is>
      </c>
      <c r="N12" s="297" t="inlineStr">
        <is>
          <t>-</t>
        </is>
      </c>
      <c r="O12" s="297" t="inlineStr">
        <is>
          <t>-</t>
        </is>
      </c>
    </row>
    <row r="13">
      <c r="A13" t="inlineStr">
        <is>
          <t>Interest expense</t>
        </is>
      </c>
      <c r="D13" s="239" t="n">
        <v>143.47</v>
      </c>
      <c r="E13" s="239" t="n">
        <v>143.98</v>
      </c>
      <c r="F13" s="239" t="n">
        <v>178.92</v>
      </c>
      <c r="G13" s="239" t="n">
        <v>192.87</v>
      </c>
      <c r="H13" s="239" t="n">
        <v>107.29</v>
      </c>
      <c r="I13" s="239" t="n">
        <v>137.99</v>
      </c>
      <c r="J13" s="239" t="n">
        <v>179.98</v>
      </c>
      <c r="K13" s="277" t="n"/>
      <c r="L13" s="277" t="n"/>
      <c r="M13" s="277" t="n"/>
      <c r="N13" s="277" t="n"/>
      <c r="O13" s="277" t="n"/>
    </row>
    <row r="14">
      <c r="A14" t="inlineStr">
        <is>
          <t>Finance lease charges</t>
        </is>
      </c>
      <c r="D14" s="239" t="n">
        <v>300.35</v>
      </c>
      <c r="E14" s="239" t="n">
        <v>313.18</v>
      </c>
      <c r="F14" s="239" t="n">
        <v>364.29</v>
      </c>
      <c r="G14" s="239" t="n">
        <v>826.5700000000001</v>
      </c>
      <c r="H14" s="239" t="n">
        <v>929.36</v>
      </c>
      <c r="I14" s="239" t="n">
        <v>1019.02</v>
      </c>
      <c r="J14" s="239" t="n">
        <v>1298.99</v>
      </c>
      <c r="K14" s="297" t="inlineStr">
        <is>
          <t>-</t>
        </is>
      </c>
      <c r="L14" s="297" t="inlineStr">
        <is>
          <t>-</t>
        </is>
      </c>
      <c r="M14" s="297" t="inlineStr">
        <is>
          <t>-</t>
        </is>
      </c>
      <c r="N14" s="297" t="inlineStr">
        <is>
          <t>-</t>
        </is>
      </c>
      <c r="O14" s="297" t="inlineStr">
        <is>
          <t>-</t>
        </is>
      </c>
    </row>
    <row r="15">
      <c r="A15" t="inlineStr">
        <is>
          <t>Interest income on fixed deposits</t>
        </is>
      </c>
      <c r="D15" s="239" t="n">
        <v>-333.38</v>
      </c>
      <c r="E15" s="239" t="n">
        <v>-804.4400000000001</v>
      </c>
      <c r="F15" s="239" t="n">
        <v>-1419.6</v>
      </c>
      <c r="G15" s="239" t="n">
        <v>-1868.62</v>
      </c>
      <c r="H15" s="239" t="n">
        <v>-2703.77</v>
      </c>
      <c r="I15" s="239" t="n">
        <v>-3687.41</v>
      </c>
      <c r="J15" s="239" t="n"/>
      <c r="K15" s="297" t="inlineStr">
        <is>
          <t>-</t>
        </is>
      </c>
      <c r="L15" s="297" t="inlineStr">
        <is>
          <t>-</t>
        </is>
      </c>
      <c r="M15" s="297" t="inlineStr">
        <is>
          <t>-</t>
        </is>
      </c>
      <c r="N15" s="297" t="inlineStr">
        <is>
          <t>-</t>
        </is>
      </c>
      <c r="O15" s="297" t="inlineStr">
        <is>
          <t>-</t>
        </is>
      </c>
    </row>
    <row r="16">
      <c r="A16" t="inlineStr">
        <is>
          <t>Net gain on sale of current investments</t>
        </is>
      </c>
      <c r="D16" s="246" t="n">
        <v>-11.12</v>
      </c>
      <c r="E16" s="246" t="n">
        <v>-18.31</v>
      </c>
      <c r="F16" s="246" t="n">
        <v>-257.96</v>
      </c>
      <c r="G16" s="246" t="n">
        <v>-639.28</v>
      </c>
      <c r="H16" s="246" t="n">
        <v>-1035.88</v>
      </c>
      <c r="I16" s="246" t="n">
        <v>-372.31</v>
      </c>
      <c r="J16" s="246" t="n">
        <v>-1221.27</v>
      </c>
      <c r="K16" s="297" t="inlineStr">
        <is>
          <t>-</t>
        </is>
      </c>
      <c r="L16" s="297" t="inlineStr">
        <is>
          <t>-</t>
        </is>
      </c>
      <c r="M16" s="297" t="inlineStr">
        <is>
          <t>-</t>
        </is>
      </c>
      <c r="N16" s="297" t="inlineStr">
        <is>
          <t>-</t>
        </is>
      </c>
      <c r="O16" s="297" t="inlineStr">
        <is>
          <t>-</t>
        </is>
      </c>
    </row>
    <row r="17">
      <c r="A17" t="inlineStr">
        <is>
          <t>Dividend from current investments</t>
        </is>
      </c>
      <c r="D17" s="246" t="n">
        <v>-382.56</v>
      </c>
      <c r="E17" s="246" t="n">
        <v>-384.25</v>
      </c>
      <c r="F17" s="246" t="n">
        <v>-328.81</v>
      </c>
      <c r="G17" s="246" t="n">
        <v>-355.65</v>
      </c>
      <c r="H17" s="246" t="n">
        <v>0</v>
      </c>
      <c r="I17" s="246" t="n">
        <v>0</v>
      </c>
      <c r="J17" s="246" t="n">
        <v>-546.42</v>
      </c>
      <c r="K17" s="297" t="inlineStr">
        <is>
          <t>-</t>
        </is>
      </c>
      <c r="L17" s="297" t="inlineStr">
        <is>
          <t>-</t>
        </is>
      </c>
      <c r="M17" s="297" t="inlineStr">
        <is>
          <t>-</t>
        </is>
      </c>
      <c r="N17" s="297" t="inlineStr">
        <is>
          <t>-</t>
        </is>
      </c>
      <c r="O17" s="297" t="inlineStr">
        <is>
          <t>-</t>
        </is>
      </c>
    </row>
    <row r="18">
      <c r="A18" t="inlineStr">
        <is>
          <t>Others</t>
        </is>
      </c>
      <c r="D18" s="277" t="n"/>
      <c r="E18" s="277" t="n"/>
      <c r="F18" s="277" t="n"/>
      <c r="G18" s="277" t="n"/>
      <c r="H18" s="277" t="n"/>
      <c r="I18" s="277" t="n"/>
      <c r="J18" s="277" t="n"/>
      <c r="K18" s="277" t="n"/>
      <c r="L18" s="277" t="n"/>
      <c r="M18" s="277" t="n"/>
      <c r="N18" s="277" t="n"/>
      <c r="O18" s="277" t="n"/>
    </row>
    <row r="19">
      <c r="A19" s="26" t="inlineStr">
        <is>
          <t>Operating profit before working capital changes</t>
        </is>
      </c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>
      <c r="A20" t="inlineStr">
        <is>
          <t>Adjustment for:</t>
        </is>
      </c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</row>
    <row r="21">
      <c r="A21" t="inlineStr">
        <is>
          <t>(Increase)/decrease in trade receivables</t>
        </is>
      </c>
      <c r="D21" s="246" t="n">
        <v>13.94</v>
      </c>
      <c r="E21" s="246" t="n">
        <v>-220.89</v>
      </c>
      <c r="F21" s="246" t="n">
        <v>-296.16</v>
      </c>
      <c r="G21" s="246" t="n">
        <v>-210.46</v>
      </c>
      <c r="H21" s="246" t="n">
        <v>-224.56</v>
      </c>
      <c r="I21" s="246" t="n">
        <v>-530.72</v>
      </c>
      <c r="J21" s="246" t="n">
        <v>-21.45</v>
      </c>
      <c r="K21" s="277" t="n"/>
      <c r="L21" s="277" t="n"/>
      <c r="M21" s="277" t="n"/>
      <c r="N21" s="277" t="n"/>
      <c r="O21" s="277" t="n"/>
      <c r="P21" s="277" t="n"/>
    </row>
    <row r="22">
      <c r="A22" t="inlineStr">
        <is>
          <t>(Increase)/decrease in inventories</t>
        </is>
      </c>
      <c r="D22" s="246" t="n">
        <v>-143.95</v>
      </c>
      <c r="E22" s="246" t="n">
        <v>61.26</v>
      </c>
      <c r="F22" s="246" t="n">
        <v>-219.55</v>
      </c>
      <c r="G22" s="246" t="n">
        <v>-173.82</v>
      </c>
      <c r="H22" s="246" t="n">
        <v>-654.02</v>
      </c>
      <c r="I22" s="246" t="n">
        <v>6.72</v>
      </c>
      <c r="J22" s="246" t="n">
        <v>-868.6799999999999</v>
      </c>
      <c r="K22" s="277" t="n"/>
      <c r="L22" s="277" t="n"/>
      <c r="M22" s="277" t="n"/>
      <c r="N22" s="277" t="n"/>
      <c r="O22" s="277" t="n"/>
    </row>
    <row r="23">
      <c r="A23" t="inlineStr">
        <is>
          <t>(Increase)/decrease in loans and advances and other assets</t>
        </is>
      </c>
      <c r="D23" s="246" t="n">
        <v>-496.23</v>
      </c>
      <c r="E23" s="246" t="n">
        <v>-1743.87</v>
      </c>
      <c r="F23" s="246" t="n">
        <v>-1314.42</v>
      </c>
      <c r="G23" s="246" t="n">
        <v>390.88</v>
      </c>
      <c r="H23" s="246" t="n">
        <v>2.01</v>
      </c>
      <c r="I23" s="246" t="n">
        <v>-3013.81</v>
      </c>
      <c r="J23" s="246" t="n">
        <v>-2432.46</v>
      </c>
      <c r="K23" s="277" t="n"/>
      <c r="L23" s="277" t="n"/>
      <c r="M23" s="277" t="n"/>
      <c r="N23" s="277" t="n"/>
      <c r="O23" s="277" t="n"/>
    </row>
    <row r="24">
      <c r="A24" t="inlineStr">
        <is>
          <t>Increase/(decrease) in trade payables, other liabilities and provisions</t>
        </is>
      </c>
      <c r="D24" s="246" t="n">
        <v>2107.84</v>
      </c>
      <c r="E24" s="246" t="n">
        <v>5596.75</v>
      </c>
      <c r="F24" s="246" t="n">
        <v>8157.12</v>
      </c>
      <c r="G24" s="246" t="n">
        <v>9004.110000000001</v>
      </c>
      <c r="H24" s="246" t="n">
        <v>8607.219999999999</v>
      </c>
      <c r="I24" s="246" t="n">
        <v>8842.66</v>
      </c>
      <c r="J24" s="246" t="n">
        <v>17338.75</v>
      </c>
      <c r="K24" s="277" t="n"/>
      <c r="L24" s="277" t="n"/>
      <c r="M24" s="277" t="n"/>
      <c r="N24" s="277" t="n"/>
      <c r="O24" s="277" t="n"/>
    </row>
    <row r="25">
      <c r="A25" t="inlineStr">
        <is>
          <t>Increase/(decrease) in deferred incentives</t>
        </is>
      </c>
      <c r="D25" s="246" t="n">
        <v>1118.54</v>
      </c>
      <c r="E25" s="246" t="n">
        <v>4841.78</v>
      </c>
      <c r="F25" s="246" t="n">
        <v>3369.28</v>
      </c>
      <c r="G25" s="246" t="n">
        <v>2208.21</v>
      </c>
      <c r="H25" s="246" t="n">
        <v>34.51</v>
      </c>
      <c r="I25" s="246" t="n">
        <v>-1807.96</v>
      </c>
      <c r="J25" s="246" t="n">
        <v>7119.03</v>
      </c>
      <c r="K25" s="277" t="n"/>
      <c r="L25" s="277" t="n"/>
      <c r="M25" s="277" t="n"/>
      <c r="N25" s="277" t="n"/>
      <c r="O25" s="277" t="n"/>
    </row>
    <row r="26">
      <c r="A26" t="inlineStr">
        <is>
          <t>Cash generated from operating activities</t>
        </is>
      </c>
      <c r="D26" s="277" t="n"/>
      <c r="E26" s="277" t="n"/>
      <c r="F26" s="277" t="n"/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</row>
    <row r="27">
      <c r="A27" t="inlineStr">
        <is>
          <t>Taxes paid</t>
        </is>
      </c>
      <c r="D27" s="246" t="n">
        <v>-1322.23</v>
      </c>
      <c r="E27" s="246" t="n">
        <v>-371.13</v>
      </c>
      <c r="F27" s="246" t="n">
        <v>-1851.53</v>
      </c>
      <c r="G27" s="246" t="n">
        <v>-1075.42</v>
      </c>
      <c r="H27" s="246" t="n">
        <v>-3951.24</v>
      </c>
      <c r="I27" s="246" t="n">
        <v>-5761.16</v>
      </c>
      <c r="J27" s="246" t="n">
        <v>-4240.96</v>
      </c>
      <c r="K27" s="277" t="n"/>
      <c r="L27" s="277" t="n"/>
      <c r="M27" s="277" t="n"/>
      <c r="N27" s="277" t="n"/>
      <c r="O27" s="277" t="n"/>
    </row>
    <row r="28">
      <c r="A28" s="26" t="inlineStr">
        <is>
          <t>Net cash generated from operating activities</t>
        </is>
      </c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>
      <c r="A29" s="26" t="inlineStr">
        <is>
          <t>Change in Working Capital</t>
        </is>
      </c>
      <c r="B29" s="26" t="n"/>
      <c r="C29" s="26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26" t="inlineStr">
        <is>
          <t>Cash flows from investing activities</t>
        </is>
      </c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</row>
    <row r="31">
      <c r="A31" t="inlineStr">
        <is>
          <t>Purchase of fixed assets (including capital advances), net of cash incentives</t>
        </is>
      </c>
      <c r="D31" s="246" t="n">
        <v>-2133.12</v>
      </c>
      <c r="E31" s="246" t="n">
        <v>-331.74</v>
      </c>
      <c r="F31" s="246" t="n">
        <v>-9155.68</v>
      </c>
      <c r="G31" s="246" t="n">
        <v>-23241.67</v>
      </c>
      <c r="H31" s="246" t="n">
        <v>-10171.15</v>
      </c>
      <c r="I31" s="246" t="n">
        <v>-2319.9</v>
      </c>
      <c r="J31" s="246" t="n">
        <v>-2372.38</v>
      </c>
      <c r="K31" s="277" t="n"/>
      <c r="L31" s="277" t="n"/>
      <c r="M31" s="277" t="n"/>
      <c r="N31" s="277" t="n"/>
      <c r="O31" s="277" t="n"/>
    </row>
    <row r="32">
      <c r="A32" t="inlineStr">
        <is>
          <t>Proceeds from sale of fixed assets</t>
        </is>
      </c>
      <c r="D32" s="246" t="n">
        <v>1657.02</v>
      </c>
      <c r="E32" s="246" t="n">
        <v>0.74</v>
      </c>
      <c r="F32" s="246" t="n">
        <v>2.56</v>
      </c>
      <c r="G32" s="246" t="n">
        <v>4.56</v>
      </c>
      <c r="H32" s="246" t="n">
        <v>1.63</v>
      </c>
      <c r="I32" s="246" t="n">
        <v>1.62</v>
      </c>
      <c r="J32" s="246" t="n">
        <v>6132.3</v>
      </c>
      <c r="K32" s="298" t="inlineStr">
        <is>
          <t>-</t>
        </is>
      </c>
      <c r="L32" s="298" t="inlineStr">
        <is>
          <t>-</t>
        </is>
      </c>
      <c r="M32" s="298" t="inlineStr">
        <is>
          <t>-</t>
        </is>
      </c>
      <c r="N32" s="298" t="inlineStr">
        <is>
          <t>-</t>
        </is>
      </c>
      <c r="O32" s="298" t="inlineStr">
        <is>
          <t>-</t>
        </is>
      </c>
    </row>
    <row r="33">
      <c r="A33" t="inlineStr">
        <is>
          <t>Purchase/Sale of investment</t>
        </is>
      </c>
      <c r="D33" s="246" t="n"/>
      <c r="E33" s="246" t="n"/>
      <c r="F33" s="246" t="n"/>
      <c r="G33" s="246" t="n"/>
      <c r="H33" s="246" t="n"/>
      <c r="I33" s="246" t="n"/>
      <c r="J33" s="246" t="n"/>
      <c r="K33" s="298" t="inlineStr">
        <is>
          <t>-</t>
        </is>
      </c>
      <c r="L33" s="298" t="inlineStr">
        <is>
          <t>-</t>
        </is>
      </c>
      <c r="M33" s="298" t="inlineStr">
        <is>
          <t>-</t>
        </is>
      </c>
      <c r="N33" s="298" t="inlineStr">
        <is>
          <t>-</t>
        </is>
      </c>
      <c r="O33" s="298" t="inlineStr">
        <is>
          <t>-</t>
        </is>
      </c>
    </row>
    <row r="34">
      <c r="A34" t="inlineStr">
        <is>
          <t>Interest received</t>
        </is>
      </c>
      <c r="D34" s="246" t="n">
        <v>200.51</v>
      </c>
      <c r="E34" s="246" t="n">
        <v>657.27</v>
      </c>
      <c r="F34" s="246" t="n">
        <v>1107.94</v>
      </c>
      <c r="G34" s="246" t="n">
        <v>1292</v>
      </c>
      <c r="H34" s="246" t="n">
        <v>1303.12</v>
      </c>
      <c r="I34" s="246" t="n">
        <v>3285.8</v>
      </c>
      <c r="J34" s="246" t="n">
        <v>3460.24</v>
      </c>
      <c r="K34" s="298" t="inlineStr">
        <is>
          <t>-</t>
        </is>
      </c>
      <c r="L34" s="298" t="inlineStr">
        <is>
          <t>-</t>
        </is>
      </c>
      <c r="M34" s="298" t="inlineStr">
        <is>
          <t>-</t>
        </is>
      </c>
      <c r="N34" s="298" t="inlineStr">
        <is>
          <t>-</t>
        </is>
      </c>
      <c r="O34" s="298" t="inlineStr">
        <is>
          <t>-</t>
        </is>
      </c>
    </row>
    <row r="35">
      <c r="A35" t="inlineStr">
        <is>
          <t>Dividend received</t>
        </is>
      </c>
      <c r="D35" s="246" t="n">
        <v>382.56</v>
      </c>
      <c r="E35" s="246" t="n">
        <v>384.25</v>
      </c>
      <c r="F35" s="246" t="n">
        <v>328.81</v>
      </c>
      <c r="G35" s="246" t="n">
        <v>355.65</v>
      </c>
      <c r="H35" s="246" t="n">
        <v>0</v>
      </c>
      <c r="I35" s="246" t="n">
        <v>0</v>
      </c>
      <c r="J35" s="246" t="n">
        <v>0</v>
      </c>
      <c r="K35" s="298" t="inlineStr">
        <is>
          <t>-</t>
        </is>
      </c>
      <c r="L35" s="298" t="inlineStr">
        <is>
          <t>-</t>
        </is>
      </c>
      <c r="M35" s="298" t="inlineStr">
        <is>
          <t>-</t>
        </is>
      </c>
      <c r="N35" s="298" t="inlineStr">
        <is>
          <t>-</t>
        </is>
      </c>
      <c r="O35" s="298" t="inlineStr">
        <is>
          <t>-</t>
        </is>
      </c>
    </row>
    <row r="36">
      <c r="A36" s="26" t="inlineStr">
        <is>
          <t>Net cash (used) in investing activities</t>
        </is>
      </c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  <c r="N37" s="277" t="n"/>
      <c r="O37" s="277" t="n"/>
    </row>
    <row r="38">
      <c r="A38" s="26" t="inlineStr">
        <is>
          <t>Cash flows from financing activities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</row>
    <row r="39">
      <c r="A39" t="inlineStr">
        <is>
          <t>Proceeds/Repayment  from Loans</t>
        </is>
      </c>
      <c r="D39" s="246" t="n"/>
      <c r="E39" s="246" t="n"/>
      <c r="F39" s="246" t="n"/>
      <c r="G39" s="246" t="n"/>
      <c r="H39" s="246" t="n"/>
      <c r="I39" s="246" t="n"/>
      <c r="J39" s="246" t="n"/>
      <c r="K39" s="277" t="n"/>
      <c r="L39" s="277" t="n"/>
      <c r="M39" s="277" t="n"/>
      <c r="N39" s="277" t="n"/>
      <c r="O39" s="277" t="n"/>
    </row>
    <row r="40">
      <c r="A40" t="inlineStr">
        <is>
          <t>Interest paid</t>
        </is>
      </c>
      <c r="D40" s="246" t="n">
        <v>-143.47</v>
      </c>
      <c r="E40" s="246" t="n">
        <v>-143.98</v>
      </c>
      <c r="F40" s="246" t="n">
        <v>-169.14</v>
      </c>
      <c r="G40" s="246" t="n">
        <v>-185.86</v>
      </c>
      <c r="H40" s="246" t="n">
        <v>-100.46</v>
      </c>
      <c r="I40" s="246" t="n">
        <v>-123.76</v>
      </c>
      <c r="J40" s="246" t="n">
        <v>-168.77</v>
      </c>
      <c r="K40" s="277" t="n"/>
      <c r="L40" s="277" t="n"/>
      <c r="M40" s="277" t="n"/>
      <c r="N40" s="277" t="n"/>
      <c r="O40" s="277" t="n"/>
    </row>
    <row r="41">
      <c r="A41" t="inlineStr">
        <is>
          <t>Change in other long term liabilities</t>
        </is>
      </c>
      <c r="D41" s="277" t="n"/>
      <c r="E41" s="277" t="n"/>
      <c r="F41" s="277" t="n"/>
      <c r="G41" s="277" t="n"/>
      <c r="H41" s="277" t="n"/>
      <c r="I41" s="277" t="n"/>
      <c r="J41" s="277" t="n"/>
      <c r="K41" s="277" t="n"/>
      <c r="L41" s="277" t="n"/>
      <c r="M41" s="277" t="n"/>
      <c r="N41" s="277" t="n"/>
      <c r="O41" s="277" t="n"/>
    </row>
    <row r="42">
      <c r="A42" t="inlineStr">
        <is>
          <t>Finance lease charges paid</t>
        </is>
      </c>
      <c r="D42" s="246" t="n">
        <v>-302.35</v>
      </c>
      <c r="E42" s="246" t="n">
        <v>-312.73</v>
      </c>
      <c r="F42" s="246" t="n">
        <v>-363.12</v>
      </c>
      <c r="G42" s="246" t="n">
        <v>-603.2</v>
      </c>
      <c r="H42" s="246" t="n">
        <v>-669.67</v>
      </c>
      <c r="I42" s="246" t="n">
        <v>-701.5700000000001</v>
      </c>
      <c r="J42" s="246" t="n">
        <v>-478.79</v>
      </c>
      <c r="K42" s="298" t="inlineStr">
        <is>
          <t>-</t>
        </is>
      </c>
      <c r="L42" s="298" t="inlineStr">
        <is>
          <t>-</t>
        </is>
      </c>
      <c r="M42" s="298" t="inlineStr">
        <is>
          <t>-</t>
        </is>
      </c>
      <c r="N42" s="298" t="inlineStr">
        <is>
          <t>-</t>
        </is>
      </c>
      <c r="O42" s="298" t="inlineStr">
        <is>
          <t>-</t>
        </is>
      </c>
    </row>
    <row r="43">
      <c r="A43" t="inlineStr">
        <is>
          <t>Proceed from Share issue</t>
        </is>
      </c>
      <c r="D43" s="238" t="n">
        <v>0</v>
      </c>
      <c r="E43" s="246" t="n">
        <v>0</v>
      </c>
      <c r="F43" s="246" t="n">
        <v>0</v>
      </c>
      <c r="G43" s="246" t="n">
        <v>0</v>
      </c>
      <c r="H43" s="246" t="n">
        <v>0</v>
      </c>
      <c r="I43" s="246" t="n">
        <v>166.41</v>
      </c>
      <c r="J43" s="246" t="n">
        <v>11.11</v>
      </c>
      <c r="K43" s="298" t="inlineStr">
        <is>
          <t>-</t>
        </is>
      </c>
      <c r="L43" s="298" t="inlineStr">
        <is>
          <t>-</t>
        </is>
      </c>
      <c r="M43" s="298" t="inlineStr">
        <is>
          <t>-</t>
        </is>
      </c>
      <c r="N43" s="298" t="inlineStr">
        <is>
          <t>-</t>
        </is>
      </c>
      <c r="O43" s="298" t="inlineStr">
        <is>
          <t>-</t>
        </is>
      </c>
    </row>
    <row r="44">
      <c r="A44" t="inlineStr">
        <is>
          <t>Securities Premium</t>
        </is>
      </c>
      <c r="D44" s="246" t="n">
        <v>0</v>
      </c>
      <c r="E44" s="246" t="n">
        <v>0</v>
      </c>
      <c r="F44" s="246" t="n">
        <v>0</v>
      </c>
      <c r="G44" s="246" t="n">
        <v>0</v>
      </c>
      <c r="H44" s="246" t="n">
        <v>0</v>
      </c>
      <c r="I44" s="246" t="n">
        <v>11971.74</v>
      </c>
      <c r="J44" s="246" t="n">
        <v>0</v>
      </c>
      <c r="K44" s="298" t="inlineStr">
        <is>
          <t>-</t>
        </is>
      </c>
      <c r="L44" s="298" t="inlineStr">
        <is>
          <t>-</t>
        </is>
      </c>
      <c r="M44" s="298" t="inlineStr">
        <is>
          <t>-</t>
        </is>
      </c>
      <c r="N44" s="298" t="inlineStr">
        <is>
          <t>-</t>
        </is>
      </c>
      <c r="O44" s="298" t="inlineStr">
        <is>
          <t>-</t>
        </is>
      </c>
    </row>
    <row r="45">
      <c r="A45" t="inlineStr">
        <is>
          <t>Repayment of share capital</t>
        </is>
      </c>
      <c r="D45" s="246" t="n">
        <v>-2012.43</v>
      </c>
      <c r="E45" s="246" t="n">
        <v>0</v>
      </c>
      <c r="F45" s="246" t="n">
        <v>0</v>
      </c>
      <c r="G45" s="246" t="n">
        <v>0</v>
      </c>
      <c r="H45" s="246" t="n">
        <v>0</v>
      </c>
      <c r="I45" s="246" t="n">
        <v>0</v>
      </c>
      <c r="J45" s="246" t="n">
        <v>0</v>
      </c>
      <c r="K45" s="298" t="inlineStr">
        <is>
          <t>-</t>
        </is>
      </c>
      <c r="L45" s="298" t="inlineStr">
        <is>
          <t>-</t>
        </is>
      </c>
      <c r="M45" s="298" t="inlineStr">
        <is>
          <t>-</t>
        </is>
      </c>
      <c r="N45" s="298" t="inlineStr">
        <is>
          <t>-</t>
        </is>
      </c>
      <c r="O45" s="298" t="inlineStr">
        <is>
          <t>-</t>
        </is>
      </c>
    </row>
    <row r="46">
      <c r="A46" t="inlineStr">
        <is>
          <t>Dividend paid</t>
        </is>
      </c>
      <c r="D46" s="246" t="n">
        <v>0</v>
      </c>
      <c r="E46" s="246" t="n">
        <v>-4904.31</v>
      </c>
      <c r="F46" s="246" t="n">
        <v>-5486.38</v>
      </c>
      <c r="G46" s="246" t="n">
        <v>0</v>
      </c>
      <c r="H46" s="246" t="n">
        <v>-13575.3</v>
      </c>
      <c r="I46" s="246" t="n">
        <v>-11026.49</v>
      </c>
      <c r="J46" s="246" t="n">
        <v>-5422.03</v>
      </c>
      <c r="K46" s="298" t="n"/>
      <c r="L46" s="298" t="n"/>
      <c r="M46" s="298" t="n"/>
      <c r="N46" s="298" t="n"/>
      <c r="O46" s="298" t="n"/>
    </row>
    <row r="47">
      <c r="A47" t="inlineStr">
        <is>
          <t>Tax paid on dividends</t>
        </is>
      </c>
      <c r="D47" s="246" t="n">
        <v>0</v>
      </c>
      <c r="E47" s="246" t="n">
        <v>-795.59</v>
      </c>
      <c r="F47" s="246" t="n">
        <v>-890.03</v>
      </c>
      <c r="G47" s="246" t="n">
        <v>0</v>
      </c>
      <c r="H47" s="246" t="n">
        <v>-2552.83</v>
      </c>
      <c r="I47" s="246" t="n">
        <v>-2244.77</v>
      </c>
      <c r="J47" s="246" t="n">
        <v>-1103.8</v>
      </c>
      <c r="K47" s="298" t="n"/>
      <c r="L47" s="298" t="n"/>
      <c r="M47" s="298" t="n"/>
      <c r="N47" s="298" t="n"/>
      <c r="O47" s="298" t="n"/>
    </row>
    <row r="48">
      <c r="A48" s="26" t="inlineStr">
        <is>
          <t>Net cash generated from / (used in) financing activities</t>
        </is>
      </c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>
      <c r="D49" s="277" t="n"/>
      <c r="E49" s="277" t="n"/>
      <c r="F49" s="277" t="n"/>
      <c r="G49" s="277" t="n"/>
      <c r="H49" s="277" t="n"/>
      <c r="I49" s="277" t="n"/>
      <c r="J49" s="277" t="n"/>
      <c r="K49" s="277" t="n"/>
      <c r="L49" s="277" t="n"/>
      <c r="M49" s="277" t="n"/>
      <c r="N49" s="277" t="n"/>
      <c r="O49" s="277" t="n"/>
    </row>
    <row r="50">
      <c r="A50" s="26" t="inlineStr">
        <is>
          <t>Net increase / (decrease) in cash and cash equivalents during the year / period</t>
        </is>
      </c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>
      <c r="D51" s="277" t="n"/>
      <c r="E51" s="277" t="n"/>
      <c r="F51" s="277" t="n"/>
      <c r="G51" s="277" t="n"/>
      <c r="H51" s="277" t="n"/>
      <c r="I51" s="277" t="n"/>
      <c r="J51" s="277" t="n"/>
      <c r="K51" s="277" t="n"/>
      <c r="L51" s="277" t="n"/>
      <c r="M51" s="277" t="n"/>
      <c r="N51" s="277" t="n"/>
      <c r="O51" s="277" t="n"/>
    </row>
    <row r="52">
      <c r="A52" t="inlineStr">
        <is>
          <t>Effect of exchange rate difference on cash and cash equivalents held in foreign currency</t>
        </is>
      </c>
      <c r="D52" s="246" t="n">
        <v>0</v>
      </c>
      <c r="E52" s="246" t="n">
        <v>4.39</v>
      </c>
      <c r="F52" s="246" t="n">
        <v>-6.14</v>
      </c>
      <c r="G52" s="246" t="n">
        <v>-4.72</v>
      </c>
      <c r="H52" s="246" t="n">
        <v>8.4</v>
      </c>
      <c r="I52" s="246" t="n">
        <v>57.02</v>
      </c>
      <c r="J52" s="246" t="n">
        <v>47.44</v>
      </c>
      <c r="K52" s="277" t="n"/>
      <c r="L52" s="277" t="n"/>
      <c r="M52" s="277" t="n"/>
      <c r="N52" s="277" t="n"/>
      <c r="O52" s="277" t="n"/>
    </row>
    <row r="53">
      <c r="D53" s="277" t="n"/>
      <c r="E53" s="277" t="n"/>
      <c r="F53" s="277" t="n"/>
      <c r="G53" s="277" t="n"/>
      <c r="H53" s="277" t="n"/>
      <c r="I53" s="277" t="n"/>
      <c r="J53" s="277" t="n"/>
      <c r="K53" s="277" t="n"/>
      <c r="L53" s="277" t="n"/>
      <c r="M53" s="277" t="n"/>
      <c r="N53" s="277" t="n"/>
      <c r="O53" s="277" t="n"/>
    </row>
    <row r="54">
      <c r="A54" s="26" t="inlineStr">
        <is>
          <t>Opening Balance</t>
        </is>
      </c>
      <c r="D54" s="246" t="n">
        <v>540.3099999999999</v>
      </c>
      <c r="E54" s="246" t="n">
        <v>456.03</v>
      </c>
      <c r="F54" s="246" t="n">
        <v>2574.67</v>
      </c>
      <c r="G54" s="246" t="n">
        <v>1445.5</v>
      </c>
      <c r="H54" s="246" t="n">
        <v>1106.44</v>
      </c>
      <c r="I54" s="246" t="n">
        <v>2467.49</v>
      </c>
      <c r="J54" s="246" t="n">
        <v>8053.68</v>
      </c>
      <c r="K54" s="277" t="n"/>
      <c r="L54" s="277" t="n"/>
      <c r="M54" s="277" t="n"/>
      <c r="N54" s="277" t="n"/>
      <c r="O54" s="277" t="n"/>
    </row>
    <row r="55">
      <c r="A55" s="26" t="inlineStr">
        <is>
          <t>Closing Balance</t>
        </is>
      </c>
      <c r="D55" s="246" t="n"/>
      <c r="E55" s="246" t="n"/>
      <c r="F55" s="246" t="n"/>
      <c r="G55" s="246" t="n"/>
      <c r="H55" s="246" t="n"/>
      <c r="I55" s="246" t="n"/>
      <c r="J55" s="246" t="n"/>
      <c r="K55" s="277" t="n"/>
      <c r="L55" s="277" t="n"/>
      <c r="M55" s="277" t="n"/>
      <c r="N55" s="277" t="n"/>
      <c r="O55" s="277" t="n"/>
    </row>
    <row r="56">
      <c r="D56" s="277" t="n"/>
      <c r="E56" s="277" t="n"/>
      <c r="F56" s="277" t="n"/>
      <c r="G56" s="277" t="n"/>
      <c r="H56" s="277" t="n"/>
      <c r="I56" s="277" t="n"/>
      <c r="J56" s="277" t="n"/>
      <c r="K56" s="277" t="n"/>
      <c r="L56" s="277" t="n"/>
      <c r="M56" s="277" t="n"/>
      <c r="N56" s="277" t="n"/>
      <c r="O56" s="277" t="n"/>
    </row>
    <row r="57">
      <c r="A57" t="inlineStr">
        <is>
          <t>Deposits</t>
        </is>
      </c>
      <c r="E57" s="277" t="n"/>
      <c r="F57" s="277" t="n"/>
      <c r="G57" s="277" t="n"/>
      <c r="H57" s="277" t="n"/>
      <c r="I57" s="277" t="n"/>
      <c r="J57" s="277" t="n"/>
      <c r="K57" s="277" t="n"/>
      <c r="L57" s="277" t="n"/>
      <c r="M57" s="277" t="n"/>
      <c r="N57" s="277" t="n"/>
      <c r="O57" s="277" t="n"/>
    </row>
    <row r="58">
      <c r="D58" s="277" t="n"/>
      <c r="E58" s="277" t="n"/>
      <c r="F58" s="277" t="n"/>
      <c r="G58" s="277" t="n"/>
      <c r="H58" s="277" t="n"/>
      <c r="I58" s="277" t="n"/>
      <c r="J58" s="277" t="n"/>
      <c r="K58" s="277" t="n"/>
      <c r="L58" s="277" t="n"/>
      <c r="M58" s="277" t="n"/>
      <c r="N58" s="277" t="n"/>
      <c r="O58" s="277" t="n"/>
    </row>
    <row r="59">
      <c r="D59" s="277" t="n"/>
      <c r="E59" s="277" t="n"/>
      <c r="F59" s="277" t="n"/>
      <c r="G59" s="277" t="n"/>
      <c r="H59" s="277" t="n"/>
      <c r="I59" s="277" t="n"/>
      <c r="J59" s="277" t="n"/>
      <c r="K59" s="277" t="n"/>
      <c r="L59" s="277" t="n"/>
      <c r="M59" s="277" t="n"/>
      <c r="N59" s="277" t="n"/>
      <c r="O59" s="277" t="n"/>
    </row>
    <row r="60">
      <c r="D60" s="277" t="n"/>
      <c r="E60" s="277" t="n"/>
      <c r="F60" s="277" t="n"/>
      <c r="G60" s="277" t="n"/>
      <c r="H60" s="277" t="n"/>
      <c r="I60" s="277" t="n"/>
      <c r="J60" s="277" t="n"/>
      <c r="K60" s="277" t="n"/>
      <c r="L60" s="277" t="n"/>
      <c r="M60" s="277" t="n"/>
      <c r="N60" s="277" t="n"/>
      <c r="O60" s="277" t="n"/>
    </row>
    <row r="61">
      <c r="D61" s="277" t="n"/>
      <c r="E61" s="277" t="n"/>
      <c r="F61" s="277" t="n"/>
      <c r="G61" s="277" t="n"/>
      <c r="H61" s="277" t="n"/>
      <c r="I61" s="277" t="n"/>
      <c r="J61" s="277" t="n"/>
      <c r="K61" s="277" t="n"/>
      <c r="L61" s="277" t="n"/>
      <c r="M61" s="277" t="n"/>
      <c r="N61" s="277" t="n"/>
      <c r="O61" s="277" t="n"/>
    </row>
    <row r="62">
      <c r="D62" s="277" t="n"/>
      <c r="E62" s="277" t="n"/>
      <c r="F62" s="277" t="n"/>
      <c r="G62" s="277" t="n"/>
      <c r="H62" s="277" t="n"/>
      <c r="I62" s="277" t="n"/>
      <c r="J62" s="277" t="n"/>
      <c r="K62" s="277" t="n"/>
      <c r="L62" s="277" t="n"/>
      <c r="M62" s="277" t="n"/>
      <c r="N62" s="277" t="n"/>
      <c r="O62" s="277" t="n"/>
    </row>
    <row r="63">
      <c r="D63" s="277" t="n"/>
      <c r="E63" s="277" t="n"/>
      <c r="F63" s="277" t="n"/>
      <c r="G63" s="277" t="n"/>
      <c r="H63" s="277" t="n"/>
      <c r="I63" s="277" t="n"/>
      <c r="J63" s="277" t="n"/>
      <c r="K63" s="277" t="n"/>
      <c r="L63" s="277" t="n"/>
      <c r="M63" s="277" t="n"/>
      <c r="N63" s="277" t="n"/>
      <c r="O63" s="277" t="n"/>
    </row>
    <row r="64">
      <c r="D64" s="277" t="n"/>
      <c r="E64" s="277" t="n"/>
      <c r="F64" s="277" t="n"/>
      <c r="G64" s="277" t="n"/>
      <c r="H64" s="277" t="n"/>
      <c r="I64" s="277" t="n"/>
      <c r="J64" s="277" t="n"/>
      <c r="K64" s="277" t="n"/>
      <c r="L64" s="277" t="n"/>
      <c r="M64" s="277" t="n"/>
      <c r="N64" s="277" t="n"/>
      <c r="O64" s="277" t="n"/>
    </row>
    <row r="65">
      <c r="D65" s="277" t="n"/>
      <c r="E65" s="277" t="n"/>
      <c r="F65" s="277" t="n"/>
      <c r="G65" s="277" t="n"/>
      <c r="H65" s="277" t="n"/>
      <c r="I65" s="277" t="n"/>
      <c r="J65" s="277" t="n"/>
      <c r="K65" s="277" t="n"/>
      <c r="L65" s="277" t="n"/>
      <c r="M65" s="277" t="n"/>
      <c r="N65" s="277" t="n"/>
      <c r="O65" s="277" t="n"/>
    </row>
    <row r="66">
      <c r="D66" s="277" t="n"/>
      <c r="E66" s="277" t="n"/>
      <c r="F66" s="277" t="n"/>
      <c r="G66" s="277" t="n"/>
      <c r="H66" s="277" t="n"/>
      <c r="I66" s="277" t="n"/>
      <c r="J66" s="277" t="n"/>
      <c r="K66" s="277" t="n"/>
      <c r="L66" s="277" t="n"/>
      <c r="M66" s="277" t="n"/>
      <c r="N66" s="277" t="n"/>
      <c r="O66" s="277" t="n"/>
    </row>
    <row r="67">
      <c r="D67" s="277" t="n"/>
      <c r="E67" s="277" t="n"/>
      <c r="F67" s="277" t="n"/>
      <c r="G67" s="277" t="n"/>
      <c r="H67" s="277" t="n"/>
      <c r="I67" s="277" t="n"/>
      <c r="J67" s="277" t="n"/>
      <c r="K67" s="277" t="n"/>
      <c r="L67" s="277" t="n"/>
      <c r="M67" s="277" t="n"/>
      <c r="N67" s="277" t="n"/>
      <c r="O67" s="277" t="n"/>
    </row>
    <row r="68">
      <c r="D68" s="277" t="n"/>
      <c r="E68" s="277" t="n"/>
      <c r="F68" s="277" t="n"/>
      <c r="G68" s="277" t="n"/>
      <c r="H68" s="277" t="n"/>
      <c r="I68" s="277" t="n"/>
      <c r="J68" s="277" t="n"/>
      <c r="K68" s="277" t="n"/>
      <c r="L68" s="277" t="n"/>
      <c r="M68" s="277" t="n"/>
      <c r="N68" s="277" t="n"/>
      <c r="O68" s="277" t="n"/>
    </row>
    <row r="69">
      <c r="D69" s="277" t="n"/>
      <c r="E69" s="277" t="n"/>
      <c r="F69" s="277" t="n"/>
      <c r="G69" s="277" t="n"/>
      <c r="H69" s="277" t="n"/>
      <c r="I69" s="277" t="n"/>
      <c r="J69" s="277" t="n"/>
      <c r="K69" s="277" t="n"/>
      <c r="L69" s="277" t="n"/>
      <c r="M69" s="277" t="n"/>
      <c r="N69" s="277" t="n"/>
      <c r="O69" s="277" t="n"/>
    </row>
    <row r="70">
      <c r="D70" s="277" t="n"/>
      <c r="E70" s="277" t="n"/>
      <c r="F70" s="277" t="n"/>
      <c r="G70" s="277" t="n"/>
      <c r="H70" s="277" t="n"/>
      <c r="I70" s="277" t="n"/>
      <c r="J70" s="277" t="n"/>
      <c r="K70" s="277" t="n"/>
      <c r="L70" s="277" t="n"/>
      <c r="M70" s="277" t="n"/>
      <c r="N70" s="277" t="n"/>
      <c r="O70" s="277" t="n"/>
    </row>
    <row r="71">
      <c r="D71" s="277" t="n"/>
      <c r="E71" s="277" t="n"/>
      <c r="F71" s="277" t="n"/>
      <c r="G71" s="277" t="n"/>
      <c r="H71" s="277" t="n"/>
      <c r="I71" s="277" t="n"/>
      <c r="J71" s="277" t="n"/>
      <c r="K71" s="277" t="n"/>
      <c r="L71" s="277" t="n"/>
      <c r="M71" s="277" t="n"/>
      <c r="N71" s="277" t="n"/>
      <c r="O71" s="277" t="n"/>
    </row>
    <row r="72">
      <c r="D72" s="277" t="n"/>
      <c r="E72" s="277" t="n"/>
      <c r="F72" s="277" t="n"/>
      <c r="G72" s="277" t="n"/>
      <c r="H72" s="277" t="n"/>
      <c r="I72" s="277" t="n"/>
      <c r="J72" s="277" t="n"/>
      <c r="K72" s="277" t="n"/>
      <c r="L72" s="277" t="n"/>
      <c r="M72" s="277" t="n"/>
      <c r="N72" s="277" t="n"/>
      <c r="O72" s="277" t="n"/>
    </row>
    <row r="73">
      <c r="D73" s="277" t="n"/>
      <c r="E73" s="277" t="n"/>
      <c r="F73" s="277" t="n"/>
      <c r="G73" s="277" t="n"/>
      <c r="H73" s="277" t="n"/>
      <c r="I73" s="277" t="n"/>
      <c r="J73" s="277" t="n"/>
      <c r="K73" s="277" t="n"/>
      <c r="L73" s="277" t="n"/>
      <c r="M73" s="277" t="n"/>
      <c r="N73" s="277" t="n"/>
      <c r="O73" s="277" t="n"/>
    </row>
    <row r="74">
      <c r="D74" s="277" t="n"/>
      <c r="E74" s="277" t="n"/>
      <c r="F74" s="277" t="n"/>
      <c r="G74" s="277" t="n"/>
      <c r="H74" s="277" t="n"/>
      <c r="I74" s="277" t="n"/>
      <c r="J74" s="277" t="n"/>
      <c r="K74" s="277" t="n"/>
      <c r="L74" s="277" t="n"/>
      <c r="M74" s="277" t="n"/>
      <c r="N74" s="277" t="n"/>
      <c r="O74" s="277" t="n"/>
    </row>
    <row r="75"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</row>
    <row r="76"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</row>
    <row r="77">
      <c r="D77" s="277" t="n"/>
      <c r="E77" s="277" t="n"/>
      <c r="F77" s="277" t="n"/>
      <c r="G77" s="277" t="n"/>
      <c r="H77" s="277" t="n"/>
      <c r="I77" s="277" t="n"/>
      <c r="J77" s="277" t="n"/>
      <c r="K77" s="277" t="n"/>
      <c r="L77" s="277" t="n"/>
      <c r="M77" s="277" t="n"/>
      <c r="N77" s="277" t="n"/>
      <c r="O77" s="277" t="n"/>
    </row>
    <row r="78">
      <c r="D78" s="277" t="n"/>
      <c r="E78" s="277" t="n"/>
      <c r="F78" s="277" t="n"/>
      <c r="G78" s="277" t="n"/>
      <c r="H78" s="277" t="n"/>
      <c r="I78" s="277" t="n"/>
      <c r="J78" s="277" t="n"/>
      <c r="K78" s="277" t="n"/>
      <c r="L78" s="277" t="n"/>
      <c r="M78" s="277" t="n"/>
      <c r="N78" s="277" t="n"/>
      <c r="O78" s="277" t="n"/>
    </row>
    <row r="79">
      <c r="D79" s="277" t="n"/>
      <c r="E79" s="277" t="n"/>
      <c r="F79" s="277" t="n"/>
      <c r="G79" s="277" t="n"/>
      <c r="H79" s="277" t="n"/>
      <c r="I79" s="277" t="n"/>
      <c r="J79" s="277" t="n"/>
      <c r="K79" s="277" t="n"/>
      <c r="L79" s="277" t="n"/>
      <c r="M79" s="277" t="n"/>
      <c r="N79" s="277" t="n"/>
      <c r="O79" s="277" t="n"/>
    </row>
    <row r="80">
      <c r="D80" s="277" t="n"/>
      <c r="E80" s="277" t="n"/>
      <c r="F80" s="277" t="n"/>
      <c r="G80" s="277" t="n"/>
      <c r="H80" s="277" t="n"/>
      <c r="I80" s="277" t="n"/>
      <c r="J80" s="277" t="n"/>
      <c r="K80" s="277" t="n"/>
      <c r="L80" s="277" t="n"/>
      <c r="M80" s="277" t="n"/>
      <c r="N80" s="277" t="n"/>
      <c r="O80" s="277" t="n"/>
    </row>
    <row r="81">
      <c r="D81" s="277" t="n"/>
      <c r="E81" s="277" t="n"/>
      <c r="F81" s="277" t="n"/>
      <c r="G81" s="277" t="n"/>
      <c r="H81" s="277" t="n"/>
      <c r="I81" s="277" t="n"/>
      <c r="J81" s="277" t="n"/>
      <c r="K81" s="277" t="n"/>
      <c r="L81" s="277" t="n"/>
      <c r="M81" s="277" t="n"/>
      <c r="N81" s="277" t="n"/>
      <c r="O81" s="277" t="n"/>
    </row>
    <row r="82">
      <c r="D82" s="277" t="n"/>
      <c r="E82" s="277" t="n"/>
      <c r="F82" s="277" t="n"/>
      <c r="G82" s="277" t="n"/>
      <c r="H82" s="277" t="n"/>
      <c r="I82" s="277" t="n"/>
      <c r="J82" s="277" t="n"/>
      <c r="K82" s="277" t="n"/>
      <c r="L82" s="277" t="n"/>
      <c r="M82" s="277" t="n"/>
      <c r="N82" s="277" t="n"/>
      <c r="O82" s="277" t="n"/>
    </row>
    <row r="83">
      <c r="D83" s="277" t="n"/>
      <c r="E83" s="277" t="n"/>
      <c r="F83" s="277" t="n"/>
      <c r="G83" s="277" t="n"/>
      <c r="H83" s="277" t="n"/>
      <c r="I83" s="277" t="n"/>
      <c r="J83" s="277" t="n"/>
      <c r="K83" s="277" t="n"/>
      <c r="L83" s="277" t="n"/>
      <c r="M83" s="277" t="n"/>
      <c r="N83" s="277" t="n"/>
      <c r="O83" s="277" t="n"/>
    </row>
    <row r="84">
      <c r="D84" s="277" t="n"/>
      <c r="E84" s="277" t="n"/>
      <c r="F84" s="277" t="n"/>
      <c r="G84" s="277" t="n"/>
      <c r="H84" s="277" t="n"/>
      <c r="I84" s="277" t="n"/>
      <c r="J84" s="277" t="n"/>
      <c r="K84" s="277" t="n"/>
      <c r="L84" s="277" t="n"/>
      <c r="M84" s="277" t="n"/>
      <c r="N84" s="277" t="n"/>
      <c r="O84" s="277" t="n"/>
    </row>
    <row r="85">
      <c r="D85" s="277" t="n"/>
      <c r="E85" s="277" t="n"/>
      <c r="F85" s="277" t="n"/>
      <c r="G85" s="277" t="n"/>
      <c r="H85" s="277" t="n"/>
      <c r="I85" s="277" t="n"/>
      <c r="J85" s="277" t="n"/>
      <c r="K85" s="277" t="n"/>
      <c r="L85" s="277" t="n"/>
      <c r="M85" s="277" t="n"/>
      <c r="N85" s="277" t="n"/>
      <c r="O85" s="277" t="n"/>
    </row>
    <row r="86">
      <c r="D86" s="277" t="n"/>
      <c r="E86" s="277" t="n"/>
      <c r="F86" s="277" t="n"/>
      <c r="G86" s="277" t="n"/>
      <c r="H86" s="277" t="n"/>
      <c r="I86" s="277" t="n"/>
      <c r="J86" s="277" t="n"/>
      <c r="K86" s="277" t="n"/>
      <c r="L86" s="277" t="n"/>
      <c r="M86" s="277" t="n"/>
      <c r="N86" s="277" t="n"/>
      <c r="O86" s="277" t="n"/>
    </row>
    <row r="87">
      <c r="D87" s="277" t="n"/>
      <c r="E87" s="277" t="n"/>
      <c r="F87" s="277" t="n"/>
      <c r="G87" s="277" t="n"/>
      <c r="H87" s="277" t="n"/>
      <c r="I87" s="277" t="n"/>
      <c r="J87" s="277" t="n"/>
      <c r="K87" s="277" t="n"/>
      <c r="L87" s="277" t="n"/>
      <c r="M87" s="277" t="n"/>
      <c r="N87" s="277" t="n"/>
      <c r="O87" s="277" t="n"/>
    </row>
    <row r="88">
      <c r="D88" s="277" t="n"/>
      <c r="E88" s="277" t="n"/>
      <c r="F88" s="277" t="n"/>
      <c r="G88" s="277" t="n"/>
      <c r="H88" s="277" t="n"/>
      <c r="I88" s="277" t="n"/>
      <c r="J88" s="277" t="n"/>
      <c r="K88" s="277" t="n"/>
      <c r="L88" s="277" t="n"/>
      <c r="M88" s="277" t="n"/>
      <c r="N88" s="277" t="n"/>
      <c r="O88" s="277" t="n"/>
    </row>
    <row r="89">
      <c r="D89" s="277" t="n"/>
      <c r="E89" s="277" t="n"/>
      <c r="F89" s="277" t="n"/>
      <c r="G89" s="277" t="n"/>
      <c r="H89" s="277" t="n"/>
      <c r="I89" s="277" t="n"/>
      <c r="J89" s="277" t="n"/>
      <c r="K89" s="277" t="n"/>
      <c r="L89" s="277" t="n"/>
      <c r="M89" s="277" t="n"/>
      <c r="N89" s="277" t="n"/>
      <c r="O89" s="277" t="n"/>
    </row>
    <row r="90">
      <c r="D90" s="277" t="n"/>
      <c r="E90" s="277" t="n"/>
      <c r="F90" s="277" t="n"/>
      <c r="G90" s="277" t="n"/>
      <c r="H90" s="277" t="n"/>
      <c r="I90" s="277" t="n"/>
      <c r="J90" s="277" t="n"/>
      <c r="K90" s="277" t="n"/>
      <c r="L90" s="277" t="n"/>
      <c r="M90" s="277" t="n"/>
      <c r="N90" s="277" t="n"/>
      <c r="O90" s="277" t="n"/>
    </row>
    <row r="91">
      <c r="D91" s="277" t="n"/>
      <c r="E91" s="277" t="n"/>
      <c r="F91" s="277" t="n"/>
      <c r="G91" s="277" t="n"/>
      <c r="H91" s="277" t="n"/>
      <c r="I91" s="277" t="n"/>
      <c r="J91" s="277" t="n"/>
      <c r="K91" s="277" t="n"/>
      <c r="L91" s="277" t="n"/>
      <c r="M91" s="277" t="n"/>
      <c r="N91" s="277" t="n"/>
      <c r="O91" s="277" t="n"/>
    </row>
    <row r="92">
      <c r="D92" s="277" t="n"/>
      <c r="E92" s="277" t="n"/>
      <c r="F92" s="277" t="n"/>
      <c r="G92" s="277" t="n"/>
      <c r="H92" s="277" t="n"/>
      <c r="I92" s="277" t="n"/>
      <c r="J92" s="277" t="n"/>
      <c r="K92" s="277" t="n"/>
      <c r="L92" s="277" t="n"/>
      <c r="M92" s="277" t="n"/>
      <c r="N92" s="277" t="n"/>
      <c r="O92" s="277" t="n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selection activeCell="F28" sqref="F28"/>
    </sheetView>
  </sheetViews>
  <sheetFormatPr baseColWidth="10" defaultColWidth="8.83203125" defaultRowHeight="14"/>
  <cols>
    <col width="21.5" customWidth="1" style="322" min="1" max="1"/>
    <col width="12.83203125" customWidth="1" style="322" min="2" max="2"/>
    <col width="11.5" customWidth="1" style="322" min="3" max="3"/>
    <col width="13.6640625" customWidth="1" style="322" min="4" max="4"/>
    <col width="12.5" customWidth="1" style="322" min="5" max="5"/>
    <col width="18.5" bestFit="1" customWidth="1" style="322" min="6" max="6"/>
    <col width="18.5" bestFit="1" customWidth="1" style="322" min="8" max="8"/>
    <col width="11" bestFit="1" customWidth="1" style="322" min="9" max="9"/>
  </cols>
  <sheetData>
    <row r="1">
      <c r="A1" t="inlineStr">
        <is>
          <t>Month</t>
        </is>
      </c>
      <c r="B1" t="inlineStr">
        <is>
          <t>Delhi</t>
        </is>
      </c>
      <c r="C1" t="inlineStr">
        <is>
          <t>Kolkata</t>
        </is>
      </c>
      <c r="D1" t="inlineStr">
        <is>
          <t xml:space="preserve">Mumbai </t>
        </is>
      </c>
      <c r="E1" t="inlineStr">
        <is>
          <t>Chennai</t>
        </is>
      </c>
      <c r="F1" t="inlineStr">
        <is>
          <t>Average</t>
        </is>
      </c>
      <c r="I1" t="inlineStr">
        <is>
          <t>ATF Price (Rs)</t>
        </is>
      </c>
      <c r="J1" t="inlineStr">
        <is>
          <t>Brent ($)</t>
        </is>
      </c>
      <c r="K1" t="inlineStr">
        <is>
          <t>US Oil ($)</t>
        </is>
      </c>
    </row>
    <row r="2">
      <c r="A2" s="46" t="inlineStr">
        <is>
          <t>December 01,2017</t>
        </is>
      </c>
      <c r="B2" s="47" t="n">
        <v>57349</v>
      </c>
      <c r="C2" s="47" t="n">
        <v>61699</v>
      </c>
      <c r="D2" s="47" t="n">
        <v>56636</v>
      </c>
      <c r="E2" s="49" t="n">
        <v>60258</v>
      </c>
      <c r="F2" s="297" t="n"/>
      <c r="G2" s="54" t="n">
        <v>131</v>
      </c>
      <c r="I2" s="353" t="n"/>
      <c r="J2" t="n">
        <v>82.63</v>
      </c>
      <c r="K2" t="n">
        <v>84.53</v>
      </c>
      <c r="L2" s="25" t="n">
        <v>50873</v>
      </c>
      <c r="M2" t="n">
        <v>2017</v>
      </c>
      <c r="O2" s="22" t="n"/>
      <c r="Q2" s="49" t="n"/>
    </row>
    <row r="3">
      <c r="A3" s="46" t="inlineStr">
        <is>
          <t>November 01,2017</t>
        </is>
      </c>
      <c r="B3" s="47" t="n">
        <v>54143</v>
      </c>
      <c r="C3" s="47" t="n">
        <v>58478</v>
      </c>
      <c r="D3" s="47" t="n">
        <v>53430</v>
      </c>
      <c r="E3" s="49" t="n">
        <v>56934</v>
      </c>
      <c r="F3" s="297" t="n"/>
      <c r="G3" s="209" t="n"/>
      <c r="I3" s="353" t="n"/>
      <c r="J3" t="n">
        <v>88.09</v>
      </c>
      <c r="K3" t="n">
        <v>86.19</v>
      </c>
      <c r="L3" s="25" t="n">
        <v>47277.21</v>
      </c>
      <c r="M3" t="n">
        <v>2016</v>
      </c>
      <c r="O3" s="22" t="n"/>
    </row>
    <row r="4">
      <c r="A4" s="46" t="inlineStr">
        <is>
          <t>October 01,2017</t>
        </is>
      </c>
      <c r="B4" s="47" t="n">
        <v>53045</v>
      </c>
      <c r="C4" s="47" t="n">
        <v>57337</v>
      </c>
      <c r="D4" s="47" t="n">
        <v>52318</v>
      </c>
      <c r="E4" s="49" t="n">
        <v>55770</v>
      </c>
      <c r="F4" s="297" t="n"/>
      <c r="G4" s="209" t="n"/>
      <c r="I4" s="353" t="n"/>
      <c r="J4" t="n">
        <v>73.08</v>
      </c>
      <c r="K4" t="n">
        <v>72.7</v>
      </c>
      <c r="L4" t="n">
        <v>68370.4473076923</v>
      </c>
      <c r="M4" t="n">
        <v>2015</v>
      </c>
      <c r="O4" s="22" t="n"/>
    </row>
    <row r="5">
      <c r="A5" s="46" t="inlineStr">
        <is>
          <t>September 01,2017</t>
        </is>
      </c>
      <c r="B5" s="47" t="n">
        <v>50020</v>
      </c>
      <c r="C5" s="47" t="n">
        <v>54416</v>
      </c>
      <c r="D5" s="47" t="n">
        <v>49383</v>
      </c>
      <c r="E5" s="49" t="n">
        <v>52740</v>
      </c>
      <c r="F5" s="297" t="n"/>
      <c r="G5" s="209" t="n"/>
      <c r="I5" s="353" t="n"/>
      <c r="J5" t="n">
        <v>71.73</v>
      </c>
      <c r="K5" t="n">
        <v>72.95</v>
      </c>
      <c r="L5" t="n">
        <v>75749.37604166668</v>
      </c>
      <c r="M5" t="n">
        <v>2014</v>
      </c>
      <c r="O5" s="22" t="n"/>
    </row>
    <row r="6">
      <c r="A6" s="46" t="inlineStr">
        <is>
          <t>August 01, 2017</t>
        </is>
      </c>
      <c r="B6" s="47" t="inlineStr">
        <is>
          <t>48,110 .00</t>
        </is>
      </c>
      <c r="C6" s="47" t="n">
        <v>52535</v>
      </c>
      <c r="D6" s="47" t="n">
        <v>47459</v>
      </c>
      <c r="E6" s="49" t="n">
        <v>50784</v>
      </c>
      <c r="F6" s="297" t="n"/>
      <c r="G6" s="209" t="n"/>
      <c r="I6" s="353" t="n"/>
      <c r="J6" t="n">
        <v>81.93000000000001</v>
      </c>
      <c r="K6" t="n">
        <v>81.25</v>
      </c>
      <c r="L6" t="n">
        <v>70800.46184210527</v>
      </c>
      <c r="M6" t="n">
        <v>2013</v>
      </c>
      <c r="O6" s="22" t="n"/>
    </row>
    <row r="7">
      <c r="A7" s="46" t="inlineStr">
        <is>
          <t>July 01, 2017</t>
        </is>
      </c>
      <c r="B7" s="47" t="n">
        <v>47013</v>
      </c>
      <c r="C7" s="47" t="n">
        <v>51491</v>
      </c>
      <c r="D7" s="47" t="n">
        <v>46376</v>
      </c>
      <c r="E7" s="49" t="n">
        <v>49705</v>
      </c>
      <c r="F7" s="297" t="n"/>
      <c r="G7" s="209" t="n"/>
      <c r="I7" s="353" t="n"/>
      <c r="J7" t="n">
        <v>75.53</v>
      </c>
      <c r="K7" t="n">
        <v>73.97</v>
      </c>
      <c r="L7" t="n">
        <v>63783.68798076921</v>
      </c>
      <c r="M7" t="n">
        <v>2012</v>
      </c>
      <c r="O7" s="22" t="n"/>
    </row>
    <row r="8">
      <c r="A8" s="46" t="inlineStr">
        <is>
          <t>June 01, 2017</t>
        </is>
      </c>
      <c r="B8" s="47" t="n">
        <v>49730</v>
      </c>
      <c r="C8" s="47" t="n">
        <v>54463</v>
      </c>
      <c r="D8" s="47" t="n">
        <v>49115</v>
      </c>
      <c r="E8" s="49" t="n">
        <v>52461</v>
      </c>
      <c r="F8" s="297" t="n"/>
      <c r="G8" s="209" t="n"/>
      <c r="I8" s="353" t="n"/>
      <c r="J8" t="n">
        <v>82.69</v>
      </c>
      <c r="K8" t="n">
        <v>81.56999999999999</v>
      </c>
      <c r="L8" t="n">
        <v>47800.88104166666</v>
      </c>
      <c r="M8" t="n">
        <v>2011</v>
      </c>
      <c r="O8" s="22" t="n"/>
    </row>
    <row r="9">
      <c r="A9" s="46" t="inlineStr">
        <is>
          <t>May 01, 2017</t>
        </is>
      </c>
      <c r="B9" s="47" t="n">
        <v>51696</v>
      </c>
      <c r="C9" s="47" t="n">
        <v>56430</v>
      </c>
      <c r="D9" s="47" t="n">
        <v>51110</v>
      </c>
      <c r="E9" s="49" t="n">
        <v>54505</v>
      </c>
      <c r="F9" s="297" t="n"/>
      <c r="G9" s="209" t="n"/>
      <c r="I9" s="353" t="n"/>
      <c r="J9" t="n">
        <v>84.06</v>
      </c>
      <c r="K9" t="n">
        <v>82.94</v>
      </c>
    </row>
    <row r="10">
      <c r="A10" s="46" t="inlineStr">
        <is>
          <t>April 01, 2017</t>
        </is>
      </c>
      <c r="B10" s="47" t="n">
        <v>51482</v>
      </c>
      <c r="C10" s="47" t="n">
        <v>56268</v>
      </c>
      <c r="D10" s="47" t="n">
        <v>50896</v>
      </c>
      <c r="E10" s="49" t="n">
        <v>54324</v>
      </c>
      <c r="F10" s="297" t="n"/>
      <c r="G10" s="209" t="n"/>
      <c r="I10" s="353" t="n"/>
      <c r="J10" t="n">
        <v>88.56</v>
      </c>
      <c r="K10" t="n">
        <v>86.75</v>
      </c>
    </row>
    <row r="11">
      <c r="A11" s="46" t="inlineStr">
        <is>
          <t>March 01,2017</t>
        </is>
      </c>
      <c r="B11" s="47" t="n">
        <v>54293.38</v>
      </c>
      <c r="C11" s="47" t="n">
        <v>59178.78</v>
      </c>
      <c r="D11" s="47" t="n">
        <v>53663.58</v>
      </c>
      <c r="E11" s="49" t="n">
        <v>57283.86</v>
      </c>
      <c r="F11" s="297" t="n"/>
      <c r="G11" s="209" t="n"/>
      <c r="I11" s="353" t="n"/>
      <c r="J11" t="n">
        <v>95.81999999999999</v>
      </c>
      <c r="K11" t="n">
        <v>91.59</v>
      </c>
    </row>
    <row r="12">
      <c r="A12" s="46" t="inlineStr">
        <is>
          <t>February 01,2017</t>
        </is>
      </c>
      <c r="B12" s="47" t="n">
        <v>54079.63</v>
      </c>
      <c r="C12" s="47" t="n">
        <v>58822.53</v>
      </c>
      <c r="D12" s="47" t="n">
        <v>53407.08</v>
      </c>
      <c r="E12" s="49" t="n">
        <v>56960.33</v>
      </c>
      <c r="F12" s="297" t="n"/>
      <c r="G12" s="209" t="n"/>
      <c r="I12" s="353" t="n"/>
      <c r="J12" t="n">
        <v>100.4</v>
      </c>
      <c r="K12" t="n">
        <v>89.54000000000001</v>
      </c>
    </row>
    <row r="13">
      <c r="A13" s="46" t="inlineStr">
        <is>
          <t>January 01, 2017</t>
        </is>
      </c>
      <c r="B13" s="47" t="n">
        <v>52540.63</v>
      </c>
      <c r="C13" s="47" t="n">
        <v>57215.61</v>
      </c>
      <c r="D13" s="47" t="n">
        <v>51776.88</v>
      </c>
      <c r="E13" s="49" t="n">
        <v>55322.55</v>
      </c>
      <c r="F13" s="297" t="n"/>
      <c r="G13" s="209" t="n"/>
      <c r="I13" s="353" t="n"/>
      <c r="J13" t="n">
        <v>113.34</v>
      </c>
      <c r="K13" t="n">
        <v>99.63</v>
      </c>
    </row>
    <row r="14">
      <c r="A14" s="46" t="inlineStr">
        <is>
          <t>December 01,2016</t>
        </is>
      </c>
      <c r="B14" s="47" t="n">
        <v>48379.63</v>
      </c>
      <c r="C14" s="47" t="n">
        <v>53011.86</v>
      </c>
      <c r="D14" s="47" t="n">
        <v>47601.63</v>
      </c>
      <c r="E14" s="49" t="n">
        <v>50998.98</v>
      </c>
      <c r="F14" s="297" t="n"/>
      <c r="G14" s="209" t="n"/>
      <c r="I14" s="353" t="n"/>
      <c r="J14" t="n">
        <v>118.63</v>
      </c>
      <c r="K14" t="n">
        <v>107.55</v>
      </c>
    </row>
    <row r="15">
      <c r="A15" s="46" t="inlineStr">
        <is>
          <t>November 01,2016</t>
        </is>
      </c>
      <c r="B15" s="47" t="n">
        <v>50260.63</v>
      </c>
      <c r="C15" s="47" t="n">
        <v>54921.36</v>
      </c>
      <c r="D15" s="47" t="n">
        <v>49482.63</v>
      </c>
      <c r="E15" s="49" t="n">
        <v>52940.19</v>
      </c>
      <c r="F15" s="297" t="n"/>
      <c r="G15" s="209" t="n"/>
      <c r="I15" s="353" t="n"/>
      <c r="J15" t="n">
        <v>121.55</v>
      </c>
      <c r="K15" t="n">
        <v>113.03</v>
      </c>
    </row>
    <row r="16">
      <c r="A16" s="46" t="inlineStr">
        <is>
          <t>October 01,2016</t>
        </is>
      </c>
      <c r="B16" s="47" t="n">
        <v>46826.38</v>
      </c>
      <c r="C16" s="47" t="n">
        <v>51562.45</v>
      </c>
      <c r="D16" s="47" t="n">
        <v>45933.21</v>
      </c>
      <c r="E16" s="49" t="n">
        <v>49447.19</v>
      </c>
      <c r="F16" s="297" t="n"/>
      <c r="G16" s="209" t="n"/>
      <c r="I16" s="353" t="n"/>
      <c r="J16" t="n">
        <v>115.09</v>
      </c>
      <c r="K16" t="n">
        <v>100.3</v>
      </c>
    </row>
    <row r="17">
      <c r="A17" s="46" t="inlineStr">
        <is>
          <t>September 01,2016</t>
        </is>
      </c>
      <c r="B17" s="47" t="n">
        <v>45411.18</v>
      </c>
      <c r="C17" s="47" t="n">
        <v>50265.7</v>
      </c>
      <c r="D17" s="47" t="n">
        <v>44418.05</v>
      </c>
      <c r="E17" s="49" t="n">
        <v>48108.95</v>
      </c>
      <c r="F17" s="297" t="n"/>
      <c r="G17" s="209" t="n"/>
      <c r="I17" s="353" t="n"/>
      <c r="J17" t="n">
        <v>113.55</v>
      </c>
      <c r="K17" t="n">
        <v>94.81</v>
      </c>
    </row>
    <row r="18">
      <c r="A18" s="46" t="inlineStr">
        <is>
          <t>August 01,2016</t>
        </is>
      </c>
      <c r="B18" s="47" t="n">
        <v>47206.68</v>
      </c>
      <c r="C18" s="47" t="n">
        <v>52089.7</v>
      </c>
      <c r="D18" s="47" t="n">
        <v>46242.05</v>
      </c>
      <c r="E18" s="49" t="n">
        <v>49991.32</v>
      </c>
      <c r="F18" s="297" t="n"/>
      <c r="G18" s="209" t="n"/>
      <c r="I18" s="353" t="n"/>
      <c r="J18" t="n">
        <v>113.74</v>
      </c>
      <c r="K18" t="n">
        <v>94.98</v>
      </c>
    </row>
    <row r="19">
      <c r="A19" s="46" t="inlineStr">
        <is>
          <t>July 01,2016</t>
        </is>
      </c>
      <c r="B19" s="47" t="n">
        <v>49287.18</v>
      </c>
      <c r="C19" s="47" t="n">
        <v>54114.43</v>
      </c>
      <c r="D19" s="47" t="n">
        <v>48322.55</v>
      </c>
      <c r="E19" s="49" t="n">
        <v>52110.63</v>
      </c>
      <c r="F19" s="297" t="n"/>
      <c r="G19" s="209" t="n"/>
      <c r="I19" s="353" t="n"/>
      <c r="J19" t="n">
        <v>117.5</v>
      </c>
      <c r="K19" t="n">
        <v>88.93000000000001</v>
      </c>
    </row>
    <row r="20">
      <c r="A20" s="46" t="inlineStr">
        <is>
          <t>June 01,2016</t>
        </is>
      </c>
      <c r="B20" s="47" t="n">
        <v>46729.48</v>
      </c>
      <c r="C20" s="47" t="n">
        <v>51492.43</v>
      </c>
      <c r="D20" s="47" t="n">
        <v>45700.55</v>
      </c>
      <c r="E20" s="49" t="n">
        <v>49404.73</v>
      </c>
      <c r="F20" s="297" t="n"/>
      <c r="G20" s="209" t="n"/>
      <c r="I20" s="353" t="n"/>
      <c r="J20" t="n">
        <v>104.38</v>
      </c>
      <c r="K20" t="n">
        <v>77.34</v>
      </c>
    </row>
    <row r="21">
      <c r="A21" s="46" t="inlineStr">
        <is>
          <t>May 01,2016</t>
        </is>
      </c>
      <c r="B21" s="47" t="n">
        <v>42784.01</v>
      </c>
      <c r="C21" s="47" t="n">
        <v>47561.18</v>
      </c>
      <c r="D21" s="47" t="n">
        <v>41756.16</v>
      </c>
      <c r="E21" s="49" t="n">
        <v>45346.82</v>
      </c>
      <c r="F21" s="297" t="n"/>
      <c r="G21" s="209" t="n"/>
      <c r="I21" s="353" t="n"/>
      <c r="J21" t="n">
        <v>112.22</v>
      </c>
      <c r="K21" t="n">
        <v>92.19</v>
      </c>
    </row>
    <row r="22">
      <c r="A22" s="46" t="inlineStr">
        <is>
          <t>April 09,2016</t>
        </is>
      </c>
      <c r="B22" s="47" t="inlineStr">
        <is>
          <t>-</t>
        </is>
      </c>
      <c r="C22" s="47" t="inlineStr">
        <is>
          <t>-</t>
        </is>
      </c>
      <c r="D22" s="47" t="n">
        <v>41171.91</v>
      </c>
      <c r="E22" s="49" t="inlineStr">
        <is>
          <t>-</t>
        </is>
      </c>
      <c r="F22" s="297" t="n"/>
      <c r="G22" s="209" t="n"/>
      <c r="I22" s="353" t="n"/>
      <c r="J22" t="n">
        <v>110.16</v>
      </c>
      <c r="K22" t="n">
        <v>100.2</v>
      </c>
    </row>
    <row r="23">
      <c r="A23" s="46" t="inlineStr">
        <is>
          <t>April 01,2016</t>
        </is>
      </c>
      <c r="B23" s="47" t="n">
        <v>42157.01</v>
      </c>
      <c r="C23" s="47" t="n">
        <v>47094.08</v>
      </c>
      <c r="D23" s="47" t="n">
        <v>41768.99</v>
      </c>
      <c r="E23" s="49" t="n">
        <v>44821.08</v>
      </c>
      <c r="F23" s="297" t="n"/>
      <c r="G23" s="209" t="n"/>
      <c r="I23" s="353" t="n"/>
      <c r="J23" t="n">
        <v>111.07</v>
      </c>
      <c r="K23" t="n">
        <v>102.96</v>
      </c>
    </row>
    <row r="24">
      <c r="A24" s="46" t="inlineStr">
        <is>
          <t>March 10,2016</t>
        </is>
      </c>
      <c r="B24" s="47" t="n">
        <v>38785.46</v>
      </c>
      <c r="C24" s="47" t="n">
        <v>43893.53</v>
      </c>
      <c r="D24" s="47" t="n">
        <v>38425.94</v>
      </c>
      <c r="E24" s="49" t="n">
        <v>41459.29</v>
      </c>
      <c r="F24" s="297" t="n"/>
      <c r="G24" s="209" t="n"/>
      <c r="I24" s="353" t="n"/>
      <c r="J24" t="n">
        <v>116.86</v>
      </c>
      <c r="K24" t="n">
        <v>97.63</v>
      </c>
    </row>
    <row r="25">
      <c r="A25" s="46" t="inlineStr">
        <is>
          <t>March 01,2016</t>
        </is>
      </c>
      <c r="B25" s="47" t="n">
        <v>39301.31</v>
      </c>
      <c r="C25" s="47" t="n">
        <v>46038.16</v>
      </c>
      <c r="D25" s="47" t="n">
        <v>38425.94</v>
      </c>
      <c r="E25" s="49" t="n">
        <v>41991.65</v>
      </c>
      <c r="F25" s="297" t="n"/>
      <c r="G25" s="209" t="n"/>
      <c r="I25" s="353" t="n"/>
      <c r="J25" t="n">
        <v>125.37</v>
      </c>
      <c r="K25" t="n">
        <v>108.76</v>
      </c>
    </row>
    <row r="26">
      <c r="A26" s="46" t="inlineStr">
        <is>
          <t>February 01,2016</t>
        </is>
      </c>
      <c r="B26" s="47" t="n">
        <v>35126.82</v>
      </c>
      <c r="C26" s="47" t="n">
        <v>41482.09</v>
      </c>
      <c r="D26" s="47" t="n">
        <v>34284.02</v>
      </c>
      <c r="E26" s="49" t="n">
        <v>37594.24</v>
      </c>
      <c r="F26" s="297" t="n"/>
      <c r="G26" s="209" t="n"/>
      <c r="I26" s="353" t="n"/>
      <c r="J26" t="n">
        <v>121.89</v>
      </c>
      <c r="K26" t="n">
        <v>105.25</v>
      </c>
    </row>
    <row r="27">
      <c r="A27" s="46" t="inlineStr">
        <is>
          <t>January 01, 2016</t>
        </is>
      </c>
      <c r="B27" s="47" t="n">
        <v>39892.32</v>
      </c>
      <c r="C27" s="47" t="n">
        <v>46368.94</v>
      </c>
      <c r="D27" s="47" t="n">
        <v>39009.02</v>
      </c>
      <c r="E27" s="49" t="n">
        <v>42418.64</v>
      </c>
      <c r="F27" s="297" t="n"/>
      <c r="G27" s="209" t="n"/>
      <c r="I27" s="353" t="n"/>
      <c r="J27" t="n">
        <v>111.89</v>
      </c>
      <c r="K27" t="n">
        <v>106.17</v>
      </c>
    </row>
    <row r="28">
      <c r="A28" s="46" t="inlineStr">
        <is>
          <t>December 01, 2015</t>
        </is>
      </c>
      <c r="B28" s="47" t="n">
        <v>44320.32</v>
      </c>
      <c r="C28" s="47" t="n">
        <v>50837.44</v>
      </c>
      <c r="D28" s="47" t="n">
        <v>43450.52</v>
      </c>
      <c r="E28" s="49" t="n">
        <v>47016.2</v>
      </c>
      <c r="F28" s="297" t="n"/>
      <c r="G28" s="209" t="n"/>
      <c r="I28" s="353" t="n"/>
      <c r="J28" t="n">
        <v>98.59999999999999</v>
      </c>
      <c r="K28" t="n">
        <v>83.17</v>
      </c>
    </row>
    <row r="29">
      <c r="A29" s="46" t="inlineStr">
        <is>
          <t>November 16, 2015</t>
        </is>
      </c>
      <c r="B29" s="47" t="n">
        <v>44846.82</v>
      </c>
      <c r="C29" s="47" t="n">
        <v>51404.44</v>
      </c>
      <c r="D29" s="47" t="n">
        <v>43977.02</v>
      </c>
      <c r="E29" s="49" t="n">
        <v>47587.41</v>
      </c>
      <c r="F29" s="297" t="n"/>
      <c r="G29" s="209" t="n"/>
      <c r="I29" s="353" t="n"/>
      <c r="J29" t="n">
        <v>99.23</v>
      </c>
      <c r="K29" t="n">
        <v>83.72</v>
      </c>
    </row>
    <row r="30">
      <c r="A30" s="46" t="inlineStr">
        <is>
          <t>November 01, 2015</t>
        </is>
      </c>
      <c r="B30" s="47" t="n">
        <v>43041.61</v>
      </c>
      <c r="C30" s="47" t="n">
        <v>51392.23</v>
      </c>
      <c r="D30" s="47" t="n">
        <v>43966.25</v>
      </c>
      <c r="E30" s="49" t="n">
        <v>47574.35</v>
      </c>
      <c r="F30" s="297" t="n"/>
      <c r="G30" s="209" t="n"/>
      <c r="I30" s="353" t="n"/>
      <c r="J30" t="n">
        <v>113.52</v>
      </c>
      <c r="K30" t="n">
        <v>88.98999999999999</v>
      </c>
    </row>
    <row r="31">
      <c r="A31" s="46" t="inlineStr">
        <is>
          <t>October 01, 2015</t>
        </is>
      </c>
      <c r="B31" s="47" t="n">
        <v>43184.17</v>
      </c>
      <c r="C31" s="47" t="n">
        <v>51681.42</v>
      </c>
      <c r="D31" s="47" t="n">
        <v>44141.75</v>
      </c>
      <c r="E31" s="49" t="n">
        <v>47858.56</v>
      </c>
      <c r="F31" s="297" t="n"/>
      <c r="G31" s="209" t="n"/>
      <c r="I31" s="353" t="n"/>
      <c r="J31" t="n">
        <v>114.86</v>
      </c>
      <c r="K31" t="n">
        <v>95.34</v>
      </c>
    </row>
    <row r="32">
      <c r="A32" s="46" t="inlineStr">
        <is>
          <t>September 01, 2015</t>
        </is>
      </c>
      <c r="B32" s="47" t="n">
        <v>40938.24</v>
      </c>
      <c r="C32" s="47" t="n">
        <v>49318.92</v>
      </c>
      <c r="D32" s="47" t="n">
        <v>41846.75</v>
      </c>
      <c r="E32" s="49" t="n">
        <v>45448.32</v>
      </c>
      <c r="F32" s="297" t="n"/>
      <c r="G32" s="209" t="n"/>
      <c r="I32" s="353" t="n"/>
      <c r="J32" t="n">
        <v>114.32</v>
      </c>
      <c r="K32" t="n">
        <v>92.44</v>
      </c>
    </row>
    <row r="33">
      <c r="A33" s="46" t="inlineStr">
        <is>
          <t>August 01, 2015</t>
        </is>
      </c>
      <c r="B33" s="47" t="n">
        <v>46407.36</v>
      </c>
      <c r="C33" s="47" t="n">
        <v>55677.42</v>
      </c>
      <c r="D33" s="47" t="n">
        <v>47516.75</v>
      </c>
      <c r="E33" s="49" t="n">
        <v>51216.17</v>
      </c>
      <c r="F33" s="297" t="n"/>
      <c r="G33" s="209" t="n"/>
      <c r="I33" s="353" t="n"/>
      <c r="J33" t="n">
        <v>108.61</v>
      </c>
      <c r="K33" t="n">
        <v>87.05</v>
      </c>
    </row>
    <row r="34">
      <c r="A34" s="46" t="inlineStr">
        <is>
          <t>July 01, 2015</t>
        </is>
      </c>
      <c r="B34" s="47" t="n">
        <v>51267.36</v>
      </c>
      <c r="C34" s="47" t="n">
        <v>60781.87</v>
      </c>
      <c r="D34" s="47" t="n">
        <v>52592.75</v>
      </c>
      <c r="E34" s="49" t="n">
        <v>56522.06</v>
      </c>
      <c r="F34" s="363" t="n"/>
      <c r="G34" s="209" t="n"/>
      <c r="I34" s="353" t="n"/>
      <c r="J34" t="n">
        <v>107.6</v>
      </c>
      <c r="K34" t="n">
        <v>88.69</v>
      </c>
    </row>
    <row r="35">
      <c r="A35" s="46" t="inlineStr">
        <is>
          <t>June 01, 2015</t>
        </is>
      </c>
      <c r="B35" s="47" t="n">
        <v>53353.92</v>
      </c>
      <c r="C35" s="47" t="n">
        <v>62928.37</v>
      </c>
      <c r="D35" s="47" t="n">
        <v>54727.49</v>
      </c>
      <c r="E35" s="49" t="n">
        <v>58723.32</v>
      </c>
      <c r="F35" s="297" t="n"/>
      <c r="G35" s="209" t="n"/>
      <c r="I35" s="353" t="n"/>
      <c r="J35" t="n">
        <v>112.97</v>
      </c>
      <c r="K35" t="n">
        <v>93.14</v>
      </c>
    </row>
    <row r="36">
      <c r="A36" s="46" t="inlineStr">
        <is>
          <t>May 01, 2015</t>
        </is>
      </c>
      <c r="B36" s="47" t="n">
        <v>49609.84</v>
      </c>
      <c r="C36" s="47" t="n">
        <v>59122.8</v>
      </c>
      <c r="D36" s="47" t="n">
        <v>50844.43</v>
      </c>
      <c r="E36" s="49" t="n">
        <v>54779.66</v>
      </c>
      <c r="F36" s="297" t="n"/>
      <c r="G36" s="209" t="n"/>
      <c r="I36" s="353" t="n"/>
      <c r="J36" t="n">
        <v>118.29</v>
      </c>
      <c r="K36" t="n">
        <v>97.45999999999999</v>
      </c>
    </row>
    <row r="37">
      <c r="A37" s="46" t="inlineStr">
        <is>
          <t>April 01, 2015</t>
        </is>
      </c>
      <c r="B37" s="47" t="n">
        <v>49338</v>
      </c>
      <c r="C37" s="47" t="n">
        <v>58614</v>
      </c>
      <c r="D37" s="47" t="n">
        <v>50713</v>
      </c>
      <c r="E37" s="49" t="n">
        <v>54457</v>
      </c>
      <c r="F37" s="297" t="n"/>
      <c r="G37" s="209" t="n"/>
      <c r="I37" s="353" t="n"/>
      <c r="J37" t="n">
        <v>108.64</v>
      </c>
      <c r="K37" t="n">
        <v>90.70999999999999</v>
      </c>
    </row>
    <row r="38">
      <c r="A38" s="46" t="inlineStr">
        <is>
          <t>March 01, 2015</t>
        </is>
      </c>
      <c r="B38" s="47" t="n">
        <v>50363</v>
      </c>
      <c r="C38" s="47" t="n">
        <v>59479</v>
      </c>
      <c r="D38" s="47" t="n">
        <v>51704</v>
      </c>
      <c r="E38" s="49" t="n">
        <v>55346</v>
      </c>
      <c r="F38" s="297" t="n"/>
      <c r="G38" s="209" t="n"/>
      <c r="I38" s="353" t="n"/>
      <c r="J38" t="n">
        <v>104.08</v>
      </c>
      <c r="K38" t="n">
        <v>97.09999999999999</v>
      </c>
    </row>
    <row r="39">
      <c r="A39" s="46" t="inlineStr">
        <is>
          <t>February 01, 2015</t>
        </is>
      </c>
      <c r="B39" s="47" t="n">
        <v>46513.03</v>
      </c>
      <c r="C39" s="47" t="n">
        <v>55444.15</v>
      </c>
      <c r="D39" s="47" t="n">
        <v>47691.9</v>
      </c>
      <c r="E39" s="49" t="n">
        <v>51182.36</v>
      </c>
      <c r="F39" s="297" t="n"/>
      <c r="G39" s="209" t="n"/>
      <c r="I39" s="353" t="n"/>
      <c r="J39" t="n">
        <v>103.59</v>
      </c>
      <c r="K39" t="n">
        <v>90.73999999999999</v>
      </c>
    </row>
    <row r="40">
      <c r="A40" s="46" t="inlineStr">
        <is>
          <t>January 01, 2015</t>
        </is>
      </c>
      <c r="B40" s="47" t="n">
        <v>52423</v>
      </c>
      <c r="C40" s="47" t="n">
        <v>61525</v>
      </c>
      <c r="D40" s="47" t="n">
        <v>53862</v>
      </c>
      <c r="E40" s="49" t="n">
        <v>57457</v>
      </c>
      <c r="F40" s="297" t="n"/>
      <c r="G40" s="209" t="n"/>
      <c r="I40" s="353" t="n"/>
      <c r="J40" t="n">
        <v>101.5</v>
      </c>
      <c r="K40" t="n">
        <v>93.41</v>
      </c>
    </row>
    <row r="41">
      <c r="A41" s="46" t="inlineStr">
        <is>
          <t>December 01, 2014</t>
        </is>
      </c>
      <c r="B41" s="47" t="n">
        <v>59943</v>
      </c>
      <c r="C41" s="47" t="n">
        <v>69386</v>
      </c>
      <c r="D41" s="47" t="n">
        <v>61695</v>
      </c>
      <c r="E41" s="49" t="n">
        <v>65556</v>
      </c>
      <c r="F41" s="297" t="n"/>
      <c r="G41" s="209" t="n"/>
      <c r="I41" s="353" t="n"/>
      <c r="J41" t="n">
        <v>108.43</v>
      </c>
      <c r="K41" t="n">
        <v>97.94</v>
      </c>
    </row>
    <row r="42">
      <c r="A42" s="46" t="inlineStr">
        <is>
          <t>November 01, 2014</t>
        </is>
      </c>
      <c r="B42" s="47" t="n">
        <v>62537.93</v>
      </c>
      <c r="C42" s="47" t="n">
        <v>72214.17</v>
      </c>
      <c r="D42" s="47" t="n">
        <v>64414.98</v>
      </c>
      <c r="E42" s="49" t="n">
        <v>68432.11</v>
      </c>
      <c r="F42" s="297" t="n"/>
      <c r="G42" s="209" t="n"/>
      <c r="I42" s="353" t="n"/>
      <c r="J42" t="n">
        <v>108.49</v>
      </c>
      <c r="K42" t="n">
        <v>107.93</v>
      </c>
    </row>
    <row r="43">
      <c r="A43" s="46" t="inlineStr">
        <is>
          <t>October 01, 2014</t>
        </is>
      </c>
      <c r="B43" s="47" t="n">
        <v>67525.63</v>
      </c>
      <c r="C43" s="47" t="n">
        <v>77372.56</v>
      </c>
      <c r="D43" s="47" t="n">
        <v>69610.5</v>
      </c>
      <c r="E43" s="49" t="n">
        <v>73775.91</v>
      </c>
      <c r="F43" s="297" t="n"/>
      <c r="G43" s="209" t="n"/>
      <c r="I43" s="353" t="n"/>
      <c r="J43" t="n">
        <v>112.37</v>
      </c>
      <c r="K43" t="n">
        <v>108.67</v>
      </c>
    </row>
    <row r="44">
      <c r="A44" s="46" t="inlineStr">
        <is>
          <t>September 01, 2014</t>
        </is>
      </c>
      <c r="B44" s="47" t="n">
        <v>69603.25</v>
      </c>
      <c r="C44" s="47" t="n">
        <v>79537.36</v>
      </c>
      <c r="D44" s="47" t="n">
        <v>71829.42</v>
      </c>
      <c r="E44" s="49" t="n">
        <v>76023.95</v>
      </c>
      <c r="F44" s="297" t="n"/>
      <c r="G44" s="209" t="n"/>
      <c r="I44" s="353" t="n"/>
      <c r="J44" t="n">
        <v>109.02</v>
      </c>
      <c r="K44" t="n">
        <v>102.09</v>
      </c>
    </row>
    <row r="45">
      <c r="A45" s="46" t="inlineStr">
        <is>
          <t>August 01, 2014</t>
        </is>
      </c>
      <c r="B45" s="47" t="n">
        <v>70044.87</v>
      </c>
      <c r="C45" s="47" t="n">
        <v>79956.78999999999</v>
      </c>
      <c r="D45" s="47" t="n">
        <v>72289.44</v>
      </c>
      <c r="E45" s="49" t="n">
        <v>76470.75999999999</v>
      </c>
      <c r="F45" s="297" t="n"/>
      <c r="G45" s="209" t="n"/>
      <c r="I45" s="353" t="n"/>
      <c r="J45" t="n">
        <v>105.76</v>
      </c>
      <c r="K45" t="n">
        <v>94.56</v>
      </c>
    </row>
    <row r="46">
      <c r="A46" s="46" t="inlineStr">
        <is>
          <t>July 01, 2014</t>
        </is>
      </c>
      <c r="B46" s="47" t="n">
        <v>70161.75999999999</v>
      </c>
      <c r="C46" s="47" t="n">
        <v>80076.09</v>
      </c>
      <c r="D46" s="47" t="n">
        <v>72411.21000000001</v>
      </c>
      <c r="E46" s="49" t="n">
        <v>76527.22</v>
      </c>
      <c r="F46" s="297" t="n"/>
      <c r="G46" s="209" t="n"/>
      <c r="I46" s="353" t="n"/>
      <c r="J46" t="n">
        <v>108.91</v>
      </c>
      <c r="K46" t="n">
        <v>93.61</v>
      </c>
    </row>
    <row r="47">
      <c r="A47" s="46" t="inlineStr">
        <is>
          <t>June 25, 2014</t>
        </is>
      </c>
      <c r="B47" s="47" t="n">
        <v>69779.91</v>
      </c>
      <c r="C47" s="47" t="n">
        <v>79869.08</v>
      </c>
      <c r="D47" s="47" t="n">
        <v>71940.36</v>
      </c>
      <c r="E47" s="49" t="n">
        <v>76049.69</v>
      </c>
      <c r="F47" s="297" t="n"/>
      <c r="G47" s="209" t="n"/>
      <c r="I47" s="353" t="n"/>
      <c r="J47" t="n">
        <v>106.44</v>
      </c>
      <c r="K47" t="n">
        <v>95.14</v>
      </c>
    </row>
    <row r="48">
      <c r="A48" s="46" t="inlineStr">
        <is>
          <t>June 01, 2014</t>
        </is>
      </c>
      <c r="B48" s="47" t="n">
        <v>69747.98</v>
      </c>
      <c r="C48" s="47" t="n">
        <v>79869.08</v>
      </c>
      <c r="D48" s="47" t="n">
        <v>71940.36</v>
      </c>
      <c r="E48" s="49" t="n">
        <v>76049.69</v>
      </c>
      <c r="F48" s="297" t="n"/>
      <c r="G48" s="209" t="n"/>
      <c r="I48" s="353" t="n"/>
      <c r="J48" t="n">
        <v>110.18</v>
      </c>
      <c r="K48" t="n">
        <v>96.44</v>
      </c>
    </row>
    <row r="49">
      <c r="A49" s="46" t="inlineStr">
        <is>
          <t>May 01, 2014</t>
        </is>
      </c>
      <c r="B49" s="47" t="n">
        <v>71033.87</v>
      </c>
      <c r="C49" s="47" t="n">
        <v>81316.78999999999</v>
      </c>
      <c r="D49" s="47" t="n">
        <v>73306.89</v>
      </c>
      <c r="E49" s="49" t="n">
        <v>77529.75999999999</v>
      </c>
      <c r="F49" s="297" t="n"/>
      <c r="G49" s="209" t="n"/>
      <c r="I49" s="353" t="n"/>
      <c r="J49" t="n">
        <v>108.27</v>
      </c>
      <c r="K49" t="n">
        <v>105.34</v>
      </c>
    </row>
    <row r="50">
      <c r="A50" s="46" t="inlineStr">
        <is>
          <t>April 01, 2014</t>
        </is>
      </c>
      <c r="B50" s="47" t="n">
        <v>71800.21000000001</v>
      </c>
      <c r="C50" s="47" t="n">
        <v>82162.12</v>
      </c>
      <c r="D50" s="47" t="n">
        <v>74105.16</v>
      </c>
      <c r="E50" s="49" t="n">
        <v>78375.96000000001</v>
      </c>
      <c r="F50" s="297" t="n"/>
      <c r="G50" s="209" t="n"/>
      <c r="I50" s="353" t="n"/>
      <c r="J50" t="n">
        <v>105.83</v>
      </c>
      <c r="K50" t="n">
        <v>99.69</v>
      </c>
    </row>
    <row r="51">
      <c r="A51" s="46" t="inlineStr">
        <is>
          <t>March 01, 2014</t>
        </is>
      </c>
      <c r="B51" s="47" t="n">
        <v>74825.55</v>
      </c>
      <c r="C51" s="47" t="n">
        <v>85251.88</v>
      </c>
      <c r="D51" s="47" t="n">
        <v>77322.60000000001</v>
      </c>
      <c r="E51" s="49" t="n">
        <v>81451.42</v>
      </c>
      <c r="F51" s="297" t="n"/>
      <c r="G51" s="209" t="n"/>
      <c r="I51" s="353" t="n"/>
      <c r="J51" t="n">
        <v>108.19</v>
      </c>
      <c r="K51" t="n">
        <v>99.69</v>
      </c>
    </row>
    <row r="52">
      <c r="A52" s="46" t="inlineStr">
        <is>
          <t>February 01, 2014</t>
        </is>
      </c>
      <c r="B52" s="47" t="n">
        <v>74072.2</v>
      </c>
      <c r="C52" s="47" t="n">
        <v>84358.89999999999</v>
      </c>
      <c r="D52" s="47" t="n">
        <v>76524.33</v>
      </c>
      <c r="E52" s="49" t="n">
        <v>80557.78999999999</v>
      </c>
      <c r="F52" s="297" t="n"/>
      <c r="G52" s="209" t="n"/>
      <c r="I52" s="353" t="n"/>
      <c r="J52" t="n">
        <v>109.21</v>
      </c>
      <c r="K52" t="n">
        <v>103.07</v>
      </c>
    </row>
    <row r="53">
      <c r="A53" s="46" t="inlineStr">
        <is>
          <t>January 01, 2014</t>
        </is>
      </c>
      <c r="B53" s="47" t="n">
        <v>76241.33</v>
      </c>
      <c r="C53" s="47" t="n">
        <v>86559.23</v>
      </c>
      <c r="D53" s="47" t="n">
        <v>78783.84</v>
      </c>
      <c r="E53" s="49" t="n">
        <v>82853.73</v>
      </c>
      <c r="F53" s="297" t="n"/>
      <c r="G53" s="209" t="n"/>
      <c r="I53" s="353" t="n"/>
      <c r="J53" t="n">
        <v>107.65</v>
      </c>
      <c r="K53" t="n">
        <v>106.06</v>
      </c>
    </row>
    <row r="54">
      <c r="A54" s="46" t="inlineStr">
        <is>
          <t>December 01, 2013</t>
        </is>
      </c>
      <c r="B54" s="47" t="n">
        <v>74204.74000000001</v>
      </c>
      <c r="C54" s="47" t="n">
        <v>84516.61</v>
      </c>
      <c r="D54" s="47" t="n">
        <v>76658.27</v>
      </c>
      <c r="E54" s="49" t="n">
        <v>80748.12</v>
      </c>
      <c r="F54" s="297" t="n"/>
      <c r="G54" s="209" t="n"/>
      <c r="I54" s="353" t="n"/>
      <c r="J54" t="n">
        <v>104.02</v>
      </c>
      <c r="K54" t="n">
        <v>97.86</v>
      </c>
    </row>
    <row r="55">
      <c r="A55" s="46" t="inlineStr">
        <is>
          <t>November 01, 2013</t>
        </is>
      </c>
      <c r="B55" s="47" t="n">
        <v>73607.25999999999</v>
      </c>
      <c r="C55" s="47" t="n">
        <v>83934.82000000001</v>
      </c>
      <c r="D55" s="47" t="n">
        <v>76035.89</v>
      </c>
      <c r="E55" s="49" t="n">
        <v>80133.75</v>
      </c>
      <c r="F55" s="297" t="n"/>
      <c r="G55" s="209" t="n"/>
      <c r="I55" s="353" t="n"/>
      <c r="J55" t="n">
        <v>99.53</v>
      </c>
      <c r="K55" t="n">
        <v>92.92</v>
      </c>
    </row>
    <row r="56">
      <c r="A56" s="46" t="inlineStr">
        <is>
          <t>October 01, 2013</t>
        </is>
      </c>
      <c r="B56" s="47" t="n">
        <v>77089.42</v>
      </c>
      <c r="C56" s="47" t="n">
        <v>87579.92999999999</v>
      </c>
      <c r="D56" s="47" t="n">
        <v>79716.05</v>
      </c>
      <c r="E56" s="49" t="n">
        <v>83908.75</v>
      </c>
      <c r="F56" s="297" t="n"/>
      <c r="G56" s="209" t="n"/>
      <c r="I56" s="353" t="n"/>
      <c r="J56" t="n">
        <v>90.90000000000001</v>
      </c>
      <c r="K56" t="n">
        <v>90.73999999999999</v>
      </c>
    </row>
    <row r="57">
      <c r="A57" s="46" t="inlineStr">
        <is>
          <t>September 01, 2013</t>
        </is>
      </c>
      <c r="B57" s="47" t="n">
        <v>75031.09</v>
      </c>
      <c r="C57" s="47" t="n">
        <v>85645.14</v>
      </c>
      <c r="D57" s="47" t="n">
        <v>77632.42999999999</v>
      </c>
      <c r="E57" s="49" t="n">
        <v>81740.3</v>
      </c>
      <c r="F57" s="297" t="n"/>
      <c r="G57" s="209" t="n"/>
      <c r="I57" s="353" t="n"/>
      <c r="J57" t="n">
        <v>83.2</v>
      </c>
      <c r="K57" t="n">
        <v>78.77</v>
      </c>
    </row>
    <row r="58">
      <c r="A58" s="46" t="inlineStr">
        <is>
          <t>August 01, 2013</t>
        </is>
      </c>
      <c r="B58" s="47" t="n">
        <v>70203.14999999999</v>
      </c>
      <c r="C58" s="47" t="n">
        <v>80317.03</v>
      </c>
      <c r="D58" s="47" t="n">
        <v>72477.5</v>
      </c>
      <c r="E58" s="49" t="n">
        <v>76312.89999999999</v>
      </c>
      <c r="F58" s="297" t="n"/>
      <c r="G58" s="209" t="n"/>
      <c r="I58" s="353" t="n"/>
      <c r="J58" t="n">
        <v>68</v>
      </c>
      <c r="K58" t="n">
        <v>68.98</v>
      </c>
    </row>
    <row r="59">
      <c r="A59" s="46" t="inlineStr">
        <is>
          <t>July 01, 2013</t>
        </is>
      </c>
      <c r="B59" s="47" t="n">
        <v>66033.75</v>
      </c>
      <c r="C59" s="47" t="n">
        <v>75993.92999999999</v>
      </c>
      <c r="D59" s="47" t="n">
        <v>68147.89999999999</v>
      </c>
      <c r="E59" s="49" t="n">
        <v>71851.42</v>
      </c>
      <c r="F59" s="297" t="n"/>
      <c r="G59" s="209" t="n"/>
      <c r="I59" s="353" t="n"/>
      <c r="J59" t="n">
        <v>49.43</v>
      </c>
      <c r="K59" t="n">
        <v>53.45</v>
      </c>
    </row>
    <row r="60">
      <c r="A60" s="46" t="inlineStr">
        <is>
          <t>June 01, 2013</t>
        </is>
      </c>
      <c r="B60" s="47" t="n">
        <v>62416.16</v>
      </c>
      <c r="C60" s="47" t="n">
        <v>72256.95</v>
      </c>
      <c r="D60" s="47" t="n">
        <v>64381.15</v>
      </c>
      <c r="E60" s="49" t="n">
        <v>67926.42999999999</v>
      </c>
      <c r="F60" s="297" t="n"/>
      <c r="G60" s="209" t="n"/>
      <c r="I60" s="353" t="n"/>
      <c r="J60" t="n">
        <v>57</v>
      </c>
      <c r="K60" t="n">
        <v>49.25</v>
      </c>
    </row>
    <row r="61">
      <c r="A61" s="46" t="inlineStr">
        <is>
          <t>May 01, 2013</t>
        </is>
      </c>
      <c r="B61" s="47" t="n">
        <v>62649.95</v>
      </c>
      <c r="C61" s="47" t="n">
        <v>72514.02</v>
      </c>
      <c r="D61" s="47" t="n">
        <v>64624.69</v>
      </c>
      <c r="E61" s="49" t="n">
        <v>68191.73</v>
      </c>
      <c r="F61" s="297" t="n"/>
      <c r="G61" s="209" t="n"/>
      <c r="I61" s="353" t="n"/>
      <c r="J61" t="n">
        <v>59.15</v>
      </c>
      <c r="K61" t="n">
        <v>49.59</v>
      </c>
    </row>
    <row r="62">
      <c r="A62" s="46" t="inlineStr">
        <is>
          <t>April 01, 2013</t>
        </is>
      </c>
      <c r="B62" s="47" t="n">
        <v>66195.89</v>
      </c>
      <c r="C62" s="47" t="n">
        <v>76171.89999999999</v>
      </c>
      <c r="D62" s="47" t="n">
        <v>68331.91</v>
      </c>
      <c r="E62" s="49" t="n">
        <v>71986.32000000001</v>
      </c>
      <c r="F62" s="297" t="n"/>
      <c r="G62" s="209" t="n"/>
      <c r="I62" s="353" t="n"/>
      <c r="J62" t="n">
        <v>57.55</v>
      </c>
      <c r="K62" t="n">
        <v>50.12</v>
      </c>
    </row>
    <row r="63">
      <c r="A63" t="inlineStr">
        <is>
          <t>March 01, 2013</t>
        </is>
      </c>
      <c r="B63" s="297" t="n">
        <v>70080.87</v>
      </c>
      <c r="C63" s="297" t="n">
        <v>79238.07000000001</v>
      </c>
      <c r="D63" s="297" t="n">
        <v>72451.8</v>
      </c>
      <c r="E63" s="297" t="n">
        <v>76239.45</v>
      </c>
      <c r="F63" s="297" t="n"/>
      <c r="G63" s="209" t="n"/>
      <c r="I63" s="353" t="n"/>
      <c r="J63" t="n">
        <v>64.93000000000001</v>
      </c>
      <c r="K63" t="n">
        <v>59.1</v>
      </c>
    </row>
    <row r="64">
      <c r="A64" t="inlineStr">
        <is>
          <t>February 01, 2013</t>
        </is>
      </c>
      <c r="B64" s="297" t="n">
        <v>67561.03999999999</v>
      </c>
      <c r="C64" s="297" t="n">
        <v>76586.2</v>
      </c>
      <c r="D64" s="297" t="n">
        <v>69826.98</v>
      </c>
      <c r="E64" s="297" t="n">
        <v>73516.67</v>
      </c>
      <c r="F64" s="297" t="n"/>
      <c r="G64" s="209" t="n"/>
      <c r="I64" s="353" t="n"/>
      <c r="J64" t="n">
        <v>60.36</v>
      </c>
      <c r="K64" t="n">
        <v>60.24</v>
      </c>
    </row>
    <row r="65">
      <c r="A65" t="inlineStr">
        <is>
          <t>January 01, 2013</t>
        </is>
      </c>
      <c r="B65" s="297" t="n">
        <v>66236.2</v>
      </c>
      <c r="C65" s="297" t="n">
        <v>75154.00999999999</v>
      </c>
      <c r="D65" s="297" t="n">
        <v>68446.91</v>
      </c>
      <c r="E65" s="297" t="n">
        <v>72057.08</v>
      </c>
      <c r="F65" s="297" t="n"/>
      <c r="G65" s="209" t="n"/>
      <c r="I65" s="353" t="n"/>
      <c r="J65" t="n">
        <v>54.72</v>
      </c>
      <c r="K65" t="n">
        <v>56.94</v>
      </c>
    </row>
    <row r="66">
      <c r="A66" t="inlineStr">
        <is>
          <t>December 01, 2012</t>
        </is>
      </c>
      <c r="B66" s="297" t="n">
        <v>67709.12</v>
      </c>
      <c r="C66" s="297" t="n">
        <v>75166.19</v>
      </c>
      <c r="D66" s="297" t="n">
        <v>68392.8</v>
      </c>
      <c r="E66" s="297" t="n">
        <v>71775.03</v>
      </c>
      <c r="F66" s="297" t="n"/>
      <c r="G66" s="209" t="n"/>
      <c r="I66" s="353" t="n"/>
      <c r="J66" t="n">
        <v>47.54</v>
      </c>
      <c r="K66" t="n">
        <v>45.25</v>
      </c>
    </row>
    <row r="67">
      <c r="A67" t="inlineStr">
        <is>
          <t>November 01, 2012</t>
        </is>
      </c>
      <c r="B67" s="297" t="n">
        <v>68397.52</v>
      </c>
      <c r="C67" s="297" t="n">
        <v>75842.69</v>
      </c>
      <c r="D67" s="297" t="n">
        <v>69096.36</v>
      </c>
      <c r="E67" s="297" t="n">
        <v>72487.14999999999</v>
      </c>
      <c r="F67" s="297" t="n"/>
      <c r="G67" s="209" t="n"/>
      <c r="I67" s="353" t="n"/>
      <c r="J67" t="n">
        <v>46.42</v>
      </c>
      <c r="K67" t="n">
        <v>45.38</v>
      </c>
    </row>
    <row r="68">
      <c r="A68" t="inlineStr">
        <is>
          <t>October 16, 2012</t>
        </is>
      </c>
      <c r="B68" s="297" t="n">
        <v>68398.78999999999</v>
      </c>
      <c r="C68" s="297" t="n">
        <v>75490.91</v>
      </c>
      <c r="D68" s="297" t="n">
        <v>68731.05</v>
      </c>
      <c r="E68" s="297" t="n">
        <v>72119.53999999999</v>
      </c>
      <c r="F68" s="297" t="n"/>
      <c r="G68" s="209" t="n"/>
      <c r="I68" s="353" t="n"/>
      <c r="J68" t="n">
        <v>51.66</v>
      </c>
      <c r="K68" t="n">
        <v>44.75</v>
      </c>
    </row>
    <row r="69">
      <c r="A69" t="inlineStr">
        <is>
          <t>October 01, 2012</t>
        </is>
      </c>
      <c r="B69" s="297" t="n">
        <v>70515.97</v>
      </c>
      <c r="C69" s="297" t="n">
        <v>77736.89</v>
      </c>
      <c r="D69" s="297" t="n">
        <v>70949.97</v>
      </c>
      <c r="E69" s="297" t="n">
        <v>74423.42999999999</v>
      </c>
      <c r="F69" s="297" t="n"/>
      <c r="G69" s="209" t="n"/>
      <c r="I69" s="353" t="n"/>
      <c r="J69" t="n">
        <v>46.09</v>
      </c>
      <c r="K69" t="n">
        <v>46.12</v>
      </c>
    </row>
    <row r="70">
      <c r="A70" t="inlineStr">
        <is>
          <t>September 16, 2012</t>
        </is>
      </c>
      <c r="B70" s="297" t="n">
        <v>73710.69</v>
      </c>
      <c r="C70" s="297" t="n">
        <v>81119.39</v>
      </c>
      <c r="D70" s="297" t="n">
        <v>74332.47</v>
      </c>
      <c r="E70" s="297" t="n">
        <v>77914.17</v>
      </c>
      <c r="F70" s="297" t="n"/>
      <c r="G70" s="209" t="n"/>
      <c r="I70" s="353" t="n"/>
      <c r="J70" t="n">
        <v>39.69</v>
      </c>
      <c r="K70" t="n">
        <v>40.58</v>
      </c>
    </row>
    <row r="71">
      <c r="A71" t="inlineStr">
        <is>
          <t>September 01, 2012</t>
        </is>
      </c>
      <c r="B71" s="297" t="n">
        <v>72281.92</v>
      </c>
      <c r="C71" s="297" t="n">
        <v>79590.5</v>
      </c>
      <c r="D71" s="297" t="n">
        <v>72830.64</v>
      </c>
      <c r="E71" s="297" t="n">
        <v>76350.31</v>
      </c>
      <c r="F71" s="297" t="n"/>
      <c r="G71" s="209" t="n"/>
      <c r="I71" s="353" t="n"/>
      <c r="J71" t="n">
        <v>33.57</v>
      </c>
      <c r="K71" t="n">
        <v>37.13</v>
      </c>
    </row>
    <row r="72">
      <c r="A72" t="inlineStr">
        <is>
          <t>August 16, 2012</t>
        </is>
      </c>
      <c r="B72" s="297" t="n">
        <v>67135.75999999999</v>
      </c>
      <c r="C72" s="297" t="n">
        <v>75566.67999999999</v>
      </c>
      <c r="D72" s="297" t="n">
        <v>68103.25999999999</v>
      </c>
      <c r="E72" s="297" t="n">
        <v>72256.37</v>
      </c>
      <c r="F72" s="297" t="n"/>
      <c r="G72" s="209" t="n"/>
      <c r="I72" s="353" t="n"/>
      <c r="J72" t="n">
        <v>32.76</v>
      </c>
      <c r="K72" t="n">
        <v>31.62</v>
      </c>
    </row>
    <row r="73">
      <c r="A73" t="inlineStr">
        <is>
          <t>August 01, 2012</t>
        </is>
      </c>
      <c r="B73" s="297" t="n">
        <v>65005.59</v>
      </c>
      <c r="C73" s="297" t="n">
        <v>73374.82000000001</v>
      </c>
      <c r="D73" s="297" t="n">
        <v>65884.34</v>
      </c>
      <c r="E73" s="297" t="n">
        <v>69980.41</v>
      </c>
      <c r="F73" s="297" t="n"/>
      <c r="G73" s="209" t="n"/>
      <c r="I73" s="353" t="n"/>
      <c r="J73" t="n">
        <v>37.61</v>
      </c>
      <c r="K73" t="n">
        <v>34.39</v>
      </c>
    </row>
    <row r="74">
      <c r="A74" t="inlineStr">
        <is>
          <t>July 16, 2012</t>
        </is>
      </c>
      <c r="B74" s="297" t="n">
        <v>62208.18</v>
      </c>
      <c r="C74" s="297" t="n">
        <v>70506.46000000001</v>
      </c>
      <c r="D74" s="297" t="n">
        <v>63002.45</v>
      </c>
      <c r="E74" s="297" t="n">
        <v>67020.25999999999</v>
      </c>
      <c r="F74" s="297" t="n"/>
      <c r="G74" s="209" t="n"/>
      <c r="I74" s="353" t="n"/>
      <c r="J74" t="n">
        <v>37.77</v>
      </c>
      <c r="K74" t="n">
        <v>35.36</v>
      </c>
    </row>
    <row r="75">
      <c r="A75" t="inlineStr">
        <is>
          <t>July 01, 2012</t>
        </is>
      </c>
      <c r="B75" s="297" t="n">
        <v>61169.08</v>
      </c>
      <c r="C75" s="297" t="n">
        <v>69532.3</v>
      </c>
      <c r="D75" s="297" t="n">
        <v>61933.58</v>
      </c>
      <c r="E75" s="297" t="n">
        <v>65973.03999999999</v>
      </c>
      <c r="F75" s="297" t="n"/>
      <c r="G75" s="209" t="n"/>
      <c r="I75" s="353" t="n"/>
      <c r="J75" t="n">
        <v>44.39</v>
      </c>
      <c r="K75" t="n">
        <v>44.75</v>
      </c>
    </row>
    <row r="76">
      <c r="A76" t="inlineStr">
        <is>
          <t>June 16, 2012</t>
        </is>
      </c>
      <c r="B76" s="297" t="n">
        <v>62409.95</v>
      </c>
      <c r="C76" s="297" t="n">
        <v>70777.06</v>
      </c>
      <c r="D76" s="297" t="n">
        <v>63178.34</v>
      </c>
      <c r="E76" s="297" t="n">
        <v>67257.63</v>
      </c>
      <c r="F76" s="297" t="n"/>
      <c r="G76" s="209" t="n"/>
      <c r="I76" s="353" t="n"/>
      <c r="J76" t="n">
        <v>48.94</v>
      </c>
      <c r="K76" t="n">
        <v>49.07</v>
      </c>
    </row>
    <row r="77">
      <c r="A77" t="inlineStr">
        <is>
          <t>June 01, 2012</t>
        </is>
      </c>
      <c r="B77" s="297" t="n">
        <v>65670.14</v>
      </c>
      <c r="C77" s="297" t="n">
        <v>74213.67999999999</v>
      </c>
      <c r="D77" s="297" t="n">
        <v>66587.89999999999</v>
      </c>
      <c r="E77" s="297" t="n">
        <v>70790.25999999999</v>
      </c>
      <c r="F77" s="297" t="n"/>
      <c r="G77" s="209" t="n"/>
      <c r="I77" s="353" t="n"/>
      <c r="J77" t="n">
        <v>45.7</v>
      </c>
      <c r="K77" t="n">
        <v>49.02</v>
      </c>
    </row>
    <row r="78">
      <c r="A78" t="inlineStr">
        <is>
          <t>May 16, 2012</t>
        </is>
      </c>
      <c r="B78" s="297" t="n">
        <v>67046.95</v>
      </c>
      <c r="C78" s="297" t="n">
        <v>75634.33</v>
      </c>
      <c r="D78" s="297" t="n">
        <v>68022.08</v>
      </c>
      <c r="E78" s="297" t="n">
        <v>72270.34</v>
      </c>
      <c r="F78" s="297" t="n"/>
      <c r="G78" s="209" t="n"/>
      <c r="I78" s="353" t="n"/>
      <c r="J78" t="n">
        <v>40.45</v>
      </c>
      <c r="K78" t="n">
        <v>40.05</v>
      </c>
    </row>
    <row r="79">
      <c r="A79" t="inlineStr">
        <is>
          <t>May 01, 2012</t>
        </is>
      </c>
      <c r="B79" s="297" t="n">
        <v>67319.71000000001</v>
      </c>
      <c r="C79" s="297" t="n">
        <v>75909.53</v>
      </c>
      <c r="D79" s="297" t="n">
        <v>68306.21000000001</v>
      </c>
      <c r="E79" s="297" t="n">
        <v>72577.5</v>
      </c>
      <c r="F79" s="297" t="n"/>
      <c r="G79" s="209" t="n"/>
      <c r="I79" s="353" t="n"/>
      <c r="J79" t="n">
        <v>46.72</v>
      </c>
      <c r="K79" t="n">
        <v>43.17</v>
      </c>
    </row>
    <row r="80">
      <c r="A80" t="inlineStr">
        <is>
          <t>April 16, 2012</t>
        </is>
      </c>
      <c r="B80" s="297" t="n">
        <v>67631.45</v>
      </c>
      <c r="C80" s="297" t="n">
        <v>76220.72</v>
      </c>
      <c r="D80" s="297" t="n">
        <v>68630.92999999999</v>
      </c>
      <c r="E80" s="297" t="n">
        <v>72912.62</v>
      </c>
      <c r="F80" s="297" t="n"/>
      <c r="G80" s="209" t="n"/>
      <c r="I80" s="353" t="n"/>
      <c r="J80" t="n">
        <v>49.57</v>
      </c>
      <c r="K80" t="n">
        <v>48.8</v>
      </c>
    </row>
    <row r="81">
      <c r="A81" t="inlineStr">
        <is>
          <t>April 01, 2012</t>
        </is>
      </c>
      <c r="B81" s="297" t="n">
        <v>67800.3</v>
      </c>
      <c r="C81" s="297" t="n">
        <v>76383.08</v>
      </c>
      <c r="D81" s="297" t="n">
        <v>68806.82000000001</v>
      </c>
      <c r="E81" s="297" t="n">
        <v>73066.21000000001</v>
      </c>
      <c r="F81" s="297" t="n"/>
      <c r="G81" s="209" t="n"/>
      <c r="I81" s="353" t="n"/>
      <c r="J81" t="n">
        <v>43.06</v>
      </c>
      <c r="K81" t="n">
        <v>46.66</v>
      </c>
    </row>
    <row r="82">
      <c r="A82" t="inlineStr">
        <is>
          <t>March 16, 2012</t>
        </is>
      </c>
      <c r="B82" s="297" t="n">
        <v>65949.34</v>
      </c>
      <c r="C82" s="297" t="n">
        <v>74415.95</v>
      </c>
      <c r="D82" s="297" t="n">
        <v>66989.74000000001</v>
      </c>
      <c r="E82" s="297" t="n">
        <v>71025.41</v>
      </c>
      <c r="G82" s="209" t="n"/>
      <c r="I82" s="353" t="n"/>
      <c r="J82" t="n">
        <v>52.31</v>
      </c>
      <c r="K82" t="n">
        <v>51.08</v>
      </c>
    </row>
    <row r="83">
      <c r="A83" t="inlineStr">
        <is>
          <t>March 07, 2012</t>
        </is>
      </c>
      <c r="B83" s="297" t="n">
        <v>64650.46</v>
      </c>
      <c r="C83" s="297" t="n">
        <v>72941.17999999999</v>
      </c>
      <c r="D83" s="297" t="n">
        <v>65636.74000000001</v>
      </c>
      <c r="E83" s="297" t="n">
        <v>69545.33</v>
      </c>
      <c r="G83" s="209" t="n"/>
      <c r="I83" s="353" t="n"/>
      <c r="J83" t="n">
        <v>55.9</v>
      </c>
      <c r="K83" t="n">
        <v>52.36</v>
      </c>
    </row>
    <row r="84">
      <c r="A84" t="inlineStr">
        <is>
          <t>March 01, 2012</t>
        </is>
      </c>
      <c r="B84" s="297" t="n">
        <v>64596.36</v>
      </c>
      <c r="C84" s="297" t="n">
        <v>72941.17999999999</v>
      </c>
      <c r="D84" s="297" t="n">
        <v>65636.74000000001</v>
      </c>
      <c r="E84" s="297" t="n">
        <v>69545.33</v>
      </c>
      <c r="G84" s="209" t="n"/>
      <c r="I84" s="353" t="n"/>
      <c r="J84" t="n">
        <v>55.92</v>
      </c>
      <c r="K84" t="n">
        <v>53.9</v>
      </c>
    </row>
    <row r="85">
      <c r="A85" t="inlineStr">
        <is>
          <t>February 16, 2012</t>
        </is>
      </c>
      <c r="B85" s="297" t="n">
        <v>62557.12</v>
      </c>
      <c r="C85" s="297" t="n">
        <v>70816.98</v>
      </c>
      <c r="D85" s="297" t="n">
        <v>63499</v>
      </c>
      <c r="E85" s="297" t="n">
        <v>67339.19</v>
      </c>
      <c r="G85" s="209" t="n"/>
      <c r="I85" s="353" t="n"/>
      <c r="J85" t="n">
        <v>54.16</v>
      </c>
      <c r="K85" t="n">
        <v>53.82</v>
      </c>
    </row>
    <row r="86">
      <c r="A86" t="inlineStr">
        <is>
          <t>February 01, 2012</t>
        </is>
      </c>
      <c r="B86" s="297" t="n">
        <v>62907.82</v>
      </c>
      <c r="C86" s="297" t="n">
        <v>71155.22</v>
      </c>
      <c r="D86" s="297" t="n">
        <v>63864.31</v>
      </c>
      <c r="E86" s="297" t="n">
        <v>67702.21000000001</v>
      </c>
      <c r="G86" s="209" t="n"/>
      <c r="I86" s="353" t="n"/>
      <c r="J86" t="n">
        <v>53.08</v>
      </c>
      <c r="K86" t="n">
        <v>50.25</v>
      </c>
    </row>
    <row r="87">
      <c r="A87" t="inlineStr">
        <is>
          <t>January 16, 2012</t>
        </is>
      </c>
      <c r="B87" s="297" t="n">
        <v>64882.11</v>
      </c>
      <c r="C87" s="297" t="n">
        <v>73238.84</v>
      </c>
      <c r="D87" s="297" t="n">
        <v>65920.87</v>
      </c>
      <c r="E87" s="297" t="n">
        <v>69838.56</v>
      </c>
      <c r="G87" s="209" t="n"/>
      <c r="I87" s="353" t="n"/>
      <c r="J87" t="n">
        <v>49.31</v>
      </c>
      <c r="K87" t="n">
        <v>48.83</v>
      </c>
    </row>
    <row r="88">
      <c r="A88" t="inlineStr">
        <is>
          <t>January 01, 2012</t>
        </is>
      </c>
      <c r="B88" s="297" t="n">
        <v>63076.67</v>
      </c>
      <c r="C88" s="297" t="n">
        <v>71358.17</v>
      </c>
      <c r="D88" s="297" t="n">
        <v>64053.73</v>
      </c>
      <c r="E88" s="297" t="n">
        <v>67911.66</v>
      </c>
      <c r="G88" s="209" t="n"/>
      <c r="I88" s="353" t="n"/>
      <c r="J88" t="n">
        <v>50.41</v>
      </c>
      <c r="K88" t="n">
        <v>48.32</v>
      </c>
    </row>
    <row r="89">
      <c r="A89" t="inlineStr">
        <is>
          <t>December 16, 2011</t>
        </is>
      </c>
      <c r="B89" s="51" t="n">
        <v>63739.1</v>
      </c>
      <c r="C89" s="297" t="n">
        <v>72021.14</v>
      </c>
      <c r="D89" s="297" t="n">
        <v>64730.23</v>
      </c>
      <c r="E89" s="297" t="n">
        <v>68595.85000000001</v>
      </c>
      <c r="G89" s="209" t="n"/>
      <c r="I89" s="353" t="n"/>
      <c r="J89" t="n">
        <v>49.13</v>
      </c>
      <c r="K89" t="n">
        <v>46.02</v>
      </c>
    </row>
    <row r="90">
      <c r="A90" t="inlineStr">
        <is>
          <t>December 01, 2011</t>
        </is>
      </c>
      <c r="B90" s="297" t="n">
        <v>64622.34</v>
      </c>
      <c r="C90" s="297" t="n">
        <v>72900.59</v>
      </c>
      <c r="D90" s="297" t="n">
        <v>65650.27</v>
      </c>
      <c r="E90" s="297" t="n">
        <v>69517.39999999999</v>
      </c>
      <c r="G90" s="209" t="n"/>
      <c r="I90" s="353" t="n"/>
      <c r="J90" t="n">
        <v>51.99</v>
      </c>
      <c r="K90" t="n">
        <v>49.19</v>
      </c>
    </row>
    <row r="91">
      <c r="A91" t="inlineStr">
        <is>
          <t>November 16, 2011</t>
        </is>
      </c>
      <c r="B91" s="297" t="n">
        <v>62310.33</v>
      </c>
      <c r="C91" s="297" t="n">
        <v>70465.19</v>
      </c>
      <c r="D91" s="297" t="n">
        <v>63228.4</v>
      </c>
      <c r="E91" s="297" t="n">
        <v>67018.03999999999</v>
      </c>
      <c r="G91" s="209" t="n"/>
      <c r="I91" s="353" t="n"/>
      <c r="J91" t="n">
        <v>52.69</v>
      </c>
      <c r="K91" t="n">
        <v>47.32</v>
      </c>
    </row>
    <row r="92">
      <c r="A92" t="inlineStr">
        <is>
          <t>November 01, 2011</t>
        </is>
      </c>
      <c r="B92" s="297" t="n">
        <v>61115.36</v>
      </c>
      <c r="C92" s="297" t="n">
        <v>69157.14</v>
      </c>
      <c r="D92" s="297" t="n">
        <v>61983.64</v>
      </c>
      <c r="E92" s="297" t="n">
        <v>65705.52</v>
      </c>
      <c r="G92" s="209" t="n"/>
      <c r="I92" s="353" t="n"/>
      <c r="J92" t="n">
        <v>58.8</v>
      </c>
      <c r="K92" t="n">
        <v>50.59</v>
      </c>
    </row>
    <row r="93">
      <c r="A93" t="inlineStr">
        <is>
          <t>October 16, 2011</t>
        </is>
      </c>
      <c r="B93" s="297" t="n">
        <v>58270.81</v>
      </c>
      <c r="C93" s="297" t="n">
        <v>66207.60000000001</v>
      </c>
      <c r="D93" s="297" t="n">
        <v>59020.57</v>
      </c>
      <c r="E93" s="297" t="n">
        <v>62646.67</v>
      </c>
      <c r="G93" s="209" t="n"/>
      <c r="I93" s="353" t="n"/>
      <c r="J93" t="n">
        <v>60.65</v>
      </c>
      <c r="K93" t="n">
        <v>54.32</v>
      </c>
    </row>
    <row r="94">
      <c r="A94" t="inlineStr">
        <is>
          <t>October 15, 2011</t>
        </is>
      </c>
      <c r="B94" s="52" t="n">
        <v>58595.53</v>
      </c>
      <c r="C94" s="52" t="n">
        <v>66586</v>
      </c>
      <c r="D94" s="52" t="n">
        <v>59359</v>
      </c>
      <c r="E94" s="52" t="n">
        <v>63024</v>
      </c>
      <c r="F94" s="52" t="n"/>
      <c r="G94" s="209" t="n"/>
      <c r="I94" s="353" t="n"/>
      <c r="J94" t="n">
        <v>63.56</v>
      </c>
      <c r="K94" t="n">
        <v>58.35</v>
      </c>
    </row>
    <row r="95">
      <c r="A95" t="inlineStr">
        <is>
          <t>October 01, 2011</t>
        </is>
      </c>
      <c r="B95" s="52" t="n">
        <v>58578</v>
      </c>
      <c r="C95" s="52" t="n">
        <v>66586</v>
      </c>
      <c r="D95" s="52" t="n">
        <v>59359</v>
      </c>
      <c r="E95" s="52" t="n">
        <v>63024</v>
      </c>
      <c r="F95" s="52" t="n"/>
      <c r="G95" s="209" t="n"/>
    </row>
    <row r="96">
      <c r="A96" t="inlineStr">
        <is>
          <t>September 16, 2011</t>
        </is>
      </c>
      <c r="B96" s="52" t="n">
        <v>57688.62</v>
      </c>
      <c r="C96" s="52" t="n">
        <v>65666.39999999999</v>
      </c>
      <c r="D96" s="52" t="n">
        <v>58452.31</v>
      </c>
      <c r="E96" s="52" t="n">
        <v>62074.19</v>
      </c>
      <c r="F96" s="52" t="n"/>
      <c r="G96" s="209" t="n"/>
    </row>
    <row r="97">
      <c r="A97" t="inlineStr">
        <is>
          <t>September 01, 2011</t>
        </is>
      </c>
      <c r="B97" s="52" t="n">
        <v>56260</v>
      </c>
      <c r="C97" s="52" t="n">
        <v>64178</v>
      </c>
      <c r="D97" s="52" t="n">
        <v>56978</v>
      </c>
      <c r="E97" s="52" t="n">
        <v>60552</v>
      </c>
      <c r="F97" s="52" t="n"/>
      <c r="G97" s="209" t="n"/>
    </row>
    <row r="98">
      <c r="A98" t="inlineStr">
        <is>
          <t>August 16, 2011</t>
        </is>
      </c>
      <c r="B98" s="52" t="n">
        <v>56688</v>
      </c>
      <c r="C98" s="52" t="n">
        <v>64625</v>
      </c>
      <c r="D98" s="52" t="n">
        <v>57424</v>
      </c>
      <c r="E98" s="52" t="n">
        <v>61013</v>
      </c>
      <c r="F98" s="52" t="n"/>
      <c r="G98" s="209" t="n"/>
    </row>
    <row r="99">
      <c r="A99" t="inlineStr">
        <is>
          <t>August 01, 2011</t>
        </is>
      </c>
      <c r="B99" s="52" t="n">
        <v>57844</v>
      </c>
      <c r="C99" s="52" t="n">
        <v>65842</v>
      </c>
      <c r="D99" s="52" t="n">
        <v>58628</v>
      </c>
      <c r="E99" s="52" t="n">
        <v>62256</v>
      </c>
      <c r="F99" s="52" t="n"/>
      <c r="G99" s="209" t="n"/>
    </row>
    <row r="100">
      <c r="A100" t="inlineStr">
        <is>
          <t>July 16, 2011</t>
        </is>
      </c>
      <c r="B100" s="52" t="n">
        <v>56324.79</v>
      </c>
      <c r="C100" s="52" t="n">
        <v>64256.87</v>
      </c>
      <c r="D100" s="52" t="n">
        <v>57031.66</v>
      </c>
      <c r="E100" s="52" t="n">
        <v>60621.03</v>
      </c>
      <c r="F100" s="52" t="n"/>
      <c r="G100" s="209" t="n"/>
    </row>
    <row r="101">
      <c r="A101" t="inlineStr">
        <is>
          <t>July 01, 2011</t>
        </is>
      </c>
      <c r="B101" s="52" t="n">
        <v>56246.86</v>
      </c>
      <c r="C101" s="52" t="n">
        <v>64216.28</v>
      </c>
      <c r="D101" s="52" t="n">
        <v>56964.01</v>
      </c>
      <c r="E101" s="52" t="n">
        <v>60565.18</v>
      </c>
      <c r="F101" s="52" t="n"/>
      <c r="G101" s="209" t="n"/>
    </row>
    <row r="102">
      <c r="A102" t="inlineStr">
        <is>
          <t>June 16, 2011</t>
        </is>
      </c>
      <c r="B102" s="52" t="n">
        <v>57842.92</v>
      </c>
      <c r="C102" s="52" t="n">
        <v>65934.59</v>
      </c>
      <c r="D102" s="52" t="n">
        <v>58601.14</v>
      </c>
      <c r="E102" s="52" t="n">
        <v>62338.48</v>
      </c>
      <c r="F102" s="52" t="n"/>
      <c r="G102" s="209" t="n"/>
    </row>
    <row r="103">
      <c r="A103" t="inlineStr">
        <is>
          <t>June 01, 2011</t>
        </is>
      </c>
      <c r="B103" s="52" t="n">
        <v>56466.11</v>
      </c>
      <c r="C103" s="52" t="n">
        <v>64500.41</v>
      </c>
      <c r="D103" s="52" t="n">
        <v>57166.96</v>
      </c>
      <c r="E103" s="52" t="n">
        <v>60858.41</v>
      </c>
      <c r="F103" s="52" t="n"/>
      <c r="G103" s="209" t="n"/>
    </row>
    <row r="104">
      <c r="A104" t="inlineStr">
        <is>
          <t>May 16, 2011</t>
        </is>
      </c>
      <c r="B104" s="52" t="n">
        <v>58794</v>
      </c>
      <c r="C104" s="52" t="n">
        <v>66909</v>
      </c>
      <c r="D104" s="52" t="n">
        <v>59602</v>
      </c>
      <c r="E104" s="52" t="n">
        <v>63358</v>
      </c>
      <c r="F104" s="52" t="n"/>
      <c r="G104" s="209" t="n"/>
    </row>
    <row r="105">
      <c r="A105" t="inlineStr">
        <is>
          <t>May 01, 2011</t>
        </is>
      </c>
      <c r="B105" s="52" t="n">
        <v>60560</v>
      </c>
      <c r="C105" s="52" t="n">
        <v>68681</v>
      </c>
      <c r="D105" s="52" t="n">
        <v>61429</v>
      </c>
      <c r="E105" s="52" t="n">
        <v>65201</v>
      </c>
      <c r="F105" s="52" t="n"/>
      <c r="G105" s="209" t="n"/>
    </row>
    <row r="106">
      <c r="A106" t="inlineStr">
        <is>
          <t>April 16, 2011</t>
        </is>
      </c>
      <c r="B106" s="52" t="n">
        <v>60404</v>
      </c>
      <c r="C106" s="52" t="n">
        <v>68451</v>
      </c>
      <c r="D106" s="52" t="n">
        <v>61199</v>
      </c>
      <c r="E106" s="52" t="n">
        <v>64964</v>
      </c>
      <c r="F106" s="52" t="n"/>
      <c r="G106" s="209" t="n"/>
    </row>
    <row r="107">
      <c r="A107" t="inlineStr">
        <is>
          <t>April 01, 2011</t>
        </is>
      </c>
      <c r="B107" s="52" t="n">
        <v>59157.32</v>
      </c>
      <c r="C107" s="52" t="n">
        <v>67151.98</v>
      </c>
      <c r="D107" s="52" t="n">
        <v>59900.02</v>
      </c>
      <c r="E107" s="52" t="n">
        <v>63623.07</v>
      </c>
      <c r="F107" s="52" t="n"/>
      <c r="G107" s="209" t="n"/>
      <c r="K107" s="49" t="n"/>
    </row>
    <row r="108">
      <c r="A108" t="inlineStr">
        <is>
          <t>March 16, 2011</t>
        </is>
      </c>
      <c r="B108" t="n">
        <v>58310.45</v>
      </c>
      <c r="C108" t="n">
        <v>66202.17999999999</v>
      </c>
      <c r="D108" t="n">
        <v>59031.39</v>
      </c>
      <c r="E108" t="n">
        <v>62627.5</v>
      </c>
      <c r="G108" s="209" t="n"/>
    </row>
    <row r="109">
      <c r="A109" t="inlineStr">
        <is>
          <t>March 01, 2011</t>
        </is>
      </c>
      <c r="B109" t="n">
        <v>54933.36</v>
      </c>
      <c r="C109" t="n">
        <v>62654.61</v>
      </c>
      <c r="D109" t="n">
        <v>55500.06</v>
      </c>
      <c r="E109" t="n">
        <v>58997.14</v>
      </c>
      <c r="G109" s="209" t="n"/>
    </row>
    <row r="110">
      <c r="A110" t="inlineStr">
        <is>
          <t>February 16, 2011</t>
        </is>
      </c>
      <c r="B110" t="n">
        <v>53063</v>
      </c>
      <c r="C110" t="n">
        <v>60720</v>
      </c>
      <c r="D110" t="n">
        <v>53538</v>
      </c>
      <c r="E110" t="n">
        <v>56986</v>
      </c>
      <c r="G110" s="209" t="n"/>
    </row>
    <row r="111">
      <c r="A111" t="inlineStr">
        <is>
          <t>February 01, 2011</t>
        </is>
      </c>
      <c r="B111" t="n">
        <v>50958.79</v>
      </c>
      <c r="C111" t="n">
        <v>58500.9</v>
      </c>
      <c r="D111" t="n">
        <v>51332.82</v>
      </c>
      <c r="E111" t="n">
        <v>54696.55</v>
      </c>
      <c r="G111" s="209" t="n"/>
    </row>
    <row r="112">
      <c r="A112" t="inlineStr">
        <is>
          <t>January 16, 2011</t>
        </is>
      </c>
      <c r="B112" t="n">
        <v>48764</v>
      </c>
      <c r="C112" t="n">
        <v>56186</v>
      </c>
      <c r="D112" t="n">
        <v>49046</v>
      </c>
      <c r="E112" t="n">
        <v>52323</v>
      </c>
      <c r="G112" s="209" t="n"/>
    </row>
    <row r="113">
      <c r="A113" t="inlineStr">
        <is>
          <t>January 01, 2011</t>
        </is>
      </c>
      <c r="B113" t="n">
        <v>47815.5</v>
      </c>
      <c r="C113" t="n">
        <v>55158.14</v>
      </c>
      <c r="D113" t="n">
        <v>48058.56</v>
      </c>
      <c r="E113" t="n">
        <v>51275.32</v>
      </c>
      <c r="G113" s="209" t="n"/>
    </row>
    <row r="114">
      <c r="A114" t="inlineStr">
        <is>
          <t>December 16, 2010</t>
        </is>
      </c>
      <c r="B114" t="n">
        <v>46880.3</v>
      </c>
      <c r="C114" t="n">
        <v>54183.98</v>
      </c>
      <c r="D114" t="n">
        <v>47084.4</v>
      </c>
      <c r="E114" t="n">
        <v>50270</v>
      </c>
      <c r="G114" s="209" t="n"/>
    </row>
    <row r="115">
      <c r="A115" t="inlineStr">
        <is>
          <t>December 01, 2010</t>
        </is>
      </c>
      <c r="B115" t="n">
        <v>45240</v>
      </c>
      <c r="C115" t="n">
        <v>52452.14</v>
      </c>
      <c r="D115" t="n">
        <v>45379.62</v>
      </c>
      <c r="E115" t="n">
        <v>48496.7</v>
      </c>
      <c r="G115" s="209" t="n"/>
    </row>
    <row r="116">
      <c r="A116" t="inlineStr">
        <is>
          <t>November 16, 2010</t>
        </is>
      </c>
      <c r="B116" t="n">
        <v>44603.54</v>
      </c>
      <c r="C116" t="n">
        <v>51802.7</v>
      </c>
      <c r="D116" t="n">
        <v>44716.65</v>
      </c>
      <c r="E116" t="n">
        <v>47812.51</v>
      </c>
      <c r="G116" s="209" t="n"/>
    </row>
    <row r="117">
      <c r="A117" t="inlineStr">
        <is>
          <t>November 01, 2010</t>
        </is>
      </c>
      <c r="B117" t="n">
        <v>42276</v>
      </c>
      <c r="C117" t="n">
        <v>50653</v>
      </c>
      <c r="D117" t="n">
        <v>43553</v>
      </c>
      <c r="E117" t="n">
        <v>46626</v>
      </c>
      <c r="G117" s="209" t="n"/>
    </row>
    <row r="118">
      <c r="A118" t="inlineStr">
        <is>
          <t>October 16, 2010</t>
        </is>
      </c>
      <c r="B118" t="n">
        <v>41936</v>
      </c>
      <c r="C118" t="n">
        <v>50302</v>
      </c>
      <c r="D118" t="n">
        <v>43242</v>
      </c>
      <c r="E118" t="n">
        <v>46296</v>
      </c>
      <c r="G118" s="209" t="n"/>
    </row>
    <row r="119">
      <c r="A119" t="inlineStr">
        <is>
          <t>October 01, 2010</t>
        </is>
      </c>
      <c r="B119" t="n">
        <v>40728.52</v>
      </c>
      <c r="C119" t="n">
        <v>49057.15</v>
      </c>
      <c r="D119" t="n">
        <v>41983.59</v>
      </c>
      <c r="E119" t="n">
        <v>45011.81</v>
      </c>
      <c r="G119" s="209" t="n"/>
    </row>
    <row r="120">
      <c r="A120" t="inlineStr">
        <is>
          <t>September 16, 2010</t>
        </is>
      </c>
      <c r="B120" t="n">
        <v>40800.49</v>
      </c>
      <c r="C120" t="n">
        <v>49165.39</v>
      </c>
      <c r="D120" t="n">
        <v>42091.83</v>
      </c>
      <c r="E120" t="n">
        <v>45123.52</v>
      </c>
      <c r="G120" s="209" t="n"/>
    </row>
    <row r="121">
      <c r="A121" t="inlineStr">
        <is>
          <t>September 01, 2010</t>
        </is>
      </c>
      <c r="B121" t="n">
        <v>40138.06</v>
      </c>
      <c r="C121" t="n">
        <v>48461.83</v>
      </c>
      <c r="D121" t="n">
        <v>41388.27</v>
      </c>
      <c r="E121" t="n">
        <v>44397.44</v>
      </c>
      <c r="G121" s="209" t="n"/>
    </row>
    <row r="122">
      <c r="A122" t="inlineStr">
        <is>
          <t>August 16, 2010</t>
        </is>
      </c>
      <c r="B122" t="n">
        <v>41852.58</v>
      </c>
      <c r="C122" t="n">
        <v>50261.32</v>
      </c>
      <c r="D122" t="n">
        <v>43187.76</v>
      </c>
      <c r="E122" t="n">
        <v>46254.51</v>
      </c>
      <c r="G122" s="209" t="n"/>
    </row>
    <row r="123">
      <c r="A123" t="inlineStr">
        <is>
          <t>August 01, 2010</t>
        </is>
      </c>
      <c r="B123" t="n">
        <v>41177.17</v>
      </c>
      <c r="C123" t="n">
        <v>49584.82</v>
      </c>
      <c r="D123" t="n">
        <v>42484.2</v>
      </c>
      <c r="E123" t="n">
        <v>45542.4</v>
      </c>
      <c r="G123" s="209" t="n"/>
    </row>
    <row r="124">
      <c r="A124" t="inlineStr">
        <is>
          <t>July 16, 2010</t>
        </is>
      </c>
      <c r="B124" t="n">
        <v>40099.1</v>
      </c>
      <c r="C124" t="n">
        <v>48460.47</v>
      </c>
      <c r="D124" t="n">
        <v>41361.21</v>
      </c>
      <c r="E124" t="n">
        <v>44333.83</v>
      </c>
      <c r="G124" s="209" t="n"/>
    </row>
    <row r="125">
      <c r="A125" t="inlineStr">
        <is>
          <t>July 01, 2010</t>
        </is>
      </c>
      <c r="B125" t="n">
        <v>41488.9</v>
      </c>
      <c r="C125" t="n">
        <v>49927.12</v>
      </c>
      <c r="D125" t="n">
        <v>42808.92</v>
      </c>
      <c r="E125" t="n">
        <v>45841.83</v>
      </c>
      <c r="G125" s="209" t="n"/>
    </row>
    <row r="126">
      <c r="A126" t="inlineStr">
        <is>
          <t>June 16, 2010</t>
        </is>
      </c>
      <c r="B126" t="n">
        <v>40191.96</v>
      </c>
      <c r="C126" t="n">
        <v>48574.12</v>
      </c>
      <c r="D126" t="n">
        <v>41469.45</v>
      </c>
      <c r="E126" t="n">
        <v>44459.49</v>
      </c>
      <c r="G126" s="209" t="n"/>
    </row>
    <row r="127">
      <c r="A127" t="inlineStr">
        <is>
          <t>June 01, 2010</t>
        </is>
      </c>
      <c r="B127" t="n">
        <v>39503.56</v>
      </c>
      <c r="C127" t="n">
        <v>47843.5</v>
      </c>
      <c r="D127" t="n">
        <v>40752.36</v>
      </c>
      <c r="E127" t="n">
        <v>43705.5</v>
      </c>
      <c r="G127" s="209" t="n"/>
    </row>
    <row r="128">
      <c r="A128" t="inlineStr">
        <is>
          <t>May 16, 2010</t>
        </is>
      </c>
      <c r="B128" t="n">
        <v>42556</v>
      </c>
      <c r="C128" t="n">
        <v>51010</v>
      </c>
      <c r="D128" t="n">
        <v>43932</v>
      </c>
      <c r="E128" t="n">
        <v>46973</v>
      </c>
      <c r="G128" s="209" t="n"/>
    </row>
    <row r="129">
      <c r="A129" t="inlineStr">
        <is>
          <t>May 01, 2010</t>
        </is>
      </c>
      <c r="B129" t="n">
        <v>42452.01</v>
      </c>
      <c r="C129" t="n">
        <v>50914.81</v>
      </c>
      <c r="D129" t="n">
        <v>43823.67</v>
      </c>
      <c r="E129" t="n">
        <v>46875.09</v>
      </c>
      <c r="G129" s="209" t="n"/>
    </row>
    <row r="130">
      <c r="A130" t="inlineStr">
        <is>
          <t>April 16, 2010</t>
        </is>
      </c>
      <c r="B130" t="n">
        <v>42179</v>
      </c>
      <c r="C130" t="n">
        <v>50634</v>
      </c>
      <c r="D130" t="n">
        <v>43540</v>
      </c>
      <c r="E130" t="n">
        <v>46548</v>
      </c>
      <c r="G130" s="209" t="n"/>
    </row>
    <row r="131">
      <c r="A131" t="inlineStr">
        <is>
          <t>April 01, 2010</t>
        </is>
      </c>
      <c r="B131" t="n">
        <v>40841.4</v>
      </c>
      <c r="C131" t="n">
        <v>49294.36</v>
      </c>
      <c r="D131" t="n">
        <v>42159.48</v>
      </c>
      <c r="E131" t="n">
        <v>45151.97</v>
      </c>
      <c r="G131" s="209" t="n"/>
    </row>
    <row r="132">
      <c r="A132" s="41" t="n"/>
      <c r="B132" s="42" t="n"/>
      <c r="C132" s="42" t="n"/>
      <c r="D132" s="42" t="n"/>
      <c r="E132" s="43" t="n"/>
    </row>
    <row r="133">
      <c r="A133" s="41" t="n"/>
      <c r="B133" s="42" t="n"/>
      <c r="C133" s="42" t="n"/>
      <c r="D133" s="42" t="n"/>
      <c r="E133" s="43" t="n"/>
    </row>
    <row r="134">
      <c r="A134" s="41" t="n"/>
      <c r="B134" s="42" t="n"/>
      <c r="C134" s="42" t="n"/>
      <c r="D134" s="42" t="n"/>
      <c r="E134" s="43" t="n"/>
    </row>
    <row r="135" ht="28" customHeight="1" s="322">
      <c r="A135" s="41" t="n"/>
      <c r="B135" s="57" t="inlineStr">
        <is>
          <t>Date</t>
        </is>
      </c>
      <c r="C135" s="55" t="inlineStr">
        <is>
          <t>ATF Price (Rs)</t>
        </is>
      </c>
      <c r="D135" s="55" t="inlineStr">
        <is>
          <t>Brent ($)</t>
        </is>
      </c>
      <c r="E135" s="57" t="inlineStr">
        <is>
          <t>US Oil ($)</t>
        </is>
      </c>
      <c r="F135" s="60" t="inlineStr">
        <is>
          <t>Date</t>
        </is>
      </c>
      <c r="G135" s="59" t="inlineStr">
        <is>
          <t>ATF Price (Rs)</t>
        </is>
      </c>
      <c r="H135" s="59" t="inlineStr">
        <is>
          <t>Brent ($)</t>
        </is>
      </c>
      <c r="I135" s="60" t="inlineStr">
        <is>
          <t>US Oil ($)</t>
        </is>
      </c>
      <c r="J135" s="60" t="inlineStr">
        <is>
          <t>Premium</t>
        </is>
      </c>
    </row>
    <row r="136">
      <c r="B136" t="inlineStr">
        <is>
          <t>April 01, 2010</t>
        </is>
      </c>
      <c r="C136" t="n">
        <v>44361.80250000001</v>
      </c>
      <c r="D136" t="n">
        <v>82.63</v>
      </c>
      <c r="E136" t="n">
        <v>84.53</v>
      </c>
      <c r="F136" s="273" t="inlineStr">
        <is>
          <t>April 01, 2010</t>
        </is>
      </c>
      <c r="G136" s="273" t="n">
        <v>100</v>
      </c>
      <c r="H136" s="273" t="n">
        <v>100</v>
      </c>
      <c r="I136" s="273" t="n">
        <v>100</v>
      </c>
      <c r="J136" s="348" t="n"/>
    </row>
    <row r="137">
      <c r="B137" t="inlineStr">
        <is>
          <t>May 01, 2010</t>
        </is>
      </c>
      <c r="C137" t="n">
        <v>46016.395</v>
      </c>
      <c r="D137" t="n">
        <v>88.09</v>
      </c>
      <c r="E137" t="n">
        <v>86.19</v>
      </c>
      <c r="F137" s="273" t="inlineStr">
        <is>
          <t>May 01, 2010</t>
        </is>
      </c>
      <c r="G137" s="273" t="n"/>
      <c r="H137" s="273" t="n"/>
      <c r="I137" s="273" t="n"/>
      <c r="J137" s="348" t="n"/>
    </row>
    <row r="138">
      <c r="B138" t="inlineStr">
        <is>
          <t>June 01, 2010</t>
        </is>
      </c>
      <c r="C138" t="n">
        <v>42951.23</v>
      </c>
      <c r="D138" t="n">
        <v>73.08</v>
      </c>
      <c r="E138" t="n">
        <v>72.7</v>
      </c>
      <c r="F138" s="273" t="inlineStr">
        <is>
          <t>June 01, 2010</t>
        </is>
      </c>
      <c r="G138" s="273" t="n"/>
      <c r="H138" s="273" t="n"/>
      <c r="I138" s="273" t="n"/>
      <c r="J138" s="348" t="n"/>
    </row>
    <row r="139">
      <c r="B139" t="inlineStr">
        <is>
          <t>July 01, 2010</t>
        </is>
      </c>
      <c r="C139" t="n">
        <v>45016.6925</v>
      </c>
      <c r="D139" t="n">
        <v>71.73</v>
      </c>
      <c r="E139" t="n">
        <v>72.95</v>
      </c>
      <c r="F139" s="273" t="inlineStr">
        <is>
          <t>July 01, 2010</t>
        </is>
      </c>
      <c r="G139" s="273" t="n"/>
      <c r="H139" s="273" t="n"/>
      <c r="I139" s="273" t="n"/>
      <c r="J139" s="348" t="n"/>
    </row>
    <row r="140">
      <c r="B140" t="inlineStr">
        <is>
          <t>August 01, 2010</t>
        </is>
      </c>
      <c r="C140" t="n">
        <v>44697.1475</v>
      </c>
      <c r="D140" t="n">
        <v>81.93000000000001</v>
      </c>
      <c r="E140" t="n">
        <v>81.25</v>
      </c>
      <c r="F140" s="273" t="inlineStr">
        <is>
          <t>August 01, 2010</t>
        </is>
      </c>
      <c r="G140" s="273" t="n"/>
      <c r="H140" s="273" t="n"/>
      <c r="I140" s="273" t="n"/>
      <c r="J140" s="348" t="n"/>
    </row>
    <row r="141">
      <c r="B141" t="inlineStr">
        <is>
          <t>September 01, 2010</t>
        </is>
      </c>
      <c r="C141" t="n">
        <v>43596.4</v>
      </c>
      <c r="D141" t="n">
        <v>75.53</v>
      </c>
      <c r="E141" t="n">
        <v>73.97</v>
      </c>
      <c r="F141" s="273" t="inlineStr">
        <is>
          <t>September 01, 2010</t>
        </is>
      </c>
      <c r="G141" s="273" t="n"/>
      <c r="H141" s="273" t="n"/>
      <c r="I141" s="273" t="n"/>
      <c r="J141" s="348" t="n"/>
    </row>
    <row r="142">
      <c r="B142" t="inlineStr">
        <is>
          <t>October 01, 2010</t>
        </is>
      </c>
      <c r="C142" t="n">
        <v>44195.2675</v>
      </c>
      <c r="D142" t="n">
        <v>82.69</v>
      </c>
      <c r="E142" t="n">
        <v>81.56999999999999</v>
      </c>
      <c r="F142" s="273" t="inlineStr">
        <is>
          <t>October 01, 2010</t>
        </is>
      </c>
      <c r="G142" s="273" t="n"/>
      <c r="H142" s="273" t="n"/>
      <c r="I142" s="273" t="n"/>
      <c r="J142" s="348" t="n"/>
    </row>
    <row r="143">
      <c r="B143" t="inlineStr">
        <is>
          <t>November 01, 2010</t>
        </is>
      </c>
      <c r="C143" t="n">
        <v>45777</v>
      </c>
      <c r="D143" t="n">
        <v>84.06</v>
      </c>
      <c r="E143" t="n">
        <v>82.94</v>
      </c>
      <c r="F143" s="273" t="inlineStr">
        <is>
          <t>November 01, 2010</t>
        </is>
      </c>
      <c r="G143" s="273" t="n"/>
      <c r="H143" s="273" t="n"/>
      <c r="I143" s="273" t="n"/>
      <c r="J143" s="348" t="n"/>
    </row>
    <row r="144">
      <c r="B144" t="inlineStr">
        <is>
          <t>December 01, 2010</t>
        </is>
      </c>
      <c r="C144" t="n">
        <v>47892.11500000001</v>
      </c>
      <c r="D144" t="n">
        <v>88.56</v>
      </c>
      <c r="E144" t="n">
        <v>86.75</v>
      </c>
      <c r="F144" s="273" t="inlineStr">
        <is>
          <t>December 01, 2010</t>
        </is>
      </c>
      <c r="G144" s="273" t="n"/>
      <c r="H144" s="273" t="n"/>
      <c r="I144" s="273" t="n"/>
      <c r="J144" s="348" t="n"/>
    </row>
    <row r="145">
      <c r="B145" t="inlineStr">
        <is>
          <t>January 01, 2011</t>
        </is>
      </c>
      <c r="C145" t="n">
        <v>50576.88</v>
      </c>
      <c r="D145" t="n">
        <v>95.81999999999999</v>
      </c>
      <c r="E145" t="n">
        <v>91.59</v>
      </c>
      <c r="F145" s="273" t="inlineStr">
        <is>
          <t>January 01, 2011</t>
        </is>
      </c>
      <c r="G145" s="273" t="n"/>
      <c r="H145" s="273" t="n"/>
      <c r="I145" s="273" t="n"/>
      <c r="J145" s="348" t="n"/>
    </row>
    <row r="146">
      <c r="B146" t="inlineStr">
        <is>
          <t>February 01, 2011</t>
        </is>
      </c>
      <c r="C146" t="n">
        <v>53872.265</v>
      </c>
      <c r="D146" t="n">
        <v>100.4</v>
      </c>
      <c r="E146" t="n">
        <v>89.54000000000001</v>
      </c>
      <c r="F146" s="273" t="inlineStr">
        <is>
          <t>February 01, 2011</t>
        </is>
      </c>
      <c r="G146" s="273" t="n"/>
      <c r="H146" s="273" t="n"/>
      <c r="I146" s="273" t="n"/>
      <c r="J146" s="348" t="n"/>
    </row>
    <row r="147">
      <c r="B147" t="inlineStr">
        <is>
          <t>March 01, 2011</t>
        </is>
      </c>
      <c r="C147" t="n">
        <v>58021.2925</v>
      </c>
      <c r="D147" t="n">
        <v>113.34</v>
      </c>
      <c r="E147" t="n">
        <v>99.63</v>
      </c>
      <c r="F147" s="273" t="inlineStr">
        <is>
          <t>March 01, 2011</t>
        </is>
      </c>
      <c r="G147" s="273" t="n"/>
      <c r="H147" s="273" t="n"/>
      <c r="I147" s="273" t="n"/>
      <c r="J147" s="348" t="n"/>
    </row>
    <row r="148">
      <c r="B148" t="inlineStr">
        <is>
          <t>April 01, 2011</t>
        </is>
      </c>
      <c r="C148" t="n">
        <v>62458.0975</v>
      </c>
      <c r="D148" t="n">
        <v>118.63</v>
      </c>
      <c r="E148" t="n">
        <v>107.55</v>
      </c>
      <c r="F148" s="273" t="inlineStr">
        <is>
          <t>April 01, 2011</t>
        </is>
      </c>
      <c r="G148" s="273" t="n"/>
      <c r="H148" s="273" t="n"/>
      <c r="I148" s="273" t="n"/>
      <c r="J148" s="348" t="n"/>
    </row>
    <row r="149">
      <c r="B149" t="inlineStr">
        <is>
          <t>May 01, 2011</t>
        </is>
      </c>
      <c r="C149" t="n">
        <v>63967.75</v>
      </c>
      <c r="D149" t="n">
        <v>121.55</v>
      </c>
      <c r="E149" t="n">
        <v>113.03</v>
      </c>
      <c r="F149" s="273" t="inlineStr">
        <is>
          <t>May 01, 2011</t>
        </is>
      </c>
      <c r="G149" s="273" t="n"/>
      <c r="H149" s="273" t="n"/>
      <c r="I149" s="273" t="n"/>
      <c r="J149" s="348" t="n"/>
    </row>
    <row r="150">
      <c r="B150" t="inlineStr">
        <is>
          <t>June 01, 2011</t>
        </is>
      </c>
      <c r="C150" t="n">
        <v>59747.9725</v>
      </c>
      <c r="D150" t="n">
        <v>115.09</v>
      </c>
      <c r="E150" t="n">
        <v>100.3</v>
      </c>
      <c r="F150" s="273" t="inlineStr">
        <is>
          <t>June 01, 2011</t>
        </is>
      </c>
      <c r="G150" s="273" t="n"/>
      <c r="H150" s="273" t="n"/>
      <c r="I150" s="273" t="n"/>
      <c r="J150" s="348" t="n"/>
    </row>
    <row r="151">
      <c r="B151" t="inlineStr">
        <is>
          <t>July 01, 2011</t>
        </is>
      </c>
      <c r="C151" t="n">
        <v>59498.0825</v>
      </c>
      <c r="D151" t="n">
        <v>113.55</v>
      </c>
      <c r="E151" t="n">
        <v>94.81</v>
      </c>
      <c r="F151" s="273" t="inlineStr">
        <is>
          <t>July 01, 2011</t>
        </is>
      </c>
      <c r="G151" s="273" t="n"/>
      <c r="H151" s="273" t="n"/>
      <c r="I151" s="273" t="n"/>
      <c r="J151" s="348" t="n"/>
    </row>
    <row r="152">
      <c r="B152" t="inlineStr">
        <is>
          <t>August 01, 2011</t>
        </is>
      </c>
      <c r="C152" t="n">
        <v>61142.5</v>
      </c>
      <c r="D152" t="n">
        <v>113.74</v>
      </c>
      <c r="E152" t="n">
        <v>94.98</v>
      </c>
      <c r="F152" s="273" t="inlineStr">
        <is>
          <t>August 01, 2011</t>
        </is>
      </c>
      <c r="G152" s="273" t="n"/>
      <c r="H152" s="273" t="n"/>
      <c r="I152" s="273" t="n"/>
      <c r="J152" s="348" t="n"/>
    </row>
    <row r="153">
      <c r="B153" t="inlineStr">
        <is>
          <t>September 01, 2011</t>
        </is>
      </c>
      <c r="C153" t="n">
        <v>59492</v>
      </c>
      <c r="D153" t="n">
        <v>117.5</v>
      </c>
      <c r="E153" t="n">
        <v>88.93000000000001</v>
      </c>
      <c r="F153" s="273" t="inlineStr">
        <is>
          <t>September 01, 2011</t>
        </is>
      </c>
      <c r="G153" s="273" t="n"/>
      <c r="H153" s="273" t="n"/>
      <c r="I153" s="273" t="n"/>
      <c r="J153" s="348" t="n"/>
    </row>
    <row r="154">
      <c r="B154" t="inlineStr">
        <is>
          <t>October 01, 2011</t>
        </is>
      </c>
      <c r="C154" t="n">
        <v>61886.75</v>
      </c>
      <c r="D154" t="n">
        <v>104.38</v>
      </c>
      <c r="E154" t="n">
        <v>77.34</v>
      </c>
      <c r="F154" s="273" t="inlineStr">
        <is>
          <t>October 01, 2011</t>
        </is>
      </c>
      <c r="G154" s="273" t="n"/>
      <c r="H154" s="273" t="n"/>
      <c r="I154" s="273" t="n"/>
      <c r="J154" s="348" t="n"/>
    </row>
    <row r="155">
      <c r="B155" t="inlineStr">
        <is>
          <t>November 01, 2011</t>
        </is>
      </c>
      <c r="C155" t="n">
        <v>64490.41500000001</v>
      </c>
      <c r="D155" t="n">
        <v>112.22</v>
      </c>
      <c r="E155" t="n">
        <v>92.19</v>
      </c>
      <c r="F155" s="273" t="inlineStr">
        <is>
          <t>November 01, 2011</t>
        </is>
      </c>
      <c r="G155" s="273" t="n"/>
      <c r="H155" s="273" t="n"/>
      <c r="I155" s="273" t="n"/>
      <c r="J155" s="348" t="n"/>
    </row>
    <row r="156">
      <c r="B156" t="inlineStr">
        <is>
          <t>December 01, 2011</t>
        </is>
      </c>
      <c r="C156" t="n">
        <v>68172.64999999999</v>
      </c>
      <c r="D156" t="n">
        <v>110.16</v>
      </c>
      <c r="E156" t="n">
        <v>100.2</v>
      </c>
      <c r="F156" s="273" t="inlineStr">
        <is>
          <t>December 01, 2011</t>
        </is>
      </c>
      <c r="G156" s="273" t="n"/>
      <c r="H156" s="273" t="n"/>
      <c r="I156" s="273" t="n"/>
      <c r="J156" s="348" t="n"/>
    </row>
    <row r="157">
      <c r="B157" t="inlineStr">
        <is>
          <t>January 01, 2012</t>
        </is>
      </c>
      <c r="C157" t="n">
        <v>66600.0575</v>
      </c>
      <c r="D157" t="n">
        <v>111.07</v>
      </c>
      <c r="E157" t="n">
        <v>102.96</v>
      </c>
      <c r="F157" s="273" t="inlineStr">
        <is>
          <t>January 01, 2012</t>
        </is>
      </c>
      <c r="G157" s="273" t="n"/>
      <c r="H157" s="273" t="n"/>
      <c r="I157" s="273" t="n"/>
      <c r="J157" s="348" t="n"/>
    </row>
    <row r="158">
      <c r="B158" t="inlineStr">
        <is>
          <t>February 01, 2012</t>
        </is>
      </c>
      <c r="C158" t="n">
        <v>66407.39</v>
      </c>
      <c r="D158" t="n">
        <v>116.86</v>
      </c>
      <c r="E158" t="n">
        <v>97.63</v>
      </c>
      <c r="F158" s="273" t="inlineStr">
        <is>
          <t>February 01, 2012</t>
        </is>
      </c>
      <c r="G158" s="273" t="n"/>
      <c r="H158" s="273" t="n"/>
      <c r="I158" s="273" t="n"/>
      <c r="J158" s="348" t="n"/>
    </row>
    <row r="159">
      <c r="B159" t="inlineStr">
        <is>
          <t>March 01, 2012</t>
        </is>
      </c>
      <c r="C159" t="n">
        <v>68179.9025</v>
      </c>
      <c r="D159" t="n">
        <v>125.37</v>
      </c>
      <c r="E159" t="n">
        <v>108.76</v>
      </c>
      <c r="F159" s="273" t="inlineStr">
        <is>
          <t>March 01, 2012</t>
        </is>
      </c>
      <c r="G159" s="273" t="n"/>
      <c r="H159" s="273" t="n"/>
      <c r="I159" s="273" t="n"/>
      <c r="J159" s="348" t="n"/>
    </row>
    <row r="160">
      <c r="B160" t="inlineStr">
        <is>
          <t>April 01, 2012</t>
        </is>
      </c>
      <c r="C160" t="n">
        <v>71514.10250000001</v>
      </c>
      <c r="D160" t="n">
        <v>121.89</v>
      </c>
      <c r="E160" t="n">
        <v>105.25</v>
      </c>
      <c r="F160" s="273" t="inlineStr">
        <is>
          <t>April 01, 2012</t>
        </is>
      </c>
      <c r="G160" s="273" t="n"/>
      <c r="H160" s="273" t="n"/>
      <c r="I160" s="273" t="n"/>
      <c r="J160" s="348" t="n"/>
    </row>
    <row r="161">
      <c r="B161" s="62" t="inlineStr">
        <is>
          <t>May 01, 2012</t>
        </is>
      </c>
      <c r="C161" s="62" t="n">
        <v>71028.2375</v>
      </c>
      <c r="D161" s="62" t="n">
        <v>111.89</v>
      </c>
      <c r="E161" s="62" t="n">
        <v>106.17</v>
      </c>
      <c r="F161" s="63" t="inlineStr">
        <is>
          <t>May 01, 2012</t>
        </is>
      </c>
      <c r="G161" s="63" t="n"/>
      <c r="H161" s="63" t="n"/>
      <c r="I161" s="63" t="n"/>
      <c r="J161" s="360" t="n"/>
    </row>
    <row r="162">
      <c r="B162" t="inlineStr">
        <is>
          <t>June 01, 2012</t>
        </is>
      </c>
      <c r="C162" t="n">
        <v>69315.495</v>
      </c>
      <c r="D162" t="n">
        <v>98.59999999999999</v>
      </c>
      <c r="E162" t="n">
        <v>83.17</v>
      </c>
      <c r="F162" s="273" t="inlineStr">
        <is>
          <t>June 01, 2012</t>
        </is>
      </c>
      <c r="G162" s="273" t="n"/>
      <c r="H162" s="273" t="n"/>
      <c r="I162" s="273" t="n"/>
      <c r="J162" s="348" t="n"/>
    </row>
    <row r="163">
      <c r="B163" t="inlineStr">
        <is>
          <t>July 01, 2012</t>
        </is>
      </c>
      <c r="C163" t="n">
        <v>64652</v>
      </c>
      <c r="D163" t="n">
        <v>99.23</v>
      </c>
      <c r="E163" t="n">
        <v>83.72</v>
      </c>
      <c r="F163" s="273" t="inlineStr">
        <is>
          <t>July 01, 2012</t>
        </is>
      </c>
      <c r="G163" s="273" t="n"/>
      <c r="H163" s="273" t="n"/>
      <c r="I163" s="273" t="n"/>
      <c r="J163" s="348" t="n"/>
    </row>
    <row r="164">
      <c r="B164" t="inlineStr">
        <is>
          <t>August 01, 2012</t>
        </is>
      </c>
      <c r="C164" t="n">
        <v>68561.29000000001</v>
      </c>
      <c r="D164" t="n">
        <v>113.52</v>
      </c>
      <c r="E164" t="n">
        <v>88.98999999999999</v>
      </c>
      <c r="F164" s="273" t="inlineStr">
        <is>
          <t>August 01, 2012</t>
        </is>
      </c>
      <c r="G164" s="273" t="n"/>
      <c r="H164" s="273" t="n"/>
      <c r="I164" s="273" t="n"/>
      <c r="J164" s="348" t="n"/>
    </row>
    <row r="165">
      <c r="B165" t="inlineStr">
        <is>
          <t>September 01, 2012</t>
        </is>
      </c>
      <c r="C165" t="n">
        <v>75263.3425</v>
      </c>
      <c r="D165" t="n">
        <v>114.86</v>
      </c>
      <c r="E165" t="n">
        <v>95.34</v>
      </c>
      <c r="F165" s="273" t="inlineStr">
        <is>
          <t>September 01, 2012</t>
        </is>
      </c>
      <c r="G165" s="273" t="n"/>
      <c r="H165" s="273" t="n"/>
      <c r="I165" s="273" t="n"/>
      <c r="J165" s="348" t="n"/>
    </row>
    <row r="166">
      <c r="B166" t="inlineStr">
        <is>
          <t>October 01, 2012</t>
        </is>
      </c>
      <c r="C166" t="n">
        <v>73406.565</v>
      </c>
      <c r="D166" t="n">
        <v>114.32</v>
      </c>
      <c r="E166" t="n">
        <v>92.44</v>
      </c>
      <c r="F166" s="273" t="inlineStr">
        <is>
          <t>October 01, 2012</t>
        </is>
      </c>
      <c r="G166" s="273" t="n"/>
      <c r="H166" s="273" t="n"/>
      <c r="I166" s="273" t="n"/>
      <c r="J166" s="348" t="n"/>
    </row>
    <row r="167">
      <c r="B167" t="inlineStr">
        <is>
          <t>November 01, 2012</t>
        </is>
      </c>
      <c r="C167" t="n">
        <v>71455.92999999999</v>
      </c>
      <c r="D167" t="n">
        <v>108.61</v>
      </c>
      <c r="E167" t="n">
        <v>87.05</v>
      </c>
      <c r="F167" s="273" t="inlineStr">
        <is>
          <t>November 01, 2012</t>
        </is>
      </c>
      <c r="G167" s="273" t="n"/>
      <c r="H167" s="273" t="n"/>
      <c r="I167" s="273" t="n"/>
      <c r="J167" s="348" t="n"/>
    </row>
    <row r="168">
      <c r="B168" t="inlineStr">
        <is>
          <t>December 01, 2012</t>
        </is>
      </c>
      <c r="C168" t="n">
        <v>70760.785</v>
      </c>
      <c r="D168" t="n">
        <v>107.6</v>
      </c>
      <c r="E168" t="n">
        <v>88.69</v>
      </c>
      <c r="F168" s="273" t="inlineStr">
        <is>
          <t>December 01, 2012</t>
        </is>
      </c>
      <c r="G168" s="273" t="n"/>
      <c r="H168" s="273" t="n"/>
      <c r="I168" s="273" t="n"/>
      <c r="J168" s="348" t="n"/>
    </row>
    <row r="169">
      <c r="B169" t="inlineStr">
        <is>
          <t>January 01, 2013</t>
        </is>
      </c>
      <c r="C169" t="n">
        <v>70473.55</v>
      </c>
      <c r="D169" t="n">
        <v>112.97</v>
      </c>
      <c r="E169" t="n">
        <v>93.14</v>
      </c>
      <c r="F169" s="273" t="inlineStr">
        <is>
          <t>January 01, 2013</t>
        </is>
      </c>
      <c r="G169" s="273" t="n"/>
      <c r="H169" s="273" t="n"/>
      <c r="I169" s="273" t="n"/>
      <c r="J169" s="348" t="n"/>
    </row>
    <row r="170">
      <c r="B170" t="inlineStr">
        <is>
          <t>February 01, 2013</t>
        </is>
      </c>
      <c r="C170" t="n">
        <v>71872.72249999999</v>
      </c>
      <c r="D170" t="n">
        <v>118.29</v>
      </c>
      <c r="E170" t="n">
        <v>97.45999999999999</v>
      </c>
      <c r="F170" s="273" t="inlineStr">
        <is>
          <t>February 01, 2013</t>
        </is>
      </c>
      <c r="G170" s="273" t="n"/>
      <c r="H170" s="273" t="n"/>
      <c r="I170" s="273" t="n"/>
      <c r="J170" s="348" t="n"/>
    </row>
    <row r="171">
      <c r="B171" t="inlineStr">
        <is>
          <t>March 01, 2013</t>
        </is>
      </c>
      <c r="C171" t="n">
        <v>74502.5475</v>
      </c>
      <c r="D171" t="n">
        <v>108.64</v>
      </c>
      <c r="E171" t="n">
        <v>90.70999999999999</v>
      </c>
      <c r="F171" s="273" t="inlineStr">
        <is>
          <t>March 01, 2013</t>
        </is>
      </c>
      <c r="G171" s="273" t="n"/>
      <c r="H171" s="273" t="n"/>
      <c r="I171" s="273" t="n"/>
      <c r="J171" s="348" t="n"/>
    </row>
    <row r="172">
      <c r="B172" t="inlineStr">
        <is>
          <t>April 01, 2013</t>
        </is>
      </c>
      <c r="C172" t="n">
        <v>70671.505</v>
      </c>
      <c r="D172" t="n">
        <v>104.08</v>
      </c>
      <c r="E172" t="n">
        <v>97.09999999999999</v>
      </c>
      <c r="F172" s="273" t="inlineStr">
        <is>
          <t>April 01, 2013</t>
        </is>
      </c>
      <c r="G172" s="273" t="n"/>
      <c r="H172" s="273" t="n"/>
      <c r="I172" s="273" t="n"/>
      <c r="J172" s="348" t="n"/>
    </row>
    <row r="173">
      <c r="B173" t="inlineStr">
        <is>
          <t>May 01, 2013</t>
        </is>
      </c>
      <c r="C173" t="n">
        <v>66995.0975</v>
      </c>
      <c r="D173" t="n">
        <v>103.59</v>
      </c>
      <c r="E173" t="n">
        <v>90.73999999999999</v>
      </c>
      <c r="F173" s="273" t="inlineStr">
        <is>
          <t>May 01, 2013</t>
        </is>
      </c>
      <c r="G173" s="273" t="n"/>
      <c r="H173" s="273" t="n"/>
      <c r="I173" s="273" t="n"/>
      <c r="J173" s="348" t="n"/>
    </row>
    <row r="174">
      <c r="B174" t="inlineStr">
        <is>
          <t>June 01, 2013</t>
        </is>
      </c>
      <c r="C174" t="n">
        <v>66745.17249999999</v>
      </c>
      <c r="D174" t="n">
        <v>101.5</v>
      </c>
      <c r="E174" t="n">
        <v>93.41</v>
      </c>
      <c r="F174" s="273" t="inlineStr">
        <is>
          <t>June 01, 2013</t>
        </is>
      </c>
      <c r="G174" s="273" t="n"/>
      <c r="H174" s="273" t="n"/>
      <c r="I174" s="273" t="n"/>
      <c r="J174" s="348" t="n"/>
    </row>
    <row r="175">
      <c r="B175" t="inlineStr">
        <is>
          <t>July 01, 2013</t>
        </is>
      </c>
      <c r="C175" t="n">
        <v>70506.75</v>
      </c>
      <c r="D175" t="n">
        <v>108.43</v>
      </c>
      <c r="E175" t="n">
        <v>97.94</v>
      </c>
      <c r="F175" s="273" t="inlineStr">
        <is>
          <t>July 01, 2013</t>
        </is>
      </c>
      <c r="G175" s="273" t="n"/>
      <c r="H175" s="273" t="n"/>
      <c r="I175" s="273" t="n"/>
      <c r="J175" s="348" t="n"/>
    </row>
    <row r="176">
      <c r="B176" t="inlineStr">
        <is>
          <t>August 01, 2013</t>
        </is>
      </c>
      <c r="C176" t="n">
        <v>74827.64499999999</v>
      </c>
      <c r="D176" t="n">
        <v>108.49</v>
      </c>
      <c r="E176" t="n">
        <v>107.93</v>
      </c>
      <c r="F176" s="273" t="inlineStr">
        <is>
          <t>August 01, 2013</t>
        </is>
      </c>
      <c r="G176" s="273" t="n"/>
      <c r="H176" s="273" t="n"/>
      <c r="I176" s="273" t="n"/>
      <c r="J176" s="348" t="n"/>
    </row>
    <row r="177">
      <c r="B177" t="inlineStr">
        <is>
          <t>September 01, 2013</t>
        </is>
      </c>
      <c r="C177" t="n">
        <v>80012.23999999999</v>
      </c>
      <c r="D177" t="n">
        <v>112.37</v>
      </c>
      <c r="E177" t="n">
        <v>108.67</v>
      </c>
      <c r="F177" s="273" t="inlineStr">
        <is>
          <t>September 01, 2013</t>
        </is>
      </c>
      <c r="G177" s="273" t="n"/>
      <c r="H177" s="273" t="n"/>
      <c r="I177" s="273" t="n"/>
      <c r="J177" s="348" t="n"/>
    </row>
    <row r="178">
      <c r="B178" s="62" t="inlineStr">
        <is>
          <t>October 01, 2013</t>
        </is>
      </c>
      <c r="C178" s="62" t="n">
        <v>82073.53749999999</v>
      </c>
      <c r="D178" s="62" t="n">
        <v>109.02</v>
      </c>
      <c r="E178" s="62" t="n">
        <v>102.09</v>
      </c>
      <c r="F178" s="63" t="inlineStr">
        <is>
          <t>October 01, 2013</t>
        </is>
      </c>
      <c r="G178" s="63" t="n"/>
      <c r="H178" s="63" t="n"/>
      <c r="I178" s="63" t="n"/>
      <c r="J178" s="360" t="n"/>
    </row>
    <row r="179">
      <c r="B179" t="inlineStr">
        <is>
          <t>November 01, 2013</t>
        </is>
      </c>
      <c r="C179" t="n">
        <v>78427.93000000001</v>
      </c>
      <c r="D179" t="n">
        <v>105.76</v>
      </c>
      <c r="E179" t="n">
        <v>94.56</v>
      </c>
      <c r="F179" s="273" t="inlineStr">
        <is>
          <t>November 01, 2013</t>
        </is>
      </c>
      <c r="G179" s="273" t="n"/>
      <c r="H179" s="273" t="n"/>
      <c r="I179" s="273" t="n"/>
      <c r="J179" s="348" t="n"/>
    </row>
    <row r="180">
      <c r="B180" t="inlineStr">
        <is>
          <t>December 01, 2013</t>
        </is>
      </c>
      <c r="C180" t="n">
        <v>79031.935</v>
      </c>
      <c r="D180" t="n">
        <v>108.91</v>
      </c>
      <c r="E180" t="n">
        <v>93.61</v>
      </c>
      <c r="F180" s="273" t="inlineStr">
        <is>
          <t>December 01, 2013</t>
        </is>
      </c>
      <c r="G180" s="273" t="n"/>
      <c r="H180" s="273" t="n"/>
      <c r="I180" s="273" t="n"/>
      <c r="J180" s="348" t="n"/>
    </row>
    <row r="181">
      <c r="B181" t="inlineStr">
        <is>
          <t>January 01, 2014</t>
        </is>
      </c>
      <c r="C181" t="n">
        <v>81109.5325</v>
      </c>
      <c r="D181" t="n">
        <v>106.44</v>
      </c>
      <c r="E181" t="n">
        <v>95.14</v>
      </c>
      <c r="F181" s="273" t="inlineStr">
        <is>
          <t>January 01, 2014</t>
        </is>
      </c>
      <c r="G181" s="273" t="n"/>
      <c r="H181" s="273" t="n"/>
      <c r="I181" s="273" t="n"/>
      <c r="J181" s="348" t="n"/>
    </row>
    <row r="182">
      <c r="B182" t="inlineStr">
        <is>
          <t>February 01, 2014</t>
        </is>
      </c>
      <c r="C182" t="n">
        <v>78878.30499999999</v>
      </c>
      <c r="D182" t="n">
        <v>110.18</v>
      </c>
      <c r="E182" t="n">
        <v>96.44</v>
      </c>
      <c r="F182" s="273" t="inlineStr">
        <is>
          <t>February 01, 2014</t>
        </is>
      </c>
      <c r="G182" s="273" t="n"/>
      <c r="H182" s="273" t="n"/>
      <c r="I182" s="273" t="n"/>
      <c r="J182" s="348" t="n"/>
    </row>
    <row r="183">
      <c r="B183" t="inlineStr">
        <is>
          <t>March 01, 2014</t>
        </is>
      </c>
      <c r="C183" t="n">
        <v>79712.8625</v>
      </c>
      <c r="D183" t="n">
        <v>108.27</v>
      </c>
      <c r="E183" t="n">
        <v>105.34</v>
      </c>
      <c r="F183" s="273" t="inlineStr">
        <is>
          <t>March 01, 2014</t>
        </is>
      </c>
      <c r="G183" s="273" t="n"/>
      <c r="H183" s="273" t="n"/>
      <c r="I183" s="273" t="n"/>
      <c r="J183" s="348" t="n"/>
    </row>
    <row r="184">
      <c r="B184" t="inlineStr">
        <is>
          <t>April 01, 2014</t>
        </is>
      </c>
      <c r="C184" t="n">
        <v>76610.8625</v>
      </c>
      <c r="D184" t="n">
        <v>105.83</v>
      </c>
      <c r="E184" t="n">
        <v>99.69</v>
      </c>
      <c r="F184" s="273" t="inlineStr">
        <is>
          <t>April 01, 2014</t>
        </is>
      </c>
      <c r="G184" s="273" t="n"/>
      <c r="H184" s="273" t="n"/>
      <c r="I184" s="273" t="n"/>
      <c r="J184" s="348" t="n"/>
    </row>
    <row r="185">
      <c r="B185" t="inlineStr">
        <is>
          <t>May 01, 2014</t>
        </is>
      </c>
      <c r="C185" t="n">
        <v>75796.8275</v>
      </c>
      <c r="D185" t="n">
        <v>108.19</v>
      </c>
      <c r="E185" t="n">
        <v>99.69</v>
      </c>
      <c r="F185" s="273" t="inlineStr">
        <is>
          <t>May 01, 2014</t>
        </is>
      </c>
      <c r="G185" s="273" t="n"/>
      <c r="H185" s="273" t="n"/>
      <c r="I185" s="273" t="n"/>
      <c r="J185" s="348" t="n"/>
    </row>
    <row r="186">
      <c r="B186" t="inlineStr">
        <is>
          <t>June 01, 2014</t>
        </is>
      </c>
      <c r="C186" t="n">
        <v>74401.7775</v>
      </c>
      <c r="D186" t="n">
        <v>109.21</v>
      </c>
      <c r="E186" t="n">
        <v>103.07</v>
      </c>
      <c r="F186" s="273" t="inlineStr">
        <is>
          <t>June 01, 2014</t>
        </is>
      </c>
      <c r="G186" s="273" t="n"/>
      <c r="H186" s="273" t="n"/>
      <c r="I186" s="273" t="n"/>
      <c r="J186" s="348" t="n"/>
    </row>
    <row r="187">
      <c r="B187" t="inlineStr">
        <is>
          <t>July 01, 2014</t>
        </is>
      </c>
      <c r="C187" t="n">
        <v>74794.07000000001</v>
      </c>
      <c r="D187" t="n">
        <v>107.65</v>
      </c>
      <c r="E187" t="n">
        <v>106.06</v>
      </c>
      <c r="F187" s="273" t="inlineStr">
        <is>
          <t>July 01, 2014</t>
        </is>
      </c>
      <c r="G187" s="273" t="n"/>
      <c r="H187" s="273" t="n"/>
      <c r="I187" s="273" t="n"/>
      <c r="J187" s="348" t="n"/>
    </row>
    <row r="188">
      <c r="B188" t="inlineStr">
        <is>
          <t>August 01, 2014</t>
        </is>
      </c>
      <c r="C188" t="n">
        <v>74690.465</v>
      </c>
      <c r="D188" t="n">
        <v>104.02</v>
      </c>
      <c r="E188" t="n">
        <v>97.86</v>
      </c>
      <c r="F188" s="273" t="inlineStr">
        <is>
          <t>August 01, 2014</t>
        </is>
      </c>
      <c r="G188" s="273" t="n"/>
      <c r="H188" s="273" t="n"/>
      <c r="I188" s="273" t="n"/>
      <c r="J188" s="348" t="n"/>
    </row>
    <row r="189">
      <c r="B189" t="inlineStr">
        <is>
          <t>September 01, 2014</t>
        </is>
      </c>
      <c r="C189" t="n">
        <v>74248.495</v>
      </c>
      <c r="D189" t="n">
        <v>99.53</v>
      </c>
      <c r="E189" t="n">
        <v>92.92</v>
      </c>
      <c r="F189" s="273" t="inlineStr">
        <is>
          <t>September 01, 2014</t>
        </is>
      </c>
      <c r="G189" s="273" t="n"/>
      <c r="H189" s="273" t="n"/>
      <c r="I189" s="273" t="n"/>
      <c r="J189" s="348" t="n"/>
    </row>
    <row r="190">
      <c r="B190" t="inlineStr">
        <is>
          <t>October 01, 2014</t>
        </is>
      </c>
      <c r="C190" t="n">
        <v>72071.14999999999</v>
      </c>
      <c r="D190" t="n">
        <v>90.90000000000001</v>
      </c>
      <c r="E190" t="n">
        <v>90.73999999999999</v>
      </c>
      <c r="F190" s="273" t="inlineStr">
        <is>
          <t>October 01, 2014</t>
        </is>
      </c>
      <c r="G190" s="273" t="n"/>
      <c r="H190" s="273" t="n"/>
      <c r="I190" s="273" t="n"/>
      <c r="J190" s="348" t="n"/>
    </row>
    <row r="191">
      <c r="B191" t="inlineStr">
        <is>
          <t>November 01, 2014</t>
        </is>
      </c>
      <c r="C191" t="n">
        <v>66899.7975</v>
      </c>
      <c r="D191" t="n">
        <v>83.2</v>
      </c>
      <c r="E191" t="n">
        <v>78.77</v>
      </c>
      <c r="F191" s="273" t="inlineStr">
        <is>
          <t>November 01, 2014</t>
        </is>
      </c>
      <c r="G191" s="273" t="n"/>
      <c r="H191" s="273" t="n"/>
      <c r="I191" s="273" t="n"/>
      <c r="J191" s="348" t="n"/>
    </row>
    <row r="192">
      <c r="B192" s="62" t="inlineStr">
        <is>
          <t>December 01, 2014</t>
        </is>
      </c>
      <c r="C192" s="62" t="n">
        <v>64145</v>
      </c>
      <c r="D192" s="62" t="n">
        <v>68</v>
      </c>
      <c r="E192" s="62" t="n">
        <v>68.98</v>
      </c>
      <c r="F192" s="63" t="inlineStr">
        <is>
          <t>December 01, 2014</t>
        </is>
      </c>
      <c r="G192" s="63" t="n"/>
      <c r="H192" s="63" t="n"/>
      <c r="I192" s="63" t="n"/>
      <c r="J192" s="360" t="n"/>
    </row>
    <row r="193">
      <c r="B193" t="inlineStr">
        <is>
          <t>January 01, 2015</t>
        </is>
      </c>
      <c r="C193" t="n">
        <v>56316.75</v>
      </c>
      <c r="D193" t="n">
        <v>49.43</v>
      </c>
      <c r="E193" t="n">
        <v>53.45</v>
      </c>
      <c r="F193" s="273" t="inlineStr">
        <is>
          <t>January 01, 2015</t>
        </is>
      </c>
      <c r="G193" s="273" t="n"/>
      <c r="H193" s="273" t="n"/>
      <c r="I193" s="273" t="n"/>
      <c r="J193" s="348" t="n"/>
    </row>
    <row r="194">
      <c r="B194" t="inlineStr">
        <is>
          <t>February 01, 2015</t>
        </is>
      </c>
      <c r="C194" t="n">
        <v>50207.86</v>
      </c>
      <c r="D194" t="n">
        <v>57</v>
      </c>
      <c r="E194" t="n">
        <v>49.25</v>
      </c>
      <c r="F194" s="273" t="inlineStr">
        <is>
          <t>February 01, 2015</t>
        </is>
      </c>
      <c r="G194" s="273" t="n"/>
      <c r="H194" s="273" t="n"/>
      <c r="I194" s="273" t="n"/>
      <c r="J194" s="348" t="n"/>
    </row>
    <row r="195">
      <c r="B195" t="inlineStr">
        <is>
          <t>March 01, 2015</t>
        </is>
      </c>
      <c r="C195" t="n">
        <v>54223</v>
      </c>
      <c r="D195" t="n">
        <v>59.15</v>
      </c>
      <c r="E195" t="n">
        <v>49.59</v>
      </c>
      <c r="F195" s="273" t="inlineStr">
        <is>
          <t>March 01, 2015</t>
        </is>
      </c>
      <c r="G195" s="273" t="n"/>
      <c r="H195" s="273" t="n"/>
      <c r="I195" s="273" t="n"/>
      <c r="J195" s="348" t="n"/>
    </row>
    <row r="196">
      <c r="B196" t="inlineStr">
        <is>
          <t>April 01, 2015</t>
        </is>
      </c>
      <c r="C196" t="n">
        <v>53280.5</v>
      </c>
      <c r="D196" t="n">
        <v>57.55</v>
      </c>
      <c r="E196" t="n">
        <v>50.12</v>
      </c>
      <c r="F196" s="273" t="inlineStr">
        <is>
          <t>April 01, 2015</t>
        </is>
      </c>
      <c r="G196" s="273" t="n"/>
      <c r="H196" s="273" t="n"/>
      <c r="I196" s="273" t="n"/>
      <c r="J196" s="348" t="n"/>
    </row>
    <row r="197">
      <c r="B197" t="inlineStr">
        <is>
          <t>May 01, 2015</t>
        </is>
      </c>
      <c r="C197" t="n">
        <v>53589.1825</v>
      </c>
      <c r="D197" t="n">
        <v>64.93000000000001</v>
      </c>
      <c r="E197" t="n">
        <v>59.1</v>
      </c>
      <c r="F197" s="273" t="inlineStr">
        <is>
          <t>May 01, 2015</t>
        </is>
      </c>
      <c r="G197" s="273" t="n"/>
      <c r="H197" s="273" t="n"/>
      <c r="I197" s="273" t="n"/>
      <c r="J197" s="348" t="n"/>
    </row>
    <row r="198">
      <c r="B198" t="inlineStr">
        <is>
          <t>June 01, 2015</t>
        </is>
      </c>
      <c r="C198" t="n">
        <v>57433.275</v>
      </c>
      <c r="D198" t="n">
        <v>60.36</v>
      </c>
      <c r="E198" t="n">
        <v>60.24</v>
      </c>
      <c r="F198" s="273" t="inlineStr">
        <is>
          <t>June 01, 2015</t>
        </is>
      </c>
      <c r="G198" s="273" t="n"/>
      <c r="H198" s="273" t="n"/>
      <c r="I198" s="273" t="n"/>
      <c r="J198" s="348" t="n"/>
    </row>
    <row r="199">
      <c r="B199" t="inlineStr">
        <is>
          <t>July 01, 2015</t>
        </is>
      </c>
      <c r="C199" t="n">
        <v>55291.01</v>
      </c>
      <c r="D199" t="n">
        <v>54.72</v>
      </c>
      <c r="E199" t="n">
        <v>56.94</v>
      </c>
      <c r="F199" s="273" t="inlineStr">
        <is>
          <t>July 01, 2015</t>
        </is>
      </c>
      <c r="G199" s="273" t="n"/>
      <c r="H199" s="273" t="n"/>
      <c r="I199" s="273" t="n"/>
      <c r="J199" s="348" t="n"/>
    </row>
    <row r="200">
      <c r="B200" t="inlineStr">
        <is>
          <t>August 01, 2015</t>
        </is>
      </c>
      <c r="C200" t="n">
        <v>50204.425</v>
      </c>
      <c r="D200" t="n">
        <v>47.54</v>
      </c>
      <c r="E200" t="n">
        <v>45.25</v>
      </c>
      <c r="F200" s="273" t="inlineStr">
        <is>
          <t>August 01, 2015</t>
        </is>
      </c>
      <c r="G200" s="273" t="n"/>
      <c r="H200" s="273" t="n"/>
      <c r="I200" s="273" t="n"/>
      <c r="J200" s="348" t="n"/>
    </row>
    <row r="201">
      <c r="B201" t="inlineStr">
        <is>
          <t>September 01, 2015</t>
        </is>
      </c>
      <c r="C201" t="n">
        <v>44388.0575</v>
      </c>
      <c r="D201" t="n">
        <v>46.42</v>
      </c>
      <c r="E201" t="n">
        <v>45.38</v>
      </c>
      <c r="F201" s="273" t="inlineStr">
        <is>
          <t>September 01, 2015</t>
        </is>
      </c>
      <c r="G201" s="273" t="n"/>
      <c r="H201" s="273" t="n"/>
      <c r="I201" s="273" t="n"/>
      <c r="J201" s="348" t="n"/>
    </row>
    <row r="202">
      <c r="B202" t="inlineStr">
        <is>
          <t>October 01, 2015</t>
        </is>
      </c>
      <c r="C202" t="n">
        <v>46716.475</v>
      </c>
      <c r="D202" t="n">
        <v>51.66</v>
      </c>
      <c r="E202" t="n">
        <v>44.75</v>
      </c>
      <c r="F202" s="273" t="inlineStr">
        <is>
          <t>October 01, 2015</t>
        </is>
      </c>
      <c r="G202" s="273" t="n"/>
      <c r="H202" s="273" t="n"/>
      <c r="I202" s="273" t="n"/>
      <c r="J202" s="348" t="n"/>
    </row>
    <row r="203">
      <c r="B203" t="inlineStr">
        <is>
          <t>November 01, 2015</t>
        </is>
      </c>
      <c r="C203" t="n">
        <v>46493.61</v>
      </c>
      <c r="D203" t="n">
        <v>46.09</v>
      </c>
      <c r="E203" t="n">
        <v>46.12</v>
      </c>
      <c r="F203" s="273" t="inlineStr">
        <is>
          <t>November 01, 2015</t>
        </is>
      </c>
      <c r="G203" s="273" t="n"/>
      <c r="H203" s="273" t="n"/>
      <c r="I203" s="273" t="n"/>
      <c r="J203" s="348" t="n"/>
    </row>
    <row r="204">
      <c r="B204" s="62" t="inlineStr">
        <is>
          <t>December 01, 2015</t>
        </is>
      </c>
      <c r="C204" s="62" t="n">
        <v>46406.12</v>
      </c>
      <c r="D204" s="62" t="n">
        <v>39.69</v>
      </c>
      <c r="E204" s="62" t="n">
        <v>40.58</v>
      </c>
      <c r="F204" s="63" t="inlineStr">
        <is>
          <t>December 01, 2015</t>
        </is>
      </c>
      <c r="G204" s="63" t="n"/>
      <c r="H204" s="63" t="n"/>
      <c r="I204" s="63" t="n"/>
      <c r="J204" s="360" t="n"/>
    </row>
    <row r="205">
      <c r="B205" t="inlineStr">
        <is>
          <t>January 01, 2016</t>
        </is>
      </c>
      <c r="C205" t="n">
        <v>41922.23</v>
      </c>
      <c r="D205" t="n">
        <v>33.57</v>
      </c>
      <c r="E205" t="n">
        <v>37.13</v>
      </c>
      <c r="F205" s="273" t="inlineStr">
        <is>
          <t>January 01, 2016</t>
        </is>
      </c>
      <c r="G205" s="273" t="n"/>
      <c r="H205" s="273" t="n"/>
      <c r="I205" s="273" t="n"/>
      <c r="J205" s="348" t="n"/>
    </row>
    <row r="206">
      <c r="B206" t="inlineStr">
        <is>
          <t>February 01,2016</t>
        </is>
      </c>
      <c r="C206" t="n">
        <v>37121.7925</v>
      </c>
      <c r="D206" t="n">
        <v>32.76</v>
      </c>
      <c r="E206" t="n">
        <v>31.62</v>
      </c>
      <c r="F206" s="273" t="inlineStr">
        <is>
          <t>February 01,2016</t>
        </is>
      </c>
      <c r="G206" s="273" t="n"/>
      <c r="H206" s="273" t="n"/>
      <c r="I206" s="273" t="n"/>
      <c r="J206" s="348" t="n"/>
    </row>
    <row r="207">
      <c r="B207" t="inlineStr">
        <is>
          <t>March 01,2016</t>
        </is>
      </c>
      <c r="C207" t="n">
        <v>41439.265</v>
      </c>
      <c r="D207" t="n">
        <v>37.61</v>
      </c>
      <c r="E207" t="n">
        <v>34.39</v>
      </c>
      <c r="F207" s="273" t="inlineStr">
        <is>
          <t>March 01,2016</t>
        </is>
      </c>
      <c r="G207" s="273" t="n"/>
      <c r="H207" s="273" t="n"/>
      <c r="I207" s="273" t="n"/>
      <c r="J207" s="348" t="n"/>
    </row>
    <row r="208">
      <c r="B208" t="inlineStr">
        <is>
          <t>April 01,2016</t>
        </is>
      </c>
      <c r="C208" t="n">
        <v>43960.28999999999</v>
      </c>
      <c r="D208" t="n">
        <v>37.77</v>
      </c>
      <c r="E208" t="n">
        <v>35.36</v>
      </c>
      <c r="F208" s="273" t="inlineStr">
        <is>
          <t>April 01,2016</t>
        </is>
      </c>
      <c r="G208" s="273" t="n"/>
      <c r="H208" s="273" t="n"/>
      <c r="I208" s="273" t="n"/>
      <c r="J208" s="348" t="n"/>
    </row>
    <row r="209">
      <c r="B209" t="inlineStr">
        <is>
          <t>May 01,2016</t>
        </is>
      </c>
      <c r="C209" t="n">
        <v>44362.0425</v>
      </c>
      <c r="D209" t="n">
        <v>44.39</v>
      </c>
      <c r="E209" t="n">
        <v>44.75</v>
      </c>
      <c r="F209" s="273" t="inlineStr">
        <is>
          <t>May 01,2016</t>
        </is>
      </c>
      <c r="G209" s="273" t="n"/>
      <c r="H209" s="273" t="n"/>
      <c r="I209" s="273" t="n"/>
      <c r="J209" s="348" t="n"/>
    </row>
    <row r="210">
      <c r="B210" t="inlineStr">
        <is>
          <t>June 01,2016</t>
        </is>
      </c>
      <c r="C210" t="n">
        <v>48331.79750000001</v>
      </c>
      <c r="D210" t="n">
        <v>48.94</v>
      </c>
      <c r="E210" t="n">
        <v>49.07</v>
      </c>
      <c r="F210" s="273" t="inlineStr">
        <is>
          <t>June 01,2016</t>
        </is>
      </c>
      <c r="G210" s="273" t="n"/>
      <c r="H210" s="273" t="n"/>
      <c r="I210" s="273" t="n"/>
      <c r="J210" s="348" t="n"/>
    </row>
    <row r="211">
      <c r="B211" t="inlineStr">
        <is>
          <t>July 01,2016</t>
        </is>
      </c>
      <c r="C211" t="n">
        <v>50958.6975</v>
      </c>
      <c r="D211" t="n">
        <v>45.7</v>
      </c>
      <c r="E211" t="n">
        <v>49.02</v>
      </c>
      <c r="F211" s="273" t="inlineStr">
        <is>
          <t>July 01,2016</t>
        </is>
      </c>
      <c r="G211" s="273" t="n"/>
      <c r="H211" s="273" t="n"/>
      <c r="I211" s="273" t="n"/>
      <c r="J211" s="348" t="n"/>
    </row>
    <row r="212">
      <c r="B212" t="inlineStr">
        <is>
          <t>August 01,2016</t>
        </is>
      </c>
      <c r="C212" t="n">
        <v>48882.4375</v>
      </c>
      <c r="D212" t="n">
        <v>40.45</v>
      </c>
      <c r="E212" t="n">
        <v>40.05</v>
      </c>
      <c r="F212" s="273" t="inlineStr">
        <is>
          <t>August 01,2016</t>
        </is>
      </c>
      <c r="G212" s="273" t="n"/>
      <c r="H212" s="273" t="n"/>
      <c r="I212" s="273" t="n"/>
      <c r="J212" s="348" t="n"/>
    </row>
    <row r="213">
      <c r="B213" t="inlineStr">
        <is>
          <t>September 01,2016</t>
        </is>
      </c>
      <c r="C213" t="n">
        <v>47050.97</v>
      </c>
      <c r="D213" t="n">
        <v>46.72</v>
      </c>
      <c r="E213" t="n">
        <v>43.17</v>
      </c>
      <c r="F213" s="273" t="inlineStr">
        <is>
          <t>September 01,2016</t>
        </is>
      </c>
      <c r="G213" s="273" t="n"/>
      <c r="H213" s="273" t="n"/>
      <c r="I213" s="273" t="n"/>
      <c r="J213" s="348" t="n"/>
    </row>
    <row r="214">
      <c r="B214" t="inlineStr">
        <is>
          <t>October 01,2016</t>
        </is>
      </c>
      <c r="C214" t="n">
        <v>48442.3075</v>
      </c>
      <c r="D214" t="n">
        <v>49.57</v>
      </c>
      <c r="E214" t="n">
        <v>48.8</v>
      </c>
      <c r="F214" s="273" t="inlineStr">
        <is>
          <t>October 01,2016</t>
        </is>
      </c>
      <c r="G214" s="273" t="n"/>
      <c r="H214" s="273" t="n"/>
      <c r="I214" s="273" t="n"/>
      <c r="J214" s="348" t="n"/>
    </row>
    <row r="215">
      <c r="B215" t="inlineStr">
        <is>
          <t>November 01,2016</t>
        </is>
      </c>
      <c r="C215" t="n">
        <v>51901.2025</v>
      </c>
      <c r="D215" t="n">
        <v>43.06</v>
      </c>
      <c r="E215" t="n">
        <v>46.66</v>
      </c>
      <c r="F215" s="273" t="inlineStr">
        <is>
          <t>November 01,2016</t>
        </is>
      </c>
      <c r="G215" s="273" t="n"/>
      <c r="H215" s="273" t="n"/>
      <c r="I215" s="273" t="n"/>
      <c r="J215" s="348" t="n"/>
    </row>
    <row r="216">
      <c r="B216" t="inlineStr">
        <is>
          <t>December 01,2016</t>
        </is>
      </c>
      <c r="C216" t="n">
        <v>49998.025</v>
      </c>
      <c r="D216" t="n">
        <v>52.31</v>
      </c>
      <c r="E216" t="n">
        <v>51.08</v>
      </c>
      <c r="F216" s="273" t="inlineStr">
        <is>
          <t>December 01,2016</t>
        </is>
      </c>
      <c r="G216" s="273" t="n"/>
      <c r="H216" s="273" t="n"/>
      <c r="I216" s="273" t="n"/>
      <c r="J216" s="348" t="n"/>
    </row>
    <row r="217">
      <c r="B217" t="inlineStr">
        <is>
          <t>January 01, 2017</t>
        </is>
      </c>
      <c r="C217" t="n">
        <v>54213.9175</v>
      </c>
      <c r="D217" t="n">
        <v>55.9</v>
      </c>
      <c r="E217" t="n">
        <v>52.36</v>
      </c>
      <c r="F217" s="273" t="inlineStr">
        <is>
          <t>January 01, 2017</t>
        </is>
      </c>
      <c r="G217" s="273" t="n"/>
      <c r="H217" s="273" t="n"/>
      <c r="I217" s="273" t="n"/>
      <c r="J217" s="348" t="n"/>
    </row>
    <row r="218">
      <c r="B218" t="inlineStr">
        <is>
          <t>February 01,2017</t>
        </is>
      </c>
      <c r="C218" t="n">
        <v>55817.3925</v>
      </c>
      <c r="D218" t="n">
        <v>55.92</v>
      </c>
      <c r="E218" t="n">
        <v>53.9</v>
      </c>
      <c r="F218" s="273" t="inlineStr">
        <is>
          <t>February 01,2017</t>
        </is>
      </c>
      <c r="G218" s="273" t="n"/>
      <c r="H218" s="273" t="n"/>
      <c r="I218" s="273" t="n"/>
      <c r="J218" s="348" t="n"/>
    </row>
    <row r="219">
      <c r="B219" t="inlineStr">
        <is>
          <t>March 01,2017</t>
        </is>
      </c>
      <c r="C219" t="n">
        <v>56104.89999999999</v>
      </c>
      <c r="D219" t="n">
        <v>54.16</v>
      </c>
      <c r="E219" t="n">
        <v>53.82</v>
      </c>
      <c r="F219" s="273" t="inlineStr">
        <is>
          <t>March 01,2017</t>
        </is>
      </c>
      <c r="G219" s="273" t="n"/>
      <c r="H219" s="273" t="n"/>
      <c r="I219" s="273" t="n"/>
      <c r="J219" s="348" t="n"/>
    </row>
    <row r="220">
      <c r="B220" t="inlineStr">
        <is>
          <t>April 01, 2017</t>
        </is>
      </c>
      <c r="C220" t="n">
        <v>53242.5</v>
      </c>
      <c r="D220" t="n">
        <v>53.08</v>
      </c>
      <c r="E220" t="n">
        <v>50.25</v>
      </c>
      <c r="F220" s="273" t="inlineStr">
        <is>
          <t>April 01, 2017</t>
        </is>
      </c>
      <c r="G220" s="273" t="n"/>
      <c r="H220" s="273" t="n"/>
      <c r="I220" s="273" t="n"/>
      <c r="J220" s="348" t="n"/>
    </row>
    <row r="221">
      <c r="B221" t="inlineStr">
        <is>
          <t>May 01, 2017</t>
        </is>
      </c>
      <c r="C221" t="n">
        <v>53435.25</v>
      </c>
      <c r="D221" t="n">
        <v>49.31</v>
      </c>
      <c r="E221" t="n">
        <v>48.83</v>
      </c>
      <c r="F221" s="273" t="inlineStr">
        <is>
          <t>May 01, 2017</t>
        </is>
      </c>
      <c r="G221" s="273" t="n"/>
      <c r="H221" s="273" t="n"/>
      <c r="I221" s="273" t="n"/>
      <c r="J221" s="348" t="n"/>
    </row>
    <row r="222">
      <c r="B222" t="inlineStr">
        <is>
          <t>June 01, 2017</t>
        </is>
      </c>
      <c r="C222" t="n">
        <v>51442.25</v>
      </c>
      <c r="D222" t="n">
        <v>50.41</v>
      </c>
      <c r="E222" t="n">
        <v>48.32</v>
      </c>
      <c r="F222" s="273" t="inlineStr">
        <is>
          <t>June 01, 2017</t>
        </is>
      </c>
      <c r="G222" s="273" t="n"/>
      <c r="H222" s="273" t="n"/>
      <c r="I222" s="273" t="n"/>
      <c r="J222" s="348" t="n"/>
    </row>
    <row r="223">
      <c r="B223" t="inlineStr">
        <is>
          <t>July 01, 2017</t>
        </is>
      </c>
      <c r="C223" t="n">
        <v>48646.25</v>
      </c>
      <c r="D223" t="n">
        <v>49.13</v>
      </c>
      <c r="E223" t="n">
        <v>46.02</v>
      </c>
      <c r="F223" s="273" t="inlineStr">
        <is>
          <t>July 01, 2017</t>
        </is>
      </c>
      <c r="G223" s="273" t="n"/>
      <c r="H223" s="273" t="n"/>
      <c r="I223" s="273" t="n"/>
      <c r="J223" s="348" t="n"/>
    </row>
    <row r="224">
      <c r="B224" t="inlineStr">
        <is>
          <t>August 01, 2017</t>
        </is>
      </c>
      <c r="C224" t="n">
        <v>50259.33333333334</v>
      </c>
      <c r="D224" t="n">
        <v>51.99</v>
      </c>
      <c r="E224" t="n">
        <v>49.19</v>
      </c>
      <c r="F224" s="273" t="inlineStr">
        <is>
          <t>August 01, 2017</t>
        </is>
      </c>
      <c r="G224" s="273" t="n"/>
      <c r="H224" s="273" t="n"/>
      <c r="I224" s="273" t="n"/>
      <c r="J224" s="348" t="n"/>
    </row>
    <row r="225">
      <c r="B225" t="inlineStr">
        <is>
          <t>September 01,2017</t>
        </is>
      </c>
      <c r="C225" t="n">
        <v>51639.75</v>
      </c>
      <c r="D225" t="n">
        <v>52.69</v>
      </c>
      <c r="E225" t="n">
        <v>47.32</v>
      </c>
      <c r="F225" s="273" t="inlineStr">
        <is>
          <t>September 01,2017</t>
        </is>
      </c>
      <c r="G225" s="273" t="n"/>
      <c r="H225" s="273" t="n"/>
      <c r="I225" s="273" t="n"/>
      <c r="J225" s="348" t="n"/>
    </row>
    <row r="226">
      <c r="B226" t="inlineStr">
        <is>
          <t>October 01,2017</t>
        </is>
      </c>
      <c r="C226" t="n">
        <v>54617.5</v>
      </c>
      <c r="D226" t="n">
        <v>58.8</v>
      </c>
      <c r="E226" t="n">
        <v>50.59</v>
      </c>
      <c r="F226" s="273" t="inlineStr">
        <is>
          <t>October 01,2017</t>
        </is>
      </c>
      <c r="G226" s="273" t="n"/>
      <c r="H226" s="273" t="n"/>
      <c r="I226" s="273" t="n"/>
      <c r="J226" s="348" t="n"/>
    </row>
    <row r="227">
      <c r="B227" t="inlineStr">
        <is>
          <t>November 01,2017</t>
        </is>
      </c>
      <c r="C227" t="n">
        <v>55746.25</v>
      </c>
      <c r="D227" t="n">
        <v>60.65</v>
      </c>
      <c r="E227" t="n">
        <v>54.32</v>
      </c>
      <c r="F227" s="273" t="inlineStr">
        <is>
          <t>November 01,2017</t>
        </is>
      </c>
      <c r="G227" s="273" t="n"/>
      <c r="H227" s="273" t="n"/>
      <c r="I227" s="273" t="n"/>
      <c r="J227" s="348" t="n"/>
    </row>
    <row r="228">
      <c r="B228" t="inlineStr">
        <is>
          <t>December 01,2017</t>
        </is>
      </c>
      <c r="C228" t="n">
        <v>58985.5</v>
      </c>
      <c r="D228" t="n">
        <v>63.56</v>
      </c>
      <c r="E228" t="n">
        <v>58.35</v>
      </c>
      <c r="F228" s="273" t="inlineStr">
        <is>
          <t>December 01,2017</t>
        </is>
      </c>
      <c r="G228" s="273" t="n"/>
      <c r="H228" s="273" t="n"/>
      <c r="I228" s="273" t="n"/>
      <c r="J228" s="348" t="n"/>
    </row>
  </sheetData>
  <autoFilter ref="A1:F37"/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6"/>
  <sheetViews>
    <sheetView topLeftCell="A18" zoomScale="90" zoomScaleNormal="90" zoomScalePageLayoutView="90" workbookViewId="0">
      <selection activeCell="B43" sqref="B43"/>
    </sheetView>
  </sheetViews>
  <sheetFormatPr baseColWidth="10" defaultColWidth="8.83203125" defaultRowHeight="14"/>
  <cols>
    <col width="33.33203125" customWidth="1" style="322" min="1" max="1"/>
    <col width="13.5" bestFit="1" customWidth="1" style="322" min="2" max="2"/>
    <col width="15.6640625" customWidth="1" style="322" min="3" max="5"/>
    <col width="15" customWidth="1" style="322" min="6" max="6"/>
    <col width="12.83203125" customWidth="1" style="322" min="7" max="7"/>
    <col width="15" customWidth="1" style="322" min="8" max="8"/>
    <col width="14.33203125" customWidth="1" style="322" min="9" max="9"/>
    <col width="13.6640625" customWidth="1" style="322" min="10" max="10"/>
    <col width="14.5" customWidth="1" style="322" min="11" max="11"/>
    <col width="12.83203125" customWidth="1" style="322" min="12" max="12"/>
    <col width="15" customWidth="1" style="322" min="13" max="13"/>
    <col width="13.83203125" customWidth="1" style="322" min="14" max="14"/>
    <col width="26.1640625" bestFit="1" customWidth="1" style="322" min="15" max="15"/>
    <col width="8.33203125" bestFit="1" customWidth="1" style="322" min="16" max="16"/>
    <col width="11.83203125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>
        <v>1</v>
      </c>
      <c r="K1" s="7" t="n">
        <v>2</v>
      </c>
      <c r="L1" s="7" t="n">
        <v>3</v>
      </c>
      <c r="M1" s="7" t="n">
        <v>4</v>
      </c>
      <c r="N1" s="7" t="n">
        <v>5</v>
      </c>
      <c r="O1" s="7" t="n"/>
    </row>
    <row r="2" ht="17.25" customHeight="1" s="322">
      <c r="A2" s="26" t="n"/>
    </row>
    <row r="3" s="322">
      <c r="A3" s="279" t="inlineStr">
        <is>
          <t>BOTTOM-UP BETA</t>
        </is>
      </c>
      <c r="D3" s="279" t="inlineStr">
        <is>
          <t>COST OF DEBT</t>
        </is>
      </c>
      <c r="E3" s="279" t="n"/>
      <c r="H3" s="279" t="inlineStr">
        <is>
          <t>COST OF EQUITY</t>
        </is>
      </c>
      <c r="K3" s="279" t="inlineStr">
        <is>
          <t>DEBT CALCULATION</t>
        </is>
      </c>
      <c r="O3" s="185" t="inlineStr">
        <is>
          <t>Loan Type</t>
        </is>
      </c>
      <c r="P3" s="185" t="inlineStr">
        <is>
          <t>Amount</t>
        </is>
      </c>
      <c r="Q3" s="185" t="inlineStr">
        <is>
          <t xml:space="preserve">Interest </t>
        </is>
      </c>
      <c r="R3" s="185" t="inlineStr">
        <is>
          <t>Maturity</t>
        </is>
      </c>
      <c r="S3" s="185" t="inlineStr">
        <is>
          <t>Weights</t>
        </is>
      </c>
    </row>
    <row r="4" s="322">
      <c r="A4" t="inlineStr">
        <is>
          <t>Marginal Tax Rate</t>
        </is>
      </c>
      <c r="B4" s="274" t="n">
        <v>0.3461</v>
      </c>
      <c r="D4" s="273" t="inlineStr">
        <is>
          <t>Earnings before interest and taxes</t>
        </is>
      </c>
      <c r="E4" s="273" t="n"/>
      <c r="F4" s="200" t="n">
        <v>24751.4</v>
      </c>
      <c r="H4" s="273" t="inlineStr">
        <is>
          <t>Rf</t>
        </is>
      </c>
      <c r="I4" s="274" t="n">
        <v>0.0755</v>
      </c>
      <c r="K4" t="inlineStr">
        <is>
          <t>Capitalized Operating Leases</t>
        </is>
      </c>
      <c r="M4" s="364" t="n"/>
      <c r="O4" s="186" t="inlineStr">
        <is>
          <t>Foreign Currency Term Loan</t>
        </is>
      </c>
      <c r="P4" s="186" t="n">
        <v>4604</v>
      </c>
      <c r="Q4" s="187" t="n"/>
      <c r="R4" s="186" t="n">
        <v>82</v>
      </c>
      <c r="S4" s="294" t="n"/>
    </row>
    <row r="5" s="322">
      <c r="A5" t="inlineStr">
        <is>
          <t>Mean Beta for Sector</t>
        </is>
      </c>
      <c r="B5" s="197" t="n">
        <v>0.93</v>
      </c>
      <c r="D5" s="273" t="inlineStr">
        <is>
          <t xml:space="preserve"> current interest expenses </t>
        </is>
      </c>
      <c r="E5" s="273" t="n"/>
      <c r="F5" s="365" t="n">
        <v>3308</v>
      </c>
      <c r="H5" s="273" t="inlineStr">
        <is>
          <t>Bottom Up Beta</t>
        </is>
      </c>
      <c r="I5" s="197" t="n"/>
      <c r="K5" t="inlineStr">
        <is>
          <t>Book Value of Debt (Sept 17)</t>
        </is>
      </c>
      <c r="M5" s="364" t="n"/>
      <c r="O5" s="186" t="inlineStr">
        <is>
          <t>Foreign Currency Term Loan</t>
        </is>
      </c>
      <c r="P5" s="186" t="n">
        <v>4035</v>
      </c>
      <c r="Q5" s="187" t="n"/>
      <c r="R5" s="186" t="n">
        <v>94</v>
      </c>
      <c r="S5" s="294" t="n"/>
    </row>
    <row r="6" s="322">
      <c r="A6" t="inlineStr">
        <is>
          <t>Mean D/E for Sector</t>
        </is>
      </c>
      <c r="B6" s="197" t="n">
        <v>0.73</v>
      </c>
      <c r="D6" s="273" t="inlineStr">
        <is>
          <t xml:space="preserve">Interest  coverage ratio </t>
        </is>
      </c>
      <c r="E6" s="273" t="n"/>
      <c r="F6" s="197" t="n">
        <v>7.482285368802902</v>
      </c>
      <c r="H6" s="273" t="inlineStr">
        <is>
          <t>Rm</t>
        </is>
      </c>
      <c r="I6" s="274" t="n"/>
      <c r="K6" t="inlineStr">
        <is>
          <t xml:space="preserve">Interest Expense </t>
        </is>
      </c>
      <c r="M6" s="364" t="n"/>
      <c r="O6" s="186" t="inlineStr">
        <is>
          <t>Foreign Currency Term Loan</t>
        </is>
      </c>
      <c r="P6" s="186" t="n">
        <v>3000</v>
      </c>
      <c r="Q6" s="187" t="n"/>
      <c r="R6" s="186" t="n">
        <v>106</v>
      </c>
      <c r="S6" s="294" t="n"/>
    </row>
    <row r="7" s="322">
      <c r="A7" t="inlineStr">
        <is>
          <t>Unlevered beta For Sector</t>
        </is>
      </c>
      <c r="B7" s="198" t="n"/>
      <c r="D7" s="273" t="inlineStr">
        <is>
          <t xml:space="preserve">Estimated Bond Rating </t>
        </is>
      </c>
      <c r="E7" s="273" t="n"/>
      <c r="F7" s="202" t="inlineStr">
        <is>
          <t>Aa2/AA</t>
        </is>
      </c>
      <c r="H7" s="273" t="inlineStr">
        <is>
          <t>Rm - Rf</t>
        </is>
      </c>
      <c r="I7" s="274" t="n">
        <v>0.0727</v>
      </c>
      <c r="K7" t="inlineStr">
        <is>
          <t>Weighted Avg Maturity of Debt</t>
        </is>
      </c>
      <c r="M7" s="204" t="n"/>
      <c r="O7" s="186" t="inlineStr">
        <is>
          <t>Finance Lease</t>
        </is>
      </c>
      <c r="P7" s="294" t="n">
        <v>2993</v>
      </c>
      <c r="Q7" s="187" t="n"/>
      <c r="R7" s="186" t="n">
        <v>12</v>
      </c>
      <c r="S7" s="294" t="n"/>
    </row>
    <row r="8" s="322">
      <c r="A8" t="inlineStr">
        <is>
          <t>Debt to Equity of Indigo</t>
        </is>
      </c>
      <c r="B8" s="198" t="n"/>
      <c r="D8" s="273" t="inlineStr">
        <is>
          <t>Country Risk Free Rate</t>
        </is>
      </c>
      <c r="E8" s="273" t="n"/>
      <c r="F8" s="274" t="n">
        <v>0.0755</v>
      </c>
      <c r="H8" s="178" t="inlineStr">
        <is>
          <t>Cost Of Equity</t>
        </is>
      </c>
      <c r="I8" s="274" t="n"/>
      <c r="K8" t="inlineStr">
        <is>
          <t>Market Value of Debt</t>
        </is>
      </c>
      <c r="M8" s="364" t="n"/>
      <c r="O8" s="186" t="inlineStr">
        <is>
          <t>Finance Lease</t>
        </is>
      </c>
      <c r="P8" s="294" t="n">
        <v>2995</v>
      </c>
      <c r="Q8" s="187" t="n"/>
      <c r="R8" s="186" t="n">
        <v>24</v>
      </c>
      <c r="S8" s="294" t="n"/>
    </row>
    <row r="9" s="322">
      <c r="A9" t="inlineStr">
        <is>
          <t>Levered Bottom Up Beta for IndiGo</t>
        </is>
      </c>
      <c r="B9" s="198" t="n"/>
      <c r="D9" s="273" t="inlineStr">
        <is>
          <t xml:space="preserve">Company Default Spread </t>
        </is>
      </c>
      <c r="E9" s="273" t="n"/>
      <c r="F9" s="274" t="n">
        <v>0.01</v>
      </c>
      <c r="K9" t="inlineStr">
        <is>
          <t>Adjusted Market Value of Debt</t>
        </is>
      </c>
      <c r="M9" s="364" t="n"/>
      <c r="O9" s="186" t="inlineStr">
        <is>
          <t>Finance Lease</t>
        </is>
      </c>
      <c r="P9" s="294" t="n">
        <v>2995</v>
      </c>
      <c r="Q9" s="187" t="n"/>
      <c r="R9" s="186" t="n">
        <v>36</v>
      </c>
      <c r="S9" s="294" t="n"/>
    </row>
    <row r="10" s="322">
      <c r="D10" s="273" t="inlineStr">
        <is>
          <t xml:space="preserve">Country Default Spread </t>
        </is>
      </c>
      <c r="E10" s="273" t="n"/>
      <c r="F10" s="274" t="n">
        <v>0.0195</v>
      </c>
      <c r="O10" s="186" t="inlineStr">
        <is>
          <t>Finance Lease</t>
        </is>
      </c>
      <c r="P10" s="294" t="n">
        <v>2995</v>
      </c>
      <c r="Q10" s="187" t="n"/>
      <c r="R10" s="186" t="n">
        <v>48</v>
      </c>
      <c r="S10" s="294" t="n"/>
    </row>
    <row r="11" s="322">
      <c r="A11" s="279" t="inlineStr">
        <is>
          <t xml:space="preserve">WEIGHTED AVERAGE COST </t>
        </is>
      </c>
      <c r="D11" s="178" t="inlineStr">
        <is>
          <t xml:space="preserve"> Cost of Debt </t>
        </is>
      </c>
      <c r="E11" s="178" t="n"/>
      <c r="F11" s="274" t="n"/>
      <c r="N11" s="280" t="n"/>
      <c r="O11" s="186" t="inlineStr">
        <is>
          <t>Finance Lease</t>
        </is>
      </c>
      <c r="P11" s="294" t="n">
        <v>2995</v>
      </c>
      <c r="Q11" s="187" t="n"/>
      <c r="R11" s="186" t="n">
        <v>60</v>
      </c>
      <c r="S11" s="294" t="n"/>
    </row>
    <row r="12" s="322">
      <c r="A12" t="inlineStr">
        <is>
          <t>Number of Shares</t>
        </is>
      </c>
      <c r="B12" s="366" t="n">
        <v>383678176</v>
      </c>
      <c r="N12" s="280" t="n"/>
      <c r="O12" s="186" t="inlineStr">
        <is>
          <t>Finance Lease</t>
        </is>
      </c>
      <c r="P12" s="294" t="n">
        <v>2267.2</v>
      </c>
      <c r="Q12" s="187" t="n"/>
      <c r="R12" s="186" t="n">
        <v>72</v>
      </c>
      <c r="S12" s="294" t="n"/>
    </row>
    <row r="13" s="322">
      <c r="A13" s="273" t="inlineStr">
        <is>
          <t>Market Value of Equity</t>
        </is>
      </c>
      <c r="B13" s="366" t="n">
        <v>456064.3</v>
      </c>
      <c r="N13" s="280" t="n"/>
      <c r="O13" s="186" t="inlineStr">
        <is>
          <t>Finance Lease</t>
        </is>
      </c>
      <c r="P13" s="294" t="n">
        <v>2267.2</v>
      </c>
      <c r="Q13" s="187" t="n"/>
      <c r="R13" s="186" t="n">
        <v>84</v>
      </c>
      <c r="S13" s="294" t="n"/>
    </row>
    <row r="14">
      <c r="A14" s="273" t="inlineStr">
        <is>
          <t>Market Value of Debt</t>
        </is>
      </c>
      <c r="B14" s="366" t="n"/>
      <c r="N14" s="280" t="n"/>
      <c r="O14" s="186" t="inlineStr">
        <is>
          <t>Finance Lease</t>
        </is>
      </c>
      <c r="P14" s="294" t="n">
        <v>2267.2</v>
      </c>
      <c r="Q14" s="187" t="n"/>
      <c r="R14" s="186" t="n">
        <v>96</v>
      </c>
      <c r="S14" s="294" t="n"/>
    </row>
    <row r="15">
      <c r="A15" t="inlineStr">
        <is>
          <t>Equity Weightage</t>
        </is>
      </c>
      <c r="B15" s="274" t="n"/>
      <c r="N15" s="280" t="n"/>
      <c r="O15" s="186" t="inlineStr">
        <is>
          <t>Finance Lease</t>
        </is>
      </c>
      <c r="P15" s="294" t="n">
        <v>2267.2</v>
      </c>
      <c r="Q15" s="187" t="n"/>
      <c r="R15" s="186" t="n">
        <v>108</v>
      </c>
      <c r="S15" s="294" t="n"/>
    </row>
    <row r="16" ht="15" customHeight="1" s="322" thickBot="1">
      <c r="A16" t="inlineStr">
        <is>
          <t>Debt Weightage</t>
        </is>
      </c>
      <c r="B16" s="274" t="n"/>
      <c r="N16" s="280" t="n"/>
      <c r="O16" s="189" t="inlineStr">
        <is>
          <t>Finance Lease</t>
        </is>
      </c>
      <c r="P16" s="190" t="n">
        <v>2267.2</v>
      </c>
      <c r="Q16" s="191" t="n"/>
      <c r="R16" s="189" t="n">
        <v>120</v>
      </c>
      <c r="S16" s="190" t="n"/>
    </row>
    <row r="17" ht="15" customHeight="1" s="322" thickBot="1">
      <c r="A17" s="178" t="inlineStr">
        <is>
          <t>WACC</t>
        </is>
      </c>
      <c r="B17" s="274" t="n"/>
      <c r="N17" s="280" t="n"/>
      <c r="O17" s="192" t="inlineStr">
        <is>
          <t>Sum Total</t>
        </is>
      </c>
      <c r="P17" s="192" t="n"/>
      <c r="Q17" s="192" t="n"/>
      <c r="R17" s="192" t="n"/>
      <c r="S17" s="192" t="n"/>
    </row>
    <row r="18" s="322">
      <c r="N18" s="280" t="n"/>
      <c r="O18" s="182" t="n"/>
      <c r="P18" s="182" t="n"/>
      <c r="Q18" s="182" t="n"/>
      <c r="R18" s="182" t="n"/>
    </row>
    <row r="19">
      <c r="N19" s="280" t="n"/>
    </row>
    <row r="20">
      <c r="A20" s="8" t="inlineStr">
        <is>
          <t>Date</t>
        </is>
      </c>
      <c r="B20" s="367" t="n"/>
      <c r="C20" s="367" t="n">
        <v>40633</v>
      </c>
      <c r="D20" s="367" t="n"/>
      <c r="E20" s="367" t="n"/>
      <c r="F20" s="367" t="n"/>
      <c r="G20" s="367" t="n"/>
      <c r="H20" s="367" t="n"/>
      <c r="I20" s="367" t="n"/>
      <c r="J20" s="367" t="n"/>
      <c r="K20" s="367" t="n"/>
      <c r="L20" s="367" t="n"/>
      <c r="M20" s="367" t="n"/>
      <c r="N20" s="367" t="n"/>
    </row>
    <row r="21">
      <c r="A21" s="265" t="inlineStr">
        <is>
          <t>Year</t>
        </is>
      </c>
      <c r="B21" s="265" t="n"/>
      <c r="C21" s="368" t="n"/>
      <c r="D21" s="368" t="n"/>
      <c r="E21" s="368" t="n"/>
      <c r="F21" s="368" t="n"/>
      <c r="G21" s="368" t="n"/>
      <c r="H21" s="368" t="n"/>
      <c r="I21" s="368" t="n"/>
      <c r="J21" s="369" t="n"/>
      <c r="K21" s="369" t="n"/>
      <c r="L21" s="369" t="n"/>
      <c r="M21" s="369" t="n"/>
      <c r="N21" s="369" t="n"/>
      <c r="P21" s="331" t="inlineStr">
        <is>
          <t>WACC</t>
        </is>
      </c>
      <c r="Q21" s="332" t="inlineStr">
        <is>
          <t>Terminal Growth Rate %</t>
        </is>
      </c>
      <c r="R21" s="370" t="n"/>
      <c r="S21" s="370" t="n"/>
      <c r="T21" s="370" t="n"/>
      <c r="U21" s="370" t="n"/>
      <c r="V21" s="370" t="n"/>
      <c r="W21" s="370" t="n"/>
      <c r="X21" s="370" t="n"/>
      <c r="Y21" s="370" t="n"/>
      <c r="Z21" s="370" t="n"/>
      <c r="AA21" s="370" t="n"/>
      <c r="AB21" s="371" t="n"/>
    </row>
    <row r="22" ht="18" customHeight="1" s="322">
      <c r="P22" s="372" t="n"/>
      <c r="Q22" s="373" t="n"/>
      <c r="R22" s="283" t="n">
        <v>0.02</v>
      </c>
      <c r="S22" s="283" t="n"/>
      <c r="T22" s="283" t="n"/>
      <c r="U22" s="283" t="n"/>
      <c r="V22" s="283" t="n"/>
      <c r="W22" s="283" t="n"/>
      <c r="X22" s="283" t="n"/>
      <c r="Y22" s="283" t="n"/>
      <c r="Z22" s="283" t="n"/>
      <c r="AA22" s="283" t="n"/>
      <c r="AB22" s="283" t="n"/>
    </row>
    <row r="23">
      <c r="A23" s="207" t="inlineStr">
        <is>
          <t>Revenues</t>
        </is>
      </c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P23" s="372" t="n"/>
      <c r="Q23" s="374" t="n">
        <v>0.11</v>
      </c>
      <c r="R23" s="294" t="n"/>
      <c r="S23" s="294" t="n">
        <v>1787.633826970159</v>
      </c>
      <c r="T23" s="294" t="n">
        <v>1855.333276447409</v>
      </c>
      <c r="U23" s="294" t="n">
        <v>1932.059319188293</v>
      </c>
      <c r="V23" s="294" t="n">
        <v>2019.746225177874</v>
      </c>
      <c r="W23" s="294" t="n">
        <v>2120.923424396622</v>
      </c>
      <c r="X23" s="294" t="n">
        <v>2238.963490151828</v>
      </c>
      <c r="Y23" s="294" t="n">
        <v>2378.465386044345</v>
      </c>
      <c r="Z23" s="294" t="n">
        <v>2545.867661115363</v>
      </c>
      <c r="AA23" s="294" t="n">
        <v>2750.47044175772</v>
      </c>
      <c r="AB23" s="294" t="n">
        <v>3006.223917560666</v>
      </c>
    </row>
    <row r="24">
      <c r="A24" s="207" t="inlineStr">
        <is>
          <t>EBITDAR</t>
        </is>
      </c>
      <c r="C24" s="209" t="n"/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P24" s="372" t="n"/>
      <c r="Q24" s="375" t="n"/>
      <c r="R24" s="294" t="n">
        <v>1595.100169171237</v>
      </c>
      <c r="S24" s="294" t="n">
        <v>1643.848835554709</v>
      </c>
      <c r="T24" s="294" t="n">
        <v>1698.200796924786</v>
      </c>
      <c r="U24" s="294" t="n">
        <v>1759.181046266824</v>
      </c>
      <c r="V24" s="294" t="n">
        <v>1828.080808510426</v>
      </c>
      <c r="W24" s="294" t="n">
        <v>1906.549982176749</v>
      </c>
      <c r="X24" s="294" t="n">
        <v>1996.730972808196</v>
      </c>
      <c r="Y24" s="294" t="n">
        <v>2101.457284509231</v>
      </c>
      <c r="Z24" s="294" t="n">
        <v>2224.556633350799</v>
      </c>
      <c r="AA24" s="294" t="n">
        <v>2371.328933892667</v>
      </c>
      <c r="AB24" s="294" t="n">
        <v>2549.329383485998</v>
      </c>
    </row>
    <row r="25" s="322">
      <c r="A25" s="376" t="inlineStr">
        <is>
          <t>EBITDA</t>
        </is>
      </c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P25" s="372" t="n"/>
      <c r="Q25" s="375" t="n"/>
      <c r="R25" s="294" t="n">
        <v>1513.010399909668</v>
      </c>
      <c r="S25" s="294" t="n">
        <v>1555.247417114005</v>
      </c>
      <c r="T25" s="294" t="n">
        <v>1602.075414449247</v>
      </c>
      <c r="U25" s="294" t="n">
        <v>1654.285940213829</v>
      </c>
      <c r="V25" s="294" t="n">
        <v>1712.863603266774</v>
      </c>
      <c r="W25" s="294" t="n">
        <v>1779.048755027893</v>
      </c>
      <c r="X25" s="294" t="n">
        <v>1854.426288978057</v>
      </c>
      <c r="Y25" s="294" t="n">
        <v>1941.054201129738</v>
      </c>
      <c r="Z25" s="294" t="n">
        <v>2041.654357176851</v>
      </c>
      <c r="AA25" s="294" t="n">
        <v>2159.903663407668</v>
      </c>
      <c r="AB25" s="294" t="n">
        <v>2300.89322083672</v>
      </c>
    </row>
    <row r="26">
      <c r="A26" s="376" t="inlineStr">
        <is>
          <t>EBIT</t>
        </is>
      </c>
      <c r="C26" s="209" t="n"/>
      <c r="D26" s="209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P26" s="372" t="n"/>
      <c r="Q26" s="375" t="n"/>
      <c r="R26" s="294" t="n">
        <v>1439.572456164146</v>
      </c>
      <c r="S26" s="294" t="n">
        <v>1476.360073897014</v>
      </c>
      <c r="T26" s="294" t="n">
        <v>1516.940229540486</v>
      </c>
      <c r="U26" s="294" t="n">
        <v>1561.931271666945</v>
      </c>
      <c r="V26" s="294" t="n">
        <v>1612.09369794587</v>
      </c>
      <c r="W26" s="294" t="n">
        <v>1668.373493283201</v>
      </c>
      <c r="X26" s="294" t="n">
        <v>1731.962352950055</v>
      </c>
      <c r="Y26" s="294" t="n">
        <v>1804.382998681749</v>
      </c>
      <c r="Z26" s="294" t="n">
        <v>1887.61269601519</v>
      </c>
      <c r="AA26" s="294" t="n">
        <v>1984.26653807983</v>
      </c>
      <c r="AB26" s="294" t="n">
        <v>2097.877194541776</v>
      </c>
    </row>
    <row r="27">
      <c r="A27" s="376" t="inlineStr">
        <is>
          <t>Tax Expense</t>
        </is>
      </c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P27" s="372" t="n"/>
      <c r="Q27" s="375" t="n"/>
      <c r="R27" s="294" t="n">
        <v>1373.568583813915</v>
      </c>
      <c r="S27" s="294" t="n">
        <v>1405.763049136451</v>
      </c>
      <c r="T27" s="294" t="n">
        <v>1441.113834588647</v>
      </c>
      <c r="U27" s="294" t="n">
        <v>1480.109030912204</v>
      </c>
      <c r="V27" s="294" t="n">
        <v>1523.3428355318</v>
      </c>
      <c r="W27" s="294" t="n">
        <v>1571.546042981234</v>
      </c>
      <c r="X27" s="294" t="n">
        <v>1625.627690363526</v>
      </c>
      <c r="Y27" s="294" t="n">
        <v>1686.732928314947</v>
      </c>
      <c r="Z27" s="294" t="n">
        <v>1756.325004870733</v>
      </c>
      <c r="AA27" s="294" t="n">
        <v>1836.303958524396</v>
      </c>
      <c r="AB27" s="294" t="n">
        <v>1929.182743412521</v>
      </c>
    </row>
    <row r="28">
      <c r="A28" s="254" t="inlineStr">
        <is>
          <t>Net Operating Profit After Tax (NOPAT)</t>
        </is>
      </c>
      <c r="B28" s="255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P28" s="372" t="n"/>
      <c r="Q28" s="375" t="n"/>
      <c r="R28" s="294" t="n">
        <v>1313.992697665034</v>
      </c>
      <c r="S28" s="294" t="n">
        <v>1342.290505448323</v>
      </c>
      <c r="T28" s="294" t="n">
        <v>1373.232968164631</v>
      </c>
      <c r="U28" s="294" t="n">
        <v>1407.209005657046</v>
      </c>
      <c r="V28" s="294" t="n">
        <v>1444.687727427031</v>
      </c>
      <c r="W28" s="294" t="n">
        <v>1486.240223302448</v>
      </c>
      <c r="X28" s="294" t="n">
        <v>1532.568868129063</v>
      </c>
      <c r="Y28" s="294" t="n">
        <v>1584.547347690631</v>
      </c>
      <c r="Z28" s="294" t="n">
        <v>1643.276279143312</v>
      </c>
      <c r="AA28" s="294" t="n">
        <v>1710.162006631087</v>
      </c>
      <c r="AB28" s="294" t="n">
        <v>1787.030678520023</v>
      </c>
    </row>
    <row r="29">
      <c r="A29" s="207" t="inlineStr">
        <is>
          <t>Depreciation &amp; Amortisation</t>
        </is>
      </c>
      <c r="C29" s="277" t="n"/>
      <c r="D29" s="277" t="n"/>
      <c r="E29" s="277" t="n"/>
      <c r="F29" s="277" t="n"/>
      <c r="G29" s="277" t="n"/>
      <c r="H29" s="277" t="n"/>
      <c r="I29" s="277" t="n"/>
      <c r="J29" s="277" t="n"/>
      <c r="K29" s="277" t="n"/>
      <c r="L29" s="277" t="n"/>
      <c r="M29" s="277" t="n"/>
      <c r="N29" s="277" t="n"/>
      <c r="P29" s="372" t="n"/>
      <c r="Q29" s="375" t="n"/>
      <c r="R29" s="294" t="n">
        <v>1260.006792625654</v>
      </c>
      <c r="S29" s="294" t="n">
        <v>1284.979189666986</v>
      </c>
      <c r="T29" s="294" t="n">
        <v>1312.181265015581</v>
      </c>
      <c r="U29" s="294" t="n">
        <v>1341.925590396754</v>
      </c>
      <c r="V29" s="294" t="n">
        <v>1374.586026109415</v>
      </c>
      <c r="W29" s="294" t="n">
        <v>1410.613517050185</v>
      </c>
      <c r="X29" s="294" t="n">
        <v>1450.557039614953</v>
      </c>
      <c r="Y29" s="294" t="n">
        <v>1495.091771669923</v>
      </c>
      <c r="Z29" s="294" t="n">
        <v>1545.057568609646</v>
      </c>
      <c r="AA29" s="294" t="n">
        <v>1601.512430086994</v>
      </c>
      <c r="AB29" s="294" t="n">
        <v>1665.808244547309</v>
      </c>
    </row>
    <row r="30">
      <c r="A30" s="376" t="inlineStr">
        <is>
          <t>Working Capital Change</t>
        </is>
      </c>
      <c r="C30" s="277" t="n"/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P30" s="372" t="n"/>
      <c r="Q30" s="375" t="n"/>
      <c r="R30" s="294" t="n">
        <v>1210.907665102112</v>
      </c>
      <c r="S30" s="294" t="n">
        <v>1233.026718961425</v>
      </c>
      <c r="T30" s="294" t="n">
        <v>1257.036290244611</v>
      </c>
      <c r="U30" s="294" t="n">
        <v>1283.18957324951</v>
      </c>
      <c r="V30" s="294" t="n">
        <v>1311.787088310942</v>
      </c>
      <c r="W30" s="294" t="n">
        <v>1343.188281319573</v>
      </c>
      <c r="X30" s="294" t="n">
        <v>1377.826710720846</v>
      </c>
      <c r="Y30" s="294" t="n">
        <v>1416.230186796171</v>
      </c>
      <c r="Z30" s="294" t="n">
        <v>1459.047855523832</v>
      </c>
      <c r="AA30" s="294" t="n">
        <v>1507.0871911695</v>
      </c>
      <c r="AB30" s="294" t="n">
        <v>1561.365401574346</v>
      </c>
    </row>
    <row r="31" s="322">
      <c r="A31" s="254" t="inlineStr">
        <is>
          <t>Operating Cash Flow</t>
        </is>
      </c>
      <c r="B31" s="255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P31" s="372" t="n"/>
      <c r="Q31" s="375" t="n"/>
      <c r="R31" s="294" t="n">
        <v>1166.101209931243</v>
      </c>
      <c r="S31" s="294" t="n">
        <v>1185.759733381931</v>
      </c>
      <c r="T31" s="294" t="n">
        <v>1207.029611213824</v>
      </c>
      <c r="U31" s="294" t="n">
        <v>1230.117427321946</v>
      </c>
      <c r="V31" s="294" t="n">
        <v>1255.266655582579</v>
      </c>
      <c r="W31" s="294" t="n">
        <v>1282.766279007757</v>
      </c>
      <c r="X31" s="294" t="n">
        <v>1312.961943945208</v>
      </c>
      <c r="Y31" s="294" t="n">
        <v>1346.270564030849</v>
      </c>
      <c r="Z31" s="294" t="n">
        <v>1383.199686299712</v>
      </c>
      <c r="AA31" s="294" t="n">
        <v>1424.373535266146</v>
      </c>
      <c r="AB31" s="294" t="n">
        <v>1470.568585326047</v>
      </c>
    </row>
    <row r="32">
      <c r="A32" s="376" t="inlineStr">
        <is>
          <t>Interest</t>
        </is>
      </c>
      <c r="C32" s="277" t="n"/>
      <c r="D32" s="277" t="n"/>
      <c r="E32" s="277" t="n"/>
      <c r="F32" s="277" t="n"/>
      <c r="G32" s="277" t="n"/>
      <c r="H32" s="277" t="n"/>
      <c r="I32" s="277" t="n"/>
      <c r="J32" s="277" t="n"/>
      <c r="K32" s="277" t="n"/>
      <c r="L32" s="277" t="n"/>
      <c r="M32" s="277" t="n"/>
      <c r="N32" s="277" t="n"/>
      <c r="P32" s="372" t="n"/>
      <c r="Q32" s="375" t="n"/>
      <c r="R32" s="294" t="n">
        <v>1125.082356676723</v>
      </c>
      <c r="S32" s="294" t="n">
        <v>1142.609297887053</v>
      </c>
      <c r="T32" s="294" t="n">
        <v>1161.516313208434</v>
      </c>
      <c r="U32" s="294" t="n">
        <v>1181.973083884025</v>
      </c>
      <c r="V32" s="294" t="n">
        <v>1204.178296497701</v>
      </c>
      <c r="W32" s="294" t="n">
        <v>1228.366117380456</v>
      </c>
      <c r="X32" s="294" t="n">
        <v>1254.814482270944</v>
      </c>
      <c r="Y32" s="294" t="n">
        <v>1283.855824111481</v>
      </c>
      <c r="Z32" s="294" t="n">
        <v>1315.891118719084</v>
      </c>
      <c r="AA32" s="294" t="n">
        <v>1351.408510566642</v>
      </c>
      <c r="AB32" s="294" t="n">
        <v>1391.008361247254</v>
      </c>
    </row>
    <row r="33">
      <c r="A33" s="377" t="inlineStr">
        <is>
          <t>Capex</t>
        </is>
      </c>
      <c r="B33" s="265" t="n"/>
      <c r="C33" s="266" t="n"/>
      <c r="D33" s="266" t="n"/>
      <c r="E33" s="266" t="n"/>
      <c r="F33" s="266" t="n"/>
      <c r="G33" s="266" t="n"/>
      <c r="H33" s="266" t="n"/>
      <c r="I33" s="266" t="n"/>
      <c r="J33" s="266" t="n"/>
      <c r="K33" s="266" t="n"/>
      <c r="L33" s="266" t="n"/>
      <c r="M33" s="266" t="n"/>
      <c r="N33" s="266" t="n"/>
      <c r="P33" s="372" t="n"/>
      <c r="Q33" s="375" t="n"/>
      <c r="R33" s="294" t="n">
        <v>1087.419254575192</v>
      </c>
      <c r="S33" s="294" t="n">
        <v>1103.091701033421</v>
      </c>
      <c r="T33" s="294" t="n">
        <v>1119.951454041516</v>
      </c>
      <c r="U33" s="294" t="n">
        <v>1138.138746656547</v>
      </c>
      <c r="V33" s="294" t="n">
        <v>1157.816800961336</v>
      </c>
      <c r="W33" s="294" t="n">
        <v>1179.176740249439</v>
      </c>
      <c r="X33" s="294" t="n">
        <v>1202.44381697398</v>
      </c>
      <c r="Y33" s="294" t="n">
        <v>1227.885386850347</v>
      </c>
      <c r="Z33" s="294" t="n">
        <v>1255.821228283222</v>
      </c>
      <c r="AA33" s="294" t="n">
        <v>1286.637053368969</v>
      </c>
      <c r="AB33" s="294" t="n">
        <v>1320.802424659689</v>
      </c>
    </row>
    <row r="34">
      <c r="A34" s="206" t="inlineStr">
        <is>
          <t>FCFF</t>
        </is>
      </c>
      <c r="C34" s="277" t="n"/>
      <c r="D34" s="277" t="n"/>
      <c r="E34" s="277" t="n"/>
      <c r="F34" s="277" t="n"/>
      <c r="G34" s="277" t="n"/>
      <c r="H34" s="277" t="n"/>
      <c r="I34" s="277" t="n"/>
      <c r="J34" s="277" t="n"/>
      <c r="K34" s="277" t="n"/>
      <c r="L34" s="277" t="n"/>
      <c r="M34" s="277" t="n"/>
      <c r="N34" s="277" t="n"/>
      <c r="P34" s="372" t="n"/>
      <c r="Q34" s="375" t="n"/>
      <c r="R34" s="294" t="n">
        <v>1052.740693894724</v>
      </c>
      <c r="S34" s="294" t="n">
        <v>1066.793319484661</v>
      </c>
      <c r="T34" s="294" t="n">
        <v>1081.871684168753</v>
      </c>
      <c r="U34" s="294" t="n">
        <v>1098.092349207701</v>
      </c>
      <c r="V34" s="294" t="n">
        <v>1115.590231966251</v>
      </c>
      <c r="W34" s="294" t="n">
        <v>1134.522367409927</v>
      </c>
      <c r="X34" s="294" t="n">
        <v>1155.072634088107</v>
      </c>
      <c r="Y34" s="294" t="n">
        <v>1177.457746005409</v>
      </c>
      <c r="Z34" s="294" t="n">
        <v>1201.934924457039</v>
      </c>
      <c r="AA34" s="294" t="n">
        <v>1228.811826286279</v>
      </c>
      <c r="AB34" s="294" t="n">
        <v>1258.459542737091</v>
      </c>
    </row>
    <row r="35">
      <c r="A35" s="378" t="inlineStr">
        <is>
          <t>PV of FCFF</t>
        </is>
      </c>
      <c r="B35" s="265" t="n"/>
      <c r="C35" s="265" t="n"/>
      <c r="D35" s="265" t="n"/>
      <c r="E35" s="265" t="n"/>
      <c r="F35" s="265" t="n"/>
      <c r="G35" s="265" t="n"/>
      <c r="H35" s="265" t="n"/>
      <c r="I35" s="265" t="n"/>
      <c r="J35" s="266" t="n"/>
      <c r="K35" s="266" t="n"/>
      <c r="L35" s="266" t="n"/>
      <c r="M35" s="266" t="n"/>
      <c r="N35" s="266" t="n"/>
      <c r="P35" s="372" t="n"/>
      <c r="Q35" s="375" t="n"/>
      <c r="R35" s="294" t="n">
        <v>1020.726017892142</v>
      </c>
      <c r="S35" s="294" t="n">
        <v>1033.358579677431</v>
      </c>
      <c r="T35" s="294" t="n">
        <v>1046.880758489854</v>
      </c>
      <c r="U35" s="294" t="n">
        <v>1061.389957653549</v>
      </c>
      <c r="V35" s="294" t="n">
        <v>1076.998338572069</v>
      </c>
      <c r="W35" s="294" t="n">
        <v>1093.835725862126</v>
      </c>
      <c r="X35" s="294" t="n">
        <v>1112.053226864483</v>
      </c>
      <c r="Y35" s="294" t="n">
        <v>1131.827779234563</v>
      </c>
      <c r="Z35" s="294" t="n">
        <v>1153.367916637685</v>
      </c>
      <c r="AA35" s="294" t="n">
        <v>1176.92115099437</v>
      </c>
      <c r="AB35" s="294" t="n">
        <v>1202.78352597426</v>
      </c>
    </row>
    <row r="36">
      <c r="D36" s="25" t="n"/>
      <c r="J36" s="277" t="n">
        <v>1</v>
      </c>
      <c r="K36" s="277" t="n">
        <v>2</v>
      </c>
      <c r="L36" s="277" t="n">
        <v>3</v>
      </c>
      <c r="M36" s="277" t="n">
        <v>4</v>
      </c>
      <c r="N36" s="277" t="n">
        <v>5</v>
      </c>
      <c r="P36" s="379" t="n"/>
      <c r="Q36" s="375" t="n"/>
      <c r="R36" s="294" t="n">
        <v>991.0969696127714</v>
      </c>
      <c r="S36" s="294" t="n">
        <v>1002.480302936118</v>
      </c>
      <c r="T36" s="294" t="n">
        <v>1014.638012676018</v>
      </c>
      <c r="U36" s="294" t="n">
        <v>1027.651899158165</v>
      </c>
      <c r="V36" s="294" t="n">
        <v>1041.615704361636</v>
      </c>
      <c r="W36" s="294" t="n">
        <v>1056.637373595673</v>
      </c>
      <c r="X36" s="294" t="n">
        <v>1072.841851430816</v>
      </c>
      <c r="Y36" s="294" t="n">
        <v>1090.374565154086</v>
      </c>
      <c r="Z36" s="294" t="n">
        <v>1109.405801417805</v>
      </c>
      <c r="AA36" s="294" t="n">
        <v>1130.136255205071</v>
      </c>
      <c r="AB36" s="294" t="n">
        <v>1152.804134579932</v>
      </c>
      <c r="AW36" s="297" t="n">
        <v>2018</v>
      </c>
      <c r="AX36" s="297" t="n">
        <v>2019</v>
      </c>
      <c r="AY36" s="297" t="n">
        <v>2020</v>
      </c>
      <c r="AZ36" s="297" t="n">
        <v>2021</v>
      </c>
      <c r="BA36" s="297" t="n">
        <v>2022</v>
      </c>
    </row>
    <row r="37">
      <c r="D37" s="25" t="n"/>
      <c r="AV37" t="inlineStr">
        <is>
          <t>Revenues</t>
        </is>
      </c>
      <c r="AW37" s="298" t="n">
        <v>254652.6706182291</v>
      </c>
      <c r="AX37" s="298" t="n">
        <v>305739.5112261538</v>
      </c>
      <c r="AY37" s="298" t="n">
        <v>365511.6372719192</v>
      </c>
      <c r="AZ37" s="298" t="n">
        <v>436963.0407831452</v>
      </c>
      <c r="BA37" s="298" t="n">
        <v>524625.7685402168</v>
      </c>
    </row>
    <row r="38">
      <c r="A38" s="279" t="inlineStr">
        <is>
          <t>Terminal Value</t>
        </is>
      </c>
      <c r="D38" s="25" t="n"/>
      <c r="AV38" t="inlineStr">
        <is>
          <t>EBITDAR</t>
        </is>
      </c>
      <c r="AW38" s="298" t="n">
        <v>89731.53737294464</v>
      </c>
      <c r="AX38" s="298" t="n">
        <v>102878.7604288288</v>
      </c>
      <c r="AY38" s="298" t="n">
        <v>128190.9834954994</v>
      </c>
      <c r="AZ38" s="298" t="n">
        <v>150685.9586280226</v>
      </c>
      <c r="BA38" s="298" t="n">
        <v>178973.3611764755</v>
      </c>
    </row>
    <row r="39">
      <c r="A39" t="inlineStr">
        <is>
          <t>Sum of PV of Cash Flows</t>
        </is>
      </c>
      <c r="B39" s="366" t="n"/>
      <c r="D39" s="209" t="n"/>
      <c r="AV39" t="inlineStr">
        <is>
          <t>Net Operating Profit After Tax (NOPAT)</t>
        </is>
      </c>
      <c r="AW39" s="298" t="n">
        <v>38709.39902212066</v>
      </c>
      <c r="AX39" s="298" t="n">
        <v>43323.99202258969</v>
      </c>
      <c r="AY39" s="298" t="n">
        <v>53290.64037055957</v>
      </c>
      <c r="AZ39" s="298" t="n">
        <v>63639.81624361384</v>
      </c>
      <c r="BA39" s="298" t="n">
        <v>76597.11787955379</v>
      </c>
    </row>
    <row r="40">
      <c r="A40" t="inlineStr">
        <is>
          <t xml:space="preserve">Perpetual Value of Growth </t>
        </is>
      </c>
      <c r="B40" s="274" t="n">
        <v>0.03</v>
      </c>
      <c r="AV40" t="inlineStr">
        <is>
          <t>Operating Cash Flow</t>
        </is>
      </c>
      <c r="AW40" s="298" t="n">
        <v>48092.7654464107</v>
      </c>
      <c r="AX40" s="298" t="n">
        <v>58265.73688192939</v>
      </c>
      <c r="AY40" s="298" t="n">
        <v>65563.24728165247</v>
      </c>
      <c r="AZ40" s="298" t="n">
        <v>83685.70871224825</v>
      </c>
      <c r="BA40" s="298" t="n">
        <v>99671.56980572679</v>
      </c>
    </row>
    <row r="41">
      <c r="A41" t="inlineStr">
        <is>
          <t>Present Value of Terminal Value</t>
        </is>
      </c>
      <c r="B41" s="366" t="n"/>
      <c r="C41" s="277" t="n"/>
      <c r="AV41" t="inlineStr">
        <is>
          <t>FCFF</t>
        </is>
      </c>
      <c r="AW41" s="298" t="n">
        <v>38825.4546557857</v>
      </c>
      <c r="AX41" s="298" t="n">
        <v>49068.51870997189</v>
      </c>
      <c r="AY41" s="298" t="n">
        <v>56334.83322321996</v>
      </c>
      <c r="AZ41" s="298" t="n">
        <v>74420.68447534075</v>
      </c>
      <c r="BA41" s="298" t="n">
        <v>90364.52109834428</v>
      </c>
    </row>
    <row r="42">
      <c r="A42" t="inlineStr">
        <is>
          <t>Book Value of Debt</t>
        </is>
      </c>
      <c r="B42" s="366" t="n">
        <v>50779</v>
      </c>
      <c r="AV42" t="inlineStr">
        <is>
          <t>PV of FCFF</t>
        </is>
      </c>
      <c r="AW42" s="298" t="n">
        <v>34758.37320687862</v>
      </c>
      <c r="AX42" s="298" t="n">
        <v>39326.81103146693</v>
      </c>
      <c r="AY42" s="298" t="n">
        <v>40420.87295478355</v>
      </c>
      <c r="AZ42" s="298" t="n">
        <v>47804.10895690581</v>
      </c>
      <c r="BA42" s="298" t="n">
        <v>51965.17697884461</v>
      </c>
    </row>
    <row r="43">
      <c r="A43" t="inlineStr">
        <is>
          <t>Enterprise Value</t>
        </is>
      </c>
      <c r="B43" s="366" t="n"/>
    </row>
    <row r="44">
      <c r="A44" t="inlineStr">
        <is>
          <t>Value of Non-Operating Assets</t>
        </is>
      </c>
      <c r="B44" s="366" t="n"/>
    </row>
    <row r="45">
      <c r="A45" t="inlineStr">
        <is>
          <t>Equity Value</t>
        </is>
      </c>
      <c r="B45" s="366" t="n"/>
    </row>
    <row r="46">
      <c r="A46" t="inlineStr">
        <is>
          <t>Value Per Share</t>
        </is>
      </c>
      <c r="B46" s="366" t="n"/>
    </row>
  </sheetData>
  <mergeCells count="3">
    <mergeCell ref="A1:C1"/>
    <mergeCell ref="P21:P36"/>
    <mergeCell ref="Q21:A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2026-03-05T04:05:16Z</dcterms:modified>
  <cp:lastPrinted>2018-12-29T08:32:01Z</cp:lastPrinted>
</cp:coreProperties>
</file>