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>
        <f>EOMONTH(F1,12)</f>
        <v/>
      </c>
      <c r="H1" s="319">
        <f>EOMONTH(G1,12)</f>
        <v/>
      </c>
      <c r="I1" s="319">
        <f>EOMONTH(H1,12)</f>
        <v/>
      </c>
      <c r="J1" s="319">
        <f>EOMONTH(I1,12)</f>
        <v/>
      </c>
      <c r="K1" s="319">
        <f>EOMONTH(J1,12)</f>
        <v/>
      </c>
      <c r="L1" s="319">
        <f>EOMONTH(K1,12)</f>
        <v/>
      </c>
      <c r="M1" s="319">
        <f>EOMONTH(L1,12)</f>
        <v/>
      </c>
      <c r="N1" s="319">
        <f>EOMONTH(M1,12)</f>
        <v/>
      </c>
      <c r="O1" s="319">
        <f>EOMONTH(N1,12)</f>
        <v/>
      </c>
      <c r="P1" s="319">
        <f>EOMONTH(O1,12)</f>
        <v/>
      </c>
      <c r="Q1" s="319">
        <f>EOMONTH(P1,12)</f>
        <v/>
      </c>
      <c r="R1" s="319">
        <f>EOMONTH(Q1,12)</f>
        <v/>
      </c>
      <c r="S1" s="319">
        <f>EOMONTH(R1,12)</f>
        <v/>
      </c>
      <c r="T1" s="319">
        <f>EOMONTH(S1,12)</f>
        <v/>
      </c>
      <c r="U1" s="319">
        <f>EOMONTH(T1,12)</f>
        <v/>
      </c>
      <c r="V1" s="319">
        <f>EOMONTH(U1,12)</f>
        <v/>
      </c>
      <c r="W1" s="319">
        <f>EOMONTH(V1,12)</f>
        <v/>
      </c>
      <c r="X1" s="319">
        <f>EOMONTH(W1,12)</f>
        <v/>
      </c>
      <c r="Y1" s="319">
        <f>EOMONTH(X1,12)</f>
        <v/>
      </c>
      <c r="Z1" s="319">
        <f>EOMONTH(Y1,12)</f>
        <v/>
      </c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>
        <f>'REVENUE METRIX'!U17</f>
        <v/>
      </c>
      <c r="W4" s="233">
        <f>'REVENUE METRIX'!V17</f>
        <v/>
      </c>
      <c r="X4" s="233">
        <f>'REVENUE METRIX'!W17</f>
        <v/>
      </c>
      <c r="Y4" s="233">
        <f>'REVENUE METRIX'!X17</f>
        <v/>
      </c>
      <c r="Z4" s="233">
        <f>'REVENUE METRIX'!Y17</f>
        <v/>
      </c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>
        <f>'COST METRIX'!U5</f>
        <v/>
      </c>
      <c r="W5" s="233">
        <f>'COST METRIX'!V5</f>
        <v/>
      </c>
      <c r="X5" s="233">
        <f>'COST METRIX'!W5</f>
        <v/>
      </c>
      <c r="Y5" s="233">
        <f>'COST METRIX'!X5</f>
        <v/>
      </c>
      <c r="Z5" s="233">
        <f>'COST METRIX'!Y5</f>
        <v/>
      </c>
    </row>
    <row r="6">
      <c r="F6" s="222">
        <f>F4+F5</f>
        <v/>
      </c>
      <c r="G6" s="222">
        <f>G4+G5</f>
        <v/>
      </c>
      <c r="H6" s="222">
        <f>H4+H5</f>
        <v/>
      </c>
      <c r="I6" s="222">
        <f>I4+I5</f>
        <v/>
      </c>
      <c r="J6" s="222">
        <f>J4+J5</f>
        <v/>
      </c>
      <c r="K6" s="222">
        <f>K4+K5</f>
        <v/>
      </c>
      <c r="L6" s="222">
        <f>L4+L5</f>
        <v/>
      </c>
      <c r="M6" s="222">
        <f>M4+M5</f>
        <v/>
      </c>
      <c r="N6" s="222">
        <f>N4+N5</f>
        <v/>
      </c>
      <c r="O6" s="222">
        <f>O4+O5</f>
        <v/>
      </c>
      <c r="P6" s="222">
        <f>P4+P5</f>
        <v/>
      </c>
      <c r="Q6" s="222">
        <f>Q4+Q5</f>
        <v/>
      </c>
      <c r="R6" s="222">
        <f>R4+R5</f>
        <v/>
      </c>
      <c r="S6" s="222">
        <f>S4+S5</f>
        <v/>
      </c>
      <c r="T6" s="222">
        <f>T4+T5</f>
        <v/>
      </c>
      <c r="U6" s="222">
        <f>U4+U5</f>
        <v/>
      </c>
      <c r="V6" s="224">
        <f>V4+V5</f>
        <v/>
      </c>
      <c r="W6" s="224">
        <f>W4+W5</f>
        <v/>
      </c>
      <c r="X6" s="224">
        <f>X4+X5</f>
        <v/>
      </c>
      <c r="Y6" s="224">
        <f>Y4+Y5</f>
        <v/>
      </c>
      <c r="Z6" s="224">
        <f>Z4+Z5</f>
        <v/>
      </c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>
        <f>'COST METRIX'!U7</f>
        <v/>
      </c>
      <c r="W8" s="233">
        <f>'COST METRIX'!V7</f>
        <v/>
      </c>
      <c r="X8" s="233">
        <f>'COST METRIX'!W7</f>
        <v/>
      </c>
      <c r="Y8" s="233">
        <f>'COST METRIX'!X7</f>
        <v/>
      </c>
      <c r="Z8" s="233">
        <f>'COST METRIX'!Y7</f>
        <v/>
      </c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>
        <f>'COST METRIX'!U8</f>
        <v/>
      </c>
      <c r="W9" s="233">
        <f>'COST METRIX'!V8</f>
        <v/>
      </c>
      <c r="X9" s="233">
        <f>'COST METRIX'!W8</f>
        <v/>
      </c>
      <c r="Y9" s="233">
        <f>'COST METRIX'!X8</f>
        <v/>
      </c>
      <c r="Z9" s="233">
        <f>'COST METRIX'!Y8</f>
        <v/>
      </c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>
        <f>'COST METRIX'!U9</f>
        <v/>
      </c>
      <c r="W10" s="233">
        <f>'COST METRIX'!V9</f>
        <v/>
      </c>
      <c r="X10" s="233">
        <f>'COST METRIX'!W9</f>
        <v/>
      </c>
      <c r="Y10" s="233">
        <f>'COST METRIX'!X9</f>
        <v/>
      </c>
      <c r="Z10" s="233">
        <f>'COST METRIX'!Y9</f>
        <v/>
      </c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>
        <f>'COST METRIX'!U10</f>
        <v/>
      </c>
      <c r="W11" s="233">
        <f>'COST METRIX'!V10</f>
        <v/>
      </c>
      <c r="X11" s="233">
        <f>'COST METRIX'!W10</f>
        <v/>
      </c>
      <c r="Y11" s="233">
        <f>'COST METRIX'!X10</f>
        <v/>
      </c>
      <c r="Z11" s="233">
        <f>'COST METRIX'!Y10</f>
        <v/>
      </c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>
        <f>'COST METRIX'!U11</f>
        <v/>
      </c>
      <c r="W12" s="233">
        <f>'COST METRIX'!V11</f>
        <v/>
      </c>
      <c r="X12" s="233">
        <f>'COST METRIX'!W11</f>
        <v/>
      </c>
      <c r="Y12" s="233">
        <f>'COST METRIX'!X11</f>
        <v/>
      </c>
      <c r="Z12" s="233">
        <f>'COST METRIX'!Y11</f>
        <v/>
      </c>
    </row>
    <row r="13">
      <c r="B13" s="230" t="inlineStr">
        <is>
          <t>Total Opex</t>
        </is>
      </c>
      <c r="F13" s="222">
        <f>SUM(F8:F12)</f>
        <v/>
      </c>
      <c r="G13" s="222">
        <f>SUM(G8:G12)</f>
        <v/>
      </c>
      <c r="H13" s="222">
        <f>SUM(H8:H12)</f>
        <v/>
      </c>
      <c r="I13" s="222">
        <f>SUM(I8:I12)</f>
        <v/>
      </c>
      <c r="J13" s="222">
        <f>SUM(J8:J12)</f>
        <v/>
      </c>
      <c r="K13" s="222">
        <f>SUM(K8:K12)</f>
        <v/>
      </c>
      <c r="L13" s="222">
        <f>SUM(L8:L12)</f>
        <v/>
      </c>
      <c r="M13" s="222">
        <f>SUM(M8:M12)</f>
        <v/>
      </c>
      <c r="N13" s="222">
        <f>SUM(N8:N12)</f>
        <v/>
      </c>
      <c r="O13" s="222">
        <f>SUM(O8:O12)</f>
        <v/>
      </c>
      <c r="P13" s="222">
        <f>SUM(P8:P12)</f>
        <v/>
      </c>
      <c r="Q13" s="222">
        <f>SUM(Q8:Q12)</f>
        <v/>
      </c>
      <c r="R13" s="222">
        <f>SUM(R8:R12)</f>
        <v/>
      </c>
      <c r="S13" s="222">
        <f>SUM(S8:S12)</f>
        <v/>
      </c>
      <c r="T13" s="222">
        <f>SUM(T8:T12)</f>
        <v/>
      </c>
      <c r="U13" s="222">
        <f>SUM(U8:U12)</f>
        <v/>
      </c>
      <c r="V13" s="224">
        <f>SUM(V8:V12)</f>
        <v/>
      </c>
      <c r="W13" s="224">
        <f>SUM(W8:W12)</f>
        <v/>
      </c>
      <c r="X13" s="224">
        <f>SUM(X8:X12)</f>
        <v/>
      </c>
      <c r="Y13" s="224">
        <f>SUM(Y8:Y12)</f>
        <v/>
      </c>
      <c r="Z13" s="224">
        <f>SUM(Z8:Z12)</f>
        <v/>
      </c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>
        <f>F6-F13</f>
        <v/>
      </c>
      <c r="G15" s="222">
        <f>G6-G13</f>
        <v/>
      </c>
      <c r="H15" s="222">
        <f>H6-H13</f>
        <v/>
      </c>
      <c r="I15" s="222">
        <f>I6-I13</f>
        <v/>
      </c>
      <c r="J15" s="222">
        <f>J6-J13</f>
        <v/>
      </c>
      <c r="K15" s="222">
        <f>K6-K13</f>
        <v/>
      </c>
      <c r="L15" s="222">
        <f>L6-L13</f>
        <v/>
      </c>
      <c r="M15" s="222">
        <f>M6-M13</f>
        <v/>
      </c>
      <c r="N15" s="222">
        <f>N6-N13</f>
        <v/>
      </c>
      <c r="O15" s="222">
        <f>O6-O13</f>
        <v/>
      </c>
      <c r="P15" s="222">
        <f>P6-P13</f>
        <v/>
      </c>
      <c r="Q15" s="222">
        <f>Q6-Q13</f>
        <v/>
      </c>
      <c r="R15" s="222">
        <f>R6-R13</f>
        <v/>
      </c>
      <c r="S15" s="222">
        <f>S6-S13</f>
        <v/>
      </c>
      <c r="T15" s="222">
        <f>T6-T13</f>
        <v/>
      </c>
      <c r="U15" s="222">
        <f>U6-U13</f>
        <v/>
      </c>
      <c r="V15" s="224">
        <f>V6-V13</f>
        <v/>
      </c>
      <c r="W15" s="224">
        <f>W6-W13</f>
        <v/>
      </c>
      <c r="X15" s="224">
        <f>X6-X13</f>
        <v/>
      </c>
      <c r="Y15" s="224">
        <f>Y6-Y13</f>
        <v/>
      </c>
      <c r="Z15" s="224">
        <f>Z6-Z13</f>
        <v/>
      </c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>
        <f>'COST METRIX'!U14</f>
        <v/>
      </c>
      <c r="W17" s="233">
        <f>'COST METRIX'!V14</f>
        <v/>
      </c>
      <c r="X17" s="233">
        <f>'COST METRIX'!W14</f>
        <v/>
      </c>
      <c r="Y17" s="233">
        <f>'COST METRIX'!X14</f>
        <v/>
      </c>
      <c r="Z17" s="233">
        <f>'COST METRIX'!Y14</f>
        <v/>
      </c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>
        <f>F15-F17</f>
        <v/>
      </c>
      <c r="G19" s="222">
        <f>G15-G17</f>
        <v/>
      </c>
      <c r="H19" s="222">
        <f>H15-H17</f>
        <v/>
      </c>
      <c r="I19" s="222">
        <f>I15-I17</f>
        <v/>
      </c>
      <c r="J19" s="222">
        <f>J15-J17</f>
        <v/>
      </c>
      <c r="K19" s="222">
        <f>K15-K17</f>
        <v/>
      </c>
      <c r="L19" s="222">
        <f>L15-L17</f>
        <v/>
      </c>
      <c r="M19" s="222">
        <f>M15-M17</f>
        <v/>
      </c>
      <c r="N19" s="222">
        <f>N15-N17</f>
        <v/>
      </c>
      <c r="O19" s="222">
        <f>O15-O17</f>
        <v/>
      </c>
      <c r="P19" s="222">
        <f>P15-P17</f>
        <v/>
      </c>
      <c r="Q19" s="222">
        <f>Q15-Q17</f>
        <v/>
      </c>
      <c r="R19" s="222">
        <f>R15-R17</f>
        <v/>
      </c>
      <c r="S19" s="222">
        <f>S15-S17</f>
        <v/>
      </c>
      <c r="T19" s="222">
        <f>T15-T17</f>
        <v/>
      </c>
      <c r="U19" s="222">
        <f>U15-U17</f>
        <v/>
      </c>
      <c r="V19" s="224">
        <f>V15-V17</f>
        <v/>
      </c>
      <c r="W19" s="224">
        <f>W15-W17</f>
        <v/>
      </c>
      <c r="X19" s="224">
        <f>X15-X17</f>
        <v/>
      </c>
      <c r="Y19" s="224">
        <f>Y15-Y17</f>
        <v/>
      </c>
      <c r="Z19" s="224">
        <f>Z15-Z17</f>
        <v/>
      </c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>
        <f>Schedule!U14</f>
        <v/>
      </c>
      <c r="W21" s="233">
        <f>Schedule!V14</f>
        <v/>
      </c>
      <c r="X21" s="233">
        <f>Schedule!W14</f>
        <v/>
      </c>
      <c r="Y21" s="233">
        <f>Schedule!X14</f>
        <v/>
      </c>
      <c r="Z21" s="233">
        <f>Schedule!Y14</f>
        <v/>
      </c>
    </row>
    <row r="22">
      <c r="B22" s="225" t="inlineStr">
        <is>
          <t>EBIT</t>
        </is>
      </c>
      <c r="F22" s="222">
        <f>F19-F21</f>
        <v/>
      </c>
      <c r="G22" s="222">
        <f>G19-G21</f>
        <v/>
      </c>
      <c r="H22" s="222">
        <f>H19-H21</f>
        <v/>
      </c>
      <c r="I22" s="222">
        <f>I19-I21</f>
        <v/>
      </c>
      <c r="J22" s="222">
        <f>J19-J21</f>
        <v/>
      </c>
      <c r="K22" s="222">
        <f>K19-K21</f>
        <v/>
      </c>
      <c r="L22" s="222">
        <f>L19-L21</f>
        <v/>
      </c>
      <c r="M22" s="222">
        <f>M19-M21</f>
        <v/>
      </c>
      <c r="N22" s="222">
        <f>N19-N21</f>
        <v/>
      </c>
      <c r="O22" s="222">
        <f>O19-O21</f>
        <v/>
      </c>
      <c r="P22" s="222">
        <f>P19-P21</f>
        <v/>
      </c>
      <c r="Q22" s="222">
        <f>Q19-Q21</f>
        <v/>
      </c>
      <c r="R22" s="222">
        <f>R19-R21</f>
        <v/>
      </c>
      <c r="S22" s="222">
        <f>S19-S21</f>
        <v/>
      </c>
      <c r="T22" s="222">
        <f>T19-T21</f>
        <v/>
      </c>
      <c r="U22" s="222">
        <f>U19-U21</f>
        <v/>
      </c>
      <c r="V22" s="224">
        <f>V19-V21</f>
        <v/>
      </c>
      <c r="W22" s="224">
        <f>W19-W21</f>
        <v/>
      </c>
      <c r="X22" s="224">
        <f>X19-X21</f>
        <v/>
      </c>
      <c r="Y22" s="224">
        <f>Y19-Y21</f>
        <v/>
      </c>
      <c r="Z22" s="224">
        <f>Z19-Z21</f>
        <v/>
      </c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>
        <f>'Debt Schedule'!T24</f>
        <v/>
      </c>
      <c r="W24" s="233">
        <f>'Debt Schedule'!U24</f>
        <v/>
      </c>
      <c r="X24" s="233">
        <f>'Debt Schedule'!V24</f>
        <v/>
      </c>
      <c r="Y24" s="233">
        <f>'Debt Schedule'!W24</f>
        <v/>
      </c>
      <c r="Z24" s="233">
        <f>'Debt Schedule'!X24</f>
        <v/>
      </c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>
        <f>'COST METRIX'!U17</f>
        <v/>
      </c>
      <c r="W25" s="233">
        <f>'COST METRIX'!V17</f>
        <v/>
      </c>
      <c r="X25" s="233">
        <f>'COST METRIX'!W17</f>
        <v/>
      </c>
      <c r="Y25" s="233">
        <f>'COST METRIX'!X17</f>
        <v/>
      </c>
      <c r="Z25" s="233">
        <f>'COST METRIX'!Y17</f>
        <v/>
      </c>
    </row>
    <row r="26">
      <c r="B26" s="225" t="inlineStr">
        <is>
          <t>EBT</t>
        </is>
      </c>
      <c r="F26" s="222">
        <f>F22-SUM(F24:F25)</f>
        <v/>
      </c>
      <c r="G26" s="222">
        <f>G22-SUM(G24:G25)</f>
        <v/>
      </c>
      <c r="H26" s="222">
        <f>H22-SUM(H24:H25)</f>
        <v/>
      </c>
      <c r="I26" s="222">
        <f>I22-SUM(I24:I25)</f>
        <v/>
      </c>
      <c r="J26" s="222">
        <f>J22-SUM(J24:J25)</f>
        <v/>
      </c>
      <c r="K26" s="222">
        <f>K22-SUM(K24:K25)</f>
        <v/>
      </c>
      <c r="L26" s="222">
        <f>L22-SUM(L24:L25)</f>
        <v/>
      </c>
      <c r="M26" s="222">
        <f>M22-SUM(M24:M25)</f>
        <v/>
      </c>
      <c r="N26" s="222">
        <f>N22-SUM(N24:N25)</f>
        <v/>
      </c>
      <c r="O26" s="222">
        <f>O22-SUM(O24:O25)</f>
        <v/>
      </c>
      <c r="P26" s="222">
        <f>P22-SUM(P24:P25)</f>
        <v/>
      </c>
      <c r="Q26" s="222">
        <f>Q22-SUM(Q24:Q25)</f>
        <v/>
      </c>
      <c r="R26" s="222">
        <f>R22-SUM(R24:R25)</f>
        <v/>
      </c>
      <c r="S26" s="222">
        <f>S22-SUM(S24:S25)</f>
        <v/>
      </c>
      <c r="T26" s="222">
        <f>T22-SUM(T24:T25)</f>
        <v/>
      </c>
      <c r="U26" s="222">
        <f>U22-SUM(U24:U25)</f>
        <v/>
      </c>
      <c r="V26" s="224">
        <f>V22-SUM(V24:V25)</f>
        <v/>
      </c>
      <c r="W26" s="224">
        <f>W22-SUM(W24:W25)</f>
        <v/>
      </c>
      <c r="X26" s="224">
        <f>X22-SUM(X24:X25)</f>
        <v/>
      </c>
      <c r="Y26" s="224">
        <f>Y22-SUM(Y24:Y25)</f>
        <v/>
      </c>
      <c r="Z26" s="224">
        <f>Z22-SUM(Z24:Z25)</f>
        <v/>
      </c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>
        <f>'COST METRIX'!U18</f>
        <v/>
      </c>
      <c r="W28" s="233">
        <f>'COST METRIX'!V18</f>
        <v/>
      </c>
      <c r="X28" s="233">
        <f>'COST METRIX'!W18</f>
        <v/>
      </c>
      <c r="Y28" s="233">
        <f>'COST METRIX'!X18</f>
        <v/>
      </c>
      <c r="Z28" s="233">
        <f>'COST METRIX'!Y18</f>
        <v/>
      </c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>
        <f>F26-SUM(F28:F29)</f>
        <v/>
      </c>
      <c r="G30" s="222">
        <f>G26-SUM(G28:G29)</f>
        <v/>
      </c>
      <c r="H30" s="222">
        <f>H26-SUM(H28:H29)</f>
        <v/>
      </c>
      <c r="I30" s="222">
        <f>I26-SUM(I28:I29)</f>
        <v/>
      </c>
      <c r="J30" s="222">
        <f>J26-SUM(J28:J29)</f>
        <v/>
      </c>
      <c r="K30" s="222">
        <f>K26-SUM(K28:K29)</f>
        <v/>
      </c>
      <c r="L30" s="222">
        <f>L26-SUM(L28:L29)</f>
        <v/>
      </c>
      <c r="M30" s="222">
        <f>M26-SUM(M28:M29)</f>
        <v/>
      </c>
      <c r="N30" s="222">
        <f>N26-SUM(N28:N29)</f>
        <v/>
      </c>
      <c r="O30" s="222">
        <f>O26-SUM(O28:O29)</f>
        <v/>
      </c>
      <c r="P30" s="222">
        <f>P26-SUM(P28:P29)</f>
        <v/>
      </c>
      <c r="Q30" s="222">
        <f>Q26-SUM(Q28:Q29)</f>
        <v/>
      </c>
      <c r="R30" s="222">
        <f>R26-SUM(R28:R29)</f>
        <v/>
      </c>
      <c r="S30" s="222">
        <f>S26-SUM(S28:S29)</f>
        <v/>
      </c>
      <c r="T30" s="222">
        <f>T26-SUM(T28:T29)</f>
        <v/>
      </c>
      <c r="U30" s="222">
        <f>U26-SUM(U28:U29)</f>
        <v/>
      </c>
      <c r="V30" s="224">
        <f>V26-SUM(V28:V29)</f>
        <v/>
      </c>
      <c r="W30" s="224">
        <f>W26-SUM(W28:W29)</f>
        <v/>
      </c>
      <c r="X30" s="224">
        <f>X26-SUM(X28:X29)</f>
        <v/>
      </c>
      <c r="Y30" s="224">
        <f>Y26-SUM(Y28:Y29)</f>
        <v/>
      </c>
      <c r="Z30" s="224">
        <f>Z26-SUM(Z28:Z29)</f>
        <v/>
      </c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>
        <f>V30*'COST METRIX'!U40</f>
        <v/>
      </c>
      <c r="W33" s="233">
        <f>W30*'COST METRIX'!V40</f>
        <v/>
      </c>
      <c r="X33" s="233">
        <f>X30*'COST METRIX'!W40</f>
        <v/>
      </c>
      <c r="Y33" s="233">
        <f>Y30*'COST METRIX'!X40</f>
        <v/>
      </c>
      <c r="Z33" s="233">
        <f>Z30*'COST METRIX'!Y40</f>
        <v/>
      </c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>
        <f>F30-SUM(F33:F34)</f>
        <v/>
      </c>
      <c r="G35" s="222">
        <f>G30-SUM(G33:G34)</f>
        <v/>
      </c>
      <c r="H35" s="222">
        <f>H30-SUM(H33:H34)</f>
        <v/>
      </c>
      <c r="I35" s="222">
        <f>I30-SUM(I33:I34)</f>
        <v/>
      </c>
      <c r="J35" s="222">
        <f>J30-SUM(J33:J34)</f>
        <v/>
      </c>
      <c r="K35" s="222">
        <f>K30-SUM(K33:K34)</f>
        <v/>
      </c>
      <c r="L35" s="222">
        <f>L30-SUM(L33:L34)</f>
        <v/>
      </c>
      <c r="M35" s="222">
        <f>M30-SUM(M33:M34)</f>
        <v/>
      </c>
      <c r="N35" s="222">
        <f>N30-SUM(N33:N34)</f>
        <v/>
      </c>
      <c r="O35" s="222">
        <f>O30-SUM(O33:O34)</f>
        <v/>
      </c>
      <c r="P35" s="222">
        <f>P30-SUM(P33:P34)</f>
        <v/>
      </c>
      <c r="Q35" s="222">
        <f>Q30-SUM(Q33:Q34)</f>
        <v/>
      </c>
      <c r="R35" s="222">
        <f>R30-SUM(R33:R34)</f>
        <v/>
      </c>
      <c r="S35" s="222">
        <f>S30-SUM(S33:S34)</f>
        <v/>
      </c>
      <c r="T35" s="222">
        <f>T30-SUM(T33:T34)</f>
        <v/>
      </c>
      <c r="U35" s="222">
        <f>U30-SUM(U33:U34)</f>
        <v/>
      </c>
      <c r="V35" s="224">
        <f>V30-SUM(V33:V34)</f>
        <v/>
      </c>
      <c r="W35" s="224">
        <f>W30-SUM(W33:W34)</f>
        <v/>
      </c>
      <c r="X35" s="224">
        <f>X30-SUM(X33:X34)</f>
        <v/>
      </c>
      <c r="Y35" s="224">
        <f>Y30-SUM(Y33:Y34)</f>
        <v/>
      </c>
      <c r="Z35" s="224">
        <f>Z30-SUM(Z33:Z34)</f>
        <v/>
      </c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>
        <f>'COST METRIX'!U20</f>
        <v/>
      </c>
      <c r="W37" s="233">
        <f>'COST METRIX'!V20</f>
        <v/>
      </c>
      <c r="X37" s="233">
        <f>'COST METRIX'!W20</f>
        <v/>
      </c>
      <c r="Y37" s="233">
        <f>'COST METRIX'!X20</f>
        <v/>
      </c>
      <c r="Z37" s="233">
        <f>'COST METRIX'!Y20</f>
        <v/>
      </c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>
        <f>U38</f>
        <v/>
      </c>
      <c r="W38" s="233">
        <f>V38</f>
        <v/>
      </c>
      <c r="X38" s="233">
        <f>W38</f>
        <v/>
      </c>
      <c r="Y38" s="233">
        <f>X38</f>
        <v/>
      </c>
      <c r="Z38" s="233">
        <f>Y38</f>
        <v/>
      </c>
    </row>
    <row r="39" ht="15" customHeight="1" s="215" thickBot="1">
      <c r="B39" s="225" t="inlineStr">
        <is>
          <t>Net Income</t>
        </is>
      </c>
      <c r="F39" s="222">
        <f>F35-SUM(F37:F38)</f>
        <v/>
      </c>
      <c r="G39" s="222">
        <f>G35-SUM(G37:G38)</f>
        <v/>
      </c>
      <c r="H39" s="222">
        <f>H35-SUM(H37:H38)</f>
        <v/>
      </c>
      <c r="I39" s="222">
        <f>I35-SUM(I37:I38)</f>
        <v/>
      </c>
      <c r="J39" s="222">
        <f>J35-SUM(J37:J38)</f>
        <v/>
      </c>
      <c r="K39" s="222">
        <f>K35-SUM(K37:K38)</f>
        <v/>
      </c>
      <c r="L39" s="222">
        <f>L35-SUM(L37:L38)</f>
        <v/>
      </c>
      <c r="M39" s="222">
        <f>M35-SUM(M37:M38)</f>
        <v/>
      </c>
      <c r="N39" s="235">
        <f>N35-SUM(N37:N38)</f>
        <v/>
      </c>
      <c r="O39" s="235">
        <f>O35-SUM(O37:O38)</f>
        <v/>
      </c>
      <c r="P39" s="235">
        <f>P35-SUM(P37:P38)</f>
        <v/>
      </c>
      <c r="Q39" s="235">
        <f>Q35-SUM(Q37:Q38)</f>
        <v/>
      </c>
      <c r="R39" s="235">
        <f>R35-SUM(R37:R38)</f>
        <v/>
      </c>
      <c r="S39" s="235">
        <f>S35-SUM(S37:S38)</f>
        <v/>
      </c>
      <c r="T39" s="235">
        <f>T35-SUM(T37:T38)</f>
        <v/>
      </c>
      <c r="U39" s="235">
        <f>U35-SUM(U37:U38)</f>
        <v/>
      </c>
      <c r="V39" s="236">
        <f>V35-SUM(V37:V38)</f>
        <v/>
      </c>
      <c r="W39" s="236">
        <f>W35-SUM(W37:W38)</f>
        <v/>
      </c>
      <c r="X39" s="236">
        <f>X35-SUM(X37:X38)</f>
        <v/>
      </c>
      <c r="Y39" s="236">
        <f>Y35-SUM(Y37:Y38)</f>
        <v/>
      </c>
      <c r="Z39" s="236">
        <f>Z35-SUM(Z37:Z38)</f>
        <v/>
      </c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>
        <f>F$39/F41</f>
        <v/>
      </c>
      <c r="G80" s="237">
        <f>G$39/G41</f>
        <v/>
      </c>
      <c r="H80" s="237">
        <f>H$39/H41</f>
        <v/>
      </c>
      <c r="I80" s="237">
        <f>I$39/I41</f>
        <v/>
      </c>
      <c r="J80" s="237">
        <f>J$39/J41</f>
        <v/>
      </c>
      <c r="K80" s="237">
        <f>K$39/K41</f>
        <v/>
      </c>
      <c r="L80" s="237">
        <f>L$39/L41</f>
        <v/>
      </c>
      <c r="M80" s="237">
        <f>M$39/M41</f>
        <v/>
      </c>
      <c r="N80" s="237">
        <f>N$39/N41</f>
        <v/>
      </c>
      <c r="O80" s="237">
        <f>O$39/O41</f>
        <v/>
      </c>
      <c r="P80" s="237">
        <f>P$39/P41</f>
        <v/>
      </c>
      <c r="Q80" s="237">
        <f>Q$39/Q41</f>
        <v/>
      </c>
      <c r="R80" s="237">
        <f>R$39/R41</f>
        <v/>
      </c>
      <c r="S80" s="237">
        <f>S$39/S41</f>
        <v/>
      </c>
      <c r="T80" s="237">
        <f>T$39/T41</f>
        <v/>
      </c>
      <c r="U80" s="237">
        <f>U$39/U41</f>
        <v/>
      </c>
      <c r="V80" s="237">
        <f>V$39/V41</f>
        <v/>
      </c>
      <c r="W80" s="237">
        <f>W$39/W41</f>
        <v/>
      </c>
      <c r="X80" s="237">
        <f>X$39/X41</f>
        <v/>
      </c>
      <c r="Y80" s="237">
        <f>Y$39/Y41</f>
        <v/>
      </c>
      <c r="Z80" s="237">
        <f>Z$39/Z41</f>
        <v/>
      </c>
    </row>
    <row r="81">
      <c r="B81" s="230" t="inlineStr">
        <is>
          <t>Diluted</t>
        </is>
      </c>
      <c r="F81" s="238">
        <f>F$39/F42</f>
        <v/>
      </c>
      <c r="G81" s="238">
        <f>G$39/G42</f>
        <v/>
      </c>
      <c r="H81" s="238">
        <f>H$39/H42</f>
        <v/>
      </c>
      <c r="I81" s="238">
        <f>I$39/I42</f>
        <v/>
      </c>
      <c r="J81" s="238">
        <f>J$39/J42</f>
        <v/>
      </c>
      <c r="K81" s="238">
        <f>K$39/K42</f>
        <v/>
      </c>
      <c r="L81" s="238">
        <f>L$39/L42</f>
        <v/>
      </c>
      <c r="M81" s="238">
        <f>M$39/M42</f>
        <v/>
      </c>
      <c r="N81" s="238">
        <f>N$39/N42</f>
        <v/>
      </c>
      <c r="O81" s="238">
        <f>O$39/O42</f>
        <v/>
      </c>
      <c r="P81" s="238">
        <f>P$39/P42</f>
        <v/>
      </c>
      <c r="Q81" s="238">
        <f>Q$39/Q42</f>
        <v/>
      </c>
      <c r="R81" s="238">
        <f>R$39/R42</f>
        <v/>
      </c>
      <c r="S81" s="238">
        <f>S$39/S42</f>
        <v/>
      </c>
      <c r="T81" s="238">
        <f>T$39/T42</f>
        <v/>
      </c>
      <c r="U81" s="238">
        <f>U$39/U42</f>
        <v/>
      </c>
      <c r="V81" s="238">
        <f>V$39/V42</f>
        <v/>
      </c>
      <c r="W81" s="238">
        <f>W$39/W42</f>
        <v/>
      </c>
      <c r="X81" s="238">
        <f>X$39/X42</f>
        <v/>
      </c>
      <c r="Y81" s="238">
        <f>Y$39/Y42</f>
        <v/>
      </c>
      <c r="Z81" s="238">
        <f>Z$39/Z42</f>
        <v/>
      </c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>
        <f>35739-I7</f>
        <v/>
      </c>
      <c r="J5" s="54">
        <f>52675-J7</f>
        <v/>
      </c>
      <c r="K5" s="214" t="n">
        <v>86077</v>
      </c>
      <c r="L5" s="54">
        <f>103825-L7-L8</f>
        <v/>
      </c>
      <c r="M5" s="54">
        <f>138186-M7-M8</f>
        <v/>
      </c>
      <c r="N5" s="54">
        <f>205044-N7-N8</f>
        <v/>
      </c>
      <c r="O5" s="54">
        <f>325494-O7-O8</f>
        <v/>
      </c>
      <c r="P5" s="54">
        <f>439486-P7-P8</f>
        <v/>
      </c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>
        <f>Schedule!U6</f>
        <v/>
      </c>
      <c r="Z5" s="199">
        <f>Schedule!V6</f>
        <v/>
      </c>
      <c r="AA5" s="199">
        <f>Schedule!W6</f>
        <v/>
      </c>
      <c r="AB5" s="199">
        <f>Schedule!X6</f>
        <v/>
      </c>
      <c r="AC5" s="199">
        <f>Schedule!Y6</f>
        <v/>
      </c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>
        <f>Schedule!U8</f>
        <v/>
      </c>
      <c r="Z6" s="199">
        <f>Schedule!V8</f>
        <v/>
      </c>
      <c r="AA6" s="199">
        <f>Schedule!W8</f>
        <v/>
      </c>
      <c r="AB6" s="199">
        <f>Schedule!X8</f>
        <v/>
      </c>
      <c r="AC6" s="199">
        <f>Schedule!Y8</f>
        <v/>
      </c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>
        <f>Schedule!U9</f>
        <v/>
      </c>
      <c r="Z7" s="199">
        <f>Schedule!V9</f>
        <v/>
      </c>
      <c r="AA7" s="199">
        <f>Schedule!W9</f>
        <v/>
      </c>
      <c r="AB7" s="199">
        <f>Schedule!X9</f>
        <v/>
      </c>
      <c r="AC7" s="199">
        <f>Schedule!Y9</f>
        <v/>
      </c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>
        <f>32+1833+15941</f>
        <v/>
      </c>
      <c r="M8" s="214">
        <f>12+1955+14736</f>
        <v/>
      </c>
      <c r="N8" s="214">
        <f>5026+13527</f>
        <v/>
      </c>
      <c r="O8" s="214">
        <f>6432+12688</f>
        <v/>
      </c>
      <c r="P8" s="54">
        <f>49798-P7</f>
        <v/>
      </c>
      <c r="Q8" s="54">
        <f>59890-Q7</f>
        <v/>
      </c>
      <c r="R8" s="54">
        <f>637317-R7</f>
        <v/>
      </c>
      <c r="S8" s="54">
        <f>660889-S7</f>
        <v/>
      </c>
      <c r="T8" s="54">
        <f>648386-T7</f>
        <v/>
      </c>
      <c r="U8" s="54" t="n">
        <v>340580</v>
      </c>
      <c r="V8" s="54">
        <f>922283-V7-V9-V6</f>
        <v/>
      </c>
      <c r="W8" s="323" t="n">
        <v>684039</v>
      </c>
      <c r="X8" s="323" t="n">
        <v>824181</v>
      </c>
      <c r="Y8" s="199">
        <f>Schedule!U10</f>
        <v/>
      </c>
      <c r="Z8" s="199">
        <f>Schedule!V10</f>
        <v/>
      </c>
      <c r="AA8" s="199">
        <f>Schedule!W10</f>
        <v/>
      </c>
      <c r="AB8" s="199">
        <f>Schedule!X10</f>
        <v/>
      </c>
      <c r="AC8" s="199">
        <f>Schedule!Y10</f>
        <v/>
      </c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>
        <f>Schedule!U11</f>
        <v/>
      </c>
      <c r="Z9" s="199">
        <f>Schedule!V11</f>
        <v/>
      </c>
      <c r="AA9" s="199">
        <f>Schedule!W11</f>
        <v/>
      </c>
      <c r="AB9" s="199">
        <f>Schedule!X11</f>
        <v/>
      </c>
      <c r="AC9" s="199">
        <f>Schedule!Y11</f>
        <v/>
      </c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>
        <f>X10</f>
        <v/>
      </c>
      <c r="Z10" s="199">
        <f>Y10</f>
        <v/>
      </c>
      <c r="AA10" s="199">
        <f>Z10</f>
        <v/>
      </c>
      <c r="AB10" s="199">
        <f>AA10</f>
        <v/>
      </c>
      <c r="AC10" s="199">
        <f>AB10</f>
        <v/>
      </c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>
        <f>X12</f>
        <v/>
      </c>
      <c r="Z12" s="324">
        <f>Y12</f>
        <v/>
      </c>
      <c r="AA12" s="324">
        <f>Z12</f>
        <v/>
      </c>
      <c r="AB12" s="324">
        <f>AA12</f>
        <v/>
      </c>
      <c r="AC12" s="324">
        <f>AB12</f>
        <v/>
      </c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>
        <f>X13</f>
        <v/>
      </c>
      <c r="Z13" s="324">
        <f>Y13</f>
        <v/>
      </c>
      <c r="AA13" s="324">
        <f>Z13</f>
        <v/>
      </c>
      <c r="AB13" s="324">
        <f>AA13</f>
        <v/>
      </c>
      <c r="AC13" s="324">
        <f>AB13</f>
        <v/>
      </c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>
        <f>X14</f>
        <v/>
      </c>
      <c r="Z14" s="324">
        <f>Y14</f>
        <v/>
      </c>
      <c r="AA14" s="324">
        <f>Z14</f>
        <v/>
      </c>
      <c r="AB14" s="324">
        <f>AA14</f>
        <v/>
      </c>
      <c r="AC14" s="324">
        <f>AB14</f>
        <v/>
      </c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>
        <f>16018-V14</f>
        <v/>
      </c>
      <c r="W15" s="323" t="n">
        <v>17502</v>
      </c>
      <c r="X15" s="323" t="n">
        <v>16653</v>
      </c>
      <c r="Y15" s="324">
        <f>X15</f>
        <v/>
      </c>
      <c r="Z15" s="324">
        <f>Y15</f>
        <v/>
      </c>
      <c r="AA15" s="324">
        <f>Z15</f>
        <v/>
      </c>
      <c r="AB15" s="324">
        <f>AA15</f>
        <v/>
      </c>
      <c r="AC15" s="324">
        <f>AB15</f>
        <v/>
      </c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>
        <f>X16</f>
        <v/>
      </c>
      <c r="Z16" s="324">
        <f>Y16-($Y$16-AC16)/5</f>
        <v/>
      </c>
      <c r="AA16" s="324">
        <f>Z16-($Y$16-AD16)/5</f>
        <v/>
      </c>
      <c r="AB16" s="324">
        <f>AA16-($Y$16-AE16)/5</f>
        <v/>
      </c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>
        <f>X17</f>
        <v/>
      </c>
      <c r="Z17" s="324">
        <f>Y17</f>
        <v/>
      </c>
      <c r="AA17" s="324">
        <f>Z17</f>
        <v/>
      </c>
      <c r="AB17" s="324">
        <f>AA17</f>
        <v/>
      </c>
      <c r="AC17" s="324">
        <f>AB17</f>
        <v/>
      </c>
    </row>
    <row r="18">
      <c r="I18" s="325">
        <f>SUM(I5:I17)</f>
        <v/>
      </c>
      <c r="J18" s="325">
        <f>SUM(J5:J17)</f>
        <v/>
      </c>
      <c r="K18" s="325">
        <f>SUM(K5:K17)</f>
        <v/>
      </c>
      <c r="L18" s="325">
        <f>SUM(L5:L17)</f>
        <v/>
      </c>
      <c r="M18" s="325">
        <f>SUM(M5:M17)</f>
        <v/>
      </c>
      <c r="N18" s="325">
        <f>SUM(N5:N17)</f>
        <v/>
      </c>
      <c r="O18" s="325">
        <f>SUM(O5:O17)</f>
        <v/>
      </c>
      <c r="P18" s="325">
        <f>SUM(P5:P17)</f>
        <v/>
      </c>
      <c r="Q18" s="325">
        <f>SUM(Q5:Q17)</f>
        <v/>
      </c>
      <c r="R18" s="325">
        <f>SUM(R5:R17)</f>
        <v/>
      </c>
      <c r="S18" s="325">
        <f>SUM(S5:S17)</f>
        <v/>
      </c>
      <c r="T18" s="325">
        <f>SUM(T5:T17)</f>
        <v/>
      </c>
      <c r="U18" s="325">
        <f>SUM(U5:U17)</f>
        <v/>
      </c>
      <c r="V18" s="325">
        <f>SUM(V5:V17)</f>
        <v/>
      </c>
      <c r="W18" s="325">
        <f>SUM(W5:W17)</f>
        <v/>
      </c>
      <c r="X18" s="325">
        <f>SUM(X5:X17)</f>
        <v/>
      </c>
      <c r="Y18" s="326">
        <f>SUM(Y5:Y17)</f>
        <v/>
      </c>
      <c r="Z18" s="326">
        <f>SUM(Z5:Z17)</f>
        <v/>
      </c>
      <c r="AA18" s="326">
        <f>SUM(AA5:AA17)</f>
        <v/>
      </c>
      <c r="AB18" s="326">
        <f>SUM(AB5:AB17)</f>
        <v/>
      </c>
      <c r="AC18" s="326">
        <f>SUM(AC5:AC17)</f>
        <v/>
      </c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>
        <f>X20</f>
        <v/>
      </c>
      <c r="Z20" s="324">
        <f>Y20</f>
        <v/>
      </c>
      <c r="AA20" s="324">
        <f>Z20</f>
        <v/>
      </c>
      <c r="AB20" s="324">
        <f>AA20</f>
        <v/>
      </c>
      <c r="AC20" s="324">
        <f>AB20</f>
        <v/>
      </c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>
        <f>X22</f>
        <v/>
      </c>
      <c r="Z22" s="324">
        <f>Y22</f>
        <v/>
      </c>
      <c r="AA22" s="324">
        <f>Z22</f>
        <v/>
      </c>
      <c r="AB22" s="324">
        <f>AA22</f>
        <v/>
      </c>
      <c r="AC22" s="324">
        <f>AB22</f>
        <v/>
      </c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>
        <f>X23</f>
        <v/>
      </c>
      <c r="Z23" s="324">
        <f>Y23</f>
        <v/>
      </c>
      <c r="AA23" s="324">
        <f>Z23</f>
        <v/>
      </c>
      <c r="AB23" s="324">
        <f>AA23</f>
        <v/>
      </c>
      <c r="AC23" s="324">
        <f>AB23</f>
        <v/>
      </c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>
        <f>(Y77*IS!V4*2/365)-BS!X24</f>
        <v/>
      </c>
      <c r="Z24" s="192">
        <f>(Z77*IS!W4*2/365)-BS!Y24</f>
        <v/>
      </c>
      <c r="AA24" s="192">
        <f>(AA77*IS!X4*2/365)-BS!Z24</f>
        <v/>
      </c>
      <c r="AB24" s="192">
        <f>(AB77*IS!Y4*2/365)-BS!AA24</f>
        <v/>
      </c>
      <c r="AC24" s="192">
        <f>(AC77*IS!Z4*2/365)-BS!AB24</f>
        <v/>
      </c>
    </row>
    <row r="25">
      <c r="D25" t="inlineStr">
        <is>
          <t>Cash and cash equivalents</t>
        </is>
      </c>
      <c r="I25" s="214">
        <f>967-I26</f>
        <v/>
      </c>
      <c r="J25" s="214">
        <f>888-J26</f>
        <v/>
      </c>
      <c r="K25" s="214">
        <f>1354-K26</f>
        <v/>
      </c>
      <c r="L25" s="54">
        <f>4098-L26</f>
        <v/>
      </c>
      <c r="M25" s="54">
        <f>3511-M26</f>
        <v/>
      </c>
      <c r="N25" s="54">
        <f>8521-N26</f>
        <v/>
      </c>
      <c r="O25" s="54">
        <f>7034-O26</f>
        <v/>
      </c>
      <c r="P25" s="54" t="n">
        <v>27660</v>
      </c>
      <c r="Q25" s="54">
        <f>25323-Q26</f>
        <v/>
      </c>
      <c r="R25" s="54" t="n">
        <v>8839</v>
      </c>
      <c r="S25" s="54">
        <f>20300-S26</f>
        <v/>
      </c>
      <c r="T25" s="54" t="n">
        <v>14285</v>
      </c>
      <c r="U25" s="54" t="n">
        <v>44505</v>
      </c>
      <c r="V25" s="54">
        <f>11719-V26</f>
        <v/>
      </c>
      <c r="W25" s="323" t="n">
        <v>37087</v>
      </c>
      <c r="X25" s="323" t="n">
        <v>12817</v>
      </c>
      <c r="Y25" s="203">
        <f>CF!R63</f>
        <v/>
      </c>
      <c r="Z25" s="203">
        <f>CF!S63</f>
        <v/>
      </c>
      <c r="AA25" s="203">
        <f>CF!T63</f>
        <v/>
      </c>
      <c r="AB25" s="203">
        <f>CF!U63</f>
        <v/>
      </c>
      <c r="AC25" s="203">
        <f>CF!V63</f>
        <v/>
      </c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>
        <f>Y26</f>
        <v/>
      </c>
      <c r="AA26" s="21">
        <f>Z26</f>
        <v/>
      </c>
      <c r="AB26" s="21">
        <f>AA26</f>
        <v/>
      </c>
      <c r="AC26" s="21">
        <f>AB26</f>
        <v/>
      </c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>
        <f>X27</f>
        <v/>
      </c>
      <c r="Z27" s="324">
        <f>Y27</f>
        <v/>
      </c>
      <c r="AA27" s="324">
        <f>Z27</f>
        <v/>
      </c>
      <c r="AB27" s="324">
        <f>AA27</f>
        <v/>
      </c>
      <c r="AC27" s="324">
        <f>AB27</f>
        <v/>
      </c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>
        <f>X28</f>
        <v/>
      </c>
      <c r="Z28" s="324">
        <f>Y28</f>
        <v/>
      </c>
      <c r="AA28" s="324">
        <f>Z28</f>
        <v/>
      </c>
      <c r="AB28" s="324">
        <f>AA28</f>
        <v/>
      </c>
      <c r="AC28" s="324">
        <f>AB28</f>
        <v/>
      </c>
    </row>
    <row r="29">
      <c r="C29" t="inlineStr">
        <is>
          <t>Other current assets</t>
        </is>
      </c>
      <c r="I29" s="214">
        <f>243+16289+7017+334</f>
        <v/>
      </c>
      <c r="J29" s="214">
        <f>189+16829+7220</f>
        <v/>
      </c>
      <c r="K29" s="214">
        <f>7984+6+75</f>
        <v/>
      </c>
      <c r="L29" s="214">
        <f>10820+583</f>
        <v/>
      </c>
      <c r="M29" s="214">
        <f>15089+79</f>
        <v/>
      </c>
      <c r="N29" s="54">
        <f>17257+27</f>
        <v/>
      </c>
      <c r="O29" s="54">
        <f>28491+2</f>
        <v/>
      </c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>
        <f>X29</f>
        <v/>
      </c>
      <c r="Z29" s="324">
        <f>Y29</f>
        <v/>
      </c>
      <c r="AA29" s="324">
        <f>Z29</f>
        <v/>
      </c>
      <c r="AB29" s="324">
        <f>AA29</f>
        <v/>
      </c>
      <c r="AC29" s="324">
        <f>AB29</f>
        <v/>
      </c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>
        <f>SUM(I20:I30)</f>
        <v/>
      </c>
      <c r="J31" s="325">
        <f>SUM(J20:J30)</f>
        <v/>
      </c>
      <c r="K31" s="325">
        <f>SUM(K20:K30)</f>
        <v/>
      </c>
      <c r="L31" s="325">
        <f>SUM(L20:L30)</f>
        <v/>
      </c>
      <c r="M31" s="325">
        <f>SUM(M20:M30)</f>
        <v/>
      </c>
      <c r="N31" s="325">
        <f>SUM(N20:N30)</f>
        <v/>
      </c>
      <c r="O31" s="325">
        <f>SUM(O20:O30)</f>
        <v/>
      </c>
      <c r="P31" s="325">
        <f>SUM(P20:P30)</f>
        <v/>
      </c>
      <c r="Q31" s="325">
        <f>SUM(Q20:Q30)</f>
        <v/>
      </c>
      <c r="R31" s="325">
        <f>SUM(R20:R30)</f>
        <v/>
      </c>
      <c r="S31" s="325">
        <f>SUM(S20:S30)</f>
        <v/>
      </c>
      <c r="T31" s="325">
        <f>SUM(T20:T30)</f>
        <v/>
      </c>
      <c r="U31" s="325">
        <f>SUM(U20:U30)</f>
        <v/>
      </c>
      <c r="V31" s="325">
        <f>SUM(V20:V30)</f>
        <v/>
      </c>
      <c r="W31" s="325">
        <f>SUM(W20:W30)</f>
        <v/>
      </c>
      <c r="X31" s="325">
        <f>SUM(X20:X30)</f>
        <v/>
      </c>
      <c r="Y31" s="326">
        <f>SUM(Y20:Y30)</f>
        <v/>
      </c>
      <c r="Z31" s="326">
        <f>SUM(Z20:Z30)</f>
        <v/>
      </c>
      <c r="AA31" s="326">
        <f>SUM(AA20:AA30)</f>
        <v/>
      </c>
      <c r="AB31" s="326">
        <f>SUM(AB20:AB30)</f>
        <v/>
      </c>
      <c r="AC31" s="326">
        <f>SUM(AC20:AC30)</f>
        <v/>
      </c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>
        <f>I18+I31</f>
        <v/>
      </c>
      <c r="J33" s="327">
        <f>J18+J31</f>
        <v/>
      </c>
      <c r="K33" s="327">
        <f>K18+K31</f>
        <v/>
      </c>
      <c r="L33" s="327">
        <f>L18+L31</f>
        <v/>
      </c>
      <c r="M33" s="327">
        <f>M18+M31</f>
        <v/>
      </c>
      <c r="N33" s="327">
        <f>N18+N31</f>
        <v/>
      </c>
      <c r="O33" s="327">
        <f>O18+O31</f>
        <v/>
      </c>
      <c r="P33" s="327">
        <f>P18+P31</f>
        <v/>
      </c>
      <c r="Q33" s="327">
        <f>Q18+Q31</f>
        <v/>
      </c>
      <c r="R33" s="327">
        <f>R18+R31</f>
        <v/>
      </c>
      <c r="S33" s="327">
        <f>S18+S31</f>
        <v/>
      </c>
      <c r="T33" s="327">
        <f>T18+T31</f>
        <v/>
      </c>
      <c r="U33" s="327">
        <f>U18+U31</f>
        <v/>
      </c>
      <c r="V33" s="327">
        <f>V18+V31</f>
        <v/>
      </c>
      <c r="W33" s="327">
        <f>W18+W31</f>
        <v/>
      </c>
      <c r="X33" s="327">
        <f>X18+X31</f>
        <v/>
      </c>
      <c r="Y33" s="328">
        <f>Y18+Y31</f>
        <v/>
      </c>
      <c r="Z33" s="328">
        <f>Z18+Z31</f>
        <v/>
      </c>
      <c r="AA33" s="328">
        <f>AA18+AA31</f>
        <v/>
      </c>
      <c r="AB33" s="328">
        <f>AB18+AB31</f>
        <v/>
      </c>
      <c r="AC33" s="328">
        <f>AC18+AC31</f>
        <v/>
      </c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>
        <f>29706-3567</f>
        <v/>
      </c>
      <c r="J38" s="54">
        <f>29728-11700</f>
        <v/>
      </c>
      <c r="K38" s="214">
        <f>30613-6748</f>
        <v/>
      </c>
      <c r="L38" s="214">
        <f>34639-7854</f>
        <v/>
      </c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>
        <f>U39-U37</f>
        <v/>
      </c>
      <c r="V38" s="54" t="n">
        <v>599577</v>
      </c>
      <c r="W38" s="323" t="n">
        <v>647706</v>
      </c>
      <c r="X38" s="323" t="n">
        <v>654576</v>
      </c>
      <c r="Y38" s="192">
        <f>X38+IS!V35-Schedule!U22</f>
        <v/>
      </c>
      <c r="Z38" s="192">
        <f>Y38+IS!W35-Schedule!V22</f>
        <v/>
      </c>
      <c r="AA38" s="192">
        <f>Z38+IS!X35-Schedule!W22</f>
        <v/>
      </c>
      <c r="AB38" s="192">
        <f>AA38+IS!Y35-Schedule!X22</f>
        <v/>
      </c>
      <c r="AC38" s="192">
        <f>AB38+IS!Z35-Schedule!Y22</f>
        <v/>
      </c>
    </row>
    <row r="39">
      <c r="B39" t="inlineStr">
        <is>
          <t>Equity attributable to equity holders of the parent</t>
        </is>
      </c>
      <c r="I39" s="331">
        <f>SUM(I37:I38)</f>
        <v/>
      </c>
      <c r="J39" s="331">
        <f>SUM(J37:J38)</f>
        <v/>
      </c>
      <c r="K39" s="331">
        <f>SUM(K37:K38)</f>
        <v/>
      </c>
      <c r="L39" s="331">
        <f>SUM(L37:L38)</f>
        <v/>
      </c>
      <c r="M39" s="331">
        <f>SUM(M37:M38)</f>
        <v/>
      </c>
      <c r="N39" s="331">
        <f>SUM(N37:N38)</f>
        <v/>
      </c>
      <c r="O39" s="331">
        <f>SUM(O37:O38)</f>
        <v/>
      </c>
      <c r="P39" s="331">
        <f>SUM(P37:P38)</f>
        <v/>
      </c>
      <c r="Q39" s="331">
        <f>SUM(Q37:Q38)</f>
        <v/>
      </c>
      <c r="R39" s="331">
        <f>SUM(R37:R38)</f>
        <v/>
      </c>
      <c r="S39" s="331">
        <f>SUM(S37:S38)</f>
        <v/>
      </c>
      <c r="T39" s="331">
        <f>SUM(T37:T38)</f>
        <v/>
      </c>
      <c r="U39" s="331" t="n">
        <v>597560</v>
      </c>
      <c r="V39" s="331">
        <f>SUM(V37:V38)</f>
        <v/>
      </c>
      <c r="W39" s="331">
        <f>SUM(W37:W38)</f>
        <v/>
      </c>
      <c r="X39" s="331">
        <f>SUM(X37:X38)</f>
        <v/>
      </c>
      <c r="Y39" s="332">
        <f>SUM(Y37:Y38)</f>
        <v/>
      </c>
      <c r="Z39" s="332">
        <f>SUM(Z37:Z38)</f>
        <v/>
      </c>
      <c r="AA39" s="332">
        <f>SUM(AA37:AA38)</f>
        <v/>
      </c>
      <c r="AB39" s="332">
        <f>SUM(AB37:AB38)</f>
        <v/>
      </c>
      <c r="AC39" s="332">
        <f>SUM(AC37:AC38)</f>
        <v/>
      </c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>
        <f>X40</f>
        <v/>
      </c>
      <c r="Z40" s="324">
        <f>Y40</f>
        <v/>
      </c>
      <c r="AA40" s="324">
        <f>Z40</f>
        <v/>
      </c>
      <c r="AB40" s="324">
        <f>AA40</f>
        <v/>
      </c>
      <c r="AC40" s="324">
        <f>AB40</f>
        <v/>
      </c>
    </row>
    <row r="41">
      <c r="I41" s="327">
        <f>I39+I40</f>
        <v/>
      </c>
      <c r="J41" s="327">
        <f>J39+J40</f>
        <v/>
      </c>
      <c r="K41" s="327">
        <f>K39+K40</f>
        <v/>
      </c>
      <c r="L41" s="327">
        <f>L39+L40</f>
        <v/>
      </c>
      <c r="M41" s="327">
        <f>M39+M40</f>
        <v/>
      </c>
      <c r="N41" s="327">
        <f>N39+N40</f>
        <v/>
      </c>
      <c r="O41" s="327">
        <f>O39+O40</f>
        <v/>
      </c>
      <c r="P41" s="327">
        <f>P39+P40</f>
        <v/>
      </c>
      <c r="Q41" s="327">
        <f>Q39+Q40</f>
        <v/>
      </c>
      <c r="R41" s="327">
        <f>R39+R40</f>
        <v/>
      </c>
      <c r="S41" s="327">
        <f>S39+S40</f>
        <v/>
      </c>
      <c r="T41" s="327">
        <f>T39+T40</f>
        <v/>
      </c>
      <c r="U41" s="327">
        <f>U39+U40</f>
        <v/>
      </c>
      <c r="V41" s="327">
        <f>V39+V40</f>
        <v/>
      </c>
      <c r="W41" s="327">
        <f>W39+W40</f>
        <v/>
      </c>
      <c r="X41" s="327">
        <f>X39+X40</f>
        <v/>
      </c>
      <c r="Y41" s="328">
        <f>Y39+Y40</f>
        <v/>
      </c>
      <c r="Z41" s="328">
        <f>Z39+Z40</f>
        <v/>
      </c>
      <c r="AA41" s="328">
        <f>AA39+AA40</f>
        <v/>
      </c>
      <c r="AB41" s="328">
        <f>AB39+AB40</f>
        <v/>
      </c>
      <c r="AC41" s="328">
        <f>AC39+AC40</f>
        <v/>
      </c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>
        <f>'Debt Schedule'!T20</f>
        <v/>
      </c>
      <c r="Z44" s="203">
        <f>'Debt Schedule'!U20</f>
        <v/>
      </c>
      <c r="AA44" s="203">
        <f>'Debt Schedule'!V20</f>
        <v/>
      </c>
      <c r="AB44" s="203">
        <f>'Debt Schedule'!W20</f>
        <v/>
      </c>
      <c r="AC44" s="203">
        <f>'Debt Schedule'!X20</f>
        <v/>
      </c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>
        <f>X45</f>
        <v/>
      </c>
      <c r="Z45" s="324">
        <f>Y45</f>
        <v/>
      </c>
      <c r="AA45" s="324">
        <f>Z45</f>
        <v/>
      </c>
      <c r="AB45" s="324">
        <f>AA45</f>
        <v/>
      </c>
      <c r="AC45" s="324">
        <f>AB45</f>
        <v/>
      </c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>
        <f>X46</f>
        <v/>
      </c>
      <c r="Z46" s="324">
        <f>Y46</f>
        <v/>
      </c>
      <c r="AA46" s="324">
        <f>Z46</f>
        <v/>
      </c>
      <c r="AB46" s="324">
        <f>AA46</f>
        <v/>
      </c>
      <c r="AC46" s="324">
        <f>AB46</f>
        <v/>
      </c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>
        <f>X47</f>
        <v/>
      </c>
      <c r="Z47" s="324">
        <f>Y47</f>
        <v/>
      </c>
      <c r="AA47" s="324">
        <f>Z47</f>
        <v/>
      </c>
      <c r="AB47" s="324">
        <f>AA47</f>
        <v/>
      </c>
      <c r="AC47" s="324">
        <f>AB47</f>
        <v/>
      </c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>
        <f>X48</f>
        <v/>
      </c>
      <c r="Z48" s="324">
        <f>Y48</f>
        <v/>
      </c>
      <c r="AA48" s="324">
        <f>Z48</f>
        <v/>
      </c>
      <c r="AB48" s="324">
        <f>AA48</f>
        <v/>
      </c>
      <c r="AC48" s="324">
        <f>AB48</f>
        <v/>
      </c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>
        <f>X49</f>
        <v/>
      </c>
      <c r="Z49" s="324">
        <f>Y49</f>
        <v/>
      </c>
      <c r="AA49" s="324">
        <f>Z49</f>
        <v/>
      </c>
      <c r="AB49" s="324">
        <f>AA49</f>
        <v/>
      </c>
      <c r="AC49" s="324">
        <f>AB49</f>
        <v/>
      </c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>
        <f>X50</f>
        <v/>
      </c>
      <c r="Z50" s="324">
        <f>Y50</f>
        <v/>
      </c>
      <c r="AA50" s="324">
        <f>Z50</f>
        <v/>
      </c>
      <c r="AB50" s="324">
        <f>AA50</f>
        <v/>
      </c>
      <c r="AC50" s="324">
        <f>AB50</f>
        <v/>
      </c>
    </row>
    <row r="51">
      <c r="I51" s="327">
        <f>SUM(I44:I50)</f>
        <v/>
      </c>
      <c r="J51" s="327">
        <f>SUM(J44:J50)</f>
        <v/>
      </c>
      <c r="K51" s="327">
        <f>SUM(K44:K50)</f>
        <v/>
      </c>
      <c r="L51" s="327">
        <f>SUM(L44:L50)</f>
        <v/>
      </c>
      <c r="M51" s="327">
        <f>SUM(M44:M50)</f>
        <v/>
      </c>
      <c r="N51" s="327">
        <f>SUM(N44:N50)</f>
        <v/>
      </c>
      <c r="O51" s="327">
        <f>SUM(O44:O50)</f>
        <v/>
      </c>
      <c r="P51" s="327">
        <f>SUM(P44:P50)</f>
        <v/>
      </c>
      <c r="Q51" s="327">
        <f>SUM(Q44:Q50)</f>
        <v/>
      </c>
      <c r="R51" s="327">
        <f>SUM(R44:R50)</f>
        <v/>
      </c>
      <c r="S51" s="327">
        <f>SUM(S44:S50)</f>
        <v/>
      </c>
      <c r="T51" s="327">
        <f>SUM(T44:T50)</f>
        <v/>
      </c>
      <c r="U51" s="327">
        <f>SUM(U44:U50)</f>
        <v/>
      </c>
      <c r="V51" s="327">
        <f>SUM(V44:V50)</f>
        <v/>
      </c>
      <c r="W51" s="327">
        <f>SUM(W44:W50)</f>
        <v/>
      </c>
      <c r="X51" s="327">
        <f>SUM(X44:X50)</f>
        <v/>
      </c>
      <c r="Y51" s="328">
        <f>SUM(Y44:Y50)</f>
        <v/>
      </c>
      <c r="Z51" s="328">
        <f>SUM(Z44:Z50)</f>
        <v/>
      </c>
      <c r="AA51" s="328">
        <f>SUM(AA44:AA50)</f>
        <v/>
      </c>
      <c r="AB51" s="328">
        <f>SUM(AB44:AB50)</f>
        <v/>
      </c>
      <c r="AC51" s="328">
        <f>SUM(AC44:AC50)</f>
        <v/>
      </c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>
        <f>211389-V55</f>
        <v/>
      </c>
      <c r="W54" s="323" t="n">
        <v>57238</v>
      </c>
      <c r="X54" s="323" t="n">
        <v>129442</v>
      </c>
      <c r="Y54" s="324">
        <f>X54+Y26+25756</f>
        <v/>
      </c>
      <c r="Z54" s="324">
        <f>Y54+74681</f>
        <v/>
      </c>
      <c r="AA54" s="324">
        <f>Z54+66876</f>
        <v/>
      </c>
      <c r="AB54" s="324">
        <f>AA54+52484</f>
        <v/>
      </c>
      <c r="AC54" s="324">
        <f>AB54+34302</f>
        <v/>
      </c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>
        <f>'Debt Schedule'!T24</f>
        <v/>
      </c>
      <c r="Z55" s="324">
        <f>'Debt Schedule'!U24</f>
        <v/>
      </c>
      <c r="AA55" s="324">
        <f>'Debt Schedule'!V24</f>
        <v/>
      </c>
      <c r="AB55" s="324">
        <f>'Debt Schedule'!W24</f>
        <v/>
      </c>
      <c r="AC55" s="324">
        <f>'Debt Schedule'!X24</f>
        <v/>
      </c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>
        <f>X56</f>
        <v/>
      </c>
      <c r="Z56" s="324">
        <f>Y56</f>
        <v/>
      </c>
      <c r="AA56" s="324">
        <f>Z56</f>
        <v/>
      </c>
      <c r="AB56" s="324">
        <f>AA56</f>
        <v/>
      </c>
      <c r="AC56" s="324">
        <f>AB56</f>
        <v/>
      </c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>
        <f>339670-V58</f>
        <v/>
      </c>
      <c r="W57" s="323" t="n">
        <v>255806</v>
      </c>
      <c r="X57" s="323" t="n">
        <v>268537</v>
      </c>
      <c r="Y57" s="324">
        <f>(Y79*IS!V13*2/365)-BS!X57</f>
        <v/>
      </c>
      <c r="Z57" s="324">
        <f>(Z79*IS!W13*2/365)-BS!Y57</f>
        <v/>
      </c>
      <c r="AA57" s="324">
        <f>(AA79*IS!X13*2/365)-BS!Z57</f>
        <v/>
      </c>
      <c r="AB57" s="324">
        <f>(AB79*IS!Y13*2/365)-BS!AA57</f>
        <v/>
      </c>
      <c r="AC57" s="324">
        <f>(AC79*IS!Z13*2/365)-BS!AB57</f>
        <v/>
      </c>
    </row>
    <row r="58">
      <c r="D58" t="inlineStr">
        <is>
          <t>Others</t>
        </is>
      </c>
      <c r="P58" s="54">
        <f>168621-P56-P57</f>
        <v/>
      </c>
      <c r="V58" s="54" t="n">
        <v>127306</v>
      </c>
      <c r="W58" s="323" t="n">
        <v>131180</v>
      </c>
      <c r="X58" s="323" t="n">
        <v>88808</v>
      </c>
      <c r="Y58" s="324">
        <f>X58</f>
        <v/>
      </c>
      <c r="Z58" s="324">
        <f>Y58</f>
        <v/>
      </c>
      <c r="AA58" s="324">
        <f>Z58</f>
        <v/>
      </c>
      <c r="AB58" s="324">
        <f>AA58</f>
        <v/>
      </c>
      <c r="AC58" s="324">
        <f>AB58</f>
        <v/>
      </c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>
        <f>X59</f>
        <v/>
      </c>
      <c r="Z59" s="324">
        <f>Y59</f>
        <v/>
      </c>
      <c r="AA59" s="324">
        <f>Z59</f>
        <v/>
      </c>
      <c r="AB59" s="324">
        <f>AA59</f>
        <v/>
      </c>
      <c r="AC59" s="324">
        <f>AB59</f>
        <v/>
      </c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>
        <f>X60</f>
        <v/>
      </c>
      <c r="Z60" s="324">
        <f>Y60</f>
        <v/>
      </c>
      <c r="AA60" s="324">
        <f>Z60</f>
        <v/>
      </c>
      <c r="AB60" s="324">
        <f>AA60</f>
        <v/>
      </c>
      <c r="AC60" s="324">
        <f>AB60</f>
        <v/>
      </c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>
        <f>X61</f>
        <v/>
      </c>
      <c r="Z61" s="324">
        <f>Y61</f>
        <v/>
      </c>
      <c r="AA61" s="324">
        <f>Z61</f>
        <v/>
      </c>
      <c r="AB61" s="324">
        <f>AA61</f>
        <v/>
      </c>
      <c r="AC61" s="324">
        <f>AB61</f>
        <v/>
      </c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>
        <f>X62</f>
        <v/>
      </c>
      <c r="Z62" s="324">
        <f>Y62</f>
        <v/>
      </c>
      <c r="AA62" s="324">
        <f>Z62</f>
        <v/>
      </c>
      <c r="AB62" s="324">
        <f>AA62</f>
        <v/>
      </c>
      <c r="AC62" s="324">
        <f>AB62</f>
        <v/>
      </c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>
        <f>SUM(I54:I63)</f>
        <v/>
      </c>
      <c r="J64" s="333">
        <f>SUM(J54:J63)</f>
        <v/>
      </c>
      <c r="K64" s="333">
        <f>SUM(K54:K63)</f>
        <v/>
      </c>
      <c r="L64" s="333">
        <f>SUM(L54:L63)</f>
        <v/>
      </c>
      <c r="M64" s="333">
        <f>SUM(M54:M63)</f>
        <v/>
      </c>
      <c r="N64" s="333">
        <f>SUM(N54:N63)</f>
        <v/>
      </c>
      <c r="O64" s="333">
        <f>SUM(O54:O63)</f>
        <v/>
      </c>
      <c r="P64" s="333">
        <f>SUM(P54:P63)</f>
        <v/>
      </c>
      <c r="Q64" s="333">
        <f>SUM(Q54:Q63)</f>
        <v/>
      </c>
      <c r="R64" s="333">
        <f>SUM(R54:R63)</f>
        <v/>
      </c>
      <c r="S64" s="333">
        <f>SUM(S54:S63)</f>
        <v/>
      </c>
      <c r="T64" s="333">
        <f>SUM(T54:T63)</f>
        <v/>
      </c>
      <c r="U64" s="333">
        <f>SUM(U54:U63)</f>
        <v/>
      </c>
      <c r="V64" s="333">
        <f>SUM(V54:V63)</f>
        <v/>
      </c>
      <c r="W64" s="333">
        <f>SUM(W54:W63)</f>
        <v/>
      </c>
      <c r="X64" s="333">
        <f>SUM(X54:X63)</f>
        <v/>
      </c>
      <c r="Y64" s="334">
        <f>SUM(Y54:Y63)</f>
        <v/>
      </c>
      <c r="Z64" s="334">
        <f>SUM(Z54:Z63)</f>
        <v/>
      </c>
      <c r="AA64" s="334">
        <f>SUM(AA54:AA63)</f>
        <v/>
      </c>
      <c r="AB64" s="334">
        <f>SUM(AB54:AB63)</f>
        <v/>
      </c>
      <c r="AC64" s="334">
        <f>SUM(AC54:AC63)</f>
        <v/>
      </c>
    </row>
    <row r="65" customFormat="1" s="197">
      <c r="A65" s="58" t="inlineStr">
        <is>
          <t>Total liabilities</t>
        </is>
      </c>
      <c r="I65" s="335">
        <f>I51+I64</f>
        <v/>
      </c>
      <c r="J65" s="335">
        <f>J51+J64</f>
        <v/>
      </c>
      <c r="K65" s="335">
        <f>K51+K64</f>
        <v/>
      </c>
      <c r="L65" s="335">
        <f>L51+L64</f>
        <v/>
      </c>
      <c r="M65" s="335">
        <f>M51+M64</f>
        <v/>
      </c>
      <c r="N65" s="335">
        <f>N51+N64</f>
        <v/>
      </c>
      <c r="O65" s="335">
        <f>O51+O64</f>
        <v/>
      </c>
      <c r="P65" s="335">
        <f>P51+P64</f>
        <v/>
      </c>
      <c r="Q65" s="335">
        <f>Q51+Q64</f>
        <v/>
      </c>
      <c r="R65" s="335">
        <f>R51+R64</f>
        <v/>
      </c>
      <c r="S65" s="335">
        <f>S51+S64</f>
        <v/>
      </c>
      <c r="T65" s="335">
        <f>T51+T64</f>
        <v/>
      </c>
      <c r="U65" s="335">
        <f>U51+U64</f>
        <v/>
      </c>
      <c r="V65" s="335">
        <f>V51+V64</f>
        <v/>
      </c>
      <c r="W65" s="335">
        <f>W51+W64</f>
        <v/>
      </c>
      <c r="X65" s="335">
        <f>X51+X64</f>
        <v/>
      </c>
      <c r="Y65" s="336">
        <f>Y51+Y64</f>
        <v/>
      </c>
      <c r="Z65" s="336">
        <f>Z51+Z64</f>
        <v/>
      </c>
      <c r="AA65" s="336">
        <f>AA51+AA64</f>
        <v/>
      </c>
      <c r="AB65" s="336">
        <f>AB51+AB64</f>
        <v/>
      </c>
      <c r="AC65" s="336">
        <f>AC51+AC64</f>
        <v/>
      </c>
    </row>
    <row r="66" customFormat="1" s="198">
      <c r="A66" s="198" t="inlineStr">
        <is>
          <t>Total equity and liabilities</t>
        </is>
      </c>
      <c r="I66" s="337">
        <f>I41+I65</f>
        <v/>
      </c>
      <c r="J66" s="337">
        <f>J41+J65</f>
        <v/>
      </c>
      <c r="K66" s="337">
        <f>K41+K65</f>
        <v/>
      </c>
      <c r="L66" s="337">
        <f>L41+L65</f>
        <v/>
      </c>
      <c r="M66" s="337">
        <f>M41+M65</f>
        <v/>
      </c>
      <c r="N66" s="337">
        <f>N41+N65</f>
        <v/>
      </c>
      <c r="O66" s="337">
        <f>O41+O65</f>
        <v/>
      </c>
      <c r="P66" s="337">
        <f>P41+P65</f>
        <v/>
      </c>
      <c r="Q66" s="337">
        <f>Q41+Q65</f>
        <v/>
      </c>
      <c r="R66" s="337">
        <f>R41+R65</f>
        <v/>
      </c>
      <c r="S66" s="337">
        <f>S41+S65</f>
        <v/>
      </c>
      <c r="T66" s="337">
        <f>T41+T65</f>
        <v/>
      </c>
      <c r="U66" s="337">
        <f>U41+U65</f>
        <v/>
      </c>
      <c r="V66" s="337">
        <f>V41+V65</f>
        <v/>
      </c>
      <c r="W66" s="337">
        <f>W41+W65</f>
        <v/>
      </c>
      <c r="X66" s="337">
        <f>X41+X65</f>
        <v/>
      </c>
      <c r="Y66" s="338">
        <f>Y41+Y65</f>
        <v/>
      </c>
      <c r="Z66" s="338">
        <f>Z41+Z65</f>
        <v/>
      </c>
      <c r="AA66" s="338">
        <f>AA41+AA65</f>
        <v/>
      </c>
      <c r="AB66" s="338">
        <f>AB41+AB65</f>
        <v/>
      </c>
      <c r="AC66" s="338">
        <f>AC41+AC65</f>
        <v/>
      </c>
    </row>
    <row r="67">
      <c r="W67" s="323" t="n"/>
      <c r="X67" s="323" t="n"/>
    </row>
    <row r="68">
      <c r="A68" t="inlineStr">
        <is>
          <t>check sum</t>
        </is>
      </c>
      <c r="I68" s="206">
        <f>I33-I66</f>
        <v/>
      </c>
      <c r="J68" s="206">
        <f>J33-J66</f>
        <v/>
      </c>
      <c r="K68" s="206">
        <f>K33-K66</f>
        <v/>
      </c>
      <c r="L68" s="206">
        <f>L33-L66</f>
        <v/>
      </c>
      <c r="M68" s="206">
        <f>M33-M66</f>
        <v/>
      </c>
      <c r="N68" s="206">
        <f>N33-N66</f>
        <v/>
      </c>
      <c r="O68" s="206">
        <f>O33-O66</f>
        <v/>
      </c>
      <c r="P68" s="206">
        <f>P33-P66</f>
        <v/>
      </c>
      <c r="Q68" s="206">
        <f>Q33-Q66</f>
        <v/>
      </c>
      <c r="R68" s="206">
        <f>R33-R66</f>
        <v/>
      </c>
      <c r="S68" s="206">
        <f>S33-S66</f>
        <v/>
      </c>
      <c r="T68" s="206">
        <f>T33-T66</f>
        <v/>
      </c>
      <c r="U68" s="206">
        <f>U33-U66</f>
        <v/>
      </c>
      <c r="V68" s="206">
        <f>V33-V66</f>
        <v/>
      </c>
      <c r="W68" s="206">
        <f>W33-W66</f>
        <v/>
      </c>
      <c r="X68" s="206">
        <f>X33-X66</f>
        <v/>
      </c>
      <c r="Y68" s="206">
        <f>Y33-Y66</f>
        <v/>
      </c>
      <c r="Z68" s="206">
        <f>Z33-Z66</f>
        <v/>
      </c>
      <c r="AA68" s="206">
        <f>AA33-AA66</f>
        <v/>
      </c>
      <c r="AB68" s="206">
        <f>AB33-AB66</f>
        <v/>
      </c>
      <c r="AC68" s="207">
        <f>AC33-AC66</f>
        <v/>
      </c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>
        <f>I31/I64</f>
        <v/>
      </c>
      <c r="J74" s="252">
        <f>J31/J64</f>
        <v/>
      </c>
      <c r="K74" s="252">
        <f>K31/K64</f>
        <v/>
      </c>
      <c r="L74" s="252">
        <f>L31/L64</f>
        <v/>
      </c>
      <c r="M74" s="252">
        <f>M31/M64</f>
        <v/>
      </c>
      <c r="N74" s="252">
        <f>N31/N64</f>
        <v/>
      </c>
      <c r="O74" s="252">
        <f>O31/O64</f>
        <v/>
      </c>
      <c r="P74" s="252">
        <f>P31/P64</f>
        <v/>
      </c>
      <c r="Q74" s="252">
        <f>Q31/Q64</f>
        <v/>
      </c>
      <c r="R74" s="252">
        <f>R31/R64</f>
        <v/>
      </c>
      <c r="S74" s="252">
        <f>S31/S64</f>
        <v/>
      </c>
      <c r="T74" s="252">
        <f>T31/T64</f>
        <v/>
      </c>
      <c r="U74" s="252">
        <f>U31/U64</f>
        <v/>
      </c>
      <c r="V74" s="252">
        <f>V31/V64</f>
        <v/>
      </c>
      <c r="W74" s="252">
        <f>W31/W64</f>
        <v/>
      </c>
      <c r="X74" s="252">
        <f>X31/X64</f>
        <v/>
      </c>
      <c r="Y74" s="253">
        <f>Y31/Y64</f>
        <v/>
      </c>
      <c r="Z74" s="253">
        <f>Z31/Z64</f>
        <v/>
      </c>
      <c r="AA74" s="253">
        <f>AA31/AA64</f>
        <v/>
      </c>
      <c r="AB74" s="253">
        <f>AB31/AB64</f>
        <v/>
      </c>
      <c r="AC74" s="253">
        <f>AC31/AC64</f>
        <v/>
      </c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>
        <f>(I25+I26)/I64</f>
        <v/>
      </c>
      <c r="J75" s="339">
        <f>(J25+J26)/J64</f>
        <v/>
      </c>
      <c r="K75" s="339">
        <f>(K25+K26)/K64</f>
        <v/>
      </c>
      <c r="L75" s="339">
        <f>(L25+L26)/L64</f>
        <v/>
      </c>
      <c r="M75" s="339">
        <f>(M25+M26)/M64</f>
        <v/>
      </c>
      <c r="N75" s="339">
        <f>(N25+N26)/N64</f>
        <v/>
      </c>
      <c r="O75" s="339">
        <f>(O25+O26)/O64</f>
        <v/>
      </c>
      <c r="P75" s="339">
        <f>(P25+P26)/P64</f>
        <v/>
      </c>
      <c r="Q75" s="339">
        <f>(Q25+Q26)/Q64</f>
        <v/>
      </c>
      <c r="R75" s="339">
        <f>(R25+R26)/R64</f>
        <v/>
      </c>
      <c r="S75" s="339">
        <f>(S25+S26)/S64</f>
        <v/>
      </c>
      <c r="T75" s="339">
        <f>(T25+T26)/T64</f>
        <v/>
      </c>
      <c r="U75" s="339">
        <f>(U25+U26)/U64</f>
        <v/>
      </c>
      <c r="V75" s="339">
        <f>(V25+V26)/V64</f>
        <v/>
      </c>
      <c r="W75" s="339">
        <f>(W25+W26)/W64</f>
        <v/>
      </c>
      <c r="X75" s="339">
        <f>(X25+X26)/X64</f>
        <v/>
      </c>
      <c r="Y75" s="340">
        <f>(Y25+Y26)/Y64</f>
        <v/>
      </c>
      <c r="Z75" s="340">
        <f>(Z25+Z26)/Z64</f>
        <v/>
      </c>
      <c r="AA75" s="340">
        <f>(AA25+AA26)/AA64</f>
        <v/>
      </c>
      <c r="AB75" s="340">
        <f>(AB25+AB26)/AB64</f>
        <v/>
      </c>
      <c r="AC75" s="340">
        <f>(AC25+AC26)/AC64</f>
        <v/>
      </c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>
        <f>IS!F4/BS!I24</f>
        <v/>
      </c>
      <c r="J76" s="252">
        <f>IS!G4/AVERAGE(J24,I24)</f>
        <v/>
      </c>
      <c r="K76" s="252">
        <f>IS!H4/AVERAGE(K24,J24)</f>
        <v/>
      </c>
      <c r="L76" s="252">
        <f>IS!I4/AVERAGE(L24,K24)</f>
        <v/>
      </c>
      <c r="M76" s="252">
        <f>IS!J4/AVERAGE(M24,L24)</f>
        <v/>
      </c>
      <c r="N76" s="252">
        <f>IS!K4/AVERAGE(N24,M24)</f>
        <v/>
      </c>
      <c r="O76" s="252">
        <f>IS!L4/AVERAGE(O24,N24)</f>
        <v/>
      </c>
      <c r="P76" s="252">
        <f>IS!M4/AVERAGE(P24,O24)</f>
        <v/>
      </c>
      <c r="Q76" s="252">
        <f>IS!N4/AVERAGE(Q24,P24)</f>
        <v/>
      </c>
      <c r="R76" s="252">
        <f>IS!O4/AVERAGE(R24,Q24)</f>
        <v/>
      </c>
      <c r="S76" s="252">
        <f>IS!P4/AVERAGE(S24,R24)</f>
        <v/>
      </c>
      <c r="T76" s="252">
        <f>IS!Q4/AVERAGE(T24,S24)</f>
        <v/>
      </c>
      <c r="U76" s="252">
        <f>IS!R4/AVERAGE(U24,T24)</f>
        <v/>
      </c>
      <c r="V76" s="252">
        <f>IS!S4/AVERAGE(V24,U24)</f>
        <v/>
      </c>
      <c r="W76" s="252">
        <f>IS!T4/AVERAGE(W24,V24)</f>
        <v/>
      </c>
      <c r="X76" s="252">
        <f>IS!U4/AVERAGE(X24,W24)</f>
        <v/>
      </c>
      <c r="Y76" s="253">
        <f>IS!V4/AVERAGE(Y24,X24)</f>
        <v/>
      </c>
      <c r="Z76" s="253">
        <f>IS!W4/AVERAGE(Z24,Y24)</f>
        <v/>
      </c>
      <c r="AA76" s="253">
        <f>IS!X4/AVERAGE(AA24,Z24)</f>
        <v/>
      </c>
      <c r="AB76" s="253">
        <f>IS!Y4/AVERAGE(AB24,AA24)</f>
        <v/>
      </c>
      <c r="AC76" s="253">
        <f>IS!Z4/AVERAGE(AC24,AB24)</f>
        <v/>
      </c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>
        <f>365/I76</f>
        <v/>
      </c>
      <c r="J77" s="252">
        <f>365/J76</f>
        <v/>
      </c>
      <c r="K77" s="252">
        <f>365/K76</f>
        <v/>
      </c>
      <c r="L77" s="252">
        <f>365/L76</f>
        <v/>
      </c>
      <c r="M77" s="252">
        <f>365/M76</f>
        <v/>
      </c>
      <c r="N77" s="252">
        <f>365/N76</f>
        <v/>
      </c>
      <c r="O77" s="252">
        <f>365/O76</f>
        <v/>
      </c>
      <c r="P77" s="252">
        <f>365/P76</f>
        <v/>
      </c>
      <c r="Q77" s="252">
        <f>365/Q76</f>
        <v/>
      </c>
      <c r="R77" s="252">
        <f>365/R76</f>
        <v/>
      </c>
      <c r="S77" s="252">
        <f>365/S76</f>
        <v/>
      </c>
      <c r="T77" s="252">
        <f>365/T76</f>
        <v/>
      </c>
      <c r="U77" s="252">
        <f>365/U76</f>
        <v/>
      </c>
      <c r="V77" s="252">
        <f>365/V76</f>
        <v/>
      </c>
      <c r="W77" s="252">
        <f>365/W76</f>
        <v/>
      </c>
      <c r="X77" s="252">
        <f>365/X76</f>
        <v/>
      </c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>
        <f>IS!M13/AVERAGE(P57,O57)</f>
        <v/>
      </c>
      <c r="Q78" s="252">
        <f>IS!N13/AVERAGE(Q57,P57)</f>
        <v/>
      </c>
      <c r="R78" s="252">
        <f>IS!O13/AVERAGE(R57,Q57)</f>
        <v/>
      </c>
      <c r="S78" s="252">
        <f>IS!P13/AVERAGE(S57,R57)</f>
        <v/>
      </c>
      <c r="T78" s="252">
        <f>IS!Q13/AVERAGE(T57,S57)</f>
        <v/>
      </c>
      <c r="U78" s="252">
        <f>IS!R13/AVERAGE(U57,T57)</f>
        <v/>
      </c>
      <c r="V78" s="252">
        <f>IS!S13/AVERAGE(V57,U57)</f>
        <v/>
      </c>
      <c r="W78" s="252">
        <f>IS!T13/AVERAGE(W57,V57)</f>
        <v/>
      </c>
      <c r="X78" s="252">
        <f>IS!U13/AVERAGE(X57,W57)</f>
        <v/>
      </c>
      <c r="Y78" s="253">
        <f>IS!V13/AVERAGE(Y57,X57)</f>
        <v/>
      </c>
      <c r="Z78" s="253">
        <f>IS!W13/AVERAGE(Z57,Y57)</f>
        <v/>
      </c>
      <c r="AA78" s="253">
        <f>IS!X13/AVERAGE(AA57,Z57)</f>
        <v/>
      </c>
      <c r="AB78" s="253">
        <f>IS!Y13/AVERAGE(AB57,AA57)</f>
        <v/>
      </c>
      <c r="AC78" s="253">
        <f>IS!Z13/AVERAGE(AC57,AB57)</f>
        <v/>
      </c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>
        <f>365/P78</f>
        <v/>
      </c>
      <c r="Q79" s="252">
        <f>365/Q78</f>
        <v/>
      </c>
      <c r="R79" s="252">
        <f>365/R78</f>
        <v/>
      </c>
      <c r="S79" s="252">
        <f>365/S78</f>
        <v/>
      </c>
      <c r="T79" s="252">
        <f>365/T78</f>
        <v/>
      </c>
      <c r="U79" s="252">
        <f>365/U78</f>
        <v/>
      </c>
      <c r="V79" s="252">
        <f>365/V78</f>
        <v/>
      </c>
      <c r="W79" s="252">
        <f>365/W78</f>
        <v/>
      </c>
      <c r="X79" s="252">
        <f>365/X78</f>
        <v/>
      </c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>
        <f>I44+I54</f>
        <v/>
      </c>
      <c r="J80" s="341">
        <f>J44+J54</f>
        <v/>
      </c>
      <c r="K80" s="341">
        <f>K44+K54</f>
        <v/>
      </c>
      <c r="L80" s="341">
        <f>L44+L54</f>
        <v/>
      </c>
      <c r="M80" s="341">
        <f>M44+M54</f>
        <v/>
      </c>
      <c r="N80" s="341">
        <f>N44+N54</f>
        <v/>
      </c>
      <c r="O80" s="341">
        <f>O44+O54</f>
        <v/>
      </c>
      <c r="P80" s="341">
        <f>P44+P54</f>
        <v/>
      </c>
      <c r="Q80" s="341">
        <f>Q44+Q54</f>
        <v/>
      </c>
      <c r="R80" s="341">
        <f>R44+R54</f>
        <v/>
      </c>
      <c r="S80" s="341">
        <f>S44+S54</f>
        <v/>
      </c>
      <c r="T80" s="341">
        <f>T44+T54</f>
        <v/>
      </c>
      <c r="U80" s="341">
        <f>U44+U54</f>
        <v/>
      </c>
      <c r="V80" s="341">
        <f>V44+V54</f>
        <v/>
      </c>
      <c r="W80" s="341">
        <f>W44+W54</f>
        <v/>
      </c>
      <c r="X80" s="341">
        <f>X44+X54</f>
        <v/>
      </c>
      <c r="Y80" s="342">
        <f>Y44+Y54</f>
        <v/>
      </c>
      <c r="Z80" s="342">
        <f>Z44+Z54</f>
        <v/>
      </c>
      <c r="AA80" s="342">
        <f>AA44+AA54</f>
        <v/>
      </c>
      <c r="AB80" s="342">
        <f>AB44+AB54</f>
        <v/>
      </c>
      <c r="AC80" s="342">
        <f>AC44+AC54</f>
        <v/>
      </c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>
        <f>I80/I39</f>
        <v/>
      </c>
      <c r="J81" s="339">
        <f>J80/J39</f>
        <v/>
      </c>
      <c r="K81" s="339">
        <f>K80/K39</f>
        <v/>
      </c>
      <c r="L81" s="339">
        <f>L80/L39</f>
        <v/>
      </c>
      <c r="M81" s="339">
        <f>M80/M39</f>
        <v/>
      </c>
      <c r="N81" s="339">
        <f>N80/N39</f>
        <v/>
      </c>
      <c r="O81" s="339">
        <f>O80/O39</f>
        <v/>
      </c>
      <c r="P81" s="339">
        <f>P80/P39</f>
        <v/>
      </c>
      <c r="Q81" s="339">
        <f>Q80/Q39</f>
        <v/>
      </c>
      <c r="R81" s="339">
        <f>R80/R39</f>
        <v/>
      </c>
      <c r="S81" s="339">
        <f>S80/S39</f>
        <v/>
      </c>
      <c r="T81" s="339">
        <f>T80/T39</f>
        <v/>
      </c>
      <c r="U81" s="339">
        <f>U80/U39</f>
        <v/>
      </c>
      <c r="V81" s="339">
        <f>V80/V39</f>
        <v/>
      </c>
      <c r="W81" s="339">
        <f>W80/W39</f>
        <v/>
      </c>
      <c r="X81" s="339">
        <f>X80/X39</f>
        <v/>
      </c>
      <c r="Y81" s="343">
        <f>Y80/Y39</f>
        <v/>
      </c>
      <c r="Z81" s="343">
        <f>Z80/Z39</f>
        <v/>
      </c>
      <c r="AA81" s="343">
        <f>AA80/AA39</f>
        <v/>
      </c>
      <c r="AB81" s="343">
        <f>AB80/AB39</f>
        <v/>
      </c>
      <c r="AC81" s="343">
        <f>AC80/AC39</f>
        <v/>
      </c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>
        <f>I39/IS!F41</f>
        <v/>
      </c>
      <c r="J82" s="339">
        <f>AVERAGE(J39,I39)/IS!G41</f>
        <v/>
      </c>
      <c r="K82" s="339">
        <f>AVERAGE(K39,J39)/IS!H41</f>
        <v/>
      </c>
      <c r="L82" s="339">
        <f>AVERAGE(L39,K39)/IS!I41</f>
        <v/>
      </c>
      <c r="M82" s="339">
        <f>AVERAGE(M39,L39)/IS!J41</f>
        <v/>
      </c>
      <c r="N82" s="339">
        <f>AVERAGE(N39,M39)/IS!K41</f>
        <v/>
      </c>
      <c r="O82" s="339">
        <f>AVERAGE(O39,N39)/IS!L41</f>
        <v/>
      </c>
      <c r="P82" s="339">
        <f>AVERAGE(P39,O39)/IS!M41</f>
        <v/>
      </c>
      <c r="Q82" s="339">
        <f>AVERAGE(Q39,P39)/IS!N41</f>
        <v/>
      </c>
      <c r="R82" s="339">
        <f>AVERAGE(R39,Q39)/IS!O41</f>
        <v/>
      </c>
      <c r="S82" s="339">
        <f>AVERAGE(S39,R39)/IS!P41</f>
        <v/>
      </c>
      <c r="T82" s="339">
        <f>AVERAGE(T39,S39)/IS!Q41</f>
        <v/>
      </c>
      <c r="U82" s="339">
        <f>AVERAGE(U39,T39)/IS!R41</f>
        <v/>
      </c>
      <c r="V82" s="339">
        <f>AVERAGE(V39,U39)/IS!S41</f>
        <v/>
      </c>
      <c r="W82" s="339">
        <f>AVERAGE(W39,V39)/IS!T41</f>
        <v/>
      </c>
      <c r="X82" s="339">
        <f>AVERAGE(X39,W39)/IS!U41</f>
        <v/>
      </c>
      <c r="Y82" s="343">
        <f>AVERAGE(Y39,X39)/IS!V41</f>
        <v/>
      </c>
      <c r="Z82" s="343">
        <f>AVERAGE(Z39,Y39)/IS!W41</f>
        <v/>
      </c>
      <c r="AA82" s="343">
        <f>AVERAGE(AA39,Z39)/IS!X41</f>
        <v/>
      </c>
      <c r="AB82" s="343">
        <f>AVERAGE(AB39,AA39)/IS!Y41</f>
        <v/>
      </c>
      <c r="AC82" s="343">
        <f>AVERAGE(AC39,AB39)/IS!Z41</f>
        <v/>
      </c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>
        <f>IS!F35/BS!I39</f>
        <v/>
      </c>
      <c r="J83" s="264">
        <f>IS!G35/AVERAGE(BS!J39,BS!I39)</f>
        <v/>
      </c>
      <c r="K83" s="264">
        <f>IS!H35/AVERAGE(BS!K39,BS!J39)</f>
        <v/>
      </c>
      <c r="L83" s="264">
        <f>IS!I35/AVERAGE(BS!L39,BS!K39)</f>
        <v/>
      </c>
      <c r="M83" s="264">
        <f>IS!J35/AVERAGE(BS!M39,BS!L39)</f>
        <v/>
      </c>
      <c r="N83" s="264">
        <f>IS!K35/AVERAGE(BS!N39,BS!M39)</f>
        <v/>
      </c>
      <c r="O83" s="264">
        <f>IS!L35/AVERAGE(BS!O39,BS!N39)</f>
        <v/>
      </c>
      <c r="P83" s="264">
        <f>IS!M35/AVERAGE(BS!P39,BS!O39)</f>
        <v/>
      </c>
      <c r="Q83" s="264">
        <f>IS!N35/AVERAGE(BS!Q39,BS!P39)</f>
        <v/>
      </c>
      <c r="R83" s="264">
        <f>IS!O35/AVERAGE(BS!R39,BS!Q39)</f>
        <v/>
      </c>
      <c r="S83" s="264">
        <f>IS!P35/AVERAGE(BS!S39,BS!R39)</f>
        <v/>
      </c>
      <c r="T83" s="264">
        <f>IS!Q35/AVERAGE(BS!T39,BS!S39)</f>
        <v/>
      </c>
      <c r="U83" s="264">
        <f>IS!R35/AVERAGE(BS!U39,BS!T39)</f>
        <v/>
      </c>
      <c r="V83" s="264">
        <f>IS!S35/AVERAGE(BS!V39,BS!U39)</f>
        <v/>
      </c>
      <c r="W83" s="264">
        <f>IS!T35/AVERAGE(BS!W39,BS!V39)</f>
        <v/>
      </c>
      <c r="X83" s="264">
        <f>IS!U35/AVERAGE(BS!X39,BS!W39)</f>
        <v/>
      </c>
      <c r="Y83" s="265">
        <f>IS!V35/AVERAGE(BS!Y39,BS!X39)</f>
        <v/>
      </c>
      <c r="Z83" s="265">
        <f>IS!W35/AVERAGE(BS!Z39,BS!Y39)</f>
        <v/>
      </c>
      <c r="AA83" s="265">
        <f>IS!X35/AVERAGE(BS!AA39,BS!Z39)</f>
        <v/>
      </c>
      <c r="AB83" s="265">
        <f>IS!Y35/AVERAGE(BS!AB39,BS!AA39)</f>
        <v/>
      </c>
      <c r="AC83" s="265">
        <f>IS!Z35/AVERAGE(BS!AC39,BS!AB39)</f>
        <v/>
      </c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>
        <f>IS!F30</f>
        <v/>
      </c>
      <c r="C4" s="60">
        <f>IS!G30</f>
        <v/>
      </c>
      <c r="D4" s="60">
        <f>IS!H30</f>
        <v/>
      </c>
      <c r="E4" s="60">
        <f>IS!I30</f>
        <v/>
      </c>
      <c r="F4" s="60">
        <f>IS!J30</f>
        <v/>
      </c>
      <c r="G4" s="60">
        <f>IS!K30</f>
        <v/>
      </c>
      <c r="H4" s="60">
        <f>IS!L30</f>
        <v/>
      </c>
      <c r="I4" s="60">
        <f>IS!M30</f>
        <v/>
      </c>
      <c r="J4" s="60">
        <f>IS!N30</f>
        <v/>
      </c>
      <c r="K4" s="60">
        <f>IS!O30</f>
        <v/>
      </c>
      <c r="L4" s="60">
        <f>IS!P30</f>
        <v/>
      </c>
      <c r="M4" s="60">
        <f>IS!Q30</f>
        <v/>
      </c>
      <c r="N4" s="60">
        <f>IS!R30</f>
        <v/>
      </c>
      <c r="O4" s="60">
        <f>IS!S30</f>
        <v/>
      </c>
      <c r="P4" s="60">
        <f>IS!T30</f>
        <v/>
      </c>
      <c r="Q4" s="60">
        <f>IS!U30</f>
        <v/>
      </c>
      <c r="R4" s="60">
        <f>IS!V30</f>
        <v/>
      </c>
      <c r="S4" s="60">
        <f>IS!W30</f>
        <v/>
      </c>
      <c r="T4" s="60">
        <f>IS!X30</f>
        <v/>
      </c>
      <c r="U4" s="60">
        <f>IS!Y30</f>
        <v/>
      </c>
      <c r="V4" s="60">
        <f>IS!Z30</f>
        <v/>
      </c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>
        <f>IS!F21-B11</f>
        <v/>
      </c>
      <c r="C6" s="48">
        <f>IS!G21-C11</f>
        <v/>
      </c>
      <c r="D6" s="48">
        <f>IS!H21-D11</f>
        <v/>
      </c>
      <c r="E6" s="48">
        <f>IS!I21-E11</f>
        <v/>
      </c>
      <c r="F6" s="48">
        <f>IS!J21-F11</f>
        <v/>
      </c>
      <c r="G6" s="48">
        <f>IS!K21-G11</f>
        <v/>
      </c>
      <c r="H6" s="48">
        <f>IS!L21-H11</f>
        <v/>
      </c>
      <c r="I6" s="48">
        <f>IS!M21-I11</f>
        <v/>
      </c>
      <c r="J6" s="48">
        <f>IS!N21-J11</f>
        <v/>
      </c>
      <c r="K6" s="48">
        <f>IS!O21-K11</f>
        <v/>
      </c>
      <c r="L6" s="48">
        <f>IS!P21-L11</f>
        <v/>
      </c>
      <c r="M6" s="48">
        <f>IS!Q21-M11</f>
        <v/>
      </c>
      <c r="N6" s="48">
        <f>IS!R21-N11</f>
        <v/>
      </c>
      <c r="O6" s="48">
        <f>IS!S21-O11</f>
        <v/>
      </c>
      <c r="P6" s="48">
        <f>IS!T21-P11</f>
        <v/>
      </c>
      <c r="Q6" s="48">
        <f>IS!U21-Q11</f>
        <v/>
      </c>
      <c r="R6" s="48">
        <f>Schedule!U14</f>
        <v/>
      </c>
      <c r="S6" s="48">
        <f>Schedule!V14</f>
        <v/>
      </c>
      <c r="T6" s="48">
        <f>Schedule!W14</f>
        <v/>
      </c>
      <c r="U6" s="48">
        <f>Schedule!X14</f>
        <v/>
      </c>
      <c r="V6" s="48">
        <f>Schedule!Y14</f>
        <v/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>
        <f>IS!F24</f>
        <v/>
      </c>
      <c r="C7" s="48">
        <f>IS!G24</f>
        <v/>
      </c>
      <c r="D7" s="48">
        <f>IS!H24</f>
        <v/>
      </c>
      <c r="E7" s="48">
        <f>IS!I24</f>
        <v/>
      </c>
      <c r="F7" s="48">
        <f>IS!J24</f>
        <v/>
      </c>
      <c r="G7" s="48">
        <f>IS!K24</f>
        <v/>
      </c>
      <c r="H7" s="48">
        <f>IS!L24</f>
        <v/>
      </c>
      <c r="I7" s="48">
        <f>IS!M24</f>
        <v/>
      </c>
      <c r="J7" s="48">
        <f>IS!N24</f>
        <v/>
      </c>
      <c r="K7" s="48">
        <f>IS!O24</f>
        <v/>
      </c>
      <c r="L7" s="48">
        <f>IS!P24</f>
        <v/>
      </c>
      <c r="M7" s="48">
        <f>IS!Q24</f>
        <v/>
      </c>
      <c r="N7" s="48">
        <f>IS!R24</f>
        <v/>
      </c>
      <c r="O7" s="48">
        <f>IS!S24</f>
        <v/>
      </c>
      <c r="P7" s="48">
        <f>IS!T24</f>
        <v/>
      </c>
      <c r="Q7" s="48">
        <f>IS!U24</f>
        <v/>
      </c>
      <c r="R7" s="48">
        <f>IS!V24</f>
        <v/>
      </c>
      <c r="S7" s="48">
        <f>IS!W24</f>
        <v/>
      </c>
      <c r="T7" s="48">
        <f>IS!X24</f>
        <v/>
      </c>
      <c r="U7" s="48">
        <f>IS!Y24</f>
        <v/>
      </c>
      <c r="V7" s="48">
        <f>IS!Z24</f>
        <v/>
      </c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>
        <f>IS!F25</f>
        <v/>
      </c>
      <c r="C8" s="48">
        <f>IS!G25</f>
        <v/>
      </c>
      <c r="D8" s="48">
        <f>IS!H25</f>
        <v/>
      </c>
      <c r="E8" s="48">
        <f>IS!I25</f>
        <v/>
      </c>
      <c r="F8" s="48">
        <f>IS!J25</f>
        <v/>
      </c>
      <c r="G8" s="48">
        <f>IS!K25</f>
        <v/>
      </c>
      <c r="H8" s="48">
        <f>IS!L25</f>
        <v/>
      </c>
      <c r="I8" s="48">
        <f>IS!M25</f>
        <v/>
      </c>
      <c r="J8" s="48">
        <f>IS!N25</f>
        <v/>
      </c>
      <c r="K8" s="48">
        <f>IS!O25</f>
        <v/>
      </c>
      <c r="L8" s="48">
        <f>IS!P25</f>
        <v/>
      </c>
      <c r="M8" s="48">
        <f>IS!Q25</f>
        <v/>
      </c>
      <c r="N8" s="48">
        <f>IS!R25</f>
        <v/>
      </c>
      <c r="O8" s="48">
        <f>IS!S25</f>
        <v/>
      </c>
      <c r="P8" s="48">
        <f>IS!T25</f>
        <v/>
      </c>
      <c r="Q8" s="48">
        <f>IS!U25</f>
        <v/>
      </c>
      <c r="R8" s="48">
        <f>IS!V25</f>
        <v/>
      </c>
      <c r="S8" s="48">
        <f>IS!W25</f>
        <v/>
      </c>
      <c r="T8" s="48">
        <f>IS!X25</f>
        <v/>
      </c>
      <c r="U8" s="48">
        <f>IS!Y25</f>
        <v/>
      </c>
      <c r="V8" s="48">
        <f>IS!Z25</f>
        <v/>
      </c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>
        <f>B4+SUM(B6:B12)</f>
        <v/>
      </c>
      <c r="C13" s="60">
        <f>C4+SUM(C6:C12)</f>
        <v/>
      </c>
      <c r="D13" s="60">
        <f>D4+SUM(D6:D12)</f>
        <v/>
      </c>
      <c r="E13" s="60">
        <f>E4+SUM(E6:E12)</f>
        <v/>
      </c>
      <c r="F13" s="60">
        <f>F4+SUM(F6:F12)</f>
        <v/>
      </c>
      <c r="G13" s="60">
        <f>G4+SUM(G6:G12)</f>
        <v/>
      </c>
      <c r="H13" s="60">
        <f>H4+SUM(H6:H12)</f>
        <v/>
      </c>
      <c r="I13" s="60">
        <f>I4+SUM(I6:I12)</f>
        <v/>
      </c>
      <c r="J13" s="60">
        <f>J4+SUM(J6:J12)</f>
        <v/>
      </c>
      <c r="K13" s="60">
        <f>K4+SUM(K6:K12)</f>
        <v/>
      </c>
      <c r="L13" s="60">
        <f>L4+SUM(L6:L12)</f>
        <v/>
      </c>
      <c r="M13" s="60">
        <f>M4+SUM(M6:M12)</f>
        <v/>
      </c>
      <c r="N13" s="29">
        <f>N4+SUM(N6:N12)</f>
        <v/>
      </c>
      <c r="O13" s="29">
        <f>O4+SUM(O6:O12)</f>
        <v/>
      </c>
      <c r="P13" s="29">
        <f>P4+SUM(P6:P12)</f>
        <v/>
      </c>
      <c r="Q13" s="29">
        <f>Q4+SUM(Q6:Q12)</f>
        <v/>
      </c>
      <c r="R13" s="29">
        <f>R4+SUM(R6:R12)</f>
        <v/>
      </c>
      <c r="S13" s="29">
        <f>S4+SUM(S6:S12)</f>
        <v/>
      </c>
      <c r="T13" s="29">
        <f>T4+SUM(T6:T12)</f>
        <v/>
      </c>
      <c r="U13" s="29">
        <f>U4+SUM(U6:U12)</f>
        <v/>
      </c>
      <c r="V13" s="29">
        <f>V4+SUM(V6:V12)</f>
        <v/>
      </c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>
        <f>-1261-4255</f>
        <v/>
      </c>
      <c r="C15" s="48">
        <f>-4073-1050</f>
        <v/>
      </c>
      <c r="D15" s="48">
        <f>-2594-831</f>
        <v/>
      </c>
      <c r="E15" s="48">
        <f>-3250-2920</f>
        <v/>
      </c>
      <c r="F15" s="48">
        <f>-5748-5885</f>
        <v/>
      </c>
      <c r="G15" s="48">
        <f>-5509-8760</f>
        <v/>
      </c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>
        <f>BS!X24-BS!Y24</f>
        <v/>
      </c>
      <c r="S15" s="48">
        <f>BS!Y24-BS!Z24</f>
        <v/>
      </c>
      <c r="T15" s="48">
        <f>BS!Z24-BS!AA24</f>
        <v/>
      </c>
      <c r="U15" s="48">
        <f>BS!AA24-BS!AB24</f>
        <v/>
      </c>
      <c r="V15" s="48">
        <f>BS!AB24-BS!AC24</f>
        <v/>
      </c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>
        <f>11077</f>
        <v/>
      </c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>
        <f>BS!Y57-BS!X57</f>
        <v/>
      </c>
      <c r="S16" s="48">
        <f>BS!Z57-BS!Y57</f>
        <v/>
      </c>
      <c r="T16" s="48">
        <f>BS!AA57-BS!Z57</f>
        <v/>
      </c>
      <c r="U16" s="48">
        <f>BS!AB57-BS!AA57</f>
        <v/>
      </c>
      <c r="V16" s="48">
        <f>BS!AC57-BS!AB57</f>
        <v/>
      </c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>
        <f>SUM(B13:B20)</f>
        <v/>
      </c>
      <c r="C21" s="60">
        <f>SUM(C13:C20)</f>
        <v/>
      </c>
      <c r="D21" s="60">
        <f>SUM(D13:D20)</f>
        <v/>
      </c>
      <c r="E21" s="60">
        <f>SUM(E13:E20)</f>
        <v/>
      </c>
      <c r="F21" s="60">
        <f>SUM(F13:F20)</f>
        <v/>
      </c>
      <c r="G21" s="60">
        <f>SUM(G13:G20)</f>
        <v/>
      </c>
      <c r="H21" s="60">
        <f>SUM(H13:H20)</f>
        <v/>
      </c>
      <c r="I21" s="60">
        <f>SUM(I13:I20)</f>
        <v/>
      </c>
      <c r="J21" s="60">
        <f>SUM(J13:J20)</f>
        <v/>
      </c>
      <c r="K21" s="60">
        <f>SUM(K13:K20)</f>
        <v/>
      </c>
      <c r="L21" s="60">
        <f>SUM(L13:L20)</f>
        <v/>
      </c>
      <c r="M21" s="60">
        <f>SUM(M13:M20)</f>
        <v/>
      </c>
      <c r="N21" s="29">
        <f>SUM(N13:N20)</f>
        <v/>
      </c>
      <c r="O21" s="29">
        <f>SUM(O13:O20)</f>
        <v/>
      </c>
      <c r="P21" s="29" t="n">
        <v>326259</v>
      </c>
      <c r="Q21" s="29">
        <f>SUM(Q13:Q20)</f>
        <v/>
      </c>
      <c r="R21" s="29">
        <f>SUM(R13:R20)</f>
        <v/>
      </c>
      <c r="S21" s="29">
        <f>SUM(S13:S20)</f>
        <v/>
      </c>
      <c r="T21" s="29">
        <f>SUM(T13:T20)</f>
        <v/>
      </c>
      <c r="U21" s="29">
        <f>SUM(U13:U20)</f>
        <v/>
      </c>
      <c r="V21" s="29">
        <f>SUM(V13:V20)</f>
        <v/>
      </c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>
        <f>-IS!V33</f>
        <v/>
      </c>
      <c r="S23" s="48">
        <f>-IS!W33</f>
        <v/>
      </c>
      <c r="T23" s="48">
        <f>-IS!X33</f>
        <v/>
      </c>
      <c r="U23" s="48">
        <f>-IS!Y33</f>
        <v/>
      </c>
      <c r="V23" s="48">
        <f>-IS!Z33</f>
        <v/>
      </c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>
        <f>SUM(B21:B23)</f>
        <v/>
      </c>
      <c r="C24" s="61">
        <f>SUM(C21:C23)</f>
        <v/>
      </c>
      <c r="D24" s="61">
        <f>SUM(D21:D23)</f>
        <v/>
      </c>
      <c r="E24" s="61">
        <f>SUM(E21:E23)</f>
        <v/>
      </c>
      <c r="F24" s="61">
        <f>SUM(F21:F23)</f>
        <v/>
      </c>
      <c r="G24" s="61">
        <f>SUM(G21:G23)</f>
        <v/>
      </c>
      <c r="H24" s="61">
        <f>SUM(H21:H23)</f>
        <v/>
      </c>
      <c r="I24" s="61">
        <f>SUM(I21:I23)</f>
        <v/>
      </c>
      <c r="J24" s="61">
        <f>SUM(J21:J23)</f>
        <v/>
      </c>
      <c r="K24" s="61">
        <f>SUM(K21:K23)</f>
        <v/>
      </c>
      <c r="L24" s="61">
        <f>SUM(L21:L23)</f>
        <v/>
      </c>
      <c r="M24" s="61">
        <f>SUM(M21:M23)</f>
        <v/>
      </c>
      <c r="N24" s="43">
        <f>SUM(N21:N23)</f>
        <v/>
      </c>
      <c r="O24" s="43">
        <f>SUM(O21:O23)</f>
        <v/>
      </c>
      <c r="P24" s="43">
        <f>SUM(P21:P23)</f>
        <v/>
      </c>
      <c r="Q24" s="43">
        <f>SUM(Q21:Q23)</f>
        <v/>
      </c>
      <c r="R24" s="43">
        <f>SUM(R21:R23)</f>
        <v/>
      </c>
      <c r="S24" s="43">
        <f>SUM(S21:S23)</f>
        <v/>
      </c>
      <c r="T24" s="43">
        <f>SUM(T21:T23)</f>
        <v/>
      </c>
      <c r="U24" s="43">
        <f>SUM(U21:U23)</f>
        <v/>
      </c>
      <c r="V24" s="43">
        <f>SUM(V21:V23)</f>
        <v/>
      </c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>
        <f>-Schedule!U18</f>
        <v/>
      </c>
      <c r="S27" s="48">
        <f>-Schedule!V18</f>
        <v/>
      </c>
      <c r="T27" s="48">
        <f>-Schedule!W18</f>
        <v/>
      </c>
      <c r="U27" s="48">
        <f>-Schedule!X18</f>
        <v/>
      </c>
      <c r="V27" s="48">
        <f>-Schedule!Y18</f>
        <v/>
      </c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>
        <f>300-14915</f>
        <v/>
      </c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>
        <f>40-14039</f>
        <v/>
      </c>
      <c r="C33" s="48" t="n"/>
      <c r="D33" s="48" t="n">
        <v>-1354</v>
      </c>
      <c r="E33" s="48">
        <f>465-753</f>
        <v/>
      </c>
      <c r="F33" s="48">
        <f>43-122</f>
        <v/>
      </c>
      <c r="G33" s="48">
        <f>-1044</f>
        <v/>
      </c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>
        <f>SUM(B27:B41)</f>
        <v/>
      </c>
      <c r="C42" s="61">
        <f>SUM(C27:C41)</f>
        <v/>
      </c>
      <c r="D42" s="61">
        <f>SUM(D27:D41)</f>
        <v/>
      </c>
      <c r="E42" s="61">
        <f>SUM(E27:E41)</f>
        <v/>
      </c>
      <c r="F42" s="61">
        <f>SUM(F27:F41)</f>
        <v/>
      </c>
      <c r="G42" s="61">
        <f>SUM(G27:G41)</f>
        <v/>
      </c>
      <c r="H42" s="61">
        <f>SUM(H27:H41)</f>
        <v/>
      </c>
      <c r="I42" s="61">
        <f>SUM(I27:I41)</f>
        <v/>
      </c>
      <c r="J42" s="61">
        <f>SUM(J27:J41)</f>
        <v/>
      </c>
      <c r="K42" s="61">
        <f>SUM(K27:K41)</f>
        <v/>
      </c>
      <c r="L42" s="61">
        <f>SUM(L27:L41)</f>
        <v/>
      </c>
      <c r="M42" s="61">
        <f>SUM(M27:M41)</f>
        <v/>
      </c>
      <c r="N42" s="43">
        <f>SUM(N27:N41)</f>
        <v/>
      </c>
      <c r="O42" s="43">
        <f>SUM(O27:O41)</f>
        <v/>
      </c>
      <c r="P42" s="43">
        <f>SUM(P27:P41)</f>
        <v/>
      </c>
      <c r="Q42" s="43">
        <f>SUM(Q27:Q41)</f>
        <v/>
      </c>
      <c r="R42" s="43">
        <f>SUM(R27:R41)</f>
        <v/>
      </c>
      <c r="S42" s="43">
        <f>SUM(S27:S41)</f>
        <v/>
      </c>
      <c r="T42" s="43">
        <f>SUM(T27:T41)</f>
        <v/>
      </c>
      <c r="U42" s="43">
        <f>SUM(U27:U41)</f>
        <v/>
      </c>
      <c r="V42" s="43">
        <f>SUM(V27:V41)</f>
        <v/>
      </c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>
        <f>32091-382</f>
        <v/>
      </c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>
        <f>'Debt Schedule'!T13</f>
        <v/>
      </c>
      <c r="S47" s="48">
        <f>'Debt Schedule'!U13</f>
        <v/>
      </c>
      <c r="T47" s="48">
        <f>'Debt Schedule'!V13</f>
        <v/>
      </c>
      <c r="U47" s="48">
        <f>'Debt Schedule'!W13</f>
        <v/>
      </c>
      <c r="V47" s="48">
        <f>'Debt Schedule'!X13</f>
        <v/>
      </c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>
        <f>-'Debt Schedule'!T11</f>
        <v/>
      </c>
      <c r="S48" s="48">
        <f>-'Debt Schedule'!U11</f>
        <v/>
      </c>
      <c r="T48" s="48">
        <f>-'Debt Schedule'!V11</f>
        <v/>
      </c>
      <c r="U48" s="48">
        <f>-'Debt Schedule'!W11</f>
        <v/>
      </c>
      <c r="V48" s="48">
        <f>-'Debt Schedule'!X11</f>
        <v/>
      </c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>
        <f>2146-2430</f>
        <v/>
      </c>
      <c r="C49" s="48">
        <f>6122-8420</f>
        <v/>
      </c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>
        <f>82-1630</f>
        <v/>
      </c>
      <c r="C53" s="48">
        <f>125-3005</f>
        <v/>
      </c>
      <c r="D53" s="48">
        <f>277-3231</f>
        <v/>
      </c>
      <c r="E53" s="48">
        <f>-96-3157+210</f>
        <v/>
      </c>
      <c r="F53" s="48">
        <f>-2180+80</f>
        <v/>
      </c>
      <c r="G53" s="48">
        <f>-2561-118</f>
        <v/>
      </c>
      <c r="H53" s="48">
        <f>-68-3880</f>
        <v/>
      </c>
      <c r="I53" s="48">
        <f>22-4670</f>
        <v/>
      </c>
      <c r="J53" s="48" t="n">
        <v>-6368</v>
      </c>
      <c r="K53" s="48" t="n">
        <v>-21595</v>
      </c>
      <c r="L53" s="48" t="n">
        <v>-32352</v>
      </c>
      <c r="M53" s="48">
        <f>-34339-579</f>
        <v/>
      </c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>
        <f>-4411-157</f>
        <v/>
      </c>
      <c r="M55" s="48">
        <f>-4412-1126</f>
        <v/>
      </c>
      <c r="N55" s="54">
        <f>-4439-2296</f>
        <v/>
      </c>
      <c r="O55" s="54">
        <f>-16034-5365</f>
        <v/>
      </c>
      <c r="P55" s="54" t="n">
        <v>-15304</v>
      </c>
      <c r="Q55" s="54" t="n">
        <v>-9168</v>
      </c>
      <c r="R55" s="48">
        <f>-Schedule!U22</f>
        <v/>
      </c>
      <c r="S55" s="48">
        <f>-Schedule!V22</f>
        <v/>
      </c>
      <c r="T55" s="48">
        <f>-Schedule!W22</f>
        <v/>
      </c>
      <c r="U55" s="48">
        <f>-Schedule!X22</f>
        <v/>
      </c>
      <c r="V55" s="48">
        <f>-Schedule!Y22</f>
        <v/>
      </c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>
        <f>SUM(B46:B58)</f>
        <v/>
      </c>
      <c r="C59" s="62">
        <f>SUM(C46:C58)</f>
        <v/>
      </c>
      <c r="D59" s="62">
        <f>SUM(D46:D58)</f>
        <v/>
      </c>
      <c r="E59" s="62">
        <f>SUM(E46:E58)</f>
        <v/>
      </c>
      <c r="F59" s="62">
        <f>SUM(F46:F58)</f>
        <v/>
      </c>
      <c r="G59" s="62">
        <f>SUM(G46:G58)</f>
        <v/>
      </c>
      <c r="H59" s="62">
        <f>SUM(H46:H58)</f>
        <v/>
      </c>
      <c r="I59" s="62">
        <f>SUM(I46:I58)</f>
        <v/>
      </c>
      <c r="J59" s="62">
        <f>SUM(J46:J58)</f>
        <v/>
      </c>
      <c r="K59" s="62">
        <f>SUM(K46:K58)</f>
        <v/>
      </c>
      <c r="L59" s="62">
        <f>SUM(L46:L58)</f>
        <v/>
      </c>
      <c r="M59" s="62">
        <f>SUM(M46:M58)</f>
        <v/>
      </c>
      <c r="N59" s="62">
        <f>SUM(N46:N58)</f>
        <v/>
      </c>
      <c r="O59" s="62">
        <f>SUM(O46:O58)</f>
        <v/>
      </c>
      <c r="P59" s="62">
        <f>SUM(P46:P58)</f>
        <v/>
      </c>
      <c r="Q59" s="62">
        <f>SUM(Q46:Q58)</f>
        <v/>
      </c>
      <c r="R59" s="62">
        <f>SUM(R46:R58)</f>
        <v/>
      </c>
      <c r="S59" s="62">
        <f>SUM(S46:S58)</f>
        <v/>
      </c>
      <c r="T59" s="62">
        <f>SUM(T46:T58)</f>
        <v/>
      </c>
      <c r="U59" s="62">
        <f>SUM(U46:U58)</f>
        <v/>
      </c>
      <c r="V59" s="62">
        <f>SUM(V46:V58)</f>
        <v/>
      </c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>
        <f>SUM(B24+B42+B59)</f>
        <v/>
      </c>
      <c r="C60" s="62">
        <f>SUM(C24+C42+C59)</f>
        <v/>
      </c>
      <c r="D60" s="62">
        <f>SUM(D24+D42+D59)</f>
        <v/>
      </c>
      <c r="E60" s="62">
        <f>SUM(E24+E42+E59)</f>
        <v/>
      </c>
      <c r="F60" s="62">
        <f>SUM(F24+F42+F59)</f>
        <v/>
      </c>
      <c r="G60" s="62">
        <f>SUM(G24+G42+G59)</f>
        <v/>
      </c>
      <c r="H60" s="62">
        <f>SUM(H24+H42+H59)</f>
        <v/>
      </c>
      <c r="I60" s="62">
        <f>SUM(I24+I42+I59)</f>
        <v/>
      </c>
      <c r="J60" s="62">
        <f>SUM(J24+J42+J59)</f>
        <v/>
      </c>
      <c r="K60" s="62">
        <f>SUM(K24+K42+K59)</f>
        <v/>
      </c>
      <c r="L60" s="62">
        <f>SUM(L24+L42+L59)</f>
        <v/>
      </c>
      <c r="M60" s="62">
        <f>SUM(M24+M42+M59)</f>
        <v/>
      </c>
      <c r="N60" s="39">
        <f>SUM(N24+N42+N59)</f>
        <v/>
      </c>
      <c r="O60" s="39">
        <f>SUM(O24+O42+O59)</f>
        <v/>
      </c>
      <c r="P60" s="39">
        <f>SUM(P24+P42+P59)</f>
        <v/>
      </c>
      <c r="Q60" s="39">
        <f>SUM(Q24+Q42+Q59)</f>
        <v/>
      </c>
      <c r="R60" s="39">
        <f>SUM(R24+R42+R59)</f>
        <v/>
      </c>
      <c r="S60" s="39">
        <f>SUM(S24+S42+S59)</f>
        <v/>
      </c>
      <c r="T60" s="39">
        <f>SUM(T24+T42+T59)</f>
        <v/>
      </c>
      <c r="U60" s="39">
        <f>SUM(U24+U42+U59)</f>
        <v/>
      </c>
      <c r="V60" s="39">
        <f>SUM(V24+V42+V59)</f>
        <v/>
      </c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>
        <f>B63</f>
        <v/>
      </c>
      <c r="D62" s="64">
        <f>C63</f>
        <v/>
      </c>
      <c r="E62" s="48">
        <f>D63</f>
        <v/>
      </c>
      <c r="F62" s="48">
        <f>E63</f>
        <v/>
      </c>
      <c r="G62" s="48">
        <f>F63</f>
        <v/>
      </c>
      <c r="H62" s="48">
        <f>G63</f>
        <v/>
      </c>
      <c r="I62" s="48">
        <f>H63</f>
        <v/>
      </c>
      <c r="J62" s="48">
        <f>I63</f>
        <v/>
      </c>
      <c r="K62" s="48">
        <f>J63</f>
        <v/>
      </c>
      <c r="L62" s="48">
        <f>K63</f>
        <v/>
      </c>
      <c r="M62" s="48">
        <f>L63</f>
        <v/>
      </c>
      <c r="N62" s="54">
        <f>M63</f>
        <v/>
      </c>
      <c r="O62" s="54">
        <f>N63</f>
        <v/>
      </c>
      <c r="P62" s="54">
        <f>O63</f>
        <v/>
      </c>
      <c r="Q62" s="54">
        <f>P63</f>
        <v/>
      </c>
      <c r="R62" s="54">
        <f>Q63</f>
        <v/>
      </c>
      <c r="S62" s="54">
        <f>R63</f>
        <v/>
      </c>
      <c r="T62" s="54">
        <f>S63</f>
        <v/>
      </c>
      <c r="U62" s="54">
        <f>T63</f>
        <v/>
      </c>
      <c r="V62" s="54">
        <f>U63</f>
        <v/>
      </c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>
        <f>SUM(B60:B62)</f>
        <v/>
      </c>
      <c r="C63" s="66">
        <f>SUM(C60:C62)</f>
        <v/>
      </c>
      <c r="D63" s="61">
        <f>SUM(D60:D62)</f>
        <v/>
      </c>
      <c r="E63" s="61">
        <f>SUM(E60:E62)</f>
        <v/>
      </c>
      <c r="F63" s="61">
        <f>SUM(F60:F62)</f>
        <v/>
      </c>
      <c r="G63" s="61">
        <f>SUM(G60:G62)</f>
        <v/>
      </c>
      <c r="H63" s="61">
        <f>SUM(H60:H62)</f>
        <v/>
      </c>
      <c r="I63" s="61">
        <f>SUM(I60:I62)</f>
        <v/>
      </c>
      <c r="J63" s="61">
        <f>SUM(J60:J62)</f>
        <v/>
      </c>
      <c r="K63" s="61">
        <f>SUM(K60:K62)</f>
        <v/>
      </c>
      <c r="L63" s="61">
        <f>SUM(L60:L62)</f>
        <v/>
      </c>
      <c r="M63" s="61">
        <f>SUM(M60:M62)</f>
        <v/>
      </c>
      <c r="N63" s="43">
        <f>SUM(N60:N62)</f>
        <v/>
      </c>
      <c r="O63" s="43">
        <f>SUM(O60:O62)</f>
        <v/>
      </c>
      <c r="P63" s="43">
        <f>SUM(P60:P62)</f>
        <v/>
      </c>
      <c r="Q63" s="43">
        <f>SUM(Q60:Q62)</f>
        <v/>
      </c>
      <c r="R63" s="43">
        <f>SUM(R60:R62)</f>
        <v/>
      </c>
      <c r="S63" s="43">
        <f>SUM(S60:S62)</f>
        <v/>
      </c>
      <c r="T63" s="43">
        <f>SUM(T60:T62)</f>
        <v/>
      </c>
      <c r="U63" s="43">
        <f>SUM(U60:U62)</f>
        <v/>
      </c>
      <c r="V63" s="43">
        <f>SUM(V60:V62)</f>
        <v/>
      </c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>
        <f>EOMONTH(D1,12)</f>
        <v/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>
        <f>CF!B62</f>
        <v/>
      </c>
      <c r="E4" s="192">
        <f>CF!C62</f>
        <v/>
      </c>
      <c r="F4" s="192">
        <f>CF!D62</f>
        <v/>
      </c>
      <c r="G4" s="192">
        <f>CF!E62</f>
        <v/>
      </c>
      <c r="H4" s="192">
        <f>CF!F62</f>
        <v/>
      </c>
      <c r="I4" s="192">
        <f>CF!G62</f>
        <v/>
      </c>
      <c r="J4" s="192">
        <f>CF!H62</f>
        <v/>
      </c>
      <c r="K4" s="192">
        <f>CF!I62</f>
        <v/>
      </c>
      <c r="L4" s="192">
        <f>CF!J62</f>
        <v/>
      </c>
      <c r="M4" s="192">
        <f>CF!K62</f>
        <v/>
      </c>
      <c r="N4" s="192">
        <f>CF!L62</f>
        <v/>
      </c>
      <c r="O4" s="192">
        <f>CF!M62</f>
        <v/>
      </c>
      <c r="P4" s="192">
        <f>CF!N62</f>
        <v/>
      </c>
      <c r="Q4" s="192">
        <f>CF!O62</f>
        <v/>
      </c>
      <c r="R4" s="192">
        <f>CF!P62</f>
        <v/>
      </c>
      <c r="S4" s="192">
        <f>CF!Q62</f>
        <v/>
      </c>
      <c r="T4" s="192">
        <f>CF!R62</f>
        <v/>
      </c>
      <c r="U4" s="192">
        <f>CF!S62</f>
        <v/>
      </c>
      <c r="V4" s="192">
        <f>CF!T62</f>
        <v/>
      </c>
      <c r="W4" s="192">
        <f>CF!U62</f>
        <v/>
      </c>
      <c r="X4" s="192">
        <f>CF!V62</f>
        <v/>
      </c>
    </row>
    <row r="5">
      <c r="A5" s="187" t="inlineStr">
        <is>
          <t>Cash Flow Before Financing (CFO+CFI WITHOUT INV)</t>
        </is>
      </c>
      <c r="D5" s="192">
        <f>SUM(CF!B24,CF!B27:B29,CF!B32:B41)</f>
        <v/>
      </c>
      <c r="E5" s="192">
        <f>SUM(CF!C24,CF!C27:C29,CF!C32:C41)</f>
        <v/>
      </c>
      <c r="F5" s="192">
        <f>SUM(CF!D24,CF!D27:D29,CF!D32:D41)</f>
        <v/>
      </c>
      <c r="G5" s="192">
        <f>SUM(CF!E24,CF!E27:E29,CF!E32:E41)</f>
        <v/>
      </c>
      <c r="H5" s="192">
        <f>SUM(CF!F24,CF!F27:F29,CF!F32:F41)</f>
        <v/>
      </c>
      <c r="I5" s="192">
        <f>SUM(CF!G24,CF!G27:G29,CF!G32:G41)</f>
        <v/>
      </c>
      <c r="J5" s="192">
        <f>SUM(CF!H24,CF!H27:H29,CF!H32:H41)</f>
        <v/>
      </c>
      <c r="K5" s="192">
        <f>SUM(CF!I24,CF!I27:I29,CF!I32:I41)</f>
        <v/>
      </c>
      <c r="L5" s="192">
        <f>SUM(CF!J24,CF!J27:J29,CF!J32:J41)</f>
        <v/>
      </c>
      <c r="M5" s="192">
        <f>SUM(CF!K24,CF!K27:K29,CF!K32:K41)</f>
        <v/>
      </c>
      <c r="N5" s="192">
        <f>SUM(CF!L24,CF!L27:L29,CF!L32:L41)</f>
        <v/>
      </c>
      <c r="O5" s="192">
        <f>SUM(CF!M24,CF!M27:M29,CF!M32:M41)</f>
        <v/>
      </c>
      <c r="P5" s="192">
        <f>SUM(CF!N24,CF!N27:N29,CF!N32:N41)</f>
        <v/>
      </c>
      <c r="Q5" s="192">
        <f>SUM(CF!O24,CF!O27:O29,CF!O32:O41)</f>
        <v/>
      </c>
      <c r="R5" s="192">
        <f>SUM(CF!P24,CF!P27:P29,CF!P32:P41)</f>
        <v/>
      </c>
      <c r="S5" s="192">
        <f>SUM(CF!Q24,CF!Q27:Q29,CF!Q32:Q41)</f>
        <v/>
      </c>
      <c r="T5" s="192">
        <f>SUM(CF!R24,CF!R27:R29,CF!R32:R41)</f>
        <v/>
      </c>
      <c r="U5" s="192">
        <f>SUM(CF!S24,CF!S27:S29,CF!S32:S41)</f>
        <v/>
      </c>
      <c r="V5" s="192">
        <f>SUM(CF!T24,CF!T27:T29,CF!T32:T41)</f>
        <v/>
      </c>
      <c r="W5" s="192">
        <f>SUM(CF!U24,CF!U27:U29,CF!U32:U41)</f>
        <v/>
      </c>
      <c r="X5" s="192">
        <f>SUM(CF!V24,CF!V27:V29,CF!V32:V41)</f>
        <v/>
      </c>
    </row>
    <row r="6">
      <c r="A6" s="187" t="inlineStr">
        <is>
          <t>Cash For other financing items</t>
        </is>
      </c>
      <c r="D6" s="192">
        <f>SUM(CF!B46,CF!B50:B58)</f>
        <v/>
      </c>
      <c r="E6" s="192">
        <f>SUM(CF!C46,CF!C50:C58)</f>
        <v/>
      </c>
      <c r="F6" s="192">
        <f>SUM(CF!D46,CF!D50:D58)</f>
        <v/>
      </c>
      <c r="G6" s="192">
        <f>SUM(CF!E46,CF!E50:E58)</f>
        <v/>
      </c>
      <c r="H6" s="192">
        <f>SUM(CF!F46,CF!F50:F58)</f>
        <v/>
      </c>
      <c r="I6" s="192">
        <f>SUM(CF!G46,CF!G50:G58)</f>
        <v/>
      </c>
      <c r="J6" s="192">
        <f>SUM(CF!H46,CF!H50:H58)</f>
        <v/>
      </c>
      <c r="K6" s="192">
        <f>SUM(CF!I46,CF!I50:I58)</f>
        <v/>
      </c>
      <c r="L6" s="192">
        <f>SUM(CF!J46,CF!J50:J58)</f>
        <v/>
      </c>
      <c r="M6" s="192">
        <f>SUM(CF!K46,CF!K50:K58)</f>
        <v/>
      </c>
      <c r="N6" s="192">
        <f>SUM(CF!L46,CF!L50:L58)</f>
        <v/>
      </c>
      <c r="O6" s="192">
        <f>SUM(CF!M46,CF!M50:M58)</f>
        <v/>
      </c>
      <c r="P6" s="192">
        <f>SUM(CF!N46,CF!N50:N58)</f>
        <v/>
      </c>
      <c r="Q6" s="192">
        <f>SUM(CF!O46,CF!O50:O58)</f>
        <v/>
      </c>
      <c r="R6" s="192">
        <f>SUM(CF!P46,CF!P50:P58)</f>
        <v/>
      </c>
      <c r="S6" s="192">
        <f>SUM(CF!Q46,CF!Q50:Q58)</f>
        <v/>
      </c>
      <c r="T6" s="192">
        <f>SUM(CF!R46,CF!R50:R58)</f>
        <v/>
      </c>
      <c r="U6" s="192">
        <f>SUM(CF!S46,CF!S50:S58)</f>
        <v/>
      </c>
      <c r="V6" s="192">
        <f>SUM(CF!T46,CF!T50:T58)</f>
        <v/>
      </c>
      <c r="W6" s="192">
        <f>SUM(CF!U46,CF!U50:U58)</f>
        <v/>
      </c>
      <c r="X6" s="192">
        <f>SUM(CF!V46,CF!V50:V58)</f>
        <v/>
      </c>
    </row>
    <row r="7">
      <c r="A7" s="187" t="inlineStr">
        <is>
          <t>Minimum Cash</t>
        </is>
      </c>
      <c r="C7" s="100" t="n">
        <v>1000</v>
      </c>
      <c r="D7" s="21">
        <f>-C7</f>
        <v/>
      </c>
      <c r="E7" s="21">
        <f>D7</f>
        <v/>
      </c>
      <c r="F7" s="21">
        <f>E7</f>
        <v/>
      </c>
      <c r="G7" s="21">
        <f>F7</f>
        <v/>
      </c>
      <c r="H7" s="21">
        <f>G7</f>
        <v/>
      </c>
      <c r="I7" s="21">
        <f>H7</f>
        <v/>
      </c>
      <c r="J7" s="21">
        <f>I7</f>
        <v/>
      </c>
      <c r="K7" s="21">
        <f>J7</f>
        <v/>
      </c>
      <c r="L7" s="21">
        <f>K7</f>
        <v/>
      </c>
      <c r="M7" s="21">
        <f>L7</f>
        <v/>
      </c>
      <c r="N7" s="21">
        <f>M7</f>
        <v/>
      </c>
      <c r="O7" s="21">
        <f>N7</f>
        <v/>
      </c>
      <c r="P7" s="21">
        <f>O7</f>
        <v/>
      </c>
      <c r="Q7" s="21">
        <f>P7</f>
        <v/>
      </c>
      <c r="R7" s="21">
        <f>Q7</f>
        <v/>
      </c>
      <c r="S7" s="21">
        <f>R7</f>
        <v/>
      </c>
      <c r="T7" s="21">
        <f>S7</f>
        <v/>
      </c>
      <c r="U7" s="21">
        <f>T7</f>
        <v/>
      </c>
      <c r="V7" s="21">
        <f>U7</f>
        <v/>
      </c>
      <c r="W7" s="21">
        <f>V7</f>
        <v/>
      </c>
      <c r="X7" s="21">
        <f>W7</f>
        <v/>
      </c>
    </row>
    <row r="8">
      <c r="A8" s="266" t="inlineStr">
        <is>
          <t>Cash Available for debt repayment</t>
        </is>
      </c>
      <c r="B8" s="266" t="n"/>
      <c r="C8" s="266" t="n"/>
      <c r="D8" s="267">
        <f>SUM(D4:D7)</f>
        <v/>
      </c>
      <c r="E8" s="267">
        <f>SUM(E4:E7)</f>
        <v/>
      </c>
      <c r="F8" s="267">
        <f>SUM(F4:F7)</f>
        <v/>
      </c>
      <c r="G8" s="267">
        <f>SUM(G4:G7)</f>
        <v/>
      </c>
      <c r="H8" s="267">
        <f>SUM(H4:H7)</f>
        <v/>
      </c>
      <c r="I8" s="267">
        <f>SUM(I4:I7)</f>
        <v/>
      </c>
      <c r="J8" s="267">
        <f>SUM(J4:J7)</f>
        <v/>
      </c>
      <c r="K8" s="267">
        <f>SUM(K4:K7)</f>
        <v/>
      </c>
      <c r="L8" s="267">
        <f>SUM(L4:L7)</f>
        <v/>
      </c>
      <c r="M8" s="267">
        <f>SUM(M4:M7)</f>
        <v/>
      </c>
      <c r="N8" s="267">
        <f>SUM(N4:N7)</f>
        <v/>
      </c>
      <c r="O8" s="267">
        <f>SUM(O4:O7)</f>
        <v/>
      </c>
      <c r="P8" s="267">
        <f>SUM(P4:P7)</f>
        <v/>
      </c>
      <c r="Q8" s="267">
        <f>SUM(Q4:Q7)</f>
        <v/>
      </c>
      <c r="R8" s="267">
        <f>SUM(R4:R7)</f>
        <v/>
      </c>
      <c r="S8" s="267">
        <f>SUM(S4:S7)</f>
        <v/>
      </c>
      <c r="T8" s="267">
        <f>SUM(T4:T7)</f>
        <v/>
      </c>
      <c r="U8" s="267">
        <f>SUM(U4:U7)</f>
        <v/>
      </c>
      <c r="V8" s="267">
        <f>SUM(V4:V7)</f>
        <v/>
      </c>
      <c r="W8" s="267">
        <f>SUM(W4:W7)</f>
        <v/>
      </c>
      <c r="X8" s="267">
        <f>SUM(X4:X7)</f>
        <v/>
      </c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>
        <f>CF!B48</f>
        <v/>
      </c>
      <c r="E11" s="192">
        <f>-CF!C48</f>
        <v/>
      </c>
      <c r="F11" s="192">
        <f>-CF!D48</f>
        <v/>
      </c>
      <c r="G11" s="192">
        <f>-CF!E48</f>
        <v/>
      </c>
      <c r="H11" s="192">
        <f>-CF!F48</f>
        <v/>
      </c>
      <c r="I11" s="192">
        <f>-CF!G48</f>
        <v/>
      </c>
      <c r="J11" s="192">
        <f>-CF!H48</f>
        <v/>
      </c>
      <c r="K11" s="192">
        <f>-CF!I48</f>
        <v/>
      </c>
      <c r="L11" s="192">
        <f>-CF!J48</f>
        <v/>
      </c>
      <c r="M11" s="192">
        <f>-CF!K48</f>
        <v/>
      </c>
      <c r="N11" s="192">
        <f>-CF!L48</f>
        <v/>
      </c>
      <c r="O11" s="192">
        <f>-CF!M48</f>
        <v/>
      </c>
      <c r="P11" s="192">
        <f>-CF!N48</f>
        <v/>
      </c>
      <c r="Q11" s="192">
        <f>-CF!O48</f>
        <v/>
      </c>
      <c r="R11" s="192">
        <f>-CF!P48</f>
        <v/>
      </c>
      <c r="S11" s="192">
        <f>-CF!Q48</f>
        <v/>
      </c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>
        <f>T11-T8</f>
        <v/>
      </c>
      <c r="U13" s="192">
        <f>U11-U8</f>
        <v/>
      </c>
      <c r="V13" s="192" t="n">
        <v>0</v>
      </c>
      <c r="W13" s="192">
        <f>W11-W8</f>
        <v/>
      </c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>
        <f>E20</f>
        <v/>
      </c>
      <c r="F17" s="21" t="n">
        <v>40049</v>
      </c>
      <c r="G17" s="21">
        <f>G20</f>
        <v/>
      </c>
      <c r="H17" s="21">
        <f>H20</f>
        <v/>
      </c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>
        <f>68962</f>
        <v/>
      </c>
      <c r="R17" s="203">
        <f>26299</f>
        <v/>
      </c>
      <c r="S17" s="203">
        <f>11375</f>
        <v/>
      </c>
      <c r="T17" s="203">
        <f>S17</f>
        <v/>
      </c>
      <c r="U17" s="203">
        <f>T17</f>
        <v/>
      </c>
      <c r="V17" s="203">
        <f>U17</f>
        <v/>
      </c>
      <c r="W17" s="203">
        <f>V17</f>
        <v/>
      </c>
      <c r="X17" s="203">
        <f>W17</f>
        <v/>
      </c>
    </row>
    <row r="18">
      <c r="A18" s="102" t="inlineStr">
        <is>
          <t>Unsecured Debt</t>
        </is>
      </c>
      <c r="D18" s="203">
        <f>D20-D17</f>
        <v/>
      </c>
      <c r="E18" s="203" t="n">
        <v>0</v>
      </c>
      <c r="F18" s="203">
        <f>F20-F17</f>
        <v/>
      </c>
      <c r="G18" s="203" t="n">
        <v>0</v>
      </c>
      <c r="H18" s="203" t="n">
        <v>0</v>
      </c>
      <c r="I18" s="203">
        <f>I20-I17</f>
        <v/>
      </c>
      <c r="J18" s="203">
        <f>J20-J17</f>
        <v/>
      </c>
      <c r="K18" s="203">
        <f>K20-K17</f>
        <v/>
      </c>
      <c r="L18" s="203">
        <f>L20-L17</f>
        <v/>
      </c>
      <c r="M18" s="203">
        <f>M20-M17</f>
        <v/>
      </c>
      <c r="N18" s="203">
        <f>N20-N17</f>
        <v/>
      </c>
      <c r="O18" s="203">
        <f>O20-O17</f>
        <v/>
      </c>
      <c r="P18" s="203">
        <f>P20-P17</f>
        <v/>
      </c>
      <c r="Q18" s="203">
        <f>Q20-Q17</f>
        <v/>
      </c>
      <c r="R18" s="203">
        <f>R20-R17</f>
        <v/>
      </c>
      <c r="S18" s="203">
        <f>S20-S17</f>
        <v/>
      </c>
      <c r="T18" s="203">
        <f>T20-T17</f>
        <v/>
      </c>
      <c r="U18" s="203">
        <f>U20-U17</f>
        <v/>
      </c>
      <c r="V18" s="203">
        <f>V20-V17</f>
        <v/>
      </c>
      <c r="W18" s="203">
        <f>W20-W17</f>
        <v/>
      </c>
      <c r="X18" s="203">
        <f>X20-X17</f>
        <v/>
      </c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>
        <f>BS!I44</f>
        <v/>
      </c>
      <c r="E20" s="268">
        <f>BS!J44</f>
        <v/>
      </c>
      <c r="F20" s="268">
        <f>BS!K44</f>
        <v/>
      </c>
      <c r="G20" s="268">
        <f>BS!L44</f>
        <v/>
      </c>
      <c r="H20" s="268">
        <f>BS!M44</f>
        <v/>
      </c>
      <c r="I20" s="268">
        <f>BS!N44</f>
        <v/>
      </c>
      <c r="J20" s="268">
        <f>BS!O44</f>
        <v/>
      </c>
      <c r="K20" s="268">
        <f>BS!P44</f>
        <v/>
      </c>
      <c r="L20" s="268">
        <f>BS!Q44</f>
        <v/>
      </c>
      <c r="M20" s="268">
        <f>BS!R44</f>
        <v/>
      </c>
      <c r="N20" s="268">
        <f>BS!S44</f>
        <v/>
      </c>
      <c r="O20" s="268">
        <f>BS!T44</f>
        <v/>
      </c>
      <c r="P20" s="268">
        <f>BS!U44</f>
        <v/>
      </c>
      <c r="Q20" s="268">
        <f>BS!V44</f>
        <v/>
      </c>
      <c r="R20" s="268">
        <f>BS!W44</f>
        <v/>
      </c>
      <c r="S20" s="268">
        <f>BS!X44</f>
        <v/>
      </c>
      <c r="T20" s="270">
        <f>S20-T11+T13</f>
        <v/>
      </c>
      <c r="U20" s="270">
        <f>T20-U11+U13</f>
        <v/>
      </c>
      <c r="V20" s="270">
        <f>U20-V11+V13</f>
        <v/>
      </c>
      <c r="W20" s="270">
        <f>V20-W11+W13</f>
        <v/>
      </c>
      <c r="X20" s="270">
        <f>W20-X11+X13</f>
        <v/>
      </c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>
        <f>S20*T25</f>
        <v/>
      </c>
      <c r="U24" s="192">
        <f>T20*U25</f>
        <v/>
      </c>
      <c r="V24" s="192">
        <f>U20*V25</f>
        <v/>
      </c>
      <c r="W24" s="192">
        <f>V20*W25</f>
        <v/>
      </c>
      <c r="X24" s="192">
        <f>W20*X25</f>
        <v/>
      </c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>
        <f>T25</f>
        <v/>
      </c>
      <c r="V25" s="269">
        <f>U25</f>
        <v/>
      </c>
      <c r="W25" s="269">
        <f>V25</f>
        <v/>
      </c>
      <c r="X25" s="269">
        <f>W25</f>
        <v/>
      </c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>
        <f>12475+328</f>
        <v/>
      </c>
      <c r="I4" s="214">
        <f>20855+7349</f>
        <v/>
      </c>
      <c r="J4" s="214">
        <f>32870+12182</f>
        <v/>
      </c>
      <c r="K4" s="54">
        <f>55436+18737</f>
        <v/>
      </c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>
        <f>24673+6933</f>
        <v/>
      </c>
      <c r="M7" s="214">
        <f>34950+9304</f>
        <v/>
      </c>
      <c r="N7" s="54">
        <f>43798+13885</f>
        <v/>
      </c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>
        <f>1630+745</f>
        <v/>
      </c>
      <c r="I9" s="214">
        <f>3591+1262</f>
        <v/>
      </c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>
        <f>SUM(H4:H12)</f>
        <v/>
      </c>
      <c r="I13" s="323">
        <f>SUM(I4:I12)</f>
        <v/>
      </c>
      <c r="J13" s="323">
        <f>SUM(J4:J12)</f>
        <v/>
      </c>
      <c r="K13" s="323">
        <f>SUM(K4:K12)</f>
        <v/>
      </c>
      <c r="L13" s="323">
        <f>SUM(L4:L12)</f>
        <v/>
      </c>
      <c r="M13" s="323">
        <f>SUM(M4:M12)</f>
        <v/>
      </c>
      <c r="N13" s="323">
        <f>SUM(N4:N12)</f>
        <v/>
      </c>
      <c r="O13" s="323">
        <f>SUM(O4:O12)</f>
        <v/>
      </c>
      <c r="P13" s="323">
        <f>SUM(P4:P12)</f>
        <v/>
      </c>
      <c r="Q13" s="323">
        <f>SUM(Q4:Q12)</f>
        <v/>
      </c>
      <c r="R13" s="323">
        <f>SUM(R4:R12)</f>
        <v/>
      </c>
      <c r="S13" s="329">
        <f>SUM(S4:S12)</f>
        <v/>
      </c>
      <c r="T13" s="329">
        <f>SUM(T4:T12)</f>
        <v/>
      </c>
      <c r="U13" s="329">
        <f>SUM(U4:U12)</f>
        <v/>
      </c>
      <c r="V13" s="329">
        <f>SUM(V4:V12)</f>
        <v/>
      </c>
      <c r="W13" s="329">
        <f>SUM(W4:W12)</f>
        <v/>
      </c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>
        <f>H13-H14</f>
        <v/>
      </c>
      <c r="I15" s="327">
        <f>I13-I14</f>
        <v/>
      </c>
      <c r="J15" s="327">
        <f>J13-J14</f>
        <v/>
      </c>
      <c r="K15" s="327">
        <f>K13-K14</f>
        <v/>
      </c>
      <c r="L15" s="327">
        <f>L13-L14</f>
        <v/>
      </c>
      <c r="M15" s="335">
        <f>M13-M14</f>
        <v/>
      </c>
      <c r="N15" s="327">
        <f>N13-N14</f>
        <v/>
      </c>
      <c r="O15" s="327">
        <f>O13-O14</f>
        <v/>
      </c>
      <c r="P15" s="327">
        <f>P13-P14</f>
        <v/>
      </c>
      <c r="Q15" s="327">
        <f>Q13-Q14</f>
        <v/>
      </c>
      <c r="R15" s="327">
        <f>R13-R14</f>
        <v/>
      </c>
      <c r="S15" s="328">
        <f>S13-S14</f>
        <v/>
      </c>
      <c r="T15" s="328">
        <f>T13-T14</f>
        <v/>
      </c>
      <c r="U15" s="328">
        <f>U13-U14</f>
        <v/>
      </c>
      <c r="V15" s="328">
        <f>V13-V14</f>
        <v/>
      </c>
      <c r="W15" s="328">
        <f>W13-W14</f>
        <v/>
      </c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>
        <f>486-101</f>
        <v/>
      </c>
      <c r="I20" s="214">
        <f>1315+1188</f>
        <v/>
      </c>
      <c r="J20" s="214">
        <f>5156+2726</f>
        <v/>
      </c>
      <c r="K20" s="54">
        <f>10384+4716</f>
        <v/>
      </c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>
        <f>7794+1761</f>
        <v/>
      </c>
      <c r="M23" s="214">
        <f>11636+3293</f>
        <v/>
      </c>
      <c r="N23" s="54">
        <f>11285+5247</f>
        <v/>
      </c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>
        <f>-1328-416</f>
        <v/>
      </c>
      <c r="I25" s="214">
        <f>-733+49</f>
        <v/>
      </c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>
        <f>SUM(H20:H28)</f>
        <v/>
      </c>
      <c r="I29" s="323">
        <f>SUM(I20:I28)</f>
        <v/>
      </c>
      <c r="J29" s="323">
        <f>SUM(J20:J28)</f>
        <v/>
      </c>
      <c r="K29" s="323">
        <f>SUM(K20:K28)</f>
        <v/>
      </c>
      <c r="L29" s="323">
        <f>SUM(L20:L28)</f>
        <v/>
      </c>
      <c r="M29" s="323">
        <f>SUM(M20:M28)</f>
        <v/>
      </c>
      <c r="N29" s="323">
        <f>SUM(N20:N28)</f>
        <v/>
      </c>
      <c r="O29" s="323">
        <f>SUM(O20:O28)</f>
        <v/>
      </c>
      <c r="P29" s="323">
        <f>SUM(P20:P28)</f>
        <v/>
      </c>
      <c r="Q29" s="323">
        <f>SUM(Q20:Q28)</f>
        <v/>
      </c>
      <c r="R29" s="323">
        <f>SUM(R20:R28)</f>
        <v/>
      </c>
      <c r="S29" s="329">
        <f>SUM(S20:S28)</f>
        <v/>
      </c>
      <c r="T29" s="329">
        <f>SUM(T20:T28)</f>
        <v/>
      </c>
      <c r="U29" s="329">
        <f>SUM(U20:U28)</f>
        <v/>
      </c>
      <c r="V29" s="329">
        <f>SUM(V20:V28)</f>
        <v/>
      </c>
      <c r="W29" s="329">
        <f>SUM(W20:W28)</f>
        <v/>
      </c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>
        <f>17559+48</f>
        <v/>
      </c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>
        <f>57-3536</f>
        <v/>
      </c>
      <c r="R33" s="214">
        <f>74-2643</f>
        <v/>
      </c>
      <c r="S33" s="203">
        <f>-5103</f>
        <v/>
      </c>
      <c r="T33" s="21">
        <f>-7133</f>
        <v/>
      </c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>
        <f>H29-SUM(H31:H34)</f>
        <v/>
      </c>
      <c r="I35" s="327">
        <f>I29-SUM(I31:I34)</f>
        <v/>
      </c>
      <c r="J35" s="327">
        <f>J29-SUM(J31:J34)</f>
        <v/>
      </c>
      <c r="K35" s="327">
        <f>K29-SUM(K31:K34)</f>
        <v/>
      </c>
      <c r="L35" s="327">
        <f>L29-SUM(L31:L34)</f>
        <v/>
      </c>
      <c r="M35" s="327">
        <f>M29-SUM(M31:M34)</f>
        <v/>
      </c>
      <c r="N35" s="327">
        <f>N29-SUM(N31:N34)</f>
        <v/>
      </c>
      <c r="O35" s="327">
        <f>O29-SUM(O31:O34)</f>
        <v/>
      </c>
      <c r="P35" s="327">
        <f>P29-SUM(P31:P34)</f>
        <v/>
      </c>
      <c r="Q35" s="327">
        <f>Q29-SUM(Q31:Q34)</f>
        <v/>
      </c>
      <c r="R35" s="327">
        <f>R29-SUM(R31:R34)</f>
        <v/>
      </c>
      <c r="S35" s="328">
        <f>S29-SUM(S31:S34)</f>
        <v/>
      </c>
      <c r="T35" s="328">
        <f>T29-SUM(T31:T34)</f>
        <v/>
      </c>
      <c r="U35" s="328">
        <f>U29-SUM(U31:U34)</f>
        <v/>
      </c>
      <c r="V35" s="328">
        <f>V29-SUM(V31:V34)</f>
        <v/>
      </c>
      <c r="W35" s="328">
        <f>W29-SUM(W31:W34)</f>
        <v/>
      </c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>
        <f>48153+9657</f>
        <v/>
      </c>
      <c r="I38" s="214">
        <f>53591+14328</f>
        <v/>
      </c>
      <c r="J38" s="214">
        <f>64292+18269</f>
        <v/>
      </c>
      <c r="K38" s="54">
        <f>90135+33484</f>
        <v/>
      </c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>
        <f>44944+11882</f>
        <v/>
      </c>
      <c r="M41" s="214">
        <f>67534+22039</f>
        <v/>
      </c>
      <c r="N41" s="54">
        <f>103503+21254</f>
        <v/>
      </c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>
        <f>11129+937</f>
        <v/>
      </c>
      <c r="I43" s="214">
        <f>16544+1273</f>
        <v/>
      </c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>
        <f>18847-359106</f>
        <v/>
      </c>
      <c r="Q46" s="214">
        <f>144409-282381</f>
        <v/>
      </c>
      <c r="R46" s="214">
        <f>216853-414184</f>
        <v/>
      </c>
      <c r="S46" s="21">
        <f>162932-452306</f>
        <v/>
      </c>
      <c r="T46" s="203">
        <f>172525-547337</f>
        <v/>
      </c>
      <c r="U46" s="54">
        <f>237472-762217</f>
        <v/>
      </c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>
        <f>SUM(H38:H46)</f>
        <v/>
      </c>
      <c r="I47" s="327">
        <f>SUM(I38:I46)</f>
        <v/>
      </c>
      <c r="J47" s="327">
        <f>SUM(J38:J46)</f>
        <v/>
      </c>
      <c r="K47" s="327">
        <f>SUM(K38:K46)</f>
        <v/>
      </c>
      <c r="L47" s="327">
        <f>SUM(L38:L46)</f>
        <v/>
      </c>
      <c r="M47" s="327">
        <f>SUM(M38:M46)</f>
        <v/>
      </c>
      <c r="N47" s="327">
        <f>SUM(N38:N46)</f>
        <v/>
      </c>
      <c r="O47" s="327">
        <f>SUM(O38:O46)</f>
        <v/>
      </c>
      <c r="P47" s="327">
        <f>SUM(P38:P46)</f>
        <v/>
      </c>
      <c r="Q47" s="327">
        <f>SUM(Q38:Q46)</f>
        <v/>
      </c>
      <c r="R47" s="327">
        <f>SUM(R38:R46)</f>
        <v/>
      </c>
      <c r="S47" s="328">
        <f>SUM(S38:S46)</f>
        <v/>
      </c>
      <c r="T47" s="328">
        <f>SUM(T38:T46)</f>
        <v/>
      </c>
      <c r="U47" s="328">
        <f>SUM(U38:U46)</f>
        <v/>
      </c>
      <c r="V47" s="328">
        <f>SUM(V38:V46)</f>
        <v/>
      </c>
      <c r="W47" s="328">
        <f>SUM(W38:W46)</f>
        <v/>
      </c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>
        <f>46128+7162</f>
        <v/>
      </c>
      <c r="I50" s="214">
        <f>59219+13410</f>
        <v/>
      </c>
      <c r="J50" s="214">
        <f>67718+15114</f>
        <v/>
      </c>
      <c r="K50" s="54">
        <f>87712+25582</f>
        <v/>
      </c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>
        <f>29103+7844</f>
        <v/>
      </c>
      <c r="M53" s="214">
        <f>39225+14665</f>
        <v/>
      </c>
      <c r="N53" s="214">
        <f>64456+8656</f>
        <v/>
      </c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>
        <f>10995+1852</f>
        <v/>
      </c>
      <c r="I55" s="214">
        <f>15058+3124</f>
        <v/>
      </c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>
        <f>-358147+107115</f>
        <v/>
      </c>
      <c r="Q58" s="214">
        <f>742853-281371</f>
        <v/>
      </c>
      <c r="R58" s="214">
        <f>886428-413326</f>
        <v/>
      </c>
      <c r="S58" s="21">
        <f>995460-451500</f>
        <v/>
      </c>
      <c r="T58" s="21">
        <f>1162098-546063</f>
        <v/>
      </c>
      <c r="U58" s="214">
        <f>1191726-761006</f>
        <v/>
      </c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>
        <f>SUM(H50:H58)</f>
        <v/>
      </c>
      <c r="I59" s="327">
        <f>SUM(I50:I58)</f>
        <v/>
      </c>
      <c r="J59" s="327">
        <f>SUM(J50:J58)</f>
        <v/>
      </c>
      <c r="K59" s="327">
        <f>SUM(K50:K58)</f>
        <v/>
      </c>
      <c r="L59" s="327">
        <f>SUM(L50:L58)</f>
        <v/>
      </c>
      <c r="M59" s="327">
        <f>SUM(M50:M58)</f>
        <v/>
      </c>
      <c r="N59" s="327">
        <f>SUM(N50:N58)</f>
        <v/>
      </c>
      <c r="O59" s="327">
        <f>SUM(O50:O58)</f>
        <v/>
      </c>
      <c r="P59" s="327">
        <f>SUM(P50:P58)</f>
        <v/>
      </c>
      <c r="Q59" s="327">
        <f>SUM(Q50:Q58)</f>
        <v/>
      </c>
      <c r="R59" s="327">
        <f>SUM(R50:R58)</f>
        <v/>
      </c>
      <c r="S59" s="328">
        <f>SUM(S50:S58)</f>
        <v/>
      </c>
      <c r="T59" s="328">
        <f>SUM(T50:T58)</f>
        <v/>
      </c>
      <c r="U59" s="328">
        <f>SUM(U50:U58)</f>
        <v/>
      </c>
      <c r="V59" s="328">
        <f>SUM(V50:V58)</f>
        <v/>
      </c>
      <c r="W59" s="328">
        <f>SUM(W50:W58)</f>
        <v/>
      </c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  <c r="Y1" s="344">
        <f>EOMONTH(X1,12)</f>
        <v/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>
        <f>'Segment Revenue'!H4</f>
        <v/>
      </c>
      <c r="F6" s="329">
        <f>'Segment Revenue'!I4</f>
        <v/>
      </c>
      <c r="G6" s="329">
        <f>'Segment Revenue'!J4</f>
        <v/>
      </c>
      <c r="H6" s="329">
        <f>'Segment Revenue'!K4</f>
        <v/>
      </c>
      <c r="I6" s="329">
        <f>'Segment Revenue'!L4</f>
        <v/>
      </c>
      <c r="J6" s="329">
        <f>'Segment Revenue'!M4</f>
        <v/>
      </c>
      <c r="K6" s="329">
        <f>'Segment Revenue'!N4</f>
        <v/>
      </c>
      <c r="L6" s="329">
        <f>'Segment Revenue'!O4</f>
        <v/>
      </c>
      <c r="M6" s="329">
        <f>'Segment Revenue'!P4</f>
        <v/>
      </c>
      <c r="N6" s="329">
        <f>'Segment Revenue'!Q4</f>
        <v/>
      </c>
      <c r="O6" s="329">
        <f>'Segment Revenue'!R4</f>
        <v/>
      </c>
      <c r="P6" s="329">
        <f>'Segment Revenue'!S4</f>
        <v/>
      </c>
      <c r="Q6" s="329">
        <f>'Segment Revenue'!T4</f>
        <v/>
      </c>
      <c r="R6" s="329">
        <f>'Segment Revenue'!U4</f>
        <v/>
      </c>
      <c r="S6" s="329">
        <f>'Segment Revenue'!V4</f>
        <v/>
      </c>
      <c r="T6" s="329">
        <f>'Segment Revenue'!W4</f>
        <v/>
      </c>
      <c r="U6" s="329">
        <f>T6*(1+U19)</f>
        <v/>
      </c>
      <c r="V6" s="329">
        <f>U6*(1+V19)</f>
        <v/>
      </c>
      <c r="W6" s="329">
        <f>V6*(1+W19)</f>
        <v/>
      </c>
      <c r="X6" s="329">
        <f>W6*(1+X19)</f>
        <v/>
      </c>
      <c r="Y6" s="329">
        <f>X6*(1+Y19)</f>
        <v/>
      </c>
    </row>
    <row r="7">
      <c r="A7" t="inlineStr">
        <is>
          <t>Mobile Services Africa</t>
        </is>
      </c>
      <c r="E7" s="329">
        <f>'Segment Revenue'!H5</f>
        <v/>
      </c>
      <c r="F7" s="329">
        <f>'Segment Revenue'!I5</f>
        <v/>
      </c>
      <c r="G7" s="329">
        <f>'Segment Revenue'!J5</f>
        <v/>
      </c>
      <c r="H7" s="329">
        <f>'Segment Revenue'!K5</f>
        <v/>
      </c>
      <c r="I7" s="329">
        <f>'Segment Revenue'!L5</f>
        <v/>
      </c>
      <c r="J7" s="329">
        <f>'Segment Revenue'!M5</f>
        <v/>
      </c>
      <c r="K7" s="329">
        <f>'Segment Revenue'!N5</f>
        <v/>
      </c>
      <c r="L7" s="329">
        <f>'Segment Revenue'!O5</f>
        <v/>
      </c>
      <c r="M7" s="329">
        <f>'Segment Revenue'!P5</f>
        <v/>
      </c>
      <c r="N7" s="329">
        <f>'Segment Revenue'!Q5</f>
        <v/>
      </c>
      <c r="O7" s="329">
        <f>'Segment Revenue'!R5</f>
        <v/>
      </c>
      <c r="P7" s="329">
        <f>'Segment Revenue'!S5</f>
        <v/>
      </c>
      <c r="Q7" s="329">
        <f>'Segment Revenue'!T5</f>
        <v/>
      </c>
      <c r="R7" s="329">
        <f>'Segment Revenue'!U5</f>
        <v/>
      </c>
      <c r="S7" s="329">
        <f>'Segment Revenue'!V5</f>
        <v/>
      </c>
      <c r="T7" s="329">
        <f>'Segment Revenue'!W5</f>
        <v/>
      </c>
      <c r="U7" s="329">
        <f>T7*(1+U20)</f>
        <v/>
      </c>
      <c r="V7" s="329">
        <f>U7*(1+V20)</f>
        <v/>
      </c>
      <c r="W7" s="329">
        <f>V7*(1+W20)</f>
        <v/>
      </c>
      <c r="X7" s="329">
        <f>W7*(1+X20)</f>
        <v/>
      </c>
      <c r="Y7" s="329">
        <f>X7*(1+Y20)</f>
        <v/>
      </c>
    </row>
    <row r="8">
      <c r="A8" t="inlineStr">
        <is>
          <t>Mobile Services South Asia</t>
        </is>
      </c>
      <c r="E8" s="329">
        <f>'Segment Revenue'!H6</f>
        <v/>
      </c>
      <c r="F8" s="329">
        <f>'Segment Revenue'!I6</f>
        <v/>
      </c>
      <c r="G8" s="329">
        <f>'Segment Revenue'!J6</f>
        <v/>
      </c>
      <c r="H8" s="329">
        <f>'Segment Revenue'!K6</f>
        <v/>
      </c>
      <c r="I8" s="329">
        <f>'Segment Revenue'!L6</f>
        <v/>
      </c>
      <c r="J8" s="329">
        <f>'Segment Revenue'!M6</f>
        <v/>
      </c>
      <c r="K8" s="329">
        <f>'Segment Revenue'!N6</f>
        <v/>
      </c>
      <c r="L8" s="329">
        <f>'Segment Revenue'!O6</f>
        <v/>
      </c>
      <c r="M8" s="329">
        <f>'Segment Revenue'!P6</f>
        <v/>
      </c>
      <c r="N8" s="329">
        <f>'Segment Revenue'!Q6</f>
        <v/>
      </c>
      <c r="O8" s="329">
        <f>'Segment Revenue'!R6</f>
        <v/>
      </c>
      <c r="P8" s="329">
        <f>'Segment Revenue'!S6</f>
        <v/>
      </c>
      <c r="Q8" s="329">
        <f>'Segment Revenue'!T6</f>
        <v/>
      </c>
      <c r="R8" s="329">
        <f>'Segment Revenue'!U6</f>
        <v/>
      </c>
      <c r="S8" s="329">
        <f>'Segment Revenue'!V6</f>
        <v/>
      </c>
      <c r="T8" s="329">
        <f>'Segment Revenue'!W6</f>
        <v/>
      </c>
      <c r="U8" s="329">
        <f>T8*(1+U21)</f>
        <v/>
      </c>
      <c r="V8" s="329">
        <f>U8*(1+V21)</f>
        <v/>
      </c>
      <c r="W8" s="329">
        <f>V8*(1+W21)</f>
        <v/>
      </c>
      <c r="X8" s="329">
        <f>W8*(1+X21)</f>
        <v/>
      </c>
      <c r="Y8" s="329">
        <f>X8*(1+Y21)</f>
        <v/>
      </c>
    </row>
    <row r="9">
      <c r="A9" t="inlineStr">
        <is>
          <t>Airtel Business</t>
        </is>
      </c>
      <c r="E9" s="329">
        <f>'Segment Revenue'!H7</f>
        <v/>
      </c>
      <c r="F9" s="329">
        <f>'Segment Revenue'!I7</f>
        <v/>
      </c>
      <c r="G9" s="329">
        <f>'Segment Revenue'!J7</f>
        <v/>
      </c>
      <c r="H9" s="329">
        <f>'Segment Revenue'!K7</f>
        <v/>
      </c>
      <c r="I9" s="329">
        <f>'Segment Revenue'!L7</f>
        <v/>
      </c>
      <c r="J9" s="329">
        <f>'Segment Revenue'!M7</f>
        <v/>
      </c>
      <c r="K9" s="329">
        <f>'Segment Revenue'!N7</f>
        <v/>
      </c>
      <c r="L9" s="329">
        <f>'Segment Revenue'!O7</f>
        <v/>
      </c>
      <c r="M9" s="329">
        <f>'Segment Revenue'!P7</f>
        <v/>
      </c>
      <c r="N9" s="329">
        <f>'Segment Revenue'!Q7</f>
        <v/>
      </c>
      <c r="O9" s="329">
        <f>'Segment Revenue'!R7</f>
        <v/>
      </c>
      <c r="P9" s="329">
        <f>'Segment Revenue'!S7</f>
        <v/>
      </c>
      <c r="Q9" s="329">
        <f>'Segment Revenue'!T7</f>
        <v/>
      </c>
      <c r="R9" s="329">
        <f>'Segment Revenue'!U7</f>
        <v/>
      </c>
      <c r="S9" s="329">
        <f>'Segment Revenue'!V7</f>
        <v/>
      </c>
      <c r="T9" s="329">
        <f>'Segment Revenue'!W7</f>
        <v/>
      </c>
      <c r="U9" s="329">
        <f>T9*(1+U22)</f>
        <v/>
      </c>
      <c r="V9" s="329">
        <f>U9*(1+V22)</f>
        <v/>
      </c>
      <c r="W9" s="329">
        <f>V9*(1+W22)</f>
        <v/>
      </c>
      <c r="X9" s="329">
        <f>W9*(1+X22)</f>
        <v/>
      </c>
      <c r="Y9" s="329">
        <f>X9*(1+Y22)</f>
        <v/>
      </c>
    </row>
    <row r="10">
      <c r="A10" t="inlineStr">
        <is>
          <t>Tower Infrastructure Services</t>
        </is>
      </c>
      <c r="E10" s="329">
        <f>'Segment Revenue'!H8</f>
        <v/>
      </c>
      <c r="F10" s="329">
        <f>'Segment Revenue'!I8</f>
        <v/>
      </c>
      <c r="G10" s="329">
        <f>'Segment Revenue'!J8</f>
        <v/>
      </c>
      <c r="H10" s="329">
        <f>'Segment Revenue'!K8</f>
        <v/>
      </c>
      <c r="I10" s="329">
        <f>'Segment Revenue'!L8</f>
        <v/>
      </c>
      <c r="J10" s="329">
        <f>'Segment Revenue'!M8</f>
        <v/>
      </c>
      <c r="K10" s="329">
        <f>'Segment Revenue'!N8</f>
        <v/>
      </c>
      <c r="L10" s="329">
        <f>'Segment Revenue'!O8</f>
        <v/>
      </c>
      <c r="M10" s="329">
        <f>'Segment Revenue'!P8</f>
        <v/>
      </c>
      <c r="N10" s="329">
        <f>'Segment Revenue'!Q8</f>
        <v/>
      </c>
      <c r="O10" s="329">
        <f>'Segment Revenue'!R8</f>
        <v/>
      </c>
      <c r="P10" s="329">
        <f>'Segment Revenue'!S8</f>
        <v/>
      </c>
      <c r="Q10" s="329">
        <f>'Segment Revenue'!T8</f>
        <v/>
      </c>
      <c r="R10" s="329">
        <f>'Segment Revenue'!U8</f>
        <v/>
      </c>
      <c r="S10" s="329">
        <f>'Segment Revenue'!V8</f>
        <v/>
      </c>
      <c r="T10" s="329">
        <f>'Segment Revenue'!W8</f>
        <v/>
      </c>
      <c r="U10" s="329">
        <f>T10*(1+U23)</f>
        <v/>
      </c>
      <c r="V10" s="329">
        <f>U10*(1+V23)</f>
        <v/>
      </c>
      <c r="W10" s="329">
        <f>V10*(1+W23)</f>
        <v/>
      </c>
      <c r="X10" s="329">
        <f>W10*(1+X23)</f>
        <v/>
      </c>
      <c r="Y10" s="329">
        <f>X10*(1+Y23)</f>
        <v/>
      </c>
    </row>
    <row r="11">
      <c r="A11" t="inlineStr">
        <is>
          <t>Homes Services</t>
        </is>
      </c>
      <c r="E11" s="329">
        <f>'Segment Revenue'!H9</f>
        <v/>
      </c>
      <c r="F11" s="329">
        <f>'Segment Revenue'!I9</f>
        <v/>
      </c>
      <c r="G11" s="329">
        <f>'Segment Revenue'!J9</f>
        <v/>
      </c>
      <c r="H11" s="329">
        <f>'Segment Revenue'!K9</f>
        <v/>
      </c>
      <c r="I11" s="329">
        <f>'Segment Revenue'!L9</f>
        <v/>
      </c>
      <c r="J11" s="329">
        <f>'Segment Revenue'!M9</f>
        <v/>
      </c>
      <c r="K11" s="329">
        <f>'Segment Revenue'!N9</f>
        <v/>
      </c>
      <c r="L11" s="329">
        <f>'Segment Revenue'!O9</f>
        <v/>
      </c>
      <c r="M11" s="329">
        <f>'Segment Revenue'!P9</f>
        <v/>
      </c>
      <c r="N11" s="329">
        <f>'Segment Revenue'!Q9</f>
        <v/>
      </c>
      <c r="O11" s="329">
        <f>'Segment Revenue'!R9</f>
        <v/>
      </c>
      <c r="P11" s="329">
        <f>'Segment Revenue'!S9</f>
        <v/>
      </c>
      <c r="Q11" s="329">
        <f>'Segment Revenue'!T9</f>
        <v/>
      </c>
      <c r="R11" s="329">
        <f>'Segment Revenue'!U9</f>
        <v/>
      </c>
      <c r="S11" s="329">
        <f>'Segment Revenue'!V9</f>
        <v/>
      </c>
      <c r="T11" s="329">
        <f>'Segment Revenue'!W9</f>
        <v/>
      </c>
      <c r="U11" s="329">
        <f>T11*(1+U24)</f>
        <v/>
      </c>
      <c r="V11" s="329">
        <f>U11*(1+V24)</f>
        <v/>
      </c>
      <c r="W11" s="329">
        <f>V11*(1+W24)</f>
        <v/>
      </c>
      <c r="X11" s="329">
        <f>W11*(1+X24)</f>
        <v/>
      </c>
      <c r="Y11" s="329">
        <f>X11*(1+Y24)</f>
        <v/>
      </c>
    </row>
    <row r="12">
      <c r="A12" t="inlineStr">
        <is>
          <t>Digital TV Services</t>
        </is>
      </c>
      <c r="E12" s="329">
        <f>'Segment Revenue'!H10</f>
        <v/>
      </c>
      <c r="F12" s="329">
        <f>'Segment Revenue'!I10</f>
        <v/>
      </c>
      <c r="G12" s="329">
        <f>'Segment Revenue'!J10</f>
        <v/>
      </c>
      <c r="H12" s="329">
        <f>'Segment Revenue'!K10</f>
        <v/>
      </c>
      <c r="I12" s="329">
        <f>'Segment Revenue'!L10</f>
        <v/>
      </c>
      <c r="J12" s="329">
        <f>'Segment Revenue'!M10</f>
        <v/>
      </c>
      <c r="K12" s="329">
        <f>'Segment Revenue'!N10</f>
        <v/>
      </c>
      <c r="L12" s="329">
        <f>'Segment Revenue'!O10</f>
        <v/>
      </c>
      <c r="M12" s="329">
        <f>'Segment Revenue'!P10</f>
        <v/>
      </c>
      <c r="N12" s="329">
        <f>'Segment Revenue'!Q10</f>
        <v/>
      </c>
      <c r="O12" s="329">
        <f>'Segment Revenue'!R10</f>
        <v/>
      </c>
      <c r="P12" s="329">
        <f>'Segment Revenue'!S10</f>
        <v/>
      </c>
      <c r="Q12" s="329">
        <f>'Segment Revenue'!T10</f>
        <v/>
      </c>
      <c r="R12" s="329">
        <f>'Segment Revenue'!U10</f>
        <v/>
      </c>
      <c r="S12" s="329">
        <f>'Segment Revenue'!V10</f>
        <v/>
      </c>
      <c r="T12" s="329">
        <f>'Segment Revenue'!W10</f>
        <v/>
      </c>
      <c r="U12" s="329">
        <f>T12*(1+U25)</f>
        <v/>
      </c>
      <c r="V12" s="329">
        <f>U12*(1+V25)</f>
        <v/>
      </c>
      <c r="W12" s="329">
        <f>V12*(1+W25)</f>
        <v/>
      </c>
      <c r="X12" s="329">
        <f>W12*(1+X25)</f>
        <v/>
      </c>
      <c r="Y12" s="329">
        <f>X12*(1+Y25)</f>
        <v/>
      </c>
    </row>
    <row r="13">
      <c r="A13" t="inlineStr">
        <is>
          <t>Others</t>
        </is>
      </c>
      <c r="E13" s="329">
        <f>'Segment Revenue'!H11</f>
        <v/>
      </c>
      <c r="F13" s="329">
        <f>'Segment Revenue'!I11</f>
        <v/>
      </c>
      <c r="G13" s="329">
        <f>'Segment Revenue'!J11</f>
        <v/>
      </c>
      <c r="H13" s="329">
        <f>'Segment Revenue'!K11</f>
        <v/>
      </c>
      <c r="I13" s="329">
        <f>'Segment Revenue'!L11</f>
        <v/>
      </c>
      <c r="J13" s="329">
        <f>'Segment Revenue'!M11</f>
        <v/>
      </c>
      <c r="K13" s="329">
        <f>'Segment Revenue'!N11</f>
        <v/>
      </c>
      <c r="L13" s="329">
        <f>'Segment Revenue'!O11</f>
        <v/>
      </c>
      <c r="M13" s="329">
        <f>'Segment Revenue'!P11</f>
        <v/>
      </c>
      <c r="N13" s="329">
        <f>'Segment Revenue'!Q11</f>
        <v/>
      </c>
      <c r="O13" s="329">
        <f>'Segment Revenue'!R11</f>
        <v/>
      </c>
      <c r="P13" s="329">
        <f>'Segment Revenue'!S11</f>
        <v/>
      </c>
      <c r="Q13" s="329">
        <f>'Segment Revenue'!T11</f>
        <v/>
      </c>
      <c r="R13" s="329">
        <f>'Segment Revenue'!U11</f>
        <v/>
      </c>
      <c r="S13" s="329">
        <f>'Segment Revenue'!V11</f>
        <v/>
      </c>
      <c r="T13" s="329">
        <f>'Segment Revenue'!W11</f>
        <v/>
      </c>
      <c r="U13" s="329">
        <f>T13*(1+U26)</f>
        <v/>
      </c>
      <c r="V13" s="329">
        <f>U13*(1+V26)</f>
        <v/>
      </c>
      <c r="W13" s="329">
        <f>V13*(1+W26)</f>
        <v/>
      </c>
      <c r="X13" s="329">
        <f>W13*(1+X26)</f>
        <v/>
      </c>
      <c r="Y13" s="329">
        <f>X13*(1+Y26)</f>
        <v/>
      </c>
    </row>
    <row r="14">
      <c r="A14" t="inlineStr">
        <is>
          <t>Unallocated</t>
        </is>
      </c>
      <c r="E14" s="329">
        <f>'Segment Revenue'!H12</f>
        <v/>
      </c>
      <c r="F14" s="329">
        <f>'Segment Revenue'!I12</f>
        <v/>
      </c>
      <c r="G14" s="329">
        <f>'Segment Revenue'!J12</f>
        <v/>
      </c>
      <c r="H14" s="329">
        <f>'Segment Revenue'!K12</f>
        <v/>
      </c>
      <c r="I14" s="329">
        <f>'Segment Revenue'!L12</f>
        <v/>
      </c>
      <c r="J14" s="329">
        <f>'Segment Revenue'!M12</f>
        <v/>
      </c>
      <c r="K14" s="329">
        <f>'Segment Revenue'!N12</f>
        <v/>
      </c>
      <c r="L14" s="329">
        <f>'Segment Revenue'!O12</f>
        <v/>
      </c>
      <c r="M14" s="329">
        <f>'Segment Revenue'!P12</f>
        <v/>
      </c>
      <c r="N14" s="329">
        <f>'Segment Revenue'!Q12</f>
        <v/>
      </c>
      <c r="O14" s="329">
        <f>'Segment Revenue'!R12</f>
        <v/>
      </c>
      <c r="P14" s="329">
        <f>'Segment Revenue'!S12</f>
        <v/>
      </c>
      <c r="Q14" s="329">
        <f>'Segment Revenue'!T12</f>
        <v/>
      </c>
      <c r="R14" s="329">
        <f>'Segment Revenue'!U12</f>
        <v/>
      </c>
      <c r="S14" s="329">
        <f>'Segment Revenue'!V12</f>
        <v/>
      </c>
      <c r="T14" s="329">
        <f>'Segment Revenue'!W12</f>
        <v/>
      </c>
      <c r="U14" s="329">
        <f>T14*(1+U27)</f>
        <v/>
      </c>
      <c r="V14" s="329">
        <f>U14*(1+V27)</f>
        <v/>
      </c>
      <c r="W14" s="329">
        <f>V14*(1+W27)</f>
        <v/>
      </c>
      <c r="X14" s="329">
        <f>W14*(1+X27)</f>
        <v/>
      </c>
      <c r="Y14" s="329">
        <f>X14*(1+Y27)</f>
        <v/>
      </c>
    </row>
    <row r="15">
      <c r="E15" s="329">
        <f>SUM(E6:E14)</f>
        <v/>
      </c>
      <c r="F15" s="329">
        <f>SUM(F6:F14)</f>
        <v/>
      </c>
      <c r="G15" s="329">
        <f>SUM(G6:G14)</f>
        <v/>
      </c>
      <c r="H15" s="329">
        <f>SUM(H6:H14)</f>
        <v/>
      </c>
      <c r="I15" s="329">
        <f>SUM(I6:I14)</f>
        <v/>
      </c>
      <c r="J15" s="329">
        <f>SUM(J6:J14)</f>
        <v/>
      </c>
      <c r="K15" s="329">
        <f>SUM(K6:K14)</f>
        <v/>
      </c>
      <c r="L15" s="329">
        <f>SUM(L6:L14)</f>
        <v/>
      </c>
      <c r="M15" s="329">
        <f>SUM(M6:M14)</f>
        <v/>
      </c>
      <c r="N15" s="329">
        <f>SUM(N6:N14)</f>
        <v/>
      </c>
      <c r="O15" s="329">
        <f>SUM(O6:O14)</f>
        <v/>
      </c>
      <c r="P15" s="329">
        <f>SUM(P6:P14)</f>
        <v/>
      </c>
      <c r="Q15" s="329">
        <f>SUM(Q6:Q14)</f>
        <v/>
      </c>
      <c r="R15" s="329">
        <f>SUM(R6:R14)</f>
        <v/>
      </c>
      <c r="S15" s="329">
        <f>SUM(S6:S14)</f>
        <v/>
      </c>
      <c r="T15" s="329">
        <f>SUM(T6:T14)</f>
        <v/>
      </c>
      <c r="U15" s="329">
        <f>SUM(U6:U14)</f>
        <v/>
      </c>
      <c r="V15" s="329">
        <f>SUM(V6:V14)</f>
        <v/>
      </c>
      <c r="W15" s="329">
        <f>SUM(W6:W14)</f>
        <v/>
      </c>
      <c r="X15" s="329">
        <f>SUM(X6:X14)</f>
        <v/>
      </c>
      <c r="Y15" s="329">
        <f>SUM(Y6:Y14)</f>
        <v/>
      </c>
    </row>
    <row r="16">
      <c r="A16" t="inlineStr">
        <is>
          <t>Less: Inter-segment revenue</t>
        </is>
      </c>
      <c r="E16" s="329">
        <f>'Segment Revenue'!H14</f>
        <v/>
      </c>
      <c r="F16" s="329">
        <f>'Segment Revenue'!I14</f>
        <v/>
      </c>
      <c r="G16" s="329">
        <f>'Segment Revenue'!J14</f>
        <v/>
      </c>
      <c r="H16" s="329">
        <f>'Segment Revenue'!K14</f>
        <v/>
      </c>
      <c r="I16" s="329">
        <f>'Segment Revenue'!L14</f>
        <v/>
      </c>
      <c r="J16" s="329">
        <f>'Segment Revenue'!M14</f>
        <v/>
      </c>
      <c r="K16" s="329">
        <f>'Segment Revenue'!N14</f>
        <v/>
      </c>
      <c r="L16" s="329">
        <f>'Segment Revenue'!O14</f>
        <v/>
      </c>
      <c r="M16" s="329">
        <f>'Segment Revenue'!P14</f>
        <v/>
      </c>
      <c r="N16" s="329">
        <f>'Segment Revenue'!Q14</f>
        <v/>
      </c>
      <c r="O16" s="329">
        <f>'Segment Revenue'!R14</f>
        <v/>
      </c>
      <c r="P16" s="329">
        <f>'Segment Revenue'!S14</f>
        <v/>
      </c>
      <c r="Q16" s="329">
        <f>'Segment Revenue'!T14</f>
        <v/>
      </c>
      <c r="R16" s="329">
        <f>'Segment Revenue'!U14</f>
        <v/>
      </c>
      <c r="S16" s="329">
        <f>'Segment Revenue'!V14</f>
        <v/>
      </c>
      <c r="T16" s="329">
        <f>'Segment Revenue'!W14</f>
        <v/>
      </c>
      <c r="U16" s="329">
        <f>T16*(1+U29)</f>
        <v/>
      </c>
      <c r="V16" s="329">
        <f>U16*(1+V29)</f>
        <v/>
      </c>
      <c r="W16" s="329">
        <f>V16*(1+W29)</f>
        <v/>
      </c>
      <c r="X16" s="329">
        <f>W16*(1+X29)</f>
        <v/>
      </c>
      <c r="Y16" s="329">
        <f>X16*(1+Y29)</f>
        <v/>
      </c>
    </row>
    <row r="17">
      <c r="A17" s="49" t="inlineStr">
        <is>
          <t>Total Revenue</t>
        </is>
      </c>
      <c r="E17" s="350">
        <f>E15-E16</f>
        <v/>
      </c>
      <c r="F17" s="350">
        <f>F15-F16</f>
        <v/>
      </c>
      <c r="G17" s="350">
        <f>G15-G16</f>
        <v/>
      </c>
      <c r="H17" s="350">
        <f>H15-H16</f>
        <v/>
      </c>
      <c r="I17" s="350">
        <f>I15-I16</f>
        <v/>
      </c>
      <c r="J17" s="350">
        <f>J15-J16</f>
        <v/>
      </c>
      <c r="K17" s="350">
        <f>K15-K16</f>
        <v/>
      </c>
      <c r="L17" s="350">
        <f>L15-L16</f>
        <v/>
      </c>
      <c r="M17" s="350">
        <f>M15-M16</f>
        <v/>
      </c>
      <c r="N17" s="350">
        <f>N15-N16</f>
        <v/>
      </c>
      <c r="O17" s="350">
        <f>O15-O16</f>
        <v/>
      </c>
      <c r="P17" s="350">
        <f>P15-P16</f>
        <v/>
      </c>
      <c r="Q17" s="350">
        <f>Q15-Q16</f>
        <v/>
      </c>
      <c r="R17" s="350">
        <f>R15-R16</f>
        <v/>
      </c>
      <c r="S17" s="350">
        <f>S15-S16</f>
        <v/>
      </c>
      <c r="T17" s="350">
        <f>T15-T16</f>
        <v/>
      </c>
      <c r="U17" s="350">
        <f>U15-U16</f>
        <v/>
      </c>
      <c r="V17" s="350">
        <f>V15-V16</f>
        <v/>
      </c>
      <c r="W17" s="350">
        <f>W15-W16</f>
        <v/>
      </c>
      <c r="X17" s="350">
        <f>X15-X16</f>
        <v/>
      </c>
      <c r="Y17" s="350">
        <f>Y15-Y16</f>
        <v/>
      </c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>
        <f>T6/S6-1</f>
        <v/>
      </c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>
        <f>T7/S7-1</f>
        <v/>
      </c>
      <c r="U20" s="281" t="n">
        <v>-0.06</v>
      </c>
      <c r="V20" s="281" t="n">
        <v>0</v>
      </c>
      <c r="W20" s="281" t="n">
        <v>0.05</v>
      </c>
      <c r="X20" s="281">
        <f>W20</f>
        <v/>
      </c>
      <c r="Y20" s="281">
        <f>X20</f>
        <v/>
      </c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>
        <f>T8/S8-1</f>
        <v/>
      </c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>
        <f>(T9/M9)^(1/7)-1</f>
        <v/>
      </c>
      <c r="U22" s="281">
        <f>T22</f>
        <v/>
      </c>
      <c r="V22" s="281">
        <f>U22-($U$22-$Y$22)/4</f>
        <v/>
      </c>
      <c r="W22" s="281">
        <f>V22-($U$22-$Y$22)/4</f>
        <v/>
      </c>
      <c r="X22" s="281">
        <f>W22-($U$22-$Y$22)/4</f>
        <v/>
      </c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>
        <f>T10/S10-1</f>
        <v/>
      </c>
      <c r="U23" s="281" t="n">
        <v>0.1</v>
      </c>
      <c r="V23" s="281">
        <f>U23</f>
        <v/>
      </c>
      <c r="W23" s="281">
        <f>V23</f>
        <v/>
      </c>
      <c r="X23" s="281">
        <f>W23</f>
        <v/>
      </c>
      <c r="Y23" s="281">
        <f>X23</f>
        <v/>
      </c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>
        <f>T11/S11-1</f>
        <v/>
      </c>
      <c r="U24" s="281" t="n">
        <v>0.08</v>
      </c>
      <c r="V24" s="281">
        <f>U24</f>
        <v/>
      </c>
      <c r="W24" s="281">
        <f>V24</f>
        <v/>
      </c>
      <c r="X24" s="281">
        <f>W24</f>
        <v/>
      </c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>
        <f>T12/S12-1</f>
        <v/>
      </c>
      <c r="U25" s="281">
        <f>T25</f>
        <v/>
      </c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>
        <f>(T13/E13)^(1/16)-1</f>
        <v/>
      </c>
      <c r="U26" s="281" t="n">
        <v>0.2</v>
      </c>
      <c r="V26" s="281">
        <f>U26-($U$26-$Y$26)/4</f>
        <v/>
      </c>
      <c r="W26" s="281">
        <f>V26-($U$26-$Y$26)/4</f>
        <v/>
      </c>
      <c r="X26" s="281">
        <f>W26-($U$26-$Y$26)/4</f>
        <v/>
      </c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>
        <f>T28</f>
        <v/>
      </c>
      <c r="V28" s="281">
        <f>U28</f>
        <v/>
      </c>
      <c r="W28" s="281">
        <f>V28</f>
        <v/>
      </c>
      <c r="X28" s="281">
        <f>W28</f>
        <v/>
      </c>
      <c r="Y28" s="281">
        <f>X28</f>
        <v/>
      </c>
    </row>
    <row r="29">
      <c r="A29" t="inlineStr">
        <is>
          <t>Less: Inter-segment revenue</t>
        </is>
      </c>
      <c r="T29" s="278">
        <f>(T16/M16)^(1/7)-1</f>
        <v/>
      </c>
      <c r="U29" s="281">
        <f>T29</f>
        <v/>
      </c>
      <c r="V29" s="281">
        <f>U29</f>
        <v/>
      </c>
      <c r="W29" s="281">
        <f>V29</f>
        <v/>
      </c>
      <c r="X29" s="281">
        <f>W29</f>
        <v/>
      </c>
      <c r="Y29" s="281">
        <f>X29</f>
        <v/>
      </c>
    </row>
    <row r="30">
      <c r="A30" t="inlineStr">
        <is>
          <t>YoY Growth</t>
        </is>
      </c>
      <c r="E30" s="269" t="n"/>
      <c r="F30" s="269">
        <f>F17/E17-1</f>
        <v/>
      </c>
      <c r="G30" s="269">
        <f>G17/F17-1</f>
        <v/>
      </c>
      <c r="H30" s="269">
        <f>H17/G17-1</f>
        <v/>
      </c>
      <c r="I30" s="269">
        <f>I17/H17-1</f>
        <v/>
      </c>
      <c r="J30" s="269">
        <f>J17/I17-1</f>
        <v/>
      </c>
      <c r="K30" s="269">
        <f>K17/J17-1</f>
        <v/>
      </c>
      <c r="L30" s="269">
        <f>L17/K17-1</f>
        <v/>
      </c>
      <c r="M30" s="269">
        <f>M17/L17-1</f>
        <v/>
      </c>
      <c r="N30" s="269">
        <f>N17/M17-1</f>
        <v/>
      </c>
      <c r="O30" s="269">
        <f>O17/N17-1</f>
        <v/>
      </c>
      <c r="P30" s="269">
        <f>P17/O17-1</f>
        <v/>
      </c>
      <c r="Q30" s="269">
        <f>Q17/P17-1</f>
        <v/>
      </c>
      <c r="R30" s="269">
        <f>R17/Q17-1</f>
        <v/>
      </c>
      <c r="S30" s="269">
        <f>S17/R17-1</f>
        <v/>
      </c>
      <c r="T30" s="269">
        <f>T17/S17-1</f>
        <v/>
      </c>
      <c r="U30" s="280">
        <f>U17/T17-1</f>
        <v/>
      </c>
      <c r="V30" s="280">
        <f>V17/U17-1</f>
        <v/>
      </c>
      <c r="W30" s="280">
        <f>W17/V17-1</f>
        <v/>
      </c>
      <c r="X30" s="280">
        <f>X17/W17-1</f>
        <v/>
      </c>
      <c r="Y30" s="280">
        <f>Y17/X17-1</f>
        <v/>
      </c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  <c r="Y1" s="344">
        <f>EOMONTH(X1,12)</f>
        <v/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>
        <f>IS!F4</f>
        <v/>
      </c>
      <c r="F3" s="21">
        <f>IS!G4</f>
        <v/>
      </c>
      <c r="G3" s="21">
        <f>IS!H4</f>
        <v/>
      </c>
      <c r="H3" s="21">
        <f>IS!I4</f>
        <v/>
      </c>
      <c r="I3" s="21">
        <f>IS!J4</f>
        <v/>
      </c>
      <c r="J3" s="21">
        <f>IS!K4</f>
        <v/>
      </c>
      <c r="K3" s="21">
        <f>IS!L4</f>
        <v/>
      </c>
      <c r="L3" s="21">
        <f>IS!M4</f>
        <v/>
      </c>
      <c r="M3" s="21">
        <f>IS!N4</f>
        <v/>
      </c>
      <c r="N3" s="21">
        <f>IS!O4</f>
        <v/>
      </c>
      <c r="O3" s="21">
        <f>IS!P4</f>
        <v/>
      </c>
      <c r="P3" s="21">
        <f>IS!Q4</f>
        <v/>
      </c>
      <c r="Q3" s="21">
        <f>IS!R4</f>
        <v/>
      </c>
      <c r="R3" s="21">
        <f>IS!S4</f>
        <v/>
      </c>
      <c r="S3" s="21">
        <f>IS!T4</f>
        <v/>
      </c>
      <c r="T3" s="21">
        <f>IS!U4</f>
        <v/>
      </c>
      <c r="U3" s="21">
        <f>IS!V4</f>
        <v/>
      </c>
      <c r="V3" s="21">
        <f>IS!W4</f>
        <v/>
      </c>
      <c r="W3" s="21">
        <f>IS!X4</f>
        <v/>
      </c>
      <c r="X3" s="21">
        <f>IS!Y4</f>
        <v/>
      </c>
      <c r="Y3" s="21">
        <f>IS!Z4</f>
        <v/>
      </c>
    </row>
    <row r="5">
      <c r="B5" t="inlineStr">
        <is>
          <t>Other Income</t>
        </is>
      </c>
      <c r="E5" s="21">
        <f>IS!F5</f>
        <v/>
      </c>
      <c r="F5" s="21">
        <f>IS!G5</f>
        <v/>
      </c>
      <c r="G5" s="21">
        <f>IS!H5</f>
        <v/>
      </c>
      <c r="H5" s="21">
        <f>IS!I5</f>
        <v/>
      </c>
      <c r="I5" s="21">
        <f>IS!J5</f>
        <v/>
      </c>
      <c r="J5" s="21">
        <f>IS!K5</f>
        <v/>
      </c>
      <c r="K5" s="21">
        <f>IS!L5</f>
        <v/>
      </c>
      <c r="L5" s="21">
        <f>IS!M5</f>
        <v/>
      </c>
      <c r="M5" s="21">
        <f>IS!N5</f>
        <v/>
      </c>
      <c r="N5" s="21">
        <f>IS!O5</f>
        <v/>
      </c>
      <c r="O5" s="21">
        <f>IS!P5</f>
        <v/>
      </c>
      <c r="P5" s="21">
        <f>IS!Q5</f>
        <v/>
      </c>
      <c r="Q5" s="21">
        <f>IS!R5</f>
        <v/>
      </c>
      <c r="R5" s="21">
        <f>IS!S5</f>
        <v/>
      </c>
      <c r="S5" s="21">
        <f>IS!T5</f>
        <v/>
      </c>
      <c r="T5" s="21">
        <f>IS!U5</f>
        <v/>
      </c>
      <c r="U5" s="21">
        <f>AVERAGE(T5,V5)</f>
        <v/>
      </c>
      <c r="V5" s="21" t="n">
        <v>1000</v>
      </c>
      <c r="W5" s="192">
        <f>V5+($Y$5-$V$5)/3</f>
        <v/>
      </c>
      <c r="X5" s="192">
        <f>W5+($Y$5-$V$5)/3</f>
        <v/>
      </c>
      <c r="Y5" s="21" t="n">
        <v>1500</v>
      </c>
    </row>
    <row r="7">
      <c r="B7" t="inlineStr">
        <is>
          <t>Network operating expenses</t>
        </is>
      </c>
      <c r="E7" s="21">
        <f>IS!F8</f>
        <v/>
      </c>
      <c r="F7" s="21">
        <f>IS!G8</f>
        <v/>
      </c>
      <c r="G7" s="21">
        <f>IS!H8</f>
        <v/>
      </c>
      <c r="H7" s="21">
        <f>IS!I8</f>
        <v/>
      </c>
      <c r="I7" s="21">
        <f>IS!J8</f>
        <v/>
      </c>
      <c r="J7" s="21">
        <f>IS!K8</f>
        <v/>
      </c>
      <c r="K7" s="21">
        <f>IS!L8</f>
        <v/>
      </c>
      <c r="L7" s="21">
        <f>IS!M8</f>
        <v/>
      </c>
      <c r="M7" s="21">
        <f>IS!N8</f>
        <v/>
      </c>
      <c r="N7" s="21">
        <f>IS!O8</f>
        <v/>
      </c>
      <c r="O7" s="21">
        <f>IS!P8</f>
        <v/>
      </c>
      <c r="P7" s="21">
        <f>IS!Q8</f>
        <v/>
      </c>
      <c r="Q7" s="21">
        <f>IS!R8</f>
        <v/>
      </c>
      <c r="R7" s="21">
        <f>IS!S8</f>
        <v/>
      </c>
      <c r="S7" s="21">
        <f>IS!T8</f>
        <v/>
      </c>
      <c r="T7" s="21">
        <f>IS!U8</f>
        <v/>
      </c>
      <c r="U7" s="192">
        <f>U$3*U25</f>
        <v/>
      </c>
      <c r="V7" s="192">
        <f>V$3*V25</f>
        <v/>
      </c>
      <c r="W7" s="192">
        <f>W$3*W25</f>
        <v/>
      </c>
      <c r="X7" s="192">
        <f>X$3*X25</f>
        <v/>
      </c>
      <c r="Y7" s="192">
        <f>Y$3*Y25</f>
        <v/>
      </c>
    </row>
    <row r="8">
      <c r="B8" t="inlineStr">
        <is>
          <t>Access charges</t>
        </is>
      </c>
      <c r="E8" s="21">
        <f>IS!F9</f>
        <v/>
      </c>
      <c r="F8" s="21">
        <f>IS!G9</f>
        <v/>
      </c>
      <c r="G8" s="21">
        <f>IS!H9</f>
        <v/>
      </c>
      <c r="H8" s="21">
        <f>IS!I9</f>
        <v/>
      </c>
      <c r="I8" s="21">
        <f>IS!J9</f>
        <v/>
      </c>
      <c r="J8" s="21">
        <f>IS!K9</f>
        <v/>
      </c>
      <c r="K8" s="21">
        <f>IS!L9</f>
        <v/>
      </c>
      <c r="L8" s="21">
        <f>IS!M9</f>
        <v/>
      </c>
      <c r="M8" s="21">
        <f>IS!N9</f>
        <v/>
      </c>
      <c r="N8" s="21">
        <f>IS!O9</f>
        <v/>
      </c>
      <c r="O8" s="21">
        <f>IS!P9</f>
        <v/>
      </c>
      <c r="P8" s="21">
        <f>IS!Q9</f>
        <v/>
      </c>
      <c r="Q8" s="21">
        <f>IS!R9</f>
        <v/>
      </c>
      <c r="R8" s="21">
        <f>IS!S9</f>
        <v/>
      </c>
      <c r="S8" s="21">
        <f>IS!T9</f>
        <v/>
      </c>
      <c r="T8" s="21">
        <f>IS!U9</f>
        <v/>
      </c>
      <c r="U8" s="192">
        <f>U$3*U26</f>
        <v/>
      </c>
      <c r="V8" s="192">
        <f>V$3*V26</f>
        <v/>
      </c>
      <c r="W8" s="192">
        <f>W$3*W26</f>
        <v/>
      </c>
      <c r="X8" s="192">
        <f>X$3*X26</f>
        <v/>
      </c>
      <c r="Y8" s="192">
        <f>Y$3*Y26</f>
        <v/>
      </c>
    </row>
    <row r="9">
      <c r="B9" t="inlineStr">
        <is>
          <t>License fee / spectrum charges (revenue share)</t>
        </is>
      </c>
      <c r="E9" s="21">
        <f>IS!F10</f>
        <v/>
      </c>
      <c r="F9" s="21">
        <f>IS!G10</f>
        <v/>
      </c>
      <c r="G9" s="21">
        <f>IS!H10</f>
        <v/>
      </c>
      <c r="H9" s="21">
        <f>IS!I10</f>
        <v/>
      </c>
      <c r="I9" s="21">
        <f>IS!J10</f>
        <v/>
      </c>
      <c r="J9" s="21">
        <f>IS!K10</f>
        <v/>
      </c>
      <c r="K9" s="21">
        <f>IS!L10</f>
        <v/>
      </c>
      <c r="L9" s="21">
        <f>IS!M10</f>
        <v/>
      </c>
      <c r="M9" s="21">
        <f>IS!N10</f>
        <v/>
      </c>
      <c r="N9" s="21">
        <f>IS!O10</f>
        <v/>
      </c>
      <c r="O9" s="21">
        <f>IS!P10</f>
        <v/>
      </c>
      <c r="P9" s="21">
        <f>IS!Q10</f>
        <v/>
      </c>
      <c r="Q9" s="21">
        <f>IS!R10</f>
        <v/>
      </c>
      <c r="R9" s="21">
        <f>IS!S10</f>
        <v/>
      </c>
      <c r="S9" s="21">
        <f>IS!T10</f>
        <v/>
      </c>
      <c r="T9" s="21">
        <f>IS!U10</f>
        <v/>
      </c>
      <c r="U9" s="192">
        <f>U$3*U27</f>
        <v/>
      </c>
      <c r="V9" s="192">
        <f>V$3*V27</f>
        <v/>
      </c>
      <c r="W9" s="192">
        <f>W$3*W27</f>
        <v/>
      </c>
      <c r="X9" s="192">
        <f>X$3*X27</f>
        <v/>
      </c>
      <c r="Y9" s="192">
        <f>Y$3*Y27</f>
        <v/>
      </c>
    </row>
    <row r="10">
      <c r="B10" t="inlineStr">
        <is>
          <t>Employee benefit cost</t>
        </is>
      </c>
      <c r="E10" s="21">
        <f>IS!F11</f>
        <v/>
      </c>
      <c r="F10" s="21">
        <f>IS!G11</f>
        <v/>
      </c>
      <c r="G10" s="21">
        <f>IS!H11</f>
        <v/>
      </c>
      <c r="H10" s="21">
        <f>IS!I11</f>
        <v/>
      </c>
      <c r="I10" s="21">
        <f>IS!J11</f>
        <v/>
      </c>
      <c r="J10" s="21">
        <f>IS!K11</f>
        <v/>
      </c>
      <c r="K10" s="21">
        <f>IS!L11</f>
        <v/>
      </c>
      <c r="L10" s="21">
        <f>IS!M11</f>
        <v/>
      </c>
      <c r="M10" s="21">
        <f>IS!N11</f>
        <v/>
      </c>
      <c r="N10" s="21">
        <f>IS!O11</f>
        <v/>
      </c>
      <c r="O10" s="21">
        <f>IS!P11</f>
        <v/>
      </c>
      <c r="P10" s="21">
        <f>IS!Q11</f>
        <v/>
      </c>
      <c r="Q10" s="21">
        <f>IS!R11</f>
        <v/>
      </c>
      <c r="R10" s="21">
        <f>IS!S11</f>
        <v/>
      </c>
      <c r="S10" s="21">
        <f>IS!T11</f>
        <v/>
      </c>
      <c r="T10" s="21">
        <f>IS!U11</f>
        <v/>
      </c>
      <c r="U10" s="192">
        <f>U$3*U28</f>
        <v/>
      </c>
      <c r="V10" s="192">
        <f>V$3*V28</f>
        <v/>
      </c>
      <c r="W10" s="192">
        <f>W$3*W28</f>
        <v/>
      </c>
      <c r="X10" s="192">
        <f>X$3*X28</f>
        <v/>
      </c>
      <c r="Y10" s="192">
        <f>Y$3*Y28</f>
        <v/>
      </c>
    </row>
    <row r="11" s="215">
      <c r="B11" t="inlineStr">
        <is>
          <t>sales and marketing expenses</t>
        </is>
      </c>
      <c r="E11" s="21">
        <f>IS!F12</f>
        <v/>
      </c>
      <c r="F11" s="21">
        <f>IS!G12</f>
        <v/>
      </c>
      <c r="G11" s="21">
        <f>IS!H12</f>
        <v/>
      </c>
      <c r="H11" s="21">
        <f>IS!I12</f>
        <v/>
      </c>
      <c r="I11" s="21">
        <f>IS!J12</f>
        <v/>
      </c>
      <c r="J11" s="21">
        <f>IS!K12</f>
        <v/>
      </c>
      <c r="K11" s="21">
        <f>IS!L12</f>
        <v/>
      </c>
      <c r="L11" s="21">
        <f>IS!M12</f>
        <v/>
      </c>
      <c r="M11" s="21">
        <f>IS!N12</f>
        <v/>
      </c>
      <c r="N11" s="21">
        <f>IS!O12</f>
        <v/>
      </c>
      <c r="O11" s="21">
        <f>IS!P12</f>
        <v/>
      </c>
      <c r="P11" s="21">
        <f>IS!Q12</f>
        <v/>
      </c>
      <c r="Q11" s="21">
        <f>IS!R12</f>
        <v/>
      </c>
      <c r="R11" s="21">
        <f>IS!S12</f>
        <v/>
      </c>
      <c r="S11" s="21">
        <f>IS!T12</f>
        <v/>
      </c>
      <c r="T11" s="21">
        <f>IS!U12</f>
        <v/>
      </c>
      <c r="U11" s="192">
        <f>U$3*U29</f>
        <v/>
      </c>
      <c r="V11" s="192">
        <f>V$3*V29</f>
        <v/>
      </c>
      <c r="W11" s="192">
        <f>W$3*W29</f>
        <v/>
      </c>
      <c r="X11" s="192">
        <f>X$3*X29</f>
        <v/>
      </c>
      <c r="Y11" s="192">
        <f>Y$3*Y29</f>
        <v/>
      </c>
    </row>
    <row r="12">
      <c r="B12" t="inlineStr">
        <is>
          <t>Total Opex</t>
        </is>
      </c>
      <c r="E12" s="21">
        <f>SUM(E7:E11)</f>
        <v/>
      </c>
      <c r="F12" s="21">
        <f>SUM(F7:F11)</f>
        <v/>
      </c>
      <c r="G12" s="21">
        <f>SUM(G7:G11)</f>
        <v/>
      </c>
      <c r="H12" s="21">
        <f>SUM(H7:H11)</f>
        <v/>
      </c>
      <c r="I12" s="21">
        <f>SUM(I7:I11)</f>
        <v/>
      </c>
      <c r="J12" s="21">
        <f>SUM(J7:J11)</f>
        <v/>
      </c>
      <c r="K12" s="21">
        <f>SUM(K7:K11)</f>
        <v/>
      </c>
      <c r="L12" s="21">
        <f>SUM(L7:L11)</f>
        <v/>
      </c>
      <c r="M12" s="21">
        <f>SUM(M7:M11)</f>
        <v/>
      </c>
      <c r="N12" s="21">
        <f>SUM(N7:N11)</f>
        <v/>
      </c>
      <c r="O12" s="21">
        <f>SUM(O7:O11)</f>
        <v/>
      </c>
      <c r="P12" s="21">
        <f>SUM(P7:P11)</f>
        <v/>
      </c>
      <c r="Q12" s="21">
        <f>SUM(Q7:Q11)</f>
        <v/>
      </c>
      <c r="R12" s="21">
        <f>SUM(R7:R11)</f>
        <v/>
      </c>
      <c r="S12" s="21">
        <f>SUM(S7:S11)</f>
        <v/>
      </c>
      <c r="T12" s="21">
        <f>SUM(T7:T11)</f>
        <v/>
      </c>
      <c r="U12" s="192">
        <f>U$3*U30</f>
        <v/>
      </c>
      <c r="V12" s="192">
        <f>V$3*V30</f>
        <v/>
      </c>
      <c r="W12" s="192">
        <f>W$3*W30</f>
        <v/>
      </c>
      <c r="X12" s="192">
        <f>X$3*X30</f>
        <v/>
      </c>
      <c r="Y12" s="192">
        <f>Y$3*Y30</f>
        <v/>
      </c>
    </row>
    <row r="14">
      <c r="B14" t="inlineStr">
        <is>
          <t>Other expenses</t>
        </is>
      </c>
      <c r="E14" s="21">
        <f>IS!F17</f>
        <v/>
      </c>
      <c r="F14" s="21">
        <f>IS!G17</f>
        <v/>
      </c>
      <c r="G14" s="21">
        <f>IS!H17</f>
        <v/>
      </c>
      <c r="H14" s="21">
        <f>IS!I17</f>
        <v/>
      </c>
      <c r="I14" s="21">
        <f>IS!J17</f>
        <v/>
      </c>
      <c r="J14" s="21">
        <f>IS!K17</f>
        <v/>
      </c>
      <c r="K14" s="21">
        <f>IS!L17</f>
        <v/>
      </c>
      <c r="L14" s="21">
        <f>IS!M17</f>
        <v/>
      </c>
      <c r="M14" s="21">
        <f>IS!N17</f>
        <v/>
      </c>
      <c r="N14" s="21">
        <f>IS!O17</f>
        <v/>
      </c>
      <c r="O14" s="21">
        <f>IS!P17</f>
        <v/>
      </c>
      <c r="P14" s="21">
        <f>IS!Q17</f>
        <v/>
      </c>
      <c r="Q14" s="21">
        <f>IS!R17</f>
        <v/>
      </c>
      <c r="R14" s="21">
        <f>IS!S17</f>
        <v/>
      </c>
      <c r="S14" s="21">
        <f>IS!T17</f>
        <v/>
      </c>
      <c r="T14" s="21">
        <f>IS!U17</f>
        <v/>
      </c>
      <c r="U14" s="192">
        <f>U32*U3</f>
        <v/>
      </c>
      <c r="V14" s="192">
        <f>V32*V3</f>
        <v/>
      </c>
      <c r="W14" s="192">
        <f>W32*W3</f>
        <v/>
      </c>
      <c r="X14" s="192">
        <f>X32*X3</f>
        <v/>
      </c>
      <c r="Y14" s="192">
        <f>Y32*Y3</f>
        <v/>
      </c>
    </row>
    <row r="15">
      <c r="B15" t="inlineStr">
        <is>
          <t>Depreciation and amortisation</t>
        </is>
      </c>
      <c r="E15" s="21">
        <f>IS!F21</f>
        <v/>
      </c>
      <c r="F15" s="21">
        <f>IS!G21</f>
        <v/>
      </c>
      <c r="G15" s="21">
        <f>IS!H21</f>
        <v/>
      </c>
      <c r="H15" s="21">
        <f>IS!I21</f>
        <v/>
      </c>
      <c r="I15" s="21">
        <f>IS!J21</f>
        <v/>
      </c>
      <c r="J15" s="21">
        <f>IS!K21</f>
        <v/>
      </c>
      <c r="K15" s="21">
        <f>IS!L21</f>
        <v/>
      </c>
      <c r="L15" s="21">
        <f>IS!M21</f>
        <v/>
      </c>
      <c r="M15" s="21">
        <f>IS!N21</f>
        <v/>
      </c>
      <c r="N15" s="21">
        <f>IS!O21</f>
        <v/>
      </c>
      <c r="O15" s="21">
        <f>IS!P21</f>
        <v/>
      </c>
      <c r="P15" s="21">
        <f>IS!Q21</f>
        <v/>
      </c>
      <c r="Q15" s="21">
        <f>IS!R21</f>
        <v/>
      </c>
      <c r="R15" s="21">
        <f>IS!S21</f>
        <v/>
      </c>
      <c r="S15" s="21">
        <f>IS!T21</f>
        <v/>
      </c>
      <c r="T15" s="21">
        <f>IS!U21</f>
        <v/>
      </c>
      <c r="U15" s="192">
        <f>IS!V21</f>
        <v/>
      </c>
      <c r="V15" s="192">
        <f>IS!W21</f>
        <v/>
      </c>
      <c r="W15" s="192">
        <f>IS!X21</f>
        <v/>
      </c>
      <c r="X15" s="192">
        <f>IS!Y21</f>
        <v/>
      </c>
      <c r="Y15" s="192">
        <f>IS!Z21</f>
        <v/>
      </c>
    </row>
    <row r="16">
      <c r="B16" t="inlineStr">
        <is>
          <t>Finance costs</t>
        </is>
      </c>
      <c r="E16" s="21">
        <f>IS!F24</f>
        <v/>
      </c>
      <c r="F16" s="21">
        <f>IS!G24</f>
        <v/>
      </c>
      <c r="G16" s="21">
        <f>IS!H24</f>
        <v/>
      </c>
      <c r="H16" s="21">
        <f>IS!I24</f>
        <v/>
      </c>
      <c r="I16" s="21">
        <f>IS!J24</f>
        <v/>
      </c>
      <c r="J16" s="21">
        <f>IS!K24</f>
        <v/>
      </c>
      <c r="K16" s="21">
        <f>IS!L24</f>
        <v/>
      </c>
      <c r="L16" s="21">
        <f>IS!M24</f>
        <v/>
      </c>
      <c r="M16" s="21">
        <f>IS!N24</f>
        <v/>
      </c>
      <c r="N16" s="21">
        <f>IS!O24</f>
        <v/>
      </c>
      <c r="O16" s="21">
        <f>IS!P24</f>
        <v/>
      </c>
      <c r="P16" s="21">
        <f>IS!Q24</f>
        <v/>
      </c>
      <c r="Q16" s="21">
        <f>IS!R24</f>
        <v/>
      </c>
      <c r="R16" s="21">
        <f>IS!S24</f>
        <v/>
      </c>
      <c r="S16" s="21">
        <f>IS!T24</f>
        <v/>
      </c>
      <c r="T16" s="21">
        <f>IS!U24</f>
        <v/>
      </c>
      <c r="U16" s="192">
        <f>IS!V24</f>
        <v/>
      </c>
      <c r="V16" s="192">
        <f>IS!W24</f>
        <v/>
      </c>
      <c r="W16" s="192">
        <f>IS!X24</f>
        <v/>
      </c>
      <c r="X16" s="192">
        <f>IS!Y24</f>
        <v/>
      </c>
      <c r="Y16" s="192">
        <f>IS!Z24</f>
        <v/>
      </c>
    </row>
    <row r="17">
      <c r="B17" t="inlineStr">
        <is>
          <t>Finance income</t>
        </is>
      </c>
      <c r="E17" s="21">
        <f>IS!F25</f>
        <v/>
      </c>
      <c r="F17" s="21">
        <f>IS!G25</f>
        <v/>
      </c>
      <c r="G17" s="21">
        <f>IS!H25</f>
        <v/>
      </c>
      <c r="H17" s="21">
        <f>IS!I25</f>
        <v/>
      </c>
      <c r="I17" s="21">
        <f>IS!J25</f>
        <v/>
      </c>
      <c r="J17" s="21">
        <f>IS!K25</f>
        <v/>
      </c>
      <c r="K17" s="21">
        <f>IS!L25</f>
        <v/>
      </c>
      <c r="L17" s="21">
        <f>IS!M25</f>
        <v/>
      </c>
      <c r="M17" s="21">
        <f>IS!N25</f>
        <v/>
      </c>
      <c r="N17" s="21">
        <f>IS!O25</f>
        <v/>
      </c>
      <c r="O17" s="21">
        <f>IS!P25</f>
        <v/>
      </c>
      <c r="P17" s="21">
        <f>IS!Q25</f>
        <v/>
      </c>
      <c r="Q17" s="21">
        <f>IS!R25</f>
        <v/>
      </c>
      <c r="R17" s="21">
        <f>IS!S25</f>
        <v/>
      </c>
      <c r="S17" s="21">
        <f>IS!T25</f>
        <v/>
      </c>
      <c r="T17" s="21">
        <f>IS!U25</f>
        <v/>
      </c>
      <c r="U17" s="192">
        <f>U35*U$3</f>
        <v/>
      </c>
      <c r="V17" s="192">
        <f>V35*V$3</f>
        <v/>
      </c>
      <c r="W17" s="192">
        <f>W35*W$3</f>
        <v/>
      </c>
      <c r="X17" s="192">
        <f>X35*X$3</f>
        <v/>
      </c>
      <c r="Y17" s="192">
        <f>Y35*Y$3</f>
        <v/>
      </c>
    </row>
    <row r="18">
      <c r="B18" t="inlineStr">
        <is>
          <t>Non-operating expenses(net)</t>
        </is>
      </c>
      <c r="E18" s="21">
        <f>IS!F28</f>
        <v/>
      </c>
      <c r="F18" s="21">
        <f>IS!G28</f>
        <v/>
      </c>
      <c r="G18" s="21">
        <f>IS!H28</f>
        <v/>
      </c>
      <c r="H18" s="21">
        <f>IS!I28</f>
        <v/>
      </c>
      <c r="I18" s="21">
        <f>IS!J28</f>
        <v/>
      </c>
      <c r="J18" s="21">
        <f>IS!K28</f>
        <v/>
      </c>
      <c r="K18" s="21">
        <f>IS!L28</f>
        <v/>
      </c>
      <c r="L18" s="21">
        <f>IS!M28</f>
        <v/>
      </c>
      <c r="M18" s="21">
        <f>IS!N28</f>
        <v/>
      </c>
      <c r="N18" s="21">
        <f>IS!O28</f>
        <v/>
      </c>
      <c r="O18" s="21">
        <f>IS!P28</f>
        <v/>
      </c>
      <c r="P18" s="21">
        <f>IS!Q28</f>
        <v/>
      </c>
      <c r="Q18" s="21">
        <f>IS!R28</f>
        <v/>
      </c>
      <c r="R18" s="21">
        <f>IS!S28</f>
        <v/>
      </c>
      <c r="S18" s="21">
        <f>IS!T28</f>
        <v/>
      </c>
      <c r="T18" s="21">
        <f>IS!U28</f>
        <v/>
      </c>
      <c r="U18" s="192">
        <f>U36*U$3</f>
        <v/>
      </c>
      <c r="V18" s="192">
        <f>V36*V$3</f>
        <v/>
      </c>
      <c r="W18" s="192">
        <f>W36*W$3</f>
        <v/>
      </c>
      <c r="X18" s="192">
        <f>X36*X$3</f>
        <v/>
      </c>
      <c r="Y18" s="192">
        <f>Y36*Y$3</f>
        <v/>
      </c>
    </row>
    <row r="19">
      <c r="B19" t="inlineStr">
        <is>
          <t>Current tax</t>
        </is>
      </c>
      <c r="E19" s="21">
        <f>IS!F33</f>
        <v/>
      </c>
      <c r="F19" s="21">
        <f>IS!G33</f>
        <v/>
      </c>
      <c r="G19" s="21">
        <f>IS!H33</f>
        <v/>
      </c>
      <c r="H19" s="21">
        <f>IS!I33</f>
        <v/>
      </c>
      <c r="I19" s="21">
        <f>IS!J33</f>
        <v/>
      </c>
      <c r="J19" s="21">
        <f>IS!K33</f>
        <v/>
      </c>
      <c r="K19" s="21">
        <f>IS!L33</f>
        <v/>
      </c>
      <c r="L19" s="21">
        <f>IS!M33</f>
        <v/>
      </c>
      <c r="M19" s="21">
        <f>IS!N33</f>
        <v/>
      </c>
      <c r="N19" s="21">
        <f>IS!O33</f>
        <v/>
      </c>
      <c r="O19" s="21">
        <f>IS!P33</f>
        <v/>
      </c>
      <c r="P19" s="21">
        <f>IS!Q33</f>
        <v/>
      </c>
      <c r="Q19" s="21">
        <f>IS!R33</f>
        <v/>
      </c>
      <c r="R19" s="21">
        <f>IS!S33</f>
        <v/>
      </c>
      <c r="S19" s="21">
        <f>IS!T33</f>
        <v/>
      </c>
      <c r="T19" s="21">
        <f>IS!U33</f>
        <v/>
      </c>
      <c r="U19" s="192">
        <f>IS!V33</f>
        <v/>
      </c>
      <c r="V19" s="192">
        <f>IS!W33</f>
        <v/>
      </c>
      <c r="W19" s="192">
        <f>IS!X33</f>
        <v/>
      </c>
      <c r="X19" s="192">
        <f>IS!Y33</f>
        <v/>
      </c>
      <c r="Y19" s="192">
        <f>IS!Z33</f>
        <v/>
      </c>
    </row>
    <row r="20">
      <c r="B20" t="inlineStr">
        <is>
          <t>Less: Minority Interest</t>
        </is>
      </c>
      <c r="E20" s="21">
        <f>IS!F37</f>
        <v/>
      </c>
      <c r="F20" s="21">
        <f>IS!G37</f>
        <v/>
      </c>
      <c r="G20" s="21">
        <f>IS!H37</f>
        <v/>
      </c>
      <c r="H20" s="21">
        <f>IS!I37</f>
        <v/>
      </c>
      <c r="I20" s="21">
        <f>IS!J37</f>
        <v/>
      </c>
      <c r="J20" s="21">
        <f>IS!K37</f>
        <v/>
      </c>
      <c r="K20" s="21">
        <f>IS!L37</f>
        <v/>
      </c>
      <c r="L20" s="21">
        <f>IS!M37</f>
        <v/>
      </c>
      <c r="M20" s="21">
        <f>IS!N37</f>
        <v/>
      </c>
      <c r="N20" s="21">
        <f>IS!O37</f>
        <v/>
      </c>
      <c r="O20" s="21">
        <f>IS!P37</f>
        <v/>
      </c>
      <c r="P20" s="21">
        <f>IS!Q37</f>
        <v/>
      </c>
      <c r="Q20" s="21">
        <f>IS!R37</f>
        <v/>
      </c>
      <c r="R20" s="21">
        <f>IS!S37</f>
        <v/>
      </c>
      <c r="S20" s="21">
        <f>IS!T37</f>
        <v/>
      </c>
      <c r="T20" s="21">
        <f>IS!U37</f>
        <v/>
      </c>
      <c r="U20" s="192">
        <f>U3*U38</f>
        <v/>
      </c>
      <c r="V20" s="192">
        <f>V3*V38</f>
        <v/>
      </c>
      <c r="W20" s="192">
        <f>W3*W38</f>
        <v/>
      </c>
      <c r="X20" s="192">
        <f>X3*X38</f>
        <v/>
      </c>
      <c r="Y20" s="192">
        <f>Y3*Y38</f>
        <v/>
      </c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>
        <f>E5/E3</f>
        <v/>
      </c>
      <c r="F23" s="269">
        <f>F5/F3</f>
        <v/>
      </c>
      <c r="G23" s="269">
        <f>G5/G3</f>
        <v/>
      </c>
      <c r="H23" s="269">
        <f>H5/H3</f>
        <v/>
      </c>
      <c r="I23" s="269">
        <f>I5/I3</f>
        <v/>
      </c>
      <c r="J23" s="269">
        <f>J5/J3</f>
        <v/>
      </c>
      <c r="K23" s="269">
        <f>K5/K3</f>
        <v/>
      </c>
      <c r="L23" s="269">
        <f>L5/L3</f>
        <v/>
      </c>
      <c r="M23" s="269">
        <f>M5/M3</f>
        <v/>
      </c>
      <c r="N23" s="269">
        <f>N5/N3</f>
        <v/>
      </c>
      <c r="O23" s="269">
        <f>O5/O3</f>
        <v/>
      </c>
      <c r="P23" s="269">
        <f>P5/P3</f>
        <v/>
      </c>
      <c r="Q23" s="269">
        <f>Q5/Q3</f>
        <v/>
      </c>
      <c r="R23" s="269">
        <f>R5/R3</f>
        <v/>
      </c>
      <c r="S23" s="269">
        <f>S5/S3</f>
        <v/>
      </c>
      <c r="T23" s="269">
        <f>T5/T3</f>
        <v/>
      </c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>
        <f>E7/E$3</f>
        <v/>
      </c>
      <c r="F25" s="269">
        <f>F7/F$3</f>
        <v/>
      </c>
      <c r="G25" s="269">
        <f>G7/G$3</f>
        <v/>
      </c>
      <c r="H25" s="269">
        <f>H7/H$3</f>
        <v/>
      </c>
      <c r="I25" s="269">
        <f>I7/I$3</f>
        <v/>
      </c>
      <c r="J25" s="269">
        <f>J7/J$3</f>
        <v/>
      </c>
      <c r="K25" s="269">
        <f>K7/K$3</f>
        <v/>
      </c>
      <c r="L25" s="269">
        <f>L7/L$3</f>
        <v/>
      </c>
      <c r="M25" s="269">
        <f>M7/M$3</f>
        <v/>
      </c>
      <c r="N25" s="269">
        <f>N7/N$3</f>
        <v/>
      </c>
      <c r="O25" s="269">
        <f>O7/O$3</f>
        <v/>
      </c>
      <c r="P25" s="269">
        <f>P7/P$3</f>
        <v/>
      </c>
      <c r="Q25" s="269">
        <f>Q7/Q$3</f>
        <v/>
      </c>
      <c r="R25" s="269">
        <f>R7/R$3</f>
        <v/>
      </c>
      <c r="S25" s="269">
        <f>S7/S$3</f>
        <v/>
      </c>
      <c r="T25" s="269">
        <f>T7/T$3</f>
        <v/>
      </c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>
        <f>E8/E$3</f>
        <v/>
      </c>
      <c r="F26" s="269">
        <f>F8/F$3</f>
        <v/>
      </c>
      <c r="G26" s="269">
        <f>G8/G$3</f>
        <v/>
      </c>
      <c r="H26" s="269">
        <f>H8/H$3</f>
        <v/>
      </c>
      <c r="I26" s="269">
        <f>I8/I$3</f>
        <v/>
      </c>
      <c r="J26" s="269">
        <f>J8/J$3</f>
        <v/>
      </c>
      <c r="K26" s="269">
        <f>K8/K$3</f>
        <v/>
      </c>
      <c r="L26" s="269">
        <f>L8/L$3</f>
        <v/>
      </c>
      <c r="M26" s="269">
        <f>M8/M$3</f>
        <v/>
      </c>
      <c r="N26" s="269">
        <f>N8/N$3</f>
        <v/>
      </c>
      <c r="O26" s="269">
        <f>O8/O$3</f>
        <v/>
      </c>
      <c r="P26" s="269">
        <f>P8/P$3</f>
        <v/>
      </c>
      <c r="Q26" s="269">
        <f>Q8/Q$3</f>
        <v/>
      </c>
      <c r="R26" s="269">
        <f>R8/R$3</f>
        <v/>
      </c>
      <c r="S26" s="269">
        <f>S8/S$3</f>
        <v/>
      </c>
      <c r="T26" s="269">
        <f>T8/T$3</f>
        <v/>
      </c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>
        <f>E9/E$3</f>
        <v/>
      </c>
      <c r="F27" s="269">
        <f>F9/F$3</f>
        <v/>
      </c>
      <c r="G27" s="269">
        <f>G9/G$3</f>
        <v/>
      </c>
      <c r="H27" s="269">
        <f>H9/H$3</f>
        <v/>
      </c>
      <c r="I27" s="269">
        <f>I9/I$3</f>
        <v/>
      </c>
      <c r="J27" s="269">
        <f>J9/J$3</f>
        <v/>
      </c>
      <c r="K27" s="269">
        <f>K9/K$3</f>
        <v/>
      </c>
      <c r="L27" s="269">
        <f>L9/L$3</f>
        <v/>
      </c>
      <c r="M27" s="269">
        <f>M9/M$3</f>
        <v/>
      </c>
      <c r="N27" s="269">
        <f>N9/N$3</f>
        <v/>
      </c>
      <c r="O27" s="269">
        <f>O9/O$3</f>
        <v/>
      </c>
      <c r="P27" s="269">
        <f>P9/P$3</f>
        <v/>
      </c>
      <c r="Q27" s="269">
        <f>Q9/Q$3</f>
        <v/>
      </c>
      <c r="R27" s="269">
        <f>R9/R$3</f>
        <v/>
      </c>
      <c r="S27" s="269">
        <f>S9/S$3</f>
        <v/>
      </c>
      <c r="T27" s="269">
        <f>T9/T$3</f>
        <v/>
      </c>
      <c r="U27" s="269">
        <f>T27-($T$27-$Y$27)/5</f>
        <v/>
      </c>
      <c r="V27" s="269">
        <f>U27-($T$27-$Y$27)/5</f>
        <v/>
      </c>
      <c r="W27" s="269">
        <f>V27-($T$27-$Y$27)/5</f>
        <v/>
      </c>
      <c r="X27" s="269">
        <f>W27-($T$27-$Y$27)/5</f>
        <v/>
      </c>
      <c r="Y27" s="269" t="n">
        <v>0.08500000000000001</v>
      </c>
    </row>
    <row r="28">
      <c r="B28" t="inlineStr">
        <is>
          <t>Employee benefit cost</t>
        </is>
      </c>
      <c r="E28" s="269">
        <f>E10/E$3</f>
        <v/>
      </c>
      <c r="F28" s="269">
        <f>F10/F$3</f>
        <v/>
      </c>
      <c r="G28" s="269">
        <f>G10/G$3</f>
        <v/>
      </c>
      <c r="H28" s="269">
        <f>H10/H$3</f>
        <v/>
      </c>
      <c r="I28" s="269">
        <f>I10/I$3</f>
        <v/>
      </c>
      <c r="J28" s="269">
        <f>J10/J$3</f>
        <v/>
      </c>
      <c r="K28" s="269">
        <f>K10/K$3</f>
        <v/>
      </c>
      <c r="L28" s="269">
        <f>L10/L$3</f>
        <v/>
      </c>
      <c r="M28" s="269">
        <f>M10/M$3</f>
        <v/>
      </c>
      <c r="N28" s="269">
        <f>N10/N$3</f>
        <v/>
      </c>
      <c r="O28" s="269">
        <f>O10/O$3</f>
        <v/>
      </c>
      <c r="P28" s="269">
        <f>P10/P$3</f>
        <v/>
      </c>
      <c r="Q28" s="269">
        <f>Q10/Q$3</f>
        <v/>
      </c>
      <c r="R28" s="269">
        <f>R10/R$3</f>
        <v/>
      </c>
      <c r="S28" s="269">
        <f>S10/S$3</f>
        <v/>
      </c>
      <c r="T28" s="269">
        <f>T10/T$3</f>
        <v/>
      </c>
      <c r="U28" s="269">
        <f>T28-($T$28-$Y$28)/5</f>
        <v/>
      </c>
      <c r="V28" s="269">
        <f>U28-($T$28-$Y$28)/5</f>
        <v/>
      </c>
      <c r="W28" s="269">
        <f>V28-($T$28-$Y$28)/5</f>
        <v/>
      </c>
      <c r="X28" s="269">
        <f>W28-($T$28-$Y$28)/5</f>
        <v/>
      </c>
      <c r="Y28" s="269" t="n">
        <v>0.04</v>
      </c>
    </row>
    <row r="29" s="215">
      <c r="B29" t="inlineStr">
        <is>
          <t>sales and marketing expenses</t>
        </is>
      </c>
      <c r="E29" s="269">
        <f>E11/E$3</f>
        <v/>
      </c>
      <c r="F29" s="269">
        <f>F11/F$3</f>
        <v/>
      </c>
      <c r="G29" s="269">
        <f>G11/G$3</f>
        <v/>
      </c>
      <c r="H29" s="269">
        <f>H11/H$3</f>
        <v/>
      </c>
      <c r="I29" s="269">
        <f>I11/I$3</f>
        <v/>
      </c>
      <c r="J29" s="269">
        <f>J11/J$3</f>
        <v/>
      </c>
      <c r="K29" s="269">
        <f>K11/K$3</f>
        <v/>
      </c>
      <c r="L29" s="269">
        <f>L11/L$3</f>
        <v/>
      </c>
      <c r="M29" s="269">
        <f>M11/M$3</f>
        <v/>
      </c>
      <c r="N29" s="269">
        <f>N11/N$3</f>
        <v/>
      </c>
      <c r="O29" s="269">
        <f>O11/O$3</f>
        <v/>
      </c>
      <c r="P29" s="269">
        <f>P11/P$3</f>
        <v/>
      </c>
      <c r="Q29" s="269">
        <f>Q11/Q$3</f>
        <v/>
      </c>
      <c r="R29" s="269">
        <f>R11/R$3</f>
        <v/>
      </c>
      <c r="S29" s="269">
        <f>S11/S$3</f>
        <v/>
      </c>
      <c r="T29" s="269">
        <f>T11/T$3</f>
        <v/>
      </c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>
        <f>SUM(E25:E29)</f>
        <v/>
      </c>
      <c r="F30" s="269">
        <f>SUM(F25:F29)</f>
        <v/>
      </c>
      <c r="G30" s="269">
        <f>SUM(G25:G29)</f>
        <v/>
      </c>
      <c r="H30" s="269">
        <f>SUM(H25:H29)</f>
        <v/>
      </c>
      <c r="I30" s="269">
        <f>SUM(I25:I29)</f>
        <v/>
      </c>
      <c r="J30" s="269">
        <f>SUM(J25:J29)</f>
        <v/>
      </c>
      <c r="K30" s="269">
        <f>SUM(K25:K29)</f>
        <v/>
      </c>
      <c r="L30" s="269">
        <f>SUM(L25:L29)</f>
        <v/>
      </c>
      <c r="M30" s="269">
        <f>SUM(M25:M29)</f>
        <v/>
      </c>
      <c r="N30" s="269">
        <f>SUM(N25:N29)</f>
        <v/>
      </c>
      <c r="O30" s="269">
        <f>SUM(O25:O29)</f>
        <v/>
      </c>
      <c r="P30" s="269">
        <f>SUM(P25:P29)</f>
        <v/>
      </c>
      <c r="Q30" s="269">
        <f>SUM(Q25:Q29)</f>
        <v/>
      </c>
      <c r="R30" s="269">
        <f>SUM(R25:R29)</f>
        <v/>
      </c>
      <c r="S30" s="269">
        <f>SUM(S25:S29)</f>
        <v/>
      </c>
      <c r="T30" s="269">
        <f>SUM(T25:T29)</f>
        <v/>
      </c>
      <c r="U30" s="269">
        <f>SUM(U25:U29)</f>
        <v/>
      </c>
      <c r="V30" s="269">
        <f>SUM(V25:V29)</f>
        <v/>
      </c>
      <c r="W30" s="269">
        <f>SUM(W25:W29)</f>
        <v/>
      </c>
      <c r="X30" s="269">
        <f>SUM(X25:X29)</f>
        <v/>
      </c>
      <c r="Y30" s="269">
        <f>SUM(Y25:Y29)</f>
        <v/>
      </c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>
        <f>E14/E$3</f>
        <v/>
      </c>
      <c r="F32" s="269">
        <f>F14/F$3</f>
        <v/>
      </c>
      <c r="G32" s="269">
        <f>G14/G$3</f>
        <v/>
      </c>
      <c r="H32" s="269">
        <f>H14/H$3</f>
        <v/>
      </c>
      <c r="I32" s="269">
        <f>I14/I$3</f>
        <v/>
      </c>
      <c r="J32" s="269">
        <f>J14/J$3</f>
        <v/>
      </c>
      <c r="K32" s="269">
        <f>K14/K$3</f>
        <v/>
      </c>
      <c r="L32" s="269">
        <f>L14/L$3</f>
        <v/>
      </c>
      <c r="M32" s="269">
        <f>M14/M$3</f>
        <v/>
      </c>
      <c r="N32" s="269">
        <f>N14/N$3</f>
        <v/>
      </c>
      <c r="O32" s="269">
        <f>O14/O$3</f>
        <v/>
      </c>
      <c r="P32" s="269">
        <f>P14/P$3</f>
        <v/>
      </c>
      <c r="Q32" s="269">
        <f>Q14/Q$3</f>
        <v/>
      </c>
      <c r="R32" s="269">
        <f>R14/R$3</f>
        <v/>
      </c>
      <c r="S32" s="269">
        <f>S14/S$3</f>
        <v/>
      </c>
      <c r="T32" s="269">
        <f>T14/T$3</f>
        <v/>
      </c>
      <c r="U32" s="269">
        <f>T32-0.5%</f>
        <v/>
      </c>
      <c r="V32" s="269">
        <f>U32-0.5%</f>
        <v/>
      </c>
      <c r="W32" s="269">
        <f>V32-0.5%</f>
        <v/>
      </c>
      <c r="X32" s="269">
        <f>W32-0.5%</f>
        <v/>
      </c>
      <c r="Y32" s="269">
        <f>X32-0.5%</f>
        <v/>
      </c>
    </row>
    <row r="33">
      <c r="B33" t="inlineStr">
        <is>
          <t>Depreciation and amortisation</t>
        </is>
      </c>
      <c r="E33" s="269">
        <f>E15/E$3</f>
        <v/>
      </c>
      <c r="F33" s="269">
        <f>F15/F$3</f>
        <v/>
      </c>
      <c r="G33" s="269">
        <f>G15/G$3</f>
        <v/>
      </c>
      <c r="H33" s="269">
        <f>H15/H$3</f>
        <v/>
      </c>
      <c r="I33" s="269">
        <f>I15/I$3</f>
        <v/>
      </c>
      <c r="J33" s="269">
        <f>J15/J$3</f>
        <v/>
      </c>
      <c r="K33" s="269">
        <f>K15/K$3</f>
        <v/>
      </c>
      <c r="L33" s="269">
        <f>L15/L$3</f>
        <v/>
      </c>
      <c r="M33" s="269">
        <f>M15/M$3</f>
        <v/>
      </c>
      <c r="N33" s="269">
        <f>N15/N$3</f>
        <v/>
      </c>
      <c r="O33" s="269">
        <f>O15/O$3</f>
        <v/>
      </c>
      <c r="P33" s="269">
        <f>P15/P$3</f>
        <v/>
      </c>
      <c r="Q33" s="269">
        <f>Q15/Q$3</f>
        <v/>
      </c>
      <c r="R33" s="269">
        <f>R15/R$3</f>
        <v/>
      </c>
      <c r="S33" s="269">
        <f>S15/S$3</f>
        <v/>
      </c>
      <c r="T33" s="269">
        <f>T15/T$3</f>
        <v/>
      </c>
      <c r="U33" s="269">
        <f>U15/U3</f>
        <v/>
      </c>
      <c r="V33" s="269">
        <f>V15/V3</f>
        <v/>
      </c>
      <c r="W33" s="269">
        <f>W15/W3</f>
        <v/>
      </c>
      <c r="X33" s="269">
        <f>X15/X3</f>
        <v/>
      </c>
      <c r="Y33" s="269">
        <f>Y15/Y3</f>
        <v/>
      </c>
    </row>
    <row r="34">
      <c r="B34" t="inlineStr">
        <is>
          <t>Finance costs</t>
        </is>
      </c>
      <c r="E34" s="269">
        <f>E16/E$3</f>
        <v/>
      </c>
      <c r="F34" s="269">
        <f>F16/F$3</f>
        <v/>
      </c>
      <c r="G34" s="269">
        <f>G16/G$3</f>
        <v/>
      </c>
      <c r="H34" s="269">
        <f>H16/H$3</f>
        <v/>
      </c>
      <c r="I34" s="269">
        <f>I16/I$3</f>
        <v/>
      </c>
      <c r="J34" s="269">
        <f>J16/J$3</f>
        <v/>
      </c>
      <c r="K34" s="269">
        <f>K16/K$3</f>
        <v/>
      </c>
      <c r="L34" s="269">
        <f>L16/L$3</f>
        <v/>
      </c>
      <c r="M34" s="269">
        <f>M16/M$3</f>
        <v/>
      </c>
      <c r="N34" s="269">
        <f>N16/N$3</f>
        <v/>
      </c>
      <c r="O34" s="269">
        <f>O16/O$3</f>
        <v/>
      </c>
      <c r="P34" s="269">
        <f>P16/P$3</f>
        <v/>
      </c>
      <c r="Q34" s="269">
        <f>Q16/Q$3</f>
        <v/>
      </c>
      <c r="R34" s="269">
        <f>R16/R$3</f>
        <v/>
      </c>
      <c r="S34" s="269">
        <f>S16/S$3</f>
        <v/>
      </c>
      <c r="T34" s="269">
        <f>T16/T$3</f>
        <v/>
      </c>
      <c r="U34" s="269">
        <f>U16/U3</f>
        <v/>
      </c>
      <c r="V34" s="269">
        <f>V16/V3</f>
        <v/>
      </c>
      <c r="W34" s="269">
        <f>W16/W3</f>
        <v/>
      </c>
      <c r="X34" s="269">
        <f>X16/X3</f>
        <v/>
      </c>
      <c r="Y34" s="269">
        <f>Y16/Y3</f>
        <v/>
      </c>
    </row>
    <row r="35">
      <c r="B35" t="inlineStr">
        <is>
          <t>Finance income</t>
        </is>
      </c>
      <c r="E35" s="269">
        <f>E17/E$3</f>
        <v/>
      </c>
      <c r="F35" s="269">
        <f>F17/F$3</f>
        <v/>
      </c>
      <c r="G35" s="269">
        <f>G17/G$3</f>
        <v/>
      </c>
      <c r="H35" s="269">
        <f>H17/H$3</f>
        <v/>
      </c>
      <c r="I35" s="269">
        <f>I17/I$3</f>
        <v/>
      </c>
      <c r="J35" s="269">
        <f>J17/J$3</f>
        <v/>
      </c>
      <c r="K35" s="269">
        <f>K17/K$3</f>
        <v/>
      </c>
      <c r="L35" s="269">
        <f>L17/L$3</f>
        <v/>
      </c>
      <c r="M35" s="269">
        <f>M17/M$3</f>
        <v/>
      </c>
      <c r="N35" s="269">
        <f>N17/N$3</f>
        <v/>
      </c>
      <c r="O35" s="269">
        <f>O17/O$3</f>
        <v/>
      </c>
      <c r="P35" s="269">
        <f>P17/P$3</f>
        <v/>
      </c>
      <c r="Q35" s="269">
        <f>Q17/Q$3</f>
        <v/>
      </c>
      <c r="R35" s="269">
        <f>R17/R$3</f>
        <v/>
      </c>
      <c r="S35" s="269">
        <f>S17/S$3</f>
        <v/>
      </c>
      <c r="T35" s="269">
        <f>T17/T$3</f>
        <v/>
      </c>
      <c r="U35" s="269">
        <f>T35</f>
        <v/>
      </c>
      <c r="V35" s="269">
        <f>U35</f>
        <v/>
      </c>
      <c r="W35" s="269">
        <f>V35</f>
        <v/>
      </c>
      <c r="X35" s="269">
        <f>W35</f>
        <v/>
      </c>
      <c r="Y35" s="269">
        <f>X35</f>
        <v/>
      </c>
    </row>
    <row r="36">
      <c r="B36" t="inlineStr">
        <is>
          <t>Non-operating expenses(net)</t>
        </is>
      </c>
      <c r="E36" s="269">
        <f>E18/E$3</f>
        <v/>
      </c>
      <c r="F36" s="269">
        <f>F18/F$3</f>
        <v/>
      </c>
      <c r="G36" s="269">
        <f>G18/G$3</f>
        <v/>
      </c>
      <c r="H36" s="269">
        <f>H18/H$3</f>
        <v/>
      </c>
      <c r="I36" s="269">
        <f>I18/I$3</f>
        <v/>
      </c>
      <c r="J36" s="269">
        <f>J18/J$3</f>
        <v/>
      </c>
      <c r="K36" s="269">
        <f>K18/K$3</f>
        <v/>
      </c>
      <c r="L36" s="269">
        <f>L18/L$3</f>
        <v/>
      </c>
      <c r="M36" s="269">
        <f>M18/M$3</f>
        <v/>
      </c>
      <c r="N36" s="269">
        <f>N18/N$3</f>
        <v/>
      </c>
      <c r="O36" s="269">
        <f>O18/O$3</f>
        <v/>
      </c>
      <c r="P36" s="269">
        <f>P18/P$3</f>
        <v/>
      </c>
      <c r="Q36" s="269">
        <f>Q18/Q$3</f>
        <v/>
      </c>
      <c r="R36" s="269">
        <f>R18/R$3</f>
        <v/>
      </c>
      <c r="S36" s="269">
        <f>S18/S$3</f>
        <v/>
      </c>
      <c r="T36" s="269">
        <f>T18/T$3</f>
        <v/>
      </c>
      <c r="U36" s="269">
        <f>T36</f>
        <v/>
      </c>
      <c r="V36" s="269">
        <f>U36</f>
        <v/>
      </c>
      <c r="W36" s="269">
        <f>V36</f>
        <v/>
      </c>
      <c r="X36" s="269">
        <f>W36</f>
        <v/>
      </c>
      <c r="Y36" s="269">
        <f>X36</f>
        <v/>
      </c>
    </row>
    <row r="37">
      <c r="B37" t="inlineStr">
        <is>
          <t>Current tax</t>
        </is>
      </c>
      <c r="E37" s="269">
        <f>E19/E$3</f>
        <v/>
      </c>
      <c r="F37" s="269">
        <f>F19/F$3</f>
        <v/>
      </c>
      <c r="G37" s="269">
        <f>G19/G$3</f>
        <v/>
      </c>
      <c r="H37" s="269">
        <f>H19/H$3</f>
        <v/>
      </c>
      <c r="I37" s="269">
        <f>I19/I$3</f>
        <v/>
      </c>
      <c r="J37" s="269">
        <f>J19/J$3</f>
        <v/>
      </c>
      <c r="K37" s="269">
        <f>K19/K$3</f>
        <v/>
      </c>
      <c r="L37" s="269">
        <f>L19/L$3</f>
        <v/>
      </c>
      <c r="M37" s="269">
        <f>M19/M$3</f>
        <v/>
      </c>
      <c r="N37" s="269">
        <f>N19/N$3</f>
        <v/>
      </c>
      <c r="O37" s="269">
        <f>O19/O$3</f>
        <v/>
      </c>
      <c r="P37" s="269">
        <f>P19/P$3</f>
        <v/>
      </c>
      <c r="Q37" s="269">
        <f>Q19/Q$3</f>
        <v/>
      </c>
      <c r="R37" s="269">
        <f>R19/R$3</f>
        <v/>
      </c>
      <c r="S37" s="269">
        <f>S19/S$3</f>
        <v/>
      </c>
      <c r="T37" s="269">
        <f>T19/T$3</f>
        <v/>
      </c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>
        <f>E20/E$3</f>
        <v/>
      </c>
      <c r="F38" s="269">
        <f>F20/F$3</f>
        <v/>
      </c>
      <c r="G38" s="269">
        <f>G20/G$3</f>
        <v/>
      </c>
      <c r="H38" s="269">
        <f>H20/H$3</f>
        <v/>
      </c>
      <c r="I38" s="269">
        <f>I20/I$3</f>
        <v/>
      </c>
      <c r="J38" s="269">
        <f>J20/J$3</f>
        <v/>
      </c>
      <c r="K38" s="269">
        <f>K20/K$3</f>
        <v/>
      </c>
      <c r="L38" s="269">
        <f>L20/L$3</f>
        <v/>
      </c>
      <c r="M38" s="269">
        <f>M20/M$3</f>
        <v/>
      </c>
      <c r="N38" s="269">
        <f>N20/N$3</f>
        <v/>
      </c>
      <c r="O38" s="269">
        <f>O20/O$3</f>
        <v/>
      </c>
      <c r="P38" s="269">
        <f>P20/P$3</f>
        <v/>
      </c>
      <c r="Q38" s="269">
        <f>Q20/Q$3</f>
        <v/>
      </c>
      <c r="R38" s="269">
        <f>R20/R$3</f>
        <v/>
      </c>
      <c r="S38" s="269">
        <f>S20/S$3</f>
        <v/>
      </c>
      <c r="T38" s="269">
        <f>T20/T$3</f>
        <v/>
      </c>
      <c r="U38" s="269">
        <f>T38+($Y$38-$T$38)/5</f>
        <v/>
      </c>
      <c r="V38" s="269">
        <f>U38+($Y$38-$T$38)/5</f>
        <v/>
      </c>
      <c r="W38" s="269">
        <f>V38+($Y$38-$T$38)/5</f>
        <v/>
      </c>
      <c r="X38" s="269">
        <f>W38+($Y$38-$T$38)/5</f>
        <v/>
      </c>
      <c r="Y38" s="269" t="n">
        <v>0.007</v>
      </c>
    </row>
    <row r="40">
      <c r="B40" t="inlineStr">
        <is>
          <t>Effective Tax Rate %</t>
        </is>
      </c>
      <c r="E40" s="269">
        <f>IS!F33/IS!F30</f>
        <v/>
      </c>
      <c r="F40" s="269">
        <f>IS!G33/IS!G30</f>
        <v/>
      </c>
      <c r="G40" s="269">
        <f>IS!H33/IS!H30</f>
        <v/>
      </c>
      <c r="H40" s="269">
        <f>IS!I33/IS!I30</f>
        <v/>
      </c>
      <c r="I40" s="269">
        <f>IS!J33/IS!J30</f>
        <v/>
      </c>
      <c r="J40" s="269">
        <f>IS!K33/IS!K30</f>
        <v/>
      </c>
      <c r="K40" s="269">
        <f>IS!L33/IS!L30</f>
        <v/>
      </c>
      <c r="L40" s="269">
        <f>IS!M33/IS!M30</f>
        <v/>
      </c>
      <c r="M40" s="269">
        <f>IS!N33/IS!N30</f>
        <v/>
      </c>
      <c r="N40" s="269">
        <f>IS!O33/IS!O30</f>
        <v/>
      </c>
      <c r="O40" s="269">
        <f>IS!P33/IS!P30</f>
        <v/>
      </c>
      <c r="P40" s="269">
        <f>IS!Q33/IS!Q30</f>
        <v/>
      </c>
      <c r="Q40" s="269">
        <f>IS!R33/IS!R30</f>
        <v/>
      </c>
      <c r="R40" s="269">
        <f>IS!S33/IS!S30</f>
        <v/>
      </c>
      <c r="S40" s="269">
        <f>IS!T33/IS!T30</f>
        <v/>
      </c>
      <c r="T40" s="269">
        <f>IS!U33/IS!U30</f>
        <v/>
      </c>
      <c r="U40" s="281" t="n">
        <v>0.35</v>
      </c>
      <c r="V40" s="281">
        <f>U40</f>
        <v/>
      </c>
      <c r="W40" s="281">
        <f>V40</f>
        <v/>
      </c>
      <c r="X40" s="281">
        <f>W40</f>
        <v/>
      </c>
      <c r="Y40" s="281">
        <f>X40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>
        <f>44093-E9</f>
        <v/>
      </c>
      <c r="F4" s="203">
        <f>66463-F9</f>
        <v/>
      </c>
      <c r="G4" s="21" t="n">
        <v>112192</v>
      </c>
      <c r="H4" s="203">
        <f>140627-H9-H10</f>
        <v/>
      </c>
      <c r="I4" s="203">
        <f>190488-I9-I10</f>
        <v/>
      </c>
      <c r="J4" s="203">
        <f>281199-J9-J10</f>
        <v/>
      </c>
      <c r="K4" s="203">
        <f>423224-K9-K10</f>
        <v/>
      </c>
      <c r="L4" s="203">
        <f>586616-L9-L10</f>
        <v/>
      </c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>
        <f>T4+U18</f>
        <v/>
      </c>
      <c r="V4" s="203">
        <f>U4+V18</f>
        <v/>
      </c>
      <c r="W4" s="203">
        <f>V4+W18</f>
        <v/>
      </c>
      <c r="X4" s="203">
        <f>W4+X18</f>
        <v/>
      </c>
      <c r="Y4" s="203">
        <f>X4+Y18</f>
        <v/>
      </c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>
        <f>T5+T14</f>
        <v/>
      </c>
      <c r="V5" s="203">
        <f>U5+U14</f>
        <v/>
      </c>
      <c r="W5" s="203">
        <f>V5+V14</f>
        <v/>
      </c>
      <c r="X5" s="203">
        <f>W5+W14</f>
        <v/>
      </c>
      <c r="Y5" s="203">
        <f>X5+X14</f>
        <v/>
      </c>
    </row>
    <row r="6" customFormat="1" s="49">
      <c r="A6" s="49" t="inlineStr">
        <is>
          <t>Net Block</t>
        </is>
      </c>
      <c r="E6" s="270">
        <f>E4-E5</f>
        <v/>
      </c>
      <c r="F6" s="270">
        <f>F4-F5</f>
        <v/>
      </c>
      <c r="G6" s="270">
        <f>G4-G5</f>
        <v/>
      </c>
      <c r="H6" s="270">
        <f>H4-H5</f>
        <v/>
      </c>
      <c r="I6" s="270">
        <f>I4-I5</f>
        <v/>
      </c>
      <c r="J6" s="270">
        <f>J4-J5</f>
        <v/>
      </c>
      <c r="K6" s="270">
        <f>K4-K5</f>
        <v/>
      </c>
      <c r="L6" s="270">
        <f>L4-L5</f>
        <v/>
      </c>
      <c r="M6" s="270">
        <f>M4-M5</f>
        <v/>
      </c>
      <c r="N6" s="270">
        <f>N4-N5</f>
        <v/>
      </c>
      <c r="O6" s="270">
        <f>O4-O5</f>
        <v/>
      </c>
      <c r="P6" s="270">
        <f>P4-P5</f>
        <v/>
      </c>
      <c r="Q6" s="270">
        <f>Q4-Q5</f>
        <v/>
      </c>
      <c r="R6" s="270">
        <f>R4-R5</f>
        <v/>
      </c>
      <c r="S6" s="270">
        <f>S4-S5</f>
        <v/>
      </c>
      <c r="T6" s="270">
        <f>T4-T5</f>
        <v/>
      </c>
      <c r="U6" s="270">
        <f>U4-U5</f>
        <v/>
      </c>
      <c r="V6" s="270">
        <f>V4-V5</f>
        <v/>
      </c>
      <c r="W6" s="270">
        <f>W4-W5</f>
        <v/>
      </c>
      <c r="X6" s="270">
        <f>X4-X5</f>
        <v/>
      </c>
      <c r="Y6" s="270">
        <f>Y4-Y5</f>
        <v/>
      </c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>
        <f>BS!I6</f>
        <v/>
      </c>
      <c r="F8" s="203">
        <f>BS!J6</f>
        <v/>
      </c>
      <c r="G8" s="203">
        <f>BS!K6</f>
        <v/>
      </c>
      <c r="H8" s="203">
        <f>BS!L6</f>
        <v/>
      </c>
      <c r="I8" s="203">
        <f>BS!M6</f>
        <v/>
      </c>
      <c r="J8" s="203">
        <f>BS!N6</f>
        <v/>
      </c>
      <c r="K8" s="203">
        <f>BS!O6</f>
        <v/>
      </c>
      <c r="L8" s="203">
        <f>BS!P6</f>
        <v/>
      </c>
      <c r="M8" s="203">
        <f>BS!Q6</f>
        <v/>
      </c>
      <c r="N8" s="203">
        <f>BS!R6</f>
        <v/>
      </c>
      <c r="O8" s="203">
        <f>BS!S6</f>
        <v/>
      </c>
      <c r="P8" s="203">
        <f>BS!T6</f>
        <v/>
      </c>
      <c r="Q8" s="203">
        <f>BS!U6</f>
        <v/>
      </c>
      <c r="R8" s="203">
        <f>BS!V6</f>
        <v/>
      </c>
      <c r="S8" s="203">
        <f>BS!W6</f>
        <v/>
      </c>
      <c r="T8" s="203">
        <f>BS!X6</f>
        <v/>
      </c>
      <c r="U8" s="203">
        <f>T8</f>
        <v/>
      </c>
      <c r="V8" s="203">
        <f>U8</f>
        <v/>
      </c>
      <c r="W8" s="203">
        <f>V8</f>
        <v/>
      </c>
      <c r="X8" s="203">
        <f>W8</f>
        <v/>
      </c>
      <c r="Y8" s="203">
        <f>X8</f>
        <v/>
      </c>
    </row>
    <row r="9">
      <c r="A9" t="inlineStr">
        <is>
          <t>Goodwill</t>
        </is>
      </c>
      <c r="E9" s="203">
        <f>BS!I7</f>
        <v/>
      </c>
      <c r="F9" s="203">
        <f>BS!J7</f>
        <v/>
      </c>
      <c r="G9" s="203">
        <f>BS!K7</f>
        <v/>
      </c>
      <c r="H9" s="203">
        <f>BS!L7</f>
        <v/>
      </c>
      <c r="I9" s="203">
        <f>BS!M7</f>
        <v/>
      </c>
      <c r="J9" s="203">
        <f>BS!N7</f>
        <v/>
      </c>
      <c r="K9" s="203">
        <f>BS!O7</f>
        <v/>
      </c>
      <c r="L9" s="203">
        <f>BS!P7</f>
        <v/>
      </c>
      <c r="M9" s="203">
        <f>BS!Q7</f>
        <v/>
      </c>
      <c r="N9" s="203">
        <f>BS!R7</f>
        <v/>
      </c>
      <c r="O9" s="203">
        <f>BS!S7</f>
        <v/>
      </c>
      <c r="P9" s="203">
        <f>BS!T7</f>
        <v/>
      </c>
      <c r="Q9" s="203">
        <f>BS!U7</f>
        <v/>
      </c>
      <c r="R9" s="203">
        <f>BS!V7</f>
        <v/>
      </c>
      <c r="S9" s="203">
        <f>BS!W7</f>
        <v/>
      </c>
      <c r="T9" s="203">
        <f>BS!X7</f>
        <v/>
      </c>
      <c r="U9" s="203">
        <f>T9</f>
        <v/>
      </c>
      <c r="V9" s="203">
        <f>U9</f>
        <v/>
      </c>
      <c r="W9" s="203">
        <f>V9</f>
        <v/>
      </c>
      <c r="X9" s="203">
        <f>W9</f>
        <v/>
      </c>
      <c r="Y9" s="203">
        <f>X9</f>
        <v/>
      </c>
    </row>
    <row r="10">
      <c r="A10" t="inlineStr">
        <is>
          <t>Other intangible assets</t>
        </is>
      </c>
      <c r="E10" s="203">
        <f>BS!I8</f>
        <v/>
      </c>
      <c r="F10" s="203">
        <f>BS!J8</f>
        <v/>
      </c>
      <c r="G10" s="203">
        <f>BS!K8</f>
        <v/>
      </c>
      <c r="H10" s="203">
        <f>BS!L8</f>
        <v/>
      </c>
      <c r="I10" s="203">
        <f>BS!M8</f>
        <v/>
      </c>
      <c r="J10" s="203">
        <f>BS!N8</f>
        <v/>
      </c>
      <c r="K10" s="203">
        <f>BS!O8</f>
        <v/>
      </c>
      <c r="L10" s="203">
        <f>BS!P8</f>
        <v/>
      </c>
      <c r="M10" s="203">
        <f>BS!Q8</f>
        <v/>
      </c>
      <c r="N10" s="203">
        <f>BS!R8</f>
        <v/>
      </c>
      <c r="O10" s="203">
        <f>BS!S8</f>
        <v/>
      </c>
      <c r="P10" s="203">
        <f>BS!T8</f>
        <v/>
      </c>
      <c r="Q10" s="203">
        <f>BS!U8</f>
        <v/>
      </c>
      <c r="R10" s="203">
        <f>BS!V8</f>
        <v/>
      </c>
      <c r="S10" s="203">
        <f>BS!W8</f>
        <v/>
      </c>
      <c r="T10" s="203">
        <f>BS!X8</f>
        <v/>
      </c>
      <c r="U10" s="203">
        <f>T10</f>
        <v/>
      </c>
      <c r="V10" s="203">
        <f>U10</f>
        <v/>
      </c>
      <c r="W10" s="203">
        <f>V10</f>
        <v/>
      </c>
      <c r="X10" s="203">
        <f>W10</f>
        <v/>
      </c>
      <c r="Y10" s="203">
        <f>X10</f>
        <v/>
      </c>
    </row>
    <row r="11">
      <c r="A11" t="inlineStr">
        <is>
          <t>Intangible assets under development</t>
        </is>
      </c>
      <c r="E11" s="203">
        <f>BS!I9</f>
        <v/>
      </c>
      <c r="F11" s="203">
        <f>BS!J9</f>
        <v/>
      </c>
      <c r="G11" s="203">
        <f>BS!K9</f>
        <v/>
      </c>
      <c r="H11" s="203">
        <f>BS!L9</f>
        <v/>
      </c>
      <c r="I11" s="203">
        <f>BS!M9</f>
        <v/>
      </c>
      <c r="J11" s="203">
        <f>BS!N9</f>
        <v/>
      </c>
      <c r="K11" s="203">
        <f>BS!O9</f>
        <v/>
      </c>
      <c r="L11" s="203">
        <f>BS!P9</f>
        <v/>
      </c>
      <c r="M11" s="203">
        <f>BS!Q9</f>
        <v/>
      </c>
      <c r="N11" s="203">
        <f>BS!R9</f>
        <v/>
      </c>
      <c r="O11" s="203">
        <f>BS!S9</f>
        <v/>
      </c>
      <c r="P11" s="203">
        <f>BS!T9</f>
        <v/>
      </c>
      <c r="Q11" s="203">
        <f>BS!U9</f>
        <v/>
      </c>
      <c r="R11" s="203">
        <f>BS!V9</f>
        <v/>
      </c>
      <c r="S11" s="203">
        <f>BS!W9</f>
        <v/>
      </c>
      <c r="T11" s="203">
        <f>BS!X9</f>
        <v/>
      </c>
      <c r="U11" s="203">
        <f>T11</f>
        <v/>
      </c>
      <c r="V11" s="203">
        <f>U11</f>
        <v/>
      </c>
      <c r="W11" s="203">
        <f>V11</f>
        <v/>
      </c>
      <c r="X11" s="203">
        <f>W11</f>
        <v/>
      </c>
      <c r="Y11" s="203">
        <f>X11</f>
        <v/>
      </c>
    </row>
    <row r="12">
      <c r="A12" t="inlineStr">
        <is>
          <t>Total Net Block</t>
        </is>
      </c>
      <c r="E12" s="203">
        <f>SUM(E6:E11)</f>
        <v/>
      </c>
      <c r="F12" s="203">
        <f>SUM(F5:F11)</f>
        <v/>
      </c>
      <c r="G12" s="203">
        <f>SUM(G5:G11)</f>
        <v/>
      </c>
      <c r="H12" s="203">
        <f>SUM(H5:H11)</f>
        <v/>
      </c>
      <c r="I12" s="203">
        <f>SUM(I5:I11)</f>
        <v/>
      </c>
      <c r="J12" s="203">
        <f>SUM(J5:J11)</f>
        <v/>
      </c>
      <c r="K12" s="203">
        <f>SUM(K5:K11)</f>
        <v/>
      </c>
      <c r="L12" s="203">
        <f>SUM(L5:L11)</f>
        <v/>
      </c>
      <c r="M12" s="203">
        <f>SUM(M5:M11)</f>
        <v/>
      </c>
      <c r="N12" s="203">
        <f>SUM(N5:N11)</f>
        <v/>
      </c>
      <c r="O12" s="203">
        <f>SUM(O5:O11)</f>
        <v/>
      </c>
      <c r="P12" s="203">
        <f>SUM(P5:P11)</f>
        <v/>
      </c>
      <c r="Q12" s="203">
        <f>SUM(Q5:Q11)</f>
        <v/>
      </c>
      <c r="R12" s="203">
        <f>SUM(R5:R11)</f>
        <v/>
      </c>
      <c r="S12" s="203">
        <f>SUM(S5:S11)</f>
        <v/>
      </c>
      <c r="T12" s="203">
        <f>SUM(T5:T11)</f>
        <v/>
      </c>
      <c r="U12" s="203">
        <f>SUM(U5:U11)</f>
        <v/>
      </c>
      <c r="V12" s="203">
        <f>SUM(V5:V11)</f>
        <v/>
      </c>
      <c r="W12" s="203">
        <f>SUM(W5:W11)</f>
        <v/>
      </c>
      <c r="X12" s="203">
        <f>SUM(X5:X11)</f>
        <v/>
      </c>
      <c r="Y12" s="203">
        <f>SUM(Y5:Y11)</f>
        <v/>
      </c>
    </row>
    <row r="14" customFormat="1" s="49">
      <c r="A14" s="49" t="inlineStr">
        <is>
          <t>Depreciation</t>
        </is>
      </c>
      <c r="E14" s="268">
        <f>IS!F21</f>
        <v/>
      </c>
      <c r="F14" s="268">
        <f>IS!G21</f>
        <v/>
      </c>
      <c r="G14" s="268">
        <f>IS!H21</f>
        <v/>
      </c>
      <c r="H14" s="268">
        <f>IS!I21</f>
        <v/>
      </c>
      <c r="I14" s="268">
        <f>IS!J21</f>
        <v/>
      </c>
      <c r="J14" s="268">
        <f>IS!K21</f>
        <v/>
      </c>
      <c r="K14" s="268">
        <f>IS!L21</f>
        <v/>
      </c>
      <c r="L14" s="268">
        <f>IS!M21</f>
        <v/>
      </c>
      <c r="M14" s="268">
        <f>IS!N21</f>
        <v/>
      </c>
      <c r="N14" s="268">
        <f>IS!O21</f>
        <v/>
      </c>
      <c r="O14" s="268">
        <f>IS!P21</f>
        <v/>
      </c>
      <c r="P14" s="268">
        <f>IS!Q21</f>
        <v/>
      </c>
      <c r="Q14" s="268">
        <f>IS!R21</f>
        <v/>
      </c>
      <c r="R14" s="268">
        <f>IS!S21</f>
        <v/>
      </c>
      <c r="S14" s="268">
        <f>IS!T21</f>
        <v/>
      </c>
      <c r="T14" s="268">
        <f>IS!U21</f>
        <v/>
      </c>
      <c r="U14" s="268">
        <f>U16*U12</f>
        <v/>
      </c>
      <c r="V14" s="268">
        <f>V16*V12</f>
        <v/>
      </c>
      <c r="W14" s="268">
        <f>W16*W12</f>
        <v/>
      </c>
      <c r="X14" s="268">
        <f>X16*X12</f>
        <v/>
      </c>
      <c r="Y14" s="268">
        <f>Y16*Y12</f>
        <v/>
      </c>
    </row>
    <row r="16">
      <c r="A16" t="inlineStr">
        <is>
          <t>% to total</t>
        </is>
      </c>
      <c r="E16" s="269">
        <f>E14/E12</f>
        <v/>
      </c>
      <c r="F16" s="269">
        <f>F14/AVERAGE(F12,E12)</f>
        <v/>
      </c>
      <c r="G16" s="269">
        <f>G14/AVERAGE(G12,F12)</f>
        <v/>
      </c>
      <c r="H16" s="269">
        <f>H14/AVERAGE(H12,G12)</f>
        <v/>
      </c>
      <c r="I16" s="269">
        <f>I14/AVERAGE(I12,H12)</f>
        <v/>
      </c>
      <c r="J16" s="269">
        <f>J14/AVERAGE(J12,I12)</f>
        <v/>
      </c>
      <c r="K16" s="269">
        <f>K14/AVERAGE(K12,J12)</f>
        <v/>
      </c>
      <c r="L16" s="269">
        <f>L14/AVERAGE(L12,K12)</f>
        <v/>
      </c>
      <c r="M16" s="269">
        <f>M14/AVERAGE(M12,L12)</f>
        <v/>
      </c>
      <c r="N16" s="269">
        <f>N14/AVERAGE(N12,M12)</f>
        <v/>
      </c>
      <c r="O16" s="269">
        <f>O14/AVERAGE(O12,N12)</f>
        <v/>
      </c>
      <c r="P16" s="269">
        <f>P14/AVERAGE(P12,O12)</f>
        <v/>
      </c>
      <c r="Q16" s="269">
        <f>Q14/AVERAGE(Q12,P12)</f>
        <v/>
      </c>
      <c r="R16" s="269">
        <f>R14/AVERAGE(R12,Q12)</f>
        <v/>
      </c>
      <c r="S16" s="269">
        <f>S14/AVERAGE(S12,R12)</f>
        <v/>
      </c>
      <c r="T16" s="269">
        <f>T14/AVERAGE(T12,S12)</f>
        <v/>
      </c>
      <c r="U16" s="269">
        <f>T16+($Y$16-$T$16)/5</f>
        <v/>
      </c>
      <c r="V16" s="269">
        <f>U16+($Y$16-$T$16)/5</f>
        <v/>
      </c>
      <c r="W16" s="269">
        <f>V16+($Y$16-$T$16)/5</f>
        <v/>
      </c>
      <c r="X16" s="269">
        <f>W16+($Y$16-$T$16)/5</f>
        <v/>
      </c>
      <c r="Y16" s="269" t="n">
        <v>0.065</v>
      </c>
    </row>
    <row r="18" customFormat="1" s="49">
      <c r="A18" s="49" t="inlineStr">
        <is>
          <t>Capex</t>
        </is>
      </c>
      <c r="E18" s="282">
        <f>-CF!B27</f>
        <v/>
      </c>
      <c r="F18" s="282">
        <f>-CF!C27</f>
        <v/>
      </c>
      <c r="G18" s="282">
        <f>-CF!D27</f>
        <v/>
      </c>
      <c r="H18" s="282">
        <f>-CF!E27</f>
        <v/>
      </c>
      <c r="I18" s="282">
        <f>-CF!F27</f>
        <v/>
      </c>
      <c r="J18" s="282">
        <f>-CF!G27</f>
        <v/>
      </c>
      <c r="K18" s="282">
        <f>-CF!H27</f>
        <v/>
      </c>
      <c r="L18" s="282">
        <f>-CF!I27</f>
        <v/>
      </c>
      <c r="M18" s="282">
        <f>-CF!J27</f>
        <v/>
      </c>
      <c r="N18" s="282">
        <f>-CF!K27</f>
        <v/>
      </c>
      <c r="O18" s="282">
        <f>-CF!L27</f>
        <v/>
      </c>
      <c r="P18" s="282">
        <f>-CF!M27</f>
        <v/>
      </c>
      <c r="Q18" s="282">
        <f>-CF!N27</f>
        <v/>
      </c>
      <c r="R18" s="282">
        <f>-CF!O27</f>
        <v/>
      </c>
      <c r="S18" s="282">
        <f>-CF!P27</f>
        <v/>
      </c>
      <c r="T18" s="282">
        <f>-CF!Q27</f>
        <v/>
      </c>
      <c r="U18" s="268">
        <f>U19*IS!V4</f>
        <v/>
      </c>
      <c r="V18" s="268">
        <f>V19*IS!W4</f>
        <v/>
      </c>
      <c r="W18" s="268">
        <f>W19*IS!X4</f>
        <v/>
      </c>
      <c r="X18" s="268">
        <f>X19*IS!Y4</f>
        <v/>
      </c>
      <c r="Y18" s="268">
        <f>Y19*IS!Z4</f>
        <v/>
      </c>
    </row>
    <row r="19" customFormat="1" s="189">
      <c r="A19" s="189" t="inlineStr">
        <is>
          <t>% Revenue</t>
        </is>
      </c>
      <c r="E19" s="269">
        <f>E18/IS!F4</f>
        <v/>
      </c>
      <c r="F19" s="269">
        <f>F18/IS!G4</f>
        <v/>
      </c>
      <c r="G19" s="269">
        <f>G18/IS!H4</f>
        <v/>
      </c>
      <c r="H19" s="269">
        <f>H18/IS!I4</f>
        <v/>
      </c>
      <c r="I19" s="269">
        <f>I18/IS!J4</f>
        <v/>
      </c>
      <c r="J19" s="269">
        <f>J18/IS!K4</f>
        <v/>
      </c>
      <c r="K19" s="269">
        <f>K18/IS!L4</f>
        <v/>
      </c>
      <c r="L19" s="269">
        <f>L18/IS!M4</f>
        <v/>
      </c>
      <c r="M19" s="269">
        <f>M18/IS!N4</f>
        <v/>
      </c>
      <c r="N19" s="269">
        <f>N18/IS!O4</f>
        <v/>
      </c>
      <c r="O19" s="269">
        <f>O18/IS!P4</f>
        <v/>
      </c>
      <c r="P19" s="269">
        <f>P18/IS!Q4</f>
        <v/>
      </c>
      <c r="Q19" s="269">
        <f>Q18/IS!R4</f>
        <v/>
      </c>
      <c r="R19" s="269">
        <f>R18/IS!S4</f>
        <v/>
      </c>
      <c r="S19" s="269">
        <f>S18/IS!T4</f>
        <v/>
      </c>
      <c r="T19" s="269">
        <f>T18/IS!U4</f>
        <v/>
      </c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>
        <f>-CF!B55</f>
        <v/>
      </c>
      <c r="F22" s="192">
        <f>-CF!C55</f>
        <v/>
      </c>
      <c r="G22" s="192">
        <f>-CF!D55</f>
        <v/>
      </c>
      <c r="H22" s="192">
        <f>-CF!E55</f>
        <v/>
      </c>
      <c r="I22" s="192">
        <f>-CF!F55</f>
        <v/>
      </c>
      <c r="J22" s="192">
        <f>-CF!G55</f>
        <v/>
      </c>
      <c r="K22" s="192">
        <f>-CF!H55</f>
        <v/>
      </c>
      <c r="L22" s="192">
        <f>-CF!I55</f>
        <v/>
      </c>
      <c r="M22" s="192">
        <f>-CF!J55</f>
        <v/>
      </c>
      <c r="N22" s="192">
        <f>-CF!K55</f>
        <v/>
      </c>
      <c r="O22" s="192">
        <f>-CF!L55</f>
        <v/>
      </c>
      <c r="P22" s="192">
        <f>-CF!M55</f>
        <v/>
      </c>
      <c r="Q22" s="192">
        <f>-CF!N55</f>
        <v/>
      </c>
      <c r="R22" s="192">
        <f>-CF!O55</f>
        <v/>
      </c>
      <c r="S22" s="192">
        <f>-CF!P55</f>
        <v/>
      </c>
      <c r="T22" s="192">
        <f>-CF!Q55</f>
        <v/>
      </c>
      <c r="U22" s="192">
        <f>T22</f>
        <v/>
      </c>
      <c r="V22" s="192">
        <f>U22</f>
        <v/>
      </c>
      <c r="W22" s="192">
        <f>V22</f>
        <v/>
      </c>
      <c r="X22" s="192">
        <f>W22</f>
        <v/>
      </c>
      <c r="Y22" s="192">
        <f>X22</f>
        <v/>
      </c>
    </row>
    <row r="23">
      <c r="A23" s="187" t="inlineStr">
        <is>
          <t>Dividend without DDT</t>
        </is>
      </c>
      <c r="E23" s="21">
        <f>E22/(1+15%)</f>
        <v/>
      </c>
      <c r="F23" s="21">
        <f>F22/(1+15%)</f>
        <v/>
      </c>
      <c r="G23" s="21">
        <f>G22/(1+15%)</f>
        <v/>
      </c>
      <c r="H23" s="21">
        <f>H22/(1+15%)</f>
        <v/>
      </c>
      <c r="I23" s="21">
        <f>I22/(1+15%)</f>
        <v/>
      </c>
      <c r="J23" s="21">
        <f>J22/(1+15%)</f>
        <v/>
      </c>
      <c r="K23" s="21">
        <f>K22/(1+15%)</f>
        <v/>
      </c>
      <c r="L23" s="21">
        <f>L22/(1+15%)</f>
        <v/>
      </c>
      <c r="M23" s="192">
        <f>M22/(1+15%)</f>
        <v/>
      </c>
      <c r="N23" s="192">
        <f>N22/(1+15%)</f>
        <v/>
      </c>
      <c r="O23" s="192">
        <f>O22/(1+15%)</f>
        <v/>
      </c>
      <c r="P23" s="192">
        <f>P22/(1+15%)</f>
        <v/>
      </c>
      <c r="Q23" s="192">
        <f>Q22/(1+15%)</f>
        <v/>
      </c>
      <c r="R23" s="192">
        <f>R22/(1+15%)</f>
        <v/>
      </c>
      <c r="S23" s="192">
        <f>S22/(1+15%)</f>
        <v/>
      </c>
      <c r="T23" s="192">
        <f>T22/(1+15%)</f>
        <v/>
      </c>
      <c r="U23" s="192">
        <f>U24*IS!V41</f>
        <v/>
      </c>
      <c r="V23" s="192">
        <f>V24*IS!W41</f>
        <v/>
      </c>
      <c r="W23" s="192">
        <f>W24*IS!X41</f>
        <v/>
      </c>
      <c r="X23" s="192">
        <f>X24*IS!Y41</f>
        <v/>
      </c>
      <c r="Y23" s="192">
        <f>Y24*IS!Z41</f>
        <v/>
      </c>
    </row>
    <row r="24">
      <c r="A24" s="187" t="inlineStr">
        <is>
          <t>Dividends Declared (DPS)</t>
        </is>
      </c>
      <c r="E24" s="192">
        <f>E23/IS!F41</f>
        <v/>
      </c>
      <c r="F24" s="192">
        <f>F23/IS!G41</f>
        <v/>
      </c>
      <c r="G24" s="192">
        <f>G23/IS!H41</f>
        <v/>
      </c>
      <c r="H24" s="192">
        <f>H23/IS!I41</f>
        <v/>
      </c>
      <c r="I24" s="192">
        <f>I23/IS!J41</f>
        <v/>
      </c>
      <c r="J24" s="192">
        <f>J23/IS!K41</f>
        <v/>
      </c>
      <c r="K24" s="192">
        <f>K23/IS!L41</f>
        <v/>
      </c>
      <c r="L24" s="192">
        <f>L23/IS!M41</f>
        <v/>
      </c>
      <c r="M24" s="192">
        <f>M23/IS!N41</f>
        <v/>
      </c>
      <c r="N24" s="192">
        <f>N23/IS!O41</f>
        <v/>
      </c>
      <c r="O24" s="192">
        <f>O23/IS!P41</f>
        <v/>
      </c>
      <c r="P24" s="192">
        <f>P23/IS!Q41</f>
        <v/>
      </c>
      <c r="Q24" s="192">
        <f>Q23/IS!R41</f>
        <v/>
      </c>
      <c r="R24" s="192">
        <f>R23/IS!S41</f>
        <v/>
      </c>
      <c r="S24" s="192">
        <f>S23/IS!T41</f>
        <v/>
      </c>
      <c r="T24" s="192">
        <f>T23/IS!U41</f>
        <v/>
      </c>
      <c r="U24" s="192">
        <f>T24</f>
        <v/>
      </c>
      <c r="V24" s="192">
        <f>U24</f>
        <v/>
      </c>
      <c r="W24" s="192">
        <f>V24</f>
        <v/>
      </c>
      <c r="X24" s="192">
        <f>W24</f>
        <v/>
      </c>
      <c r="Y24" s="192">
        <f>X24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>
        <f>H10/(H10+H13)</f>
        <v/>
      </c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>
        <f>1-M7</f>
        <v/>
      </c>
      <c r="Q8" s="293" t="n"/>
    </row>
    <row r="9">
      <c r="E9" s="119" t="inlineStr">
        <is>
          <t>Diluted Shares</t>
        </is>
      </c>
      <c r="F9" s="119" t="n"/>
      <c r="G9" s="141" t="n"/>
      <c r="H9" s="354">
        <f>IS!U42</f>
        <v/>
      </c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>
        <f>H8*H9</f>
        <v/>
      </c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>
        <f>(B14*B13)+B12</f>
        <v/>
      </c>
      <c r="E11" s="119" t="inlineStr">
        <is>
          <t>Debt</t>
        </is>
      </c>
      <c r="F11" s="119" t="n"/>
      <c r="G11" s="141" t="n"/>
      <c r="H11" s="356">
        <f>BS!X80</f>
        <v/>
      </c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>
        <f>BS!X25+BS!X26</f>
        <v/>
      </c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>
        <f>H11-H12</f>
        <v/>
      </c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>
        <f>H10-H13</f>
        <v/>
      </c>
      <c r="K14" s="141" t="inlineStr">
        <is>
          <t>WACC</t>
        </is>
      </c>
      <c r="L14" s="141" t="n"/>
      <c r="M14" s="118">
        <f>(M8*(1-M11)*M10)+M7*B11</f>
        <v/>
      </c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>
        <f>LEFT(G18,4)+1&amp;"-E"</f>
        <v/>
      </c>
      <c r="I18" s="363">
        <f>LEFT(H18,4)+1&amp;"-E"</f>
        <v/>
      </c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>
        <f>IS!U4</f>
        <v/>
      </c>
      <c r="D20" s="364">
        <f>IS!V4</f>
        <v/>
      </c>
      <c r="E20" s="364">
        <f>IS!W4</f>
        <v/>
      </c>
      <c r="F20" s="364">
        <f>IS!X4</f>
        <v/>
      </c>
      <c r="G20" s="364">
        <f>IS!Y4</f>
        <v/>
      </c>
      <c r="H20" s="364">
        <f>IS!Z4</f>
        <v/>
      </c>
      <c r="I20" s="364">
        <f>H20*(1+I38)</f>
        <v/>
      </c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>
        <f>IS!U22</f>
        <v/>
      </c>
      <c r="D21" s="364">
        <f>IS!V22</f>
        <v/>
      </c>
      <c r="E21" s="364">
        <f>IS!W22</f>
        <v/>
      </c>
      <c r="F21" s="364">
        <f>IS!X22</f>
        <v/>
      </c>
      <c r="G21" s="364">
        <f>IS!Y22</f>
        <v/>
      </c>
      <c r="H21" s="364">
        <f>IS!Z22</f>
        <v/>
      </c>
      <c r="I21" s="364">
        <f>I20*I42</f>
        <v/>
      </c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>
        <f>'COST METRIX'!T40</f>
        <v/>
      </c>
      <c r="D22" s="368">
        <f>'COST METRIX'!U40</f>
        <v/>
      </c>
      <c r="E22" s="368">
        <f>'COST METRIX'!V40</f>
        <v/>
      </c>
      <c r="F22" s="368">
        <f>'COST METRIX'!W40</f>
        <v/>
      </c>
      <c r="G22" s="368">
        <f>'COST METRIX'!X40</f>
        <v/>
      </c>
      <c r="H22" s="368">
        <f>'COST METRIX'!Y40</f>
        <v/>
      </c>
      <c r="I22" s="289">
        <f>H22</f>
        <v/>
      </c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>
        <f>C21*(1-C22)</f>
        <v/>
      </c>
      <c r="D23" s="364">
        <f>D21*(1-D22)</f>
        <v/>
      </c>
      <c r="E23" s="364">
        <f>E21*(1-E22)</f>
        <v/>
      </c>
      <c r="F23" s="364">
        <f>F21*(1-F22)</f>
        <v/>
      </c>
      <c r="G23" s="364">
        <f>G21*(1-G22)</f>
        <v/>
      </c>
      <c r="H23" s="364">
        <f>H21*(1-H22)</f>
        <v/>
      </c>
      <c r="I23" s="364">
        <f>I21*(1-I22)</f>
        <v/>
      </c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>
        <f>IS!U21</f>
        <v/>
      </c>
      <c r="D24" s="364">
        <f>IS!V21</f>
        <v/>
      </c>
      <c r="E24" s="364">
        <f>IS!W21</f>
        <v/>
      </c>
      <c r="F24" s="364">
        <f>IS!X21</f>
        <v/>
      </c>
      <c r="G24" s="364">
        <f>IS!Y21</f>
        <v/>
      </c>
      <c r="H24" s="364">
        <f>IS!Z21</f>
        <v/>
      </c>
      <c r="I24" s="369">
        <f>I20*I43</f>
        <v/>
      </c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>
        <f>CF!Q15+CF!Q16</f>
        <v/>
      </c>
      <c r="D25" s="367">
        <f>CF!R15+CF!R16</f>
        <v/>
      </c>
      <c r="E25" s="367">
        <f>CF!S15+CF!S16</f>
        <v/>
      </c>
      <c r="F25" s="367">
        <f>CF!T15+CF!T16</f>
        <v/>
      </c>
      <c r="G25" s="367">
        <f>CF!U15+CF!U16</f>
        <v/>
      </c>
      <c r="H25" s="367">
        <f>CF!V15+CF!V16</f>
        <v/>
      </c>
      <c r="I25" s="367">
        <f>H25</f>
        <v/>
      </c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>
        <f>SUM(C23:C25)</f>
        <v/>
      </c>
      <c r="D26" s="364">
        <f>SUM(D23:D25)</f>
        <v/>
      </c>
      <c r="E26" s="364">
        <f>SUM(E23:E25)</f>
        <v/>
      </c>
      <c r="F26" s="364">
        <f>SUM(F23:F25)</f>
        <v/>
      </c>
      <c r="G26" s="364">
        <f>SUM(G23:G25)</f>
        <v/>
      </c>
      <c r="H26" s="364">
        <f>SUM(H23:H25)</f>
        <v/>
      </c>
      <c r="I26" s="364">
        <f>SUM(I23:I25)</f>
        <v/>
      </c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>
        <f>CF!Q27</f>
        <v/>
      </c>
      <c r="D27" s="367">
        <f>CF!R27</f>
        <v/>
      </c>
      <c r="E27" s="367">
        <f>CF!S27</f>
        <v/>
      </c>
      <c r="F27" s="367">
        <f>CF!T27</f>
        <v/>
      </c>
      <c r="G27" s="367">
        <f>CF!U27</f>
        <v/>
      </c>
      <c r="H27" s="367">
        <f>CF!V27</f>
        <v/>
      </c>
      <c r="I27" s="371">
        <f>I20*I44</f>
        <v/>
      </c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>
        <f>C26+C27</f>
        <v/>
      </c>
      <c r="D28" s="364">
        <f>D26+D27</f>
        <v/>
      </c>
      <c r="E28" s="364">
        <f>E26+E27</f>
        <v/>
      </c>
      <c r="F28" s="364">
        <f>F26+F27</f>
        <v/>
      </c>
      <c r="G28" s="364">
        <f>G26+G27</f>
        <v/>
      </c>
      <c r="H28" s="364">
        <f>H26+H27</f>
        <v/>
      </c>
      <c r="I28" s="364">
        <f>I26+I27</f>
        <v/>
      </c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>
        <f>C18</f>
        <v/>
      </c>
      <c r="D31" s="362">
        <f>D18</f>
        <v/>
      </c>
      <c r="E31" s="362">
        <f>E18</f>
        <v/>
      </c>
      <c r="F31" s="362">
        <f>F18</f>
        <v/>
      </c>
      <c r="G31" s="362">
        <f>G18</f>
        <v/>
      </c>
      <c r="H31" s="362">
        <f>H18</f>
        <v/>
      </c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>
        <f>D32+1</f>
        <v/>
      </c>
      <c r="F32" s="372">
        <f>E32+1</f>
        <v/>
      </c>
      <c r="G32" s="372">
        <f>F32+1</f>
        <v/>
      </c>
      <c r="H32" s="372">
        <f>G32+1</f>
        <v/>
      </c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>
        <f>1/(1+$M$14)^D32</f>
        <v/>
      </c>
      <c r="E33" s="374">
        <f>1/(1+$M$14)^E32</f>
        <v/>
      </c>
      <c r="F33" s="374">
        <f>1/(1+$M$14)^F32</f>
        <v/>
      </c>
      <c r="G33" s="374">
        <f>1/(1+$M$14)^G32</f>
        <v/>
      </c>
      <c r="H33" s="374">
        <f>1/(1+$M$14)^H32</f>
        <v/>
      </c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>
        <f>C31</f>
        <v/>
      </c>
      <c r="D36" s="362">
        <f>D31</f>
        <v/>
      </c>
      <c r="E36" s="362">
        <f>E31</f>
        <v/>
      </c>
      <c r="F36" s="362">
        <f>F31</f>
        <v/>
      </c>
      <c r="G36" s="362">
        <f>G31</f>
        <v/>
      </c>
      <c r="H36" s="362">
        <f>H31</f>
        <v/>
      </c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>
        <f>IS!U4/IS!T4-1</f>
        <v/>
      </c>
      <c r="D38" s="150">
        <f>D20/C20-1</f>
        <v/>
      </c>
      <c r="E38" s="150">
        <f>E20/D20-1</f>
        <v/>
      </c>
      <c r="F38" s="150">
        <f>F20/E20-1</f>
        <v/>
      </c>
      <c r="G38" s="150">
        <f>G20/F20-1</f>
        <v/>
      </c>
      <c r="H38" s="150">
        <f>H20/G20-1</f>
        <v/>
      </c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>
        <f>C21/C20</f>
        <v/>
      </c>
      <c r="D42" s="377">
        <f>D21/D20</f>
        <v/>
      </c>
      <c r="E42" s="377">
        <f>E21/E20</f>
        <v/>
      </c>
      <c r="F42" s="377">
        <f>F21/F20</f>
        <v/>
      </c>
      <c r="G42" s="377">
        <f>G21/G20</f>
        <v/>
      </c>
      <c r="H42" s="377">
        <f>H21/H20</f>
        <v/>
      </c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>
        <f>C24/C20</f>
        <v/>
      </c>
      <c r="D43" s="377">
        <f>D24/D20</f>
        <v/>
      </c>
      <c r="E43" s="377">
        <f>E24/E20</f>
        <v/>
      </c>
      <c r="F43" s="377">
        <f>F24/F20</f>
        <v/>
      </c>
      <c r="G43" s="377">
        <f>G24/G20</f>
        <v/>
      </c>
      <c r="H43" s="377">
        <f>H24/H20</f>
        <v/>
      </c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>
        <f>C27/C20</f>
        <v/>
      </c>
      <c r="D44" s="377">
        <f>D27/D20</f>
        <v/>
      </c>
      <c r="E44" s="377">
        <f>E27/E20</f>
        <v/>
      </c>
      <c r="F44" s="377">
        <f>F27/F20</f>
        <v/>
      </c>
      <c r="G44" s="377">
        <f>G27/G20</f>
        <v/>
      </c>
      <c r="H44" s="377">
        <f>H27/H20</f>
        <v/>
      </c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>
        <f>NPV(M14,D28:H28)</f>
        <v/>
      </c>
      <c r="E48" s="141" t="inlineStr">
        <is>
          <t>Enterprise Value</t>
        </is>
      </c>
      <c r="F48" s="141" t="n"/>
      <c r="G48" s="141" t="n"/>
      <c r="H48" s="364">
        <f>C48+C52</f>
        <v/>
      </c>
      <c r="J48" s="141" t="inlineStr">
        <is>
          <t>Equity Value</t>
        </is>
      </c>
      <c r="K48" s="141" t="n"/>
      <c r="M48" s="369">
        <f>H52</f>
        <v/>
      </c>
    </row>
    <row r="49">
      <c r="A49" s="141" t="inlineStr">
        <is>
          <t>WACC</t>
        </is>
      </c>
      <c r="B49" s="380" t="n"/>
      <c r="C49" s="160">
        <f>M14</f>
        <v/>
      </c>
      <c r="E49" s="161" t="inlineStr">
        <is>
          <t>-   Debt</t>
        </is>
      </c>
      <c r="F49" s="141" t="n"/>
      <c r="G49" s="141" t="n"/>
      <c r="H49" s="364">
        <f>H11</f>
        <v/>
      </c>
      <c r="J49" s="141" t="inlineStr">
        <is>
          <t>Diluted Shares</t>
        </is>
      </c>
      <c r="K49" s="141" t="n"/>
      <c r="M49" s="369">
        <f>IS!U42</f>
        <v/>
      </c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>
        <f>H12</f>
        <v/>
      </c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>
        <f>I28/(M14-C50)</f>
        <v/>
      </c>
      <c r="E51" s="141" t="inlineStr">
        <is>
          <t>Net Debt</t>
        </is>
      </c>
      <c r="F51" s="141" t="n"/>
      <c r="G51" s="141" t="n"/>
      <c r="H51" s="382">
        <f>H49-H50</f>
        <v/>
      </c>
      <c r="J51" s="146" t="inlineStr">
        <is>
          <t>Intrinsic Value</t>
        </is>
      </c>
      <c r="K51" s="146" t="n"/>
      <c r="L51" s="97" t="n"/>
      <c r="M51" s="383">
        <f>M48/M49</f>
        <v/>
      </c>
      <c r="N51" s="384" t="n"/>
    </row>
    <row r="52">
      <c r="A52" s="141" t="inlineStr">
        <is>
          <t>Present Value of terminal value</t>
        </is>
      </c>
      <c r="B52" s="364" t="n"/>
      <c r="C52" s="167">
        <f>C51*H33</f>
        <v/>
      </c>
      <c r="E52" s="141" t="inlineStr">
        <is>
          <t>Equity Value</t>
        </is>
      </c>
      <c r="F52" s="141" t="n"/>
      <c r="G52" s="141" t="n"/>
      <c r="H52" s="364">
        <f>H48-H51</f>
        <v/>
      </c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>
        <f>C52/H48</f>
        <v/>
      </c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>
        <f>M51/H8-1</f>
        <v/>
      </c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>
        <f>M51</f>
        <v/>
      </c>
      <c r="E63" s="387" t="n">
        <v>0.05</v>
      </c>
      <c r="F63" s="387">
        <f>E63+0.5%</f>
        <v/>
      </c>
      <c r="G63" s="387">
        <f>F63+0.5%</f>
        <v/>
      </c>
      <c r="H63" s="387">
        <f>G63+0.5%</f>
        <v/>
      </c>
      <c r="I63" s="387">
        <f>H63+0.5%</f>
        <v/>
      </c>
    </row>
    <row r="64">
      <c r="C64" s="318" t="inlineStr">
        <is>
          <t>WACC</t>
        </is>
      </c>
      <c r="D64" s="388" t="n">
        <v>0.1</v>
      </c>
      <c r="E64" s="175">
        <f t="dataTable" ref="E64:I69" dt2D="1" dtr="1" r1="C50" r2="C49"/>
        <v/>
      </c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>
        <f>D64+0.5%</f>
        <v/>
      </c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>
        <f>D65+0.5%</f>
        <v/>
      </c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>
        <f>D66+0.5%</f>
        <v/>
      </c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>
        <f>D67+0.5%</f>
        <v/>
      </c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>
        <f>D68+0.5%</f>
        <v/>
      </c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>
        <f>IS!Z41</f>
        <v/>
      </c>
      <c r="D5" s="77">
        <f>B5*C5</f>
        <v/>
      </c>
      <c r="E5">
        <f>'DCF - Valuation'!H11</f>
        <v/>
      </c>
      <c r="F5">
        <f>'DCF - Valuation'!H12</f>
        <v/>
      </c>
      <c r="G5">
        <f>'DCF - Valuation'!H14</f>
        <v/>
      </c>
      <c r="I5" s="77">
        <f>IS!V4</f>
        <v/>
      </c>
      <c r="J5" s="77">
        <f>IS!W4</f>
        <v/>
      </c>
      <c r="K5" s="77">
        <f>IS!V19</f>
        <v/>
      </c>
      <c r="L5" s="77">
        <f>IS!W19</f>
        <v/>
      </c>
    </row>
    <row r="6">
      <c r="A6" t="inlineStr">
        <is>
          <t>Idea Cellular+Vodafone</t>
        </is>
      </c>
      <c r="B6" t="n">
        <v>102.8</v>
      </c>
      <c r="C6" s="77" t="n">
        <v>7867.6</v>
      </c>
      <c r="D6" s="77">
        <f>B6*C6</f>
        <v/>
      </c>
      <c r="E6" t="n">
        <v>1030620</v>
      </c>
      <c r="F6" t="n">
        <v>312.7</v>
      </c>
      <c r="G6" s="77">
        <f>D6+E6-F6</f>
        <v/>
      </c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>
        <f>B7*C7</f>
        <v/>
      </c>
      <c r="E7" t="n">
        <v>7372</v>
      </c>
      <c r="F7" t="n">
        <v>1017.9</v>
      </c>
      <c r="G7">
        <f>D7+E7-F7</f>
        <v/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>
        <f>B8*C8</f>
        <v/>
      </c>
      <c r="E8" t="n">
        <v>265570</v>
      </c>
      <c r="F8" t="n">
        <v>6430</v>
      </c>
      <c r="G8">
        <f>D8+E8-F8</f>
        <v/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>
        <f>B9*C9</f>
        <v/>
      </c>
      <c r="E9" t="n">
        <v>2785</v>
      </c>
      <c r="F9" t="n">
        <v>1121</v>
      </c>
      <c r="G9" s="77">
        <f>D9+E9-F9</f>
        <v/>
      </c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>
        <f>$G6/I6</f>
        <v/>
      </c>
      <c r="C14" s="298">
        <f>$G6/J6</f>
        <v/>
      </c>
      <c r="D14" s="298">
        <f>$D6/I6</f>
        <v/>
      </c>
      <c r="E14" s="298">
        <f>$D6/J6</f>
        <v/>
      </c>
      <c r="F14" s="298">
        <f>$G6/K6</f>
        <v/>
      </c>
      <c r="G14" s="298">
        <f>$G6/L6</f>
        <v/>
      </c>
    </row>
    <row r="15">
      <c r="A15" t="inlineStr">
        <is>
          <t>Tata Comm</t>
        </is>
      </c>
      <c r="B15" s="298">
        <f>$G7/I7</f>
        <v/>
      </c>
      <c r="C15" s="298">
        <f>$G7/J7</f>
        <v/>
      </c>
      <c r="D15" s="298">
        <f>$D7/I7</f>
        <v/>
      </c>
      <c r="E15" s="298">
        <f>$D7/J7</f>
        <v/>
      </c>
      <c r="F15" s="298">
        <f>$G7/K7</f>
        <v/>
      </c>
      <c r="G15" s="298">
        <f>$G7/L7</f>
        <v/>
      </c>
      <c r="H15" s="298" t="n"/>
    </row>
    <row r="16">
      <c r="A16" t="inlineStr">
        <is>
          <t>Reliance Comm</t>
        </is>
      </c>
      <c r="B16" s="298">
        <f>$G8/I8</f>
        <v/>
      </c>
      <c r="C16" s="298">
        <f>$G8/J8</f>
        <v/>
      </c>
      <c r="D16" s="298">
        <f>$D8/I8</f>
        <v/>
      </c>
      <c r="E16" s="298">
        <f>$D8/J8</f>
        <v/>
      </c>
      <c r="F16" s="298">
        <f>$G8/K8</f>
        <v/>
      </c>
      <c r="G16" s="298">
        <f>$G8/L8</f>
        <v/>
      </c>
      <c r="H16" s="298" t="n"/>
    </row>
    <row r="17">
      <c r="A17" t="inlineStr">
        <is>
          <t>Bharti Infratel</t>
        </is>
      </c>
      <c r="B17" s="298">
        <f>$G9/I9</f>
        <v/>
      </c>
      <c r="C17" s="298">
        <f>$G9/J9</f>
        <v/>
      </c>
      <c r="D17" s="298">
        <f>$D9/I9</f>
        <v/>
      </c>
      <c r="E17" s="298">
        <f>$D9/J9</f>
        <v/>
      </c>
      <c r="F17" t="n">
        <v>10.1</v>
      </c>
      <c r="G17" t="n">
        <v>9.300000000000001</v>
      </c>
    </row>
    <row r="19">
      <c r="A19" t="inlineStr">
        <is>
          <t>Muiltiple</t>
        </is>
      </c>
      <c r="B19" s="298">
        <f>QUARTILE(B14:B17,3)</f>
        <v/>
      </c>
      <c r="C19" s="298">
        <f>QUARTILE(C14:C17,3)</f>
        <v/>
      </c>
      <c r="D19" s="298">
        <f>QUARTILE(D14:D17,3)</f>
        <v/>
      </c>
      <c r="E19" s="298">
        <f>QUARTILE(E14:E17,3)</f>
        <v/>
      </c>
      <c r="F19" s="298">
        <f>QUARTILE(F14:F17,3)</f>
        <v/>
      </c>
      <c r="G19" s="298">
        <f>QUARTILE(G14:G17,3)</f>
        <v/>
      </c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>
        <f>B19</f>
        <v/>
      </c>
      <c r="D24" s="79">
        <f>C24*I5</f>
        <v/>
      </c>
      <c r="E24" s="190">
        <f>'Debt Schedule'!T20</f>
        <v/>
      </c>
      <c r="F24" s="95">
        <f>$F$5</f>
        <v/>
      </c>
      <c r="G24" s="96">
        <f>D24-E24+F24</f>
        <v/>
      </c>
      <c r="H24" s="195">
        <f>G24/$C$5</f>
        <v/>
      </c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>
        <f>C19</f>
        <v/>
      </c>
      <c r="D25" s="79">
        <f>C25*J5</f>
        <v/>
      </c>
      <c r="E25" s="96">
        <f>'Debt Schedule'!U20</f>
        <v/>
      </c>
      <c r="F25" s="95">
        <f>$F$5</f>
        <v/>
      </c>
      <c r="G25" s="96">
        <f>D25-E25+F25</f>
        <v/>
      </c>
      <c r="H25" s="195">
        <f>G25/$C$5</f>
        <v/>
      </c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>
        <f>D19</f>
        <v/>
      </c>
      <c r="D29">
        <f>C29*I5/$C$5</f>
        <v/>
      </c>
    </row>
    <row r="30">
      <c r="A30" s="92" t="inlineStr">
        <is>
          <t>FY19E</t>
        </is>
      </c>
      <c r="B30" s="90" t="inlineStr">
        <is>
          <t>P/S</t>
        </is>
      </c>
      <c r="C30" s="298">
        <f>E19</f>
        <v/>
      </c>
      <c r="D30">
        <f>C30*J5/C5</f>
        <v/>
      </c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>
        <f>F19</f>
        <v/>
      </c>
      <c r="D34" s="79">
        <f>C34*K5</f>
        <v/>
      </c>
      <c r="E34" s="299">
        <f>E24</f>
        <v/>
      </c>
      <c r="F34" s="300">
        <f>$F$5</f>
        <v/>
      </c>
      <c r="G34" s="301">
        <f>D34-E34+F34</f>
        <v/>
      </c>
      <c r="H34" s="195">
        <f>G34/$C$5</f>
        <v/>
      </c>
    </row>
    <row r="35">
      <c r="A35" s="92" t="inlineStr">
        <is>
          <t>FY19E</t>
        </is>
      </c>
      <c r="B35" s="90" t="inlineStr">
        <is>
          <t>EV/EBITDA</t>
        </is>
      </c>
      <c r="C35" s="69">
        <f>G19</f>
        <v/>
      </c>
      <c r="D35" s="79">
        <f>C35*L5</f>
        <v/>
      </c>
      <c r="E35" s="299">
        <f>E25</f>
        <v/>
      </c>
      <c r="F35" s="300">
        <f>$F$5</f>
        <v/>
      </c>
      <c r="G35" s="301">
        <f>D35-E35+F35</f>
        <v/>
      </c>
      <c r="H35" s="195">
        <f>G35/$C$5</f>
        <v/>
      </c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>
        <f>MIN('DCF - Valuation'!E64:I69)</f>
        <v/>
      </c>
      <c r="C39" s="186">
        <f>MAX('DCF - Valuation'!E64:I69)</f>
        <v/>
      </c>
      <c r="D39">
        <f>C39-B39</f>
        <v/>
      </c>
    </row>
    <row r="40">
      <c r="A40" s="93" t="inlineStr">
        <is>
          <t xml:space="preserve">                                           EV/Revenue</t>
        </is>
      </c>
      <c r="B40">
        <f>MIN(H24:H25)</f>
        <v/>
      </c>
      <c r="C40">
        <f>MAX(H24:H25)</f>
        <v/>
      </c>
      <c r="D40">
        <f>C40-B40</f>
        <v/>
      </c>
    </row>
    <row r="41">
      <c r="A41" s="302" t="inlineStr">
        <is>
          <t>P/S</t>
        </is>
      </c>
      <c r="B41">
        <f>MIN(D29:D30)</f>
        <v/>
      </c>
      <c r="C41">
        <f>MAX(D29:D30)</f>
        <v/>
      </c>
      <c r="D41">
        <f>C41-B41</f>
        <v/>
      </c>
    </row>
    <row r="42">
      <c r="A42" s="302" t="inlineStr">
        <is>
          <t>EV/EBITDA</t>
        </is>
      </c>
      <c r="B42">
        <f>MIN(H34:H35)</f>
        <v/>
      </c>
      <c r="C42">
        <f>MAX(H34:H35)</f>
        <v/>
      </c>
      <c r="D42">
        <f>C42-B42</f>
        <v/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2026-03-05T04:04:28Z</dcterms:modified>
  <cp:lastModifiedBy>Shravan Paturkar</cp:lastModifiedBy>
</cp:coreProperties>
</file>