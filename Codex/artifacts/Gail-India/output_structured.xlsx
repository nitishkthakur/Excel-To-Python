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f>'INCOME STATEMENT'!H49</f>
        <v/>
      </c>
      <c r="D21" s="922">
        <f>'INCOME STATEMENT'!O49</f>
        <v/>
      </c>
      <c r="E21" s="922">
        <f>'INCOME STATEMENT'!V49</f>
        <v/>
      </c>
      <c r="F21" s="922">
        <f>'INCOME STATEMENT'!AC49</f>
        <v/>
      </c>
      <c r="G21" s="922">
        <f>'INCOME STATEMENT'!AD49</f>
        <v/>
      </c>
      <c r="H21" s="922">
        <f>'INCOME STATEMENT'!AE49</f>
        <v/>
      </c>
      <c r="I21" s="922">
        <f>'INCOME STATEMENT'!AF49</f>
        <v/>
      </c>
      <c r="J21" s="922">
        <f>'INCOME STATEMENT'!AG49</f>
        <v/>
      </c>
      <c r="K21" s="923" t="n"/>
      <c r="L21" s="923" t="n"/>
      <c r="M21" s="923" t="n"/>
      <c r="N21" s="923" t="n"/>
      <c r="O21" s="923" t="n"/>
      <c r="P21" s="923" t="n"/>
    </row>
    <row r="22" ht="15" customHeight="1" s="850">
      <c r="A22" s="924" t="inlineStr">
        <is>
          <t>EBITDA/sales (%)</t>
        </is>
      </c>
      <c r="B22" s="925" t="n"/>
      <c r="C22" s="925">
        <f>'INCOME STATEMENT'!H21/'INCOME STATEMENT'!H6</f>
        <v/>
      </c>
      <c r="D22" s="925">
        <f>'INCOME STATEMENT'!O21/'INCOME STATEMENT'!O6</f>
        <v/>
      </c>
      <c r="E22" s="925">
        <f>'INCOME STATEMENT'!V21/'INCOME STATEMENT'!V6</f>
        <v/>
      </c>
      <c r="F22" s="925">
        <f>'INCOME STATEMENT'!AC21/'INCOME STATEMENT'!AC6</f>
        <v/>
      </c>
      <c r="G22" s="925">
        <f>'INCOME STATEMENT'!AD21/'INCOME STATEMENT'!AD6</f>
        <v/>
      </c>
      <c r="H22" s="925">
        <f>'INCOME STATEMENT'!AE21/'INCOME STATEMENT'!AE6</f>
        <v/>
      </c>
      <c r="I22" s="925">
        <f>'INCOME STATEMENT'!AF21/'INCOME STATEMENT'!AF6</f>
        <v/>
      </c>
      <c r="J22" s="925">
        <f>'INCOME STATEMENT'!AG21/'INCOME STATEMENT'!AG6</f>
        <v/>
      </c>
      <c r="K22" s="926" t="n"/>
      <c r="L22" s="926" t="n"/>
      <c r="M22" s="926" t="n"/>
      <c r="N22" s="926" t="n"/>
      <c r="O22" s="926" t="n"/>
      <c r="P22" s="926" t="n"/>
    </row>
    <row r="23" ht="15" customHeight="1" s="850">
      <c r="A23" s="924" t="inlineStr">
        <is>
          <t>Net income/sales (%)</t>
        </is>
      </c>
      <c r="B23" s="925" t="n"/>
      <c r="C23" s="925">
        <f>'INCOME STATEMENT'!O41/'INCOME STATEMENT'!O6</f>
        <v/>
      </c>
      <c r="D23" s="925">
        <f>'INCOME STATEMENT'!V41/'INCOME STATEMENT'!V6</f>
        <v/>
      </c>
      <c r="E23" s="925">
        <f>'INCOME STATEMENT'!V41/'INCOME STATEMENT'!V6</f>
        <v/>
      </c>
      <c r="F23" s="925">
        <f>'INCOME STATEMENT'!AC41/'INCOME STATEMENT'!AC6</f>
        <v/>
      </c>
      <c r="G23" s="925">
        <f>'INCOME STATEMENT'!AD41/'INCOME STATEMENT'!AD6</f>
        <v/>
      </c>
      <c r="H23" s="925">
        <f>'INCOME STATEMENT'!AE41/'INCOME STATEMENT'!AE6</f>
        <v/>
      </c>
      <c r="I23" s="925">
        <f>'INCOME STATEMENT'!AF41/'INCOME STATEMENT'!AF6</f>
        <v/>
      </c>
      <c r="J23" s="927">
        <f>'INCOME STATEMENT'!AG41/'INCOME STATEMENT'!AG6</f>
        <v/>
      </c>
      <c r="K23" s="926" t="n"/>
      <c r="L23" s="926" t="n"/>
      <c r="M23" s="926" t="n"/>
      <c r="N23" s="926" t="n"/>
      <c r="O23" s="926" t="n"/>
      <c r="P23" s="926" t="n"/>
    </row>
    <row r="24" ht="15" customHeight="1" s="850">
      <c r="A24" s="928" t="inlineStr">
        <is>
          <t>Interest Cover</t>
        </is>
      </c>
      <c r="B24" s="929" t="n"/>
      <c r="C24" s="929">
        <f>'Ratio Analysis'!C19</f>
        <v/>
      </c>
      <c r="D24" s="929">
        <f>'Ratio Analysis'!D19</f>
        <v/>
      </c>
      <c r="E24" s="929">
        <f>'Ratio Analysis'!E19</f>
        <v/>
      </c>
      <c r="F24" s="929">
        <f>'Ratio Analysis'!F19</f>
        <v/>
      </c>
      <c r="G24" s="929">
        <f>'Ratio Analysis'!G19</f>
        <v/>
      </c>
      <c r="H24" s="929">
        <f>'Ratio Analysis'!H19</f>
        <v/>
      </c>
      <c r="I24" s="930">
        <f>'Ratio Analysis'!I19</f>
        <v/>
      </c>
      <c r="J24" s="931">
        <f>'Ratio Analysis'!J19</f>
        <v/>
      </c>
      <c r="K24" s="932" t="n"/>
      <c r="L24" s="932" t="n"/>
      <c r="M24" s="932" t="n"/>
      <c r="N24" s="932" t="n"/>
      <c r="O24" s="932" t="n"/>
      <c r="P24" s="932" t="n"/>
    </row>
    <row r="25" ht="15" customHeight="1" s="850">
      <c r="A25" s="921" t="inlineStr">
        <is>
          <t>EV/Sales</t>
        </is>
      </c>
      <c r="B25" s="933" t="n"/>
      <c r="D25" s="933" t="n"/>
      <c r="E25" s="934">
        <f>Valuation!G13/'INCOME STATEMENT'!V6</f>
        <v/>
      </c>
      <c r="F25" s="934">
        <f>Valuation!G13/'INCOME STATEMENT'!AC6</f>
        <v/>
      </c>
      <c r="G25" s="935">
        <f>Valuation!G13/'INCOME STATEMENT'!AD6</f>
        <v/>
      </c>
      <c r="H25" s="935">
        <f>Valuation!G13/'INCOME STATEMENT'!AE6</f>
        <v/>
      </c>
      <c r="I25" s="935">
        <f>Valuation!G13/'INCOME STATEMENT'!AF6</f>
        <v/>
      </c>
      <c r="J25" s="936">
        <f>Valuation!G13/'INCOME STATEMENT'!AG6</f>
        <v/>
      </c>
      <c r="K25" s="937" t="n"/>
      <c r="L25" s="937" t="n"/>
      <c r="M25" s="937" t="n"/>
      <c r="N25" s="937" t="n"/>
      <c r="O25" s="937" t="n"/>
      <c r="P25" s="937" t="n"/>
    </row>
    <row r="26" ht="15" customHeight="1" s="850">
      <c r="A26" s="921" t="inlineStr">
        <is>
          <t>EV/EBITDA</t>
        </is>
      </c>
      <c r="B26" s="933" t="n"/>
      <c r="C26" s="933" t="n"/>
      <c r="D26" s="933" t="n"/>
      <c r="E26" s="934">
        <f>Valuation!G13/'INCOME STATEMENT'!V21</f>
        <v/>
      </c>
      <c r="F26" s="934">
        <f>Valuation!G13/'INCOME STATEMENT'!AC21</f>
        <v/>
      </c>
      <c r="G26" s="935">
        <f>Valuation!G13/'INCOME STATEMENT'!AD21</f>
        <v/>
      </c>
      <c r="H26" s="935">
        <f>Valuation!G13/'INCOME STATEMENT'!AE21</f>
        <v/>
      </c>
      <c r="I26" s="935">
        <f>Valuation!G13/'INCOME STATEMENT'!AF21</f>
        <v/>
      </c>
      <c r="J26" s="935">
        <f>Valuation!G13/'INCOME STATEMENT'!AG21</f>
        <v/>
      </c>
      <c r="K26" s="937" t="n"/>
      <c r="L26" s="937" t="n"/>
      <c r="M26" s="937" t="n"/>
      <c r="N26" s="937" t="n"/>
      <c r="O26" s="937" t="n"/>
      <c r="P26" s="937" t="n"/>
    </row>
    <row r="27" ht="15" customHeight="1" s="850">
      <c r="A27" s="921" t="inlineStr">
        <is>
          <t>P/E</t>
        </is>
      </c>
      <c r="B27" s="933" t="n"/>
      <c r="C27" s="933" t="n"/>
      <c r="D27" s="933" t="n"/>
      <c r="E27" s="934">
        <f>Valuation!G7/'INCOME STATEMENT'!V49</f>
        <v/>
      </c>
      <c r="F27" s="934">
        <f>Valuation!G7/'INCOME STATEMENT'!AC49</f>
        <v/>
      </c>
      <c r="G27" s="935">
        <f>Valuation!G7/'INCOME STATEMENT'!AD49</f>
        <v/>
      </c>
      <c r="H27" s="935">
        <f>Valuation!G7/'INCOME STATEMENT'!AE49</f>
        <v/>
      </c>
      <c r="I27" s="935">
        <f>Valuation!G7/'INCOME STATEMENT'!AF49</f>
        <v/>
      </c>
      <c r="J27" s="935">
        <f>Valuation!G7/'INCOME STATEMENT'!AG49</f>
        <v/>
      </c>
      <c r="K27" s="937" t="n"/>
      <c r="L27" s="937" t="n"/>
      <c r="M27" s="937" t="n"/>
      <c r="N27" s="937" t="n"/>
      <c r="O27" s="937" t="n"/>
      <c r="P27" s="937" t="n"/>
    </row>
    <row r="28" ht="15" customHeight="1" s="850">
      <c r="A28" s="921" t="inlineStr">
        <is>
          <t>P/Sales</t>
        </is>
      </c>
      <c r="B28" s="933" t="n"/>
      <c r="C28" s="933" t="n"/>
      <c r="D28" s="933" t="n"/>
      <c r="E28" s="938">
        <f>Valuation!G7/'INCOME STATEMENT'!V6</f>
        <v/>
      </c>
      <c r="F28" s="938">
        <f>Valuation!G7/'INCOME STATEMENT'!AC6</f>
        <v/>
      </c>
      <c r="G28" s="939">
        <f>Valuation!G7/'INCOME STATEMENT'!AD6</f>
        <v/>
      </c>
      <c r="H28" s="939">
        <f>Valuation!G7/'INCOME STATEMENT'!AE6</f>
        <v/>
      </c>
      <c r="I28" s="939">
        <f>Valuation!G7/'INCOME STATEMENT'!AF6</f>
        <v/>
      </c>
      <c r="J28" s="940">
        <f>Valuation!G7/'INCOME STATEMENT'!AG6</f>
        <v/>
      </c>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f>SUM(B32:B38)</f>
        <v/>
      </c>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f>SUM(B50:B56)</f>
        <v/>
      </c>
      <c r="C57" s="968">
        <f>SUM(C50:C56)</f>
        <v/>
      </c>
      <c r="D57" s="968">
        <f>SUM(D50:D56)</f>
        <v/>
      </c>
      <c r="E57" s="968">
        <f>SUM(E50:E56)</f>
        <v/>
      </c>
      <c r="F57" s="968">
        <f>SUM(F50:F56)</f>
        <v/>
      </c>
      <c r="G57" s="968">
        <f>SUM(G50:G56)</f>
        <v/>
      </c>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f>SUM(B8:E8)</f>
        <v/>
      </c>
      <c r="G8" s="1008" t="n">
        <v>30067.23</v>
      </c>
      <c r="H8" s="1008" t="n">
        <v>32486.93</v>
      </c>
      <c r="I8" s="1010" t="n">
        <v>31120.1</v>
      </c>
      <c r="J8" s="1008" t="n">
        <v>33801.6</v>
      </c>
      <c r="K8" s="1009">
        <f>SUM(G8:J8)</f>
        <v/>
      </c>
      <c r="L8" s="1010" t="n">
        <v>41192.8</v>
      </c>
      <c r="M8" s="1010" t="n">
        <v>44953.8</v>
      </c>
      <c r="N8" s="1010" t="n">
        <v>49507.4</v>
      </c>
      <c r="O8" s="1010" t="n">
        <v>47429.6</v>
      </c>
      <c r="P8" s="1011">
        <f>SUM(L8:O8)</f>
        <v/>
      </c>
      <c r="Q8" s="1012" t="n">
        <v>46417.1</v>
      </c>
      <c r="R8" s="1012" t="n">
        <v>49691.3</v>
      </c>
      <c r="S8" s="1012" t="n">
        <v>45274.4</v>
      </c>
      <c r="T8" s="1013">
        <f>U8-(Q8+R8+S8)</f>
        <v/>
      </c>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f>SUM(B9:E9)</f>
        <v/>
      </c>
      <c r="G9" s="1019" t="n">
        <v>4894.67</v>
      </c>
      <c r="H9" s="1019" t="n">
        <v>5288.57</v>
      </c>
      <c r="I9" s="1019" t="n">
        <v>6021.6</v>
      </c>
      <c r="J9" s="1019" t="n">
        <v>5761.5</v>
      </c>
      <c r="K9" s="1020">
        <f>SUM(G9:J9)</f>
        <v/>
      </c>
      <c r="L9" s="1019" t="n">
        <v>6213.8</v>
      </c>
      <c r="M9" s="1019" t="n">
        <v>6215</v>
      </c>
      <c r="N9" s="1019" t="n">
        <v>6140.9</v>
      </c>
      <c r="O9" s="1010" t="n">
        <v>6511</v>
      </c>
      <c r="P9" s="1020">
        <f>SUM(L9:O9)</f>
        <v/>
      </c>
      <c r="Q9" s="1010" t="n">
        <v>7331.5</v>
      </c>
      <c r="R9" s="1019" t="n">
        <v>8429.5</v>
      </c>
      <c r="S9" s="1019" t="n">
        <v>8527.799999999999</v>
      </c>
      <c r="T9" s="1021">
        <f>U9-(Q9+R9+S9)</f>
        <v/>
      </c>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f>SUM(B10:E10)</f>
        <v/>
      </c>
      <c r="G10" s="1019" t="n">
        <v>7783.9</v>
      </c>
      <c r="H10" s="1019" t="n">
        <v>6402.2</v>
      </c>
      <c r="I10" s="1019" t="n">
        <v>5378.1</v>
      </c>
      <c r="J10" s="1019" t="n">
        <v>7467</v>
      </c>
      <c r="K10" s="1020">
        <f>SUM(G10:J10)</f>
        <v/>
      </c>
      <c r="L10" s="1019" t="n">
        <v>8007.9</v>
      </c>
      <c r="M10" s="1019" t="n">
        <v>6287.3</v>
      </c>
      <c r="N10" s="1019" t="n">
        <v>6226.8</v>
      </c>
      <c r="O10" s="1019" t="n">
        <v>6813.3</v>
      </c>
      <c r="P10" s="1020">
        <f>SUM(L10:O10)</f>
        <v/>
      </c>
      <c r="Q10" s="1019" t="n">
        <v>6225.7</v>
      </c>
      <c r="R10" s="1019" t="n">
        <v>6156.6</v>
      </c>
      <c r="S10" s="1019" t="n">
        <v>7927.1</v>
      </c>
      <c r="T10" s="1021">
        <f>U10-(Q10+R10+S10)</f>
        <v/>
      </c>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f>SUM(B11:E11)</f>
        <v/>
      </c>
      <c r="G11" s="1019" t="n">
        <v>6751.5</v>
      </c>
      <c r="H11" s="1019" t="n">
        <v>7033.3</v>
      </c>
      <c r="I11" s="1019" t="n">
        <v>5278.3</v>
      </c>
      <c r="J11" s="1019" t="n">
        <v>7897.8</v>
      </c>
      <c r="K11" s="1020">
        <f>SUM(G11:J11)</f>
        <v/>
      </c>
      <c r="L11" s="1019" t="n">
        <v>7997</v>
      </c>
      <c r="M11" s="1019" t="n">
        <v>10902.1</v>
      </c>
      <c r="N11" s="1019" t="n">
        <v>3329.9</v>
      </c>
      <c r="O11" s="1019" t="n">
        <v>7671.4</v>
      </c>
      <c r="P11" s="1020">
        <f>SUM(L11:O11)</f>
        <v/>
      </c>
      <c r="Q11" s="1019" t="n">
        <v>6839</v>
      </c>
      <c r="R11" s="1019" t="n">
        <v>5150.9</v>
      </c>
      <c r="S11" s="1019" t="n">
        <v>7102.6</v>
      </c>
      <c r="T11" s="1021">
        <f>U11-(Q11+R11+S11)</f>
        <v/>
      </c>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f>SUM(B12:E12)</f>
        <v/>
      </c>
      <c r="G12" s="1019" t="n">
        <v>922.5</v>
      </c>
      <c r="H12" s="1019" t="n">
        <v>896</v>
      </c>
      <c r="I12" s="1019" t="n">
        <v>995.5</v>
      </c>
      <c r="J12" s="1019" t="n">
        <v>1079.1</v>
      </c>
      <c r="K12" s="1020">
        <f>SUM(G12:J12)</f>
        <v/>
      </c>
      <c r="L12" s="1019" t="n">
        <v>855.4</v>
      </c>
      <c r="M12" s="1019" t="n">
        <v>905.9</v>
      </c>
      <c r="N12" s="1019" t="n">
        <v>1064.9</v>
      </c>
      <c r="O12" s="1019" t="n">
        <v>992.4</v>
      </c>
      <c r="P12" s="1020">
        <f>SUM(L12:O12)</f>
        <v/>
      </c>
      <c r="Q12" s="1019" t="n">
        <v>1057.3</v>
      </c>
      <c r="R12" s="1019" t="n">
        <v>1029.3</v>
      </c>
      <c r="S12" s="1019" t="n">
        <v>1160.6</v>
      </c>
      <c r="T12" s="1021">
        <f>U12-(Q12+R12+S12)</f>
        <v/>
      </c>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f>SUM(B13:E13)</f>
        <v/>
      </c>
      <c r="G13" s="1028" t="n">
        <v>67.09999999999999</v>
      </c>
      <c r="H13" s="1028" t="n">
        <v>76.40000000000001</v>
      </c>
      <c r="I13" s="1028" t="n">
        <v>70.3</v>
      </c>
      <c r="J13" s="1028" t="n">
        <v>71.7</v>
      </c>
      <c r="K13" s="1030">
        <f>SUM(G13:J13)</f>
        <v/>
      </c>
      <c r="L13" s="1028" t="n">
        <v>65.3</v>
      </c>
      <c r="M13" s="1028" t="n">
        <v>65.40000000000001</v>
      </c>
      <c r="N13" s="1028" t="n">
        <v>63.5</v>
      </c>
      <c r="O13" s="1028" t="n">
        <v>49.1</v>
      </c>
      <c r="P13" s="1030">
        <f>SUM(L13:O13)</f>
        <v/>
      </c>
      <c r="Q13" s="1028" t="n">
        <v>37.8</v>
      </c>
      <c r="R13" s="1028" t="n">
        <v>34.2</v>
      </c>
      <c r="S13" s="1028" t="n">
        <v>28.5</v>
      </c>
      <c r="T13" s="1021">
        <f>U13-(Q13+R13+S13)</f>
        <v/>
      </c>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f>SUM(B14:E14)</f>
        <v/>
      </c>
      <c r="G14" s="1019" t="n">
        <v>806</v>
      </c>
      <c r="H14" s="1019" t="n">
        <v>1636.1</v>
      </c>
      <c r="I14" s="1019" t="n">
        <v>1571.4</v>
      </c>
      <c r="J14" s="1019" t="n">
        <v>1054.6</v>
      </c>
      <c r="K14" s="1020">
        <f>SUM(G14:J14)</f>
        <v/>
      </c>
      <c r="L14" s="1019" t="n">
        <v>1231.1</v>
      </c>
      <c r="M14" s="1019" t="n">
        <v>1929.3</v>
      </c>
      <c r="N14" s="1019" t="n">
        <v>2526.2</v>
      </c>
      <c r="O14" s="1019" t="n">
        <v>62.8</v>
      </c>
      <c r="P14" s="1020">
        <f>SUM(L14:O14)</f>
        <v/>
      </c>
      <c r="Q14" s="1019" t="n">
        <v>100.4</v>
      </c>
      <c r="R14" s="1019" t="n">
        <v>142.1</v>
      </c>
      <c r="S14" s="1019" t="n">
        <v>136.8</v>
      </c>
      <c r="T14" s="1021">
        <f>U14-(Q14+R14+S14)</f>
        <v/>
      </c>
      <c r="U14" s="1022" t="n">
        <v>402</v>
      </c>
      <c r="V14" s="1023" t="n">
        <v>443</v>
      </c>
      <c r="W14" s="1024" t="n">
        <v>496</v>
      </c>
      <c r="X14" s="1024" t="n">
        <v>555</v>
      </c>
      <c r="Y14" s="1024" t="n">
        <v>633</v>
      </c>
    </row>
    <row r="15" ht="15" customHeight="1" s="850">
      <c r="A15" s="1031" t="inlineStr">
        <is>
          <t>Total</t>
        </is>
      </c>
      <c r="B15" s="1032">
        <f>SUM(B8:B14)</f>
        <v/>
      </c>
      <c r="C15" s="1033">
        <f>SUM(C8:C14)</f>
        <v/>
      </c>
      <c r="D15" s="1034">
        <f>SUM(D8:D14)</f>
        <v/>
      </c>
      <c r="E15" s="1035">
        <f>SUM(E8:E14)</f>
        <v/>
      </c>
      <c r="F15" s="1036">
        <f>F8+F9+F10+F11+F12+F13+F14</f>
        <v/>
      </c>
      <c r="G15" s="1035">
        <f>SUM(G8:G14)</f>
        <v/>
      </c>
      <c r="H15" s="1035">
        <f>SUM(H8:H14)</f>
        <v/>
      </c>
      <c r="I15" s="1037">
        <f>SUM(I8:I14)</f>
        <v/>
      </c>
      <c r="J15" s="1035">
        <f>SUM(J8:J14)</f>
        <v/>
      </c>
      <c r="K15" s="1038">
        <f>K8+K9+K10+K11+K12+K13+K14</f>
        <v/>
      </c>
      <c r="L15" s="1039">
        <f>SUM(L8:L14)</f>
        <v/>
      </c>
      <c r="M15" s="1039">
        <f>SUM(M8:M14)</f>
        <v/>
      </c>
      <c r="N15" s="1039">
        <f>SUM(N8:N14)</f>
        <v/>
      </c>
      <c r="O15" s="1039">
        <f>SUM(O8:O14)</f>
        <v/>
      </c>
      <c r="P15" s="1038">
        <f>P8+P9+P10+P11+P12+P13+P14</f>
        <v/>
      </c>
      <c r="Q15" s="1040">
        <f>SUM(Q8:Q14)</f>
        <v/>
      </c>
      <c r="R15" s="1040">
        <f>SUM(R8:R14)</f>
        <v/>
      </c>
      <c r="S15" s="1040">
        <f>SUM(S8:S14)</f>
        <v/>
      </c>
      <c r="T15" s="1041">
        <f>SUM(T8:T14)</f>
        <v/>
      </c>
      <c r="U15" s="1042">
        <f>Q15+R15+S15+T15</f>
        <v/>
      </c>
      <c r="V15" s="1043">
        <f>SUM(V8:V14)</f>
        <v/>
      </c>
      <c r="W15" s="1044">
        <f>SUM(W8:W14)</f>
        <v/>
      </c>
      <c r="X15" s="1044">
        <f>SUM(X8:X14)</f>
        <v/>
      </c>
      <c r="Y15" s="1044">
        <f>SUM(Y8:Y14)</f>
        <v/>
      </c>
    </row>
    <row r="16" ht="12.75" customHeight="1" s="850">
      <c r="A16" s="1006" t="inlineStr">
        <is>
          <t>Less: Inter Segment Revenue</t>
        </is>
      </c>
      <c r="B16" s="1017" t="n">
        <v>6519.3</v>
      </c>
      <c r="C16" s="1018" t="n">
        <v>6513.1</v>
      </c>
      <c r="D16" s="1018" t="n">
        <v>7278.5</v>
      </c>
      <c r="E16" s="1019" t="n">
        <v>6844.3</v>
      </c>
      <c r="F16" s="1020">
        <f>SUM(B16:E16)</f>
        <v/>
      </c>
      <c r="G16" s="1019" t="n">
        <v>6452.1</v>
      </c>
      <c r="H16" s="1019" t="n">
        <v>6724.5</v>
      </c>
      <c r="I16" s="1019" t="n">
        <v>5603.8</v>
      </c>
      <c r="J16" s="1019" t="n">
        <v>6783.8</v>
      </c>
      <c r="K16" s="1020" t="n">
        <v>8245</v>
      </c>
      <c r="L16" s="1019" t="n">
        <v>7108.5</v>
      </c>
      <c r="M16" s="1019" t="n">
        <v>7676.8</v>
      </c>
      <c r="N16" s="1019" t="n">
        <v>8391.5</v>
      </c>
      <c r="O16" s="1019" t="n">
        <v>8486.5</v>
      </c>
      <c r="P16" s="1020">
        <f>SUM(L16:O16)</f>
        <v/>
      </c>
      <c r="Q16" s="1019" t="n">
        <v>-7794.6</v>
      </c>
      <c r="R16" s="1019" t="n">
        <v>-8612.1</v>
      </c>
      <c r="S16" s="1019" t="n">
        <v>-8279.4</v>
      </c>
      <c r="T16" s="1021" t="n">
        <v>35175.2</v>
      </c>
      <c r="U16" s="1045">
        <f>SUM(Q16:T16)</f>
        <v/>
      </c>
      <c r="V16" s="1023" t="n">
        <v>26223</v>
      </c>
      <c r="W16" s="1024" t="n">
        <v>62935</v>
      </c>
      <c r="X16" s="1024" t="n">
        <v>151043</v>
      </c>
      <c r="Y16" s="1024" t="n">
        <v>370055</v>
      </c>
    </row>
    <row r="17" ht="15" customHeight="1" s="850">
      <c r="A17" s="1046" t="inlineStr">
        <is>
          <t>Net sales/income from Operations</t>
        </is>
      </c>
      <c r="B17" s="1047">
        <f>B15-B16</f>
        <v/>
      </c>
      <c r="C17" s="1048">
        <f>C15-C16</f>
        <v/>
      </c>
      <c r="D17" s="1048">
        <f>D15-D16</f>
        <v/>
      </c>
      <c r="E17" s="1049">
        <f>E15-E16</f>
        <v/>
      </c>
      <c r="F17" s="1050">
        <f>SUM(B17:E17)</f>
        <v/>
      </c>
      <c r="G17" s="1051">
        <f>G15-G16</f>
        <v/>
      </c>
      <c r="H17" s="1051">
        <f>H15-H16</f>
        <v/>
      </c>
      <c r="I17" s="1051">
        <f>I15-I16</f>
        <v/>
      </c>
      <c r="J17" s="1049">
        <f>J15-J16</f>
        <v/>
      </c>
      <c r="K17" s="1052">
        <f>K15-K16</f>
        <v/>
      </c>
      <c r="L17" s="1051">
        <f>L15-L16</f>
        <v/>
      </c>
      <c r="M17" s="1049">
        <f>M15-M16</f>
        <v/>
      </c>
      <c r="N17" s="1051">
        <f>N15-N16</f>
        <v/>
      </c>
      <c r="O17" s="1051">
        <f>O15-O16</f>
        <v/>
      </c>
      <c r="P17" s="1052">
        <f>P15-P16</f>
        <v/>
      </c>
      <c r="Q17" s="1051">
        <f>SUM(Q15:Q16)</f>
        <v/>
      </c>
      <c r="R17" s="1051">
        <f>SUM(R15:R16)</f>
        <v/>
      </c>
      <c r="S17" s="1051">
        <f>SUM(S15:S16)</f>
        <v/>
      </c>
      <c r="T17" s="1053">
        <f>T15-T16</f>
        <v/>
      </c>
      <c r="U17" s="1054">
        <f>U15-U16</f>
        <v/>
      </c>
      <c r="V17" s="1055">
        <f>V15-V16</f>
        <v/>
      </c>
      <c r="W17" s="1056">
        <f>W15-W16</f>
        <v/>
      </c>
      <c r="X17" s="1056">
        <f>X15-X16</f>
        <v/>
      </c>
      <c r="Y17" s="1056">
        <f>Y15-Y16</f>
        <v/>
      </c>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f>B25+C25</f>
        <v/>
      </c>
      <c r="E25" s="1098" t="n">
        <v>510622</v>
      </c>
      <c r="F25" s="1098">
        <f>D25+E25</f>
        <v/>
      </c>
      <c r="G25" s="1098" t="n">
        <v>388340</v>
      </c>
      <c r="H25" s="1100" t="n">
        <v>1604718</v>
      </c>
      <c r="I25" s="1098" t="n">
        <v>424568</v>
      </c>
      <c r="J25" s="1098" t="n">
        <v>452890</v>
      </c>
      <c r="K25" s="1098">
        <f>I25+J25</f>
        <v/>
      </c>
      <c r="L25" s="1098" t="n">
        <v>429833</v>
      </c>
      <c r="M25" s="1098">
        <f>K25+L25</f>
        <v/>
      </c>
      <c r="N25" s="1098" t="n">
        <v>493529</v>
      </c>
      <c r="O25" s="1100">
        <f>M25+N25</f>
        <v/>
      </c>
      <c r="P25" s="1098" t="n">
        <v>573071</v>
      </c>
      <c r="Q25" s="1098" t="n">
        <v>617261</v>
      </c>
      <c r="R25" s="1098">
        <f>P25+Q25</f>
        <v/>
      </c>
      <c r="S25" s="1098" t="n">
        <v>581602</v>
      </c>
      <c r="T25" s="1098">
        <f>R25+S25</f>
        <v/>
      </c>
      <c r="U25" s="1098" t="n">
        <v>623395</v>
      </c>
      <c r="V25" s="1100" t="n">
        <v>2377595</v>
      </c>
      <c r="W25" s="1098" t="n">
        <v>604133</v>
      </c>
      <c r="X25" s="1098" t="n">
        <v>622434</v>
      </c>
      <c r="Y25" s="1098">
        <f>W25+X25</f>
        <v/>
      </c>
      <c r="Z25" s="1098" t="n">
        <v>620571</v>
      </c>
      <c r="AA25" s="1098">
        <f>Y25+Z25</f>
        <v/>
      </c>
      <c r="AB25" s="1098" t="n">
        <v>625000</v>
      </c>
      <c r="AC25" s="1100">
        <f>AA25+AB25</f>
        <v/>
      </c>
      <c r="AD25" s="1101" t="n">
        <v>3263222.2</v>
      </c>
      <c r="AE25" s="1101" t="n">
        <v>4405349.97</v>
      </c>
      <c r="AF25" s="1102" t="n">
        <v>6167490</v>
      </c>
      <c r="AG25" s="1102" t="n">
        <v>8942860</v>
      </c>
    </row>
    <row r="26" ht="17.25" customHeight="1" s="850">
      <c r="A26" s="1097" t="inlineStr">
        <is>
          <t>Total Expenditure</t>
        </is>
      </c>
      <c r="B26" s="1098">
        <f>B27+B28+B29+B30+B31</f>
        <v/>
      </c>
      <c r="C26" s="1098">
        <f>C27+C28+C29+C30+C31</f>
        <v/>
      </c>
      <c r="D26" s="1098">
        <f>D27+D28+D29+D30+D31</f>
        <v/>
      </c>
      <c r="E26" s="1098">
        <f>E27+E28+E29+E30+E31</f>
        <v/>
      </c>
      <c r="F26" s="1098">
        <f>F27+F28+F29+F30+F31</f>
        <v/>
      </c>
      <c r="G26" s="1098">
        <f>G27+G28+G29+G30+G31</f>
        <v/>
      </c>
      <c r="H26" s="1100">
        <f>H27+H28+H30+H29</f>
        <v/>
      </c>
      <c r="I26" s="1098">
        <f>I27+I28+I30+I29+I61</f>
        <v/>
      </c>
      <c r="J26" s="1098">
        <f>J27+J28+J30+J29+J31</f>
        <v/>
      </c>
      <c r="K26" s="1098" t="n">
        <v>39178</v>
      </c>
      <c r="L26" s="1098">
        <f>L27+L28+L30+L29+L31</f>
        <v/>
      </c>
      <c r="M26" s="1098">
        <f>M27+M28+M30+M29+M31</f>
        <v/>
      </c>
      <c r="N26" s="1098">
        <f>N27+N28+N30+N29+N31</f>
        <v/>
      </c>
      <c r="O26" s="1100">
        <f>O27+O28+O30+O29+O31</f>
        <v/>
      </c>
      <c r="P26" s="1098">
        <f>P27+P28+P30+P29+P31</f>
        <v/>
      </c>
      <c r="Q26" s="1098">
        <f>Q27+Q28+U30+Q29+Q31</f>
        <v/>
      </c>
      <c r="R26" s="1098">
        <f>R27+R28+R30+R29+R31</f>
        <v/>
      </c>
      <c r="S26" s="1098">
        <f>S27+S28+S29+S30+S31</f>
        <v/>
      </c>
      <c r="T26" s="1098">
        <f>T27+T28+T30+T29+T31</f>
        <v/>
      </c>
      <c r="U26" s="1098">
        <f>U27+U28+U30+U29+U31</f>
        <v/>
      </c>
      <c r="V26" s="1100">
        <f>V27+V28+V30+V29+V31</f>
        <v/>
      </c>
      <c r="W26" s="1098">
        <f>W27+W28+W30+W29+W31</f>
        <v/>
      </c>
      <c r="X26" s="1098">
        <f>X27+X28+X30+X29+X31</f>
        <v/>
      </c>
      <c r="Y26" s="1098">
        <f>Y27+Y28+Y30+Y29+Y31</f>
        <v/>
      </c>
      <c r="Z26" s="1098">
        <f>Z27+Z28+Z30+Z29+Z31</f>
        <v/>
      </c>
      <c r="AA26" s="1098">
        <f>AA27+AA28+AA30+AA29+AA31</f>
        <v/>
      </c>
      <c r="AB26" s="1098">
        <f>AB27+AB28+AB30+AB29+AB31</f>
        <v/>
      </c>
      <c r="AC26" s="1100">
        <f>AC27+AC28+AC30+AC29+AC31</f>
        <v/>
      </c>
      <c r="AD26" s="1101">
        <f>AD27+AD28+AD29+AD30+AD31</f>
        <v/>
      </c>
      <c r="AE26" s="1101">
        <f>AE27+AE28+AE29+AE30+AE31</f>
        <v/>
      </c>
      <c r="AF26" s="1101">
        <f>AF27+AF28+AF29+AF30+AF31</f>
        <v/>
      </c>
      <c r="AG26" s="1101">
        <f>AG27+AG28+AG29+AG30+AG31</f>
        <v/>
      </c>
    </row>
    <row r="27" ht="16.5" customHeight="1" s="850">
      <c r="A27" s="1103" t="inlineStr">
        <is>
          <t>(Increase) / Decrease In Stock In Trade &amp; WIP</t>
        </is>
      </c>
      <c r="B27" s="1104" t="n">
        <v>13288</v>
      </c>
      <c r="C27" s="1104" t="n">
        <v>-27170</v>
      </c>
      <c r="D27" s="1104">
        <f>B27+C27</f>
        <v/>
      </c>
      <c r="E27" s="1104" t="n">
        <v>-5883</v>
      </c>
      <c r="F27" s="1104">
        <f>D27+E27</f>
        <v/>
      </c>
      <c r="G27" s="1104" t="n">
        <v>28380</v>
      </c>
      <c r="H27" s="1105" t="n">
        <v>-7526</v>
      </c>
      <c r="I27" s="1104" t="n">
        <v>322</v>
      </c>
      <c r="J27" s="1104" t="n">
        <v>-563</v>
      </c>
      <c r="K27" s="1104">
        <f>I27+J27</f>
        <v/>
      </c>
      <c r="L27" s="1104" t="n">
        <v>5466</v>
      </c>
      <c r="M27" s="1104">
        <f>K27+L27</f>
        <v/>
      </c>
      <c r="N27" s="1104" t="n">
        <v>-8213</v>
      </c>
      <c r="O27" s="1105">
        <f>M27+N27</f>
        <v/>
      </c>
      <c r="P27" s="1104" t="n">
        <v>2858</v>
      </c>
      <c r="Q27" s="1104" t="n">
        <v>-7349</v>
      </c>
      <c r="R27" s="1104">
        <f>P27+Q27</f>
        <v/>
      </c>
      <c r="S27" s="1104" t="n">
        <v>6256</v>
      </c>
      <c r="T27" s="1104">
        <f>R27+S27</f>
        <v/>
      </c>
      <c r="U27" s="1104" t="n">
        <v>2265</v>
      </c>
      <c r="V27" s="1105" t="n">
        <v>500</v>
      </c>
      <c r="W27" s="1104" t="n">
        <v>3839</v>
      </c>
      <c r="X27" s="1104" t="n">
        <v>1354</v>
      </c>
      <c r="Y27" s="1104">
        <f>W27+X27</f>
        <v/>
      </c>
      <c r="Z27" s="1104" t="n">
        <v>849</v>
      </c>
      <c r="AA27" s="1104">
        <f>Y27+Z27</f>
        <v/>
      </c>
      <c r="AB27" s="1106" t="n">
        <v>1000</v>
      </c>
      <c r="AC27" s="1107">
        <f>AA27+AB27</f>
        <v/>
      </c>
      <c r="AD27" s="1108" t="n">
        <v>48948</v>
      </c>
      <c r="AE27" s="1108" t="n">
        <v>74891</v>
      </c>
      <c r="AF27" s="1108" t="n">
        <v>104847</v>
      </c>
      <c r="AG27" s="1108" t="n">
        <v>169914</v>
      </c>
    </row>
    <row r="28" ht="16.5" customHeight="1" s="850">
      <c r="A28" s="1109" t="inlineStr">
        <is>
          <t>Consumption of Raw Materials</t>
        </is>
      </c>
      <c r="B28" s="1104" t="n">
        <v>356206</v>
      </c>
      <c r="C28" s="1104" t="n">
        <v>329333</v>
      </c>
      <c r="D28" s="1104">
        <f>B28+C28</f>
        <v/>
      </c>
      <c r="E28" s="1104" t="n">
        <v>361270</v>
      </c>
      <c r="F28" s="1104">
        <f>E28+D28</f>
        <v/>
      </c>
      <c r="G28" s="1104" t="n">
        <v>278947</v>
      </c>
      <c r="H28" s="1105" t="n">
        <v>1121412</v>
      </c>
      <c r="I28" s="1104" t="n">
        <v>129390</v>
      </c>
      <c r="J28" s="1104" t="n">
        <v>45029</v>
      </c>
      <c r="K28" s="1104">
        <f>I28+J28</f>
        <v/>
      </c>
      <c r="L28" s="1104" t="n">
        <v>47246</v>
      </c>
      <c r="M28" s="1104">
        <f>L28+K28</f>
        <v/>
      </c>
      <c r="N28" s="1104" t="n">
        <v>36070</v>
      </c>
      <c r="O28" s="1105" t="n">
        <v>1191550</v>
      </c>
      <c r="P28" s="1104" t="n">
        <v>49620</v>
      </c>
      <c r="Q28" s="1104" t="n">
        <v>55114</v>
      </c>
      <c r="R28" s="1104">
        <f>P28+Q28</f>
        <v/>
      </c>
      <c r="S28" s="1104" t="n">
        <v>52395</v>
      </c>
      <c r="T28" s="1104">
        <f>S28+R28</f>
        <v/>
      </c>
      <c r="U28" s="1104" t="n">
        <v>55702</v>
      </c>
      <c r="V28" s="1105" t="n">
        <v>212831</v>
      </c>
      <c r="W28" s="1104" t="n">
        <v>51644</v>
      </c>
      <c r="X28" s="1104" t="n">
        <v>58766</v>
      </c>
      <c r="Y28" s="1104">
        <f>W28+X28</f>
        <v/>
      </c>
      <c r="Z28" s="1104" t="n">
        <v>55557</v>
      </c>
      <c r="AA28" s="1104">
        <f>Z28+Y28</f>
        <v/>
      </c>
      <c r="AB28" s="1106" t="n">
        <v>56280</v>
      </c>
      <c r="AC28" s="1107">
        <f>AA28+AB28</f>
        <v/>
      </c>
      <c r="AD28" s="1108" t="n">
        <v>293690</v>
      </c>
      <c r="AE28" s="1108" t="n">
        <v>396481</v>
      </c>
      <c r="AF28" s="1108" t="n">
        <v>555074</v>
      </c>
      <c r="AG28" s="1108" t="n">
        <v>804857</v>
      </c>
    </row>
    <row r="29" ht="16.5" customHeight="1" s="850">
      <c r="A29" s="1109" t="inlineStr">
        <is>
          <t>Employees Cost</t>
        </is>
      </c>
      <c r="B29" s="1104" t="n">
        <v>5513</v>
      </c>
      <c r="C29" s="1104" t="n">
        <v>9047</v>
      </c>
      <c r="D29" s="1104">
        <f>B29+C29</f>
        <v/>
      </c>
      <c r="E29" s="1104" t="n">
        <v>6509</v>
      </c>
      <c r="F29" s="1104">
        <f>E29+D29</f>
        <v/>
      </c>
      <c r="G29" s="1104" t="n">
        <v>8163</v>
      </c>
      <c r="H29" s="1105">
        <f>F29+G29</f>
        <v/>
      </c>
      <c r="I29" s="1104" t="n">
        <v>6876</v>
      </c>
      <c r="J29" s="1104" t="n">
        <v>8239</v>
      </c>
      <c r="K29" s="1104">
        <f>I29+J29</f>
        <v/>
      </c>
      <c r="L29" s="1104" t="n">
        <v>9854</v>
      </c>
      <c r="M29" s="1104">
        <f>L29+K29</f>
        <v/>
      </c>
      <c r="N29" s="1104" t="n">
        <v>22032</v>
      </c>
      <c r="O29" s="1105">
        <f>M29+N29</f>
        <v/>
      </c>
      <c r="P29" s="1104" t="n">
        <v>8663</v>
      </c>
      <c r="Q29" s="1104" t="n">
        <v>11802</v>
      </c>
      <c r="R29" s="1104">
        <f>P29+Q29</f>
        <v/>
      </c>
      <c r="S29" s="1104" t="n">
        <v>32256</v>
      </c>
      <c r="T29" s="1104">
        <f>S29+R29</f>
        <v/>
      </c>
      <c r="U29" s="1104" t="n">
        <v>4946</v>
      </c>
      <c r="V29" s="1105">
        <f>T29+U29</f>
        <v/>
      </c>
      <c r="W29" s="1104" t="n">
        <v>13201</v>
      </c>
      <c r="X29" s="1104" t="n">
        <v>12685</v>
      </c>
      <c r="Y29" s="1104">
        <f>W29+X29</f>
        <v/>
      </c>
      <c r="Z29" s="1104" t="n">
        <v>25387</v>
      </c>
      <c r="AA29" s="1104">
        <f>Z29+Y29</f>
        <v/>
      </c>
      <c r="AB29" s="1104" t="n">
        <v>40150</v>
      </c>
      <c r="AC29" s="1105">
        <f>AA29+AB29</f>
        <v/>
      </c>
      <c r="AD29" s="1108" t="n">
        <v>195793</v>
      </c>
      <c r="AE29" s="1108" t="n">
        <v>308374</v>
      </c>
      <c r="AF29" s="1108" t="n">
        <v>431724</v>
      </c>
      <c r="AG29" s="1108" t="n">
        <v>626000</v>
      </c>
    </row>
    <row r="30" ht="16.5" customHeight="1" s="850">
      <c r="A30" s="1109" t="inlineStr">
        <is>
          <t>Other Expenditure</t>
        </is>
      </c>
      <c r="B30" s="1104" t="n">
        <v>30440</v>
      </c>
      <c r="C30" s="1104" t="n">
        <v>35822</v>
      </c>
      <c r="D30" s="1104">
        <f>B30+C30</f>
        <v/>
      </c>
      <c r="E30" s="1104" t="n">
        <v>50547</v>
      </c>
      <c r="F30" s="1104">
        <f>E30+D30</f>
        <v/>
      </c>
      <c r="G30" s="1104" t="n">
        <v>43827</v>
      </c>
      <c r="H30" s="1105" t="n">
        <v>161871</v>
      </c>
      <c r="I30" s="1104" t="n">
        <v>35075</v>
      </c>
      <c r="J30" s="1104" t="n">
        <v>58378</v>
      </c>
      <c r="K30" s="1104">
        <f>I30+J30</f>
        <v/>
      </c>
      <c r="L30" s="1104" t="n">
        <v>38138</v>
      </c>
      <c r="M30" s="1104">
        <f>L30+K30</f>
        <v/>
      </c>
      <c r="N30" s="1104" t="n">
        <v>38742</v>
      </c>
      <c r="O30" s="1105">
        <f>M30+N30</f>
        <v/>
      </c>
      <c r="P30" s="1104" t="n">
        <v>39182</v>
      </c>
      <c r="Q30" s="1110" t="n">
        <v>47979</v>
      </c>
      <c r="R30" s="1104">
        <f>P30+U30</f>
        <v/>
      </c>
      <c r="S30" s="1104" t="n">
        <v>46490</v>
      </c>
      <c r="T30" s="1104">
        <f>S30+R30</f>
        <v/>
      </c>
      <c r="U30" s="1104" t="n">
        <v>60476</v>
      </c>
      <c r="V30" s="1105" t="n">
        <v>194127</v>
      </c>
      <c r="W30" s="1104" t="n">
        <v>48476</v>
      </c>
      <c r="X30" s="1104" t="n">
        <v>44481</v>
      </c>
      <c r="Y30" s="1104">
        <f>W30+X30</f>
        <v/>
      </c>
      <c r="Z30" s="1104" t="n">
        <v>40451</v>
      </c>
      <c r="AA30" s="1104">
        <f>Z30+Y30</f>
        <v/>
      </c>
      <c r="AB30" s="1104" t="n">
        <v>50000</v>
      </c>
      <c r="AC30" s="1105">
        <f>AA30+AB30</f>
        <v/>
      </c>
      <c r="AD30" s="1108" t="n">
        <v>261058</v>
      </c>
      <c r="AE30" s="1108" t="n">
        <v>396481</v>
      </c>
      <c r="AF30" s="1108" t="n">
        <v>555074</v>
      </c>
      <c r="AG30" s="1108" t="n">
        <v>804857</v>
      </c>
    </row>
    <row r="31" ht="17.25" customHeight="1" s="850">
      <c r="A31" s="1109" t="inlineStr">
        <is>
          <t>Consumption of Materials/Purchase</t>
        </is>
      </c>
      <c r="B31" s="1110" t="n">
        <v>0</v>
      </c>
      <c r="C31" s="1110" t="n">
        <v>0</v>
      </c>
      <c r="D31" s="1104">
        <f>B31+C31</f>
        <v/>
      </c>
      <c r="E31" s="1110" t="n">
        <v>0</v>
      </c>
      <c r="F31" s="1104">
        <f>E31+D31</f>
        <v/>
      </c>
      <c r="G31" s="1104" t="n"/>
      <c r="H31" s="1105">
        <f>F31+G31</f>
        <v/>
      </c>
      <c r="I31" s="1104" t="n">
        <v>235285</v>
      </c>
      <c r="J31" s="1104" t="n">
        <v>253976</v>
      </c>
      <c r="K31" s="1104">
        <f>I61+J31</f>
        <v/>
      </c>
      <c r="L31" s="1104" t="n">
        <v>241903</v>
      </c>
      <c r="M31" s="1104">
        <f>L31+K31</f>
        <v/>
      </c>
      <c r="N31" s="1104" t="n">
        <v>288902</v>
      </c>
      <c r="O31" s="1105" t="n">
        <v>0</v>
      </c>
      <c r="P31" s="1104" t="n">
        <v>332805</v>
      </c>
      <c r="Q31" s="1104" t="n">
        <v>362240</v>
      </c>
      <c r="R31" s="1104">
        <f>P31+Q31</f>
        <v/>
      </c>
      <c r="S31" s="1104" t="n">
        <v>417171</v>
      </c>
      <c r="T31" s="1104">
        <f>S31+R31</f>
        <v/>
      </c>
      <c r="U31" s="1104" t="n">
        <v>395823</v>
      </c>
      <c r="V31" s="1105">
        <f>T31+U31</f>
        <v/>
      </c>
      <c r="W31" s="1104" t="n">
        <v>378432</v>
      </c>
      <c r="X31" s="1104" t="n">
        <v>401202</v>
      </c>
      <c r="Y31" s="1104">
        <f>W31+X31</f>
        <v/>
      </c>
      <c r="Z31" s="1104" t="n">
        <v>371276</v>
      </c>
      <c r="AA31" s="1104">
        <f>Z31+Y31</f>
        <v/>
      </c>
      <c r="AB31" s="1104" t="n">
        <v>375000</v>
      </c>
      <c r="AC31" s="1105">
        <f>AA31+AB31</f>
        <v/>
      </c>
      <c r="AD31" s="1108" t="n">
        <v>2023198</v>
      </c>
      <c r="AE31" s="1108" t="n">
        <v>2643210</v>
      </c>
      <c r="AF31" s="1108" t="n">
        <v>3823844</v>
      </c>
      <c r="AG31" s="1108" t="n">
        <v>5365716</v>
      </c>
    </row>
    <row r="32" ht="17.25" customHeight="1" s="850">
      <c r="A32" s="1100" t="inlineStr">
        <is>
          <t>OPBDIT</t>
        </is>
      </c>
      <c r="B32" s="1098">
        <f>B25-B26</f>
        <v/>
      </c>
      <c r="C32" s="1098">
        <f>C25-C26</f>
        <v/>
      </c>
      <c r="D32" s="1098">
        <f>D25-D26</f>
        <v/>
      </c>
      <c r="E32" s="1098">
        <f>E25-E26</f>
        <v/>
      </c>
      <c r="F32" s="1098">
        <f>F25-F26</f>
        <v/>
      </c>
      <c r="G32" s="1098">
        <f>G25-G26</f>
        <v/>
      </c>
      <c r="H32" s="1100">
        <f>H25-H26</f>
        <v/>
      </c>
      <c r="I32" s="1098">
        <f>I25-I26</f>
        <v/>
      </c>
      <c r="J32" s="1098">
        <f>J25-J26</f>
        <v/>
      </c>
      <c r="K32" s="1098">
        <f>L25-K26</f>
        <v/>
      </c>
      <c r="L32" s="1098">
        <f>L25-L26</f>
        <v/>
      </c>
      <c r="M32" s="1098">
        <f>M25-M26</f>
        <v/>
      </c>
      <c r="N32" s="1098">
        <f>N25-N26</f>
        <v/>
      </c>
      <c r="O32" s="1100">
        <f>O25-O26</f>
        <v/>
      </c>
      <c r="P32" s="1098">
        <f>P25-P26</f>
        <v/>
      </c>
      <c r="Q32" s="1098">
        <f>Q25-Q26</f>
        <v/>
      </c>
      <c r="R32" s="1098">
        <f>R25-R26</f>
        <v/>
      </c>
      <c r="S32" s="1098">
        <f>S25-S26</f>
        <v/>
      </c>
      <c r="T32" s="1098">
        <f>T25-T26</f>
        <v/>
      </c>
      <c r="U32" s="1098">
        <f>U25-U26</f>
        <v/>
      </c>
      <c r="V32" s="1100">
        <f>V25-V26</f>
        <v/>
      </c>
      <c r="W32" s="1098">
        <f>W25-W26</f>
        <v/>
      </c>
      <c r="X32" s="1098">
        <f>X25-X26</f>
        <v/>
      </c>
      <c r="Y32" s="1098">
        <f>Y25-Y26</f>
        <v/>
      </c>
      <c r="Z32" s="1098">
        <f>Z25-Z26</f>
        <v/>
      </c>
      <c r="AA32" s="1098">
        <f>AA25-AA26</f>
        <v/>
      </c>
      <c r="AB32" s="1098">
        <f>AB25-AB26</f>
        <v/>
      </c>
      <c r="AC32" s="1100">
        <f>AC25-AC26</f>
        <v/>
      </c>
      <c r="AD32" s="1101">
        <f>AD25-AD26</f>
        <v/>
      </c>
      <c r="AE32" s="1101">
        <f>AE25-AE26</f>
        <v/>
      </c>
      <c r="AF32" s="1101">
        <f>AF25-AF26</f>
        <v/>
      </c>
      <c r="AG32" s="1101">
        <f>AG25-AG26</f>
        <v/>
      </c>
    </row>
    <row r="33" ht="17.25" customHeight="1" s="850">
      <c r="A33" s="1097" t="inlineStr">
        <is>
          <t>OP Margin</t>
        </is>
      </c>
      <c r="B33" s="1098">
        <f>(B32/B25)*100</f>
        <v/>
      </c>
      <c r="C33" s="1098">
        <f>(C32/C25)*100</f>
        <v/>
      </c>
      <c r="D33" s="1098">
        <f>(D32/D25)*100</f>
        <v/>
      </c>
      <c r="E33" s="1098">
        <f>(E32/E25)*100</f>
        <v/>
      </c>
      <c r="F33" s="1098">
        <f>(F32/F25)*100</f>
        <v/>
      </c>
      <c r="G33" s="1098">
        <f>(G32/G25)*100</f>
        <v/>
      </c>
      <c r="H33" s="1100">
        <f>H32/H25*100</f>
        <v/>
      </c>
      <c r="I33" s="1098">
        <f>(I32/I25)*100</f>
        <v/>
      </c>
      <c r="J33" s="1098">
        <f>(J32/J25)*100</f>
        <v/>
      </c>
      <c r="K33" s="1098">
        <f>(K32/L25)*100</f>
        <v/>
      </c>
      <c r="L33" s="1098">
        <f>(L32/L25)*100</f>
        <v/>
      </c>
      <c r="M33" s="1098">
        <f>(M32/M25)*100</f>
        <v/>
      </c>
      <c r="N33" s="1098">
        <f>(N32/N25)*100</f>
        <v/>
      </c>
      <c r="O33" s="1100">
        <f>O32/O25*100</f>
        <v/>
      </c>
      <c r="P33" s="1098">
        <f>(P32/P25)*100</f>
        <v/>
      </c>
      <c r="Q33" s="1098">
        <f>(Q32/Q25)*100</f>
        <v/>
      </c>
      <c r="R33" s="1098">
        <f>(R32/R25)*100</f>
        <v/>
      </c>
      <c r="S33" s="1098">
        <f>(S32/S25)*100</f>
        <v/>
      </c>
      <c r="T33" s="1098">
        <f>(T32/T25)*100</f>
        <v/>
      </c>
      <c r="U33" s="1098">
        <f>(U32/U25)*100</f>
        <v/>
      </c>
      <c r="V33" s="1100">
        <f>V32/V25*100</f>
        <v/>
      </c>
      <c r="W33" s="1098">
        <f>(W32/W25)*100</f>
        <v/>
      </c>
      <c r="X33" s="1098">
        <f>(X32/X25)*100</f>
        <v/>
      </c>
      <c r="Y33" s="1098">
        <f>(Y32/Y25)*100</f>
        <v/>
      </c>
      <c r="Z33" s="1098">
        <f>(Z32/Z25)*100</f>
        <v/>
      </c>
      <c r="AA33" s="1098">
        <f>(AA32/AA25)*100</f>
        <v/>
      </c>
      <c r="AB33" s="1098">
        <f>(AB32/AB25)*100</f>
        <v/>
      </c>
      <c r="AC33" s="1100">
        <f>(AC32/AC25)*100</f>
        <v/>
      </c>
      <c r="AD33" s="1101">
        <f>(AD32/AD25)*100</f>
        <v/>
      </c>
      <c r="AE33" s="1101">
        <f>(AE32/AE25)*100</f>
        <v/>
      </c>
      <c r="AF33" s="1101">
        <f>(AF32/AF25)*100</f>
        <v/>
      </c>
      <c r="AG33" s="1101">
        <f>(AG32/AG25)*100</f>
        <v/>
      </c>
    </row>
    <row r="34" ht="16.5" customHeight="1" s="850">
      <c r="A34" s="1103" t="inlineStr">
        <is>
          <t>Interest</t>
        </is>
      </c>
      <c r="B34" s="1104" t="n">
        <v>2880</v>
      </c>
      <c r="C34" s="1104" t="n">
        <v>2912</v>
      </c>
      <c r="D34" s="1104">
        <f>B34+C34</f>
        <v/>
      </c>
      <c r="E34" s="1104" t="n">
        <v>2705</v>
      </c>
      <c r="F34" s="1104">
        <f>D34+E34</f>
        <v/>
      </c>
      <c r="G34" s="1104" t="n">
        <v>2211</v>
      </c>
      <c r="H34" s="1105">
        <f>F34+G34</f>
        <v/>
      </c>
      <c r="I34" s="1104" t="n">
        <v>2040</v>
      </c>
      <c r="J34" s="1104" t="n">
        <v>2009</v>
      </c>
      <c r="K34" s="1104">
        <f>I34+J34</f>
        <v/>
      </c>
      <c r="L34" s="1104" t="n">
        <v>1955</v>
      </c>
      <c r="M34" s="1104">
        <f>K34+L34</f>
        <v/>
      </c>
      <c r="N34" s="1104" t="n">
        <v>1953</v>
      </c>
      <c r="O34" s="1105">
        <f>M34+N34</f>
        <v/>
      </c>
      <c r="P34" s="1104" t="n">
        <v>1902</v>
      </c>
      <c r="Q34" s="1104" t="n">
        <v>1890</v>
      </c>
      <c r="R34" s="1104">
        <f>P34+Q34</f>
        <v/>
      </c>
      <c r="S34" s="1104" t="n">
        <v>1851</v>
      </c>
      <c r="T34" s="1104">
        <f>R34+S34</f>
        <v/>
      </c>
      <c r="U34" s="1104" t="n">
        <v>3057</v>
      </c>
      <c r="V34" s="1105">
        <f>T34+U34</f>
        <v/>
      </c>
      <c r="W34" s="1104" t="n">
        <v>1792</v>
      </c>
      <c r="X34" s="1104" t="n">
        <v>1785</v>
      </c>
      <c r="Y34" s="1104">
        <f>W34+X34</f>
        <v/>
      </c>
      <c r="Z34" s="1111" t="n">
        <v>1422</v>
      </c>
      <c r="AA34" s="1104">
        <f>Y34+Z34</f>
        <v/>
      </c>
      <c r="AB34" s="1104" t="n">
        <v>1790</v>
      </c>
      <c r="AC34" s="1105">
        <f>AA34+AB34</f>
        <v/>
      </c>
      <c r="AD34" s="1112" t="n">
        <v>7765</v>
      </c>
      <c r="AE34" s="1112" t="n">
        <v>6594</v>
      </c>
      <c r="AF34" s="1112" t="n">
        <v>5423</v>
      </c>
      <c r="AG34" s="1112" t="n">
        <v>5889</v>
      </c>
    </row>
    <row r="35" ht="17.25" customHeight="1" s="850">
      <c r="A35" s="1113" t="inlineStr">
        <is>
          <t>Depreciation</t>
        </is>
      </c>
      <c r="B35" s="1104" t="n">
        <v>14081</v>
      </c>
      <c r="C35" s="1104" t="n">
        <v>14357</v>
      </c>
      <c r="D35" s="1104">
        <f>B35+C35</f>
        <v/>
      </c>
      <c r="E35" s="1104" t="n">
        <v>14387</v>
      </c>
      <c r="F35" s="1104">
        <f>D35+E35</f>
        <v/>
      </c>
      <c r="G35" s="1104" t="n">
        <v>14713</v>
      </c>
      <c r="H35" s="1105">
        <f>F35+G35</f>
        <v/>
      </c>
      <c r="I35" s="1104" t="n">
        <v>14070</v>
      </c>
      <c r="J35" s="1104" t="n">
        <v>14916</v>
      </c>
      <c r="K35" s="1104">
        <f>I35+J35</f>
        <v/>
      </c>
      <c r="L35" s="1104" t="n">
        <v>13869</v>
      </c>
      <c r="M35" s="1104">
        <f>K35+L35</f>
        <v/>
      </c>
      <c r="N35" s="1104" t="n">
        <v>14247</v>
      </c>
      <c r="O35" s="1105">
        <f>M35+N35</f>
        <v/>
      </c>
      <c r="P35" s="1104" t="n">
        <v>14296</v>
      </c>
      <c r="Q35" s="1104" t="n">
        <v>13858</v>
      </c>
      <c r="R35" s="1104">
        <f>P35+Q35</f>
        <v/>
      </c>
      <c r="S35" s="1104" t="n">
        <v>13739</v>
      </c>
      <c r="T35" s="1104">
        <f>R35+S35</f>
        <v/>
      </c>
      <c r="U35" s="1104" t="n">
        <v>14098</v>
      </c>
      <c r="V35" s="1105">
        <f>T35+U35</f>
        <v/>
      </c>
      <c r="W35" s="1104" t="n">
        <v>14041</v>
      </c>
      <c r="X35" s="1104" t="n">
        <v>14162</v>
      </c>
      <c r="Y35" s="1104">
        <f>W35+X35</f>
        <v/>
      </c>
      <c r="Z35" s="1104" t="n">
        <v>14091</v>
      </c>
      <c r="AA35" s="1104">
        <f>Y35+Z35</f>
        <v/>
      </c>
      <c r="AB35" s="1104" t="n">
        <v>14397</v>
      </c>
      <c r="AC35" s="1105" t="n">
        <v>56691</v>
      </c>
      <c r="AD35" s="1112" t="n">
        <v>57516</v>
      </c>
      <c r="AE35" s="1112" t="n">
        <v>58466</v>
      </c>
      <c r="AF35" s="1112" t="n">
        <v>59266</v>
      </c>
      <c r="AG35" s="1112" t="n">
        <v>60050</v>
      </c>
    </row>
    <row r="36" ht="17.25" customHeight="1" s="850">
      <c r="A36" s="1100" t="inlineStr">
        <is>
          <t>PBT From Operations</t>
        </is>
      </c>
      <c r="B36" s="1098">
        <f>B32-(B34+B35)</f>
        <v/>
      </c>
      <c r="C36" s="1098">
        <f>C32-(C34+C35)</f>
        <v/>
      </c>
      <c r="D36" s="1098">
        <f>D32-(D34+D35)</f>
        <v/>
      </c>
      <c r="E36" s="1098">
        <f>E32-(E34+E35)</f>
        <v/>
      </c>
      <c r="F36" s="1098">
        <f>F32-(F34+F35)</f>
        <v/>
      </c>
      <c r="G36" s="1098">
        <f>G32-(G34+G35)</f>
        <v/>
      </c>
      <c r="H36" s="1100">
        <f>H32-(H34+H35)</f>
        <v/>
      </c>
      <c r="I36" s="1098">
        <f>I32-(I34+I35)</f>
        <v/>
      </c>
      <c r="J36" s="1098">
        <f>J32-(J34+J35)</f>
        <v/>
      </c>
      <c r="K36" s="1098">
        <f>K32-(K34+K35)</f>
        <v/>
      </c>
      <c r="L36" s="1098">
        <f>L32-(L34+L35)</f>
        <v/>
      </c>
      <c r="M36" s="1098">
        <f>M32-(M34+M35)</f>
        <v/>
      </c>
      <c r="N36" s="1098">
        <f>N32-(N34+N35)</f>
        <v/>
      </c>
      <c r="O36" s="1100">
        <f>O32-(O34+O35)</f>
        <v/>
      </c>
      <c r="P36" s="1098">
        <f>P32-(P34+P35)</f>
        <v/>
      </c>
      <c r="Q36" s="1098">
        <f>Q32-(Q34+Q35)</f>
        <v/>
      </c>
      <c r="R36" s="1098">
        <f>R32-(R34+R35)</f>
        <v/>
      </c>
      <c r="S36" s="1098">
        <f>S32-(S34+S35)</f>
        <v/>
      </c>
      <c r="T36" s="1098">
        <f>T32-(T34+T35)</f>
        <v/>
      </c>
      <c r="U36" s="1098">
        <f>U32-(U34+U35)</f>
        <v/>
      </c>
      <c r="V36" s="1100">
        <f>V32-(V34+V35)</f>
        <v/>
      </c>
      <c r="W36" s="1098">
        <f>W32-(W34+W35)</f>
        <v/>
      </c>
      <c r="X36" s="1098">
        <f>X32-(X34+X35)</f>
        <v/>
      </c>
      <c r="Y36" s="1098">
        <f>Y32-(Y34+Y35)</f>
        <v/>
      </c>
      <c r="Z36" s="1098">
        <f>Z32-(Z34+Z35)</f>
        <v/>
      </c>
      <c r="AA36" s="1098">
        <f>AA32-(AA34+AA35)</f>
        <v/>
      </c>
      <c r="AB36" s="1098">
        <f>AB32-(AB34+AB35)</f>
        <v/>
      </c>
      <c r="AC36" s="1100">
        <f>AC32-(AC34+AC35)</f>
        <v/>
      </c>
      <c r="AD36" s="1101">
        <f>AD32-(AD34+AD35)</f>
        <v/>
      </c>
      <c r="AE36" s="1101">
        <f>AE32-(AE34+AE35)</f>
        <v/>
      </c>
      <c r="AF36" s="1101">
        <f>AF32-(AF34+AF35)</f>
        <v/>
      </c>
      <c r="AG36" s="1101">
        <f>AG32-(AG34+AG35)</f>
        <v/>
      </c>
    </row>
    <row r="37" ht="17.25" customHeight="1" s="850">
      <c r="A37" s="1114" t="inlineStr">
        <is>
          <t>Other Income</t>
        </is>
      </c>
      <c r="B37" s="1104" t="n">
        <v>8006</v>
      </c>
      <c r="C37" s="1104" t="n">
        <v>16737</v>
      </c>
      <c r="D37" s="1104">
        <f>B37+C37</f>
        <v/>
      </c>
      <c r="E37" s="1104" t="n">
        <v>18463</v>
      </c>
      <c r="F37" s="1104">
        <f>D37+E37</f>
        <v/>
      </c>
      <c r="G37" s="1104" t="n">
        <v>11289</v>
      </c>
      <c r="H37" s="1105">
        <f>F37+G37</f>
        <v/>
      </c>
      <c r="I37" s="1104" t="n">
        <v>9127</v>
      </c>
      <c r="J37" s="1104" t="n">
        <v>18060</v>
      </c>
      <c r="K37" s="1104">
        <f>I37+J37</f>
        <v/>
      </c>
      <c r="L37" s="1104" t="n">
        <v>18482</v>
      </c>
      <c r="M37" s="1104">
        <f>K37+L37</f>
        <v/>
      </c>
      <c r="N37" s="1104" t="n">
        <v>9966</v>
      </c>
      <c r="O37" s="1105">
        <f>M37+N37</f>
        <v/>
      </c>
      <c r="P37" s="1104" t="n">
        <v>11477</v>
      </c>
      <c r="Q37" s="1104" t="n">
        <v>4333</v>
      </c>
      <c r="R37" s="1104">
        <f>P37+Q37</f>
        <v/>
      </c>
      <c r="S37" s="1104" t="n">
        <v>437</v>
      </c>
      <c r="T37" s="1104">
        <f>R37+S37</f>
        <v/>
      </c>
      <c r="U37" s="1104" t="n">
        <v>12964</v>
      </c>
      <c r="V37" s="1105">
        <f>61177+18485</f>
        <v/>
      </c>
      <c r="W37" s="1104" t="n">
        <v>1991</v>
      </c>
      <c r="X37" s="1104" t="n">
        <v>2216</v>
      </c>
      <c r="Y37" s="1104">
        <f>W37+X37</f>
        <v/>
      </c>
      <c r="Z37" s="1104" t="n">
        <v>1787</v>
      </c>
      <c r="AA37" s="1104">
        <f>Y37+Z37</f>
        <v/>
      </c>
      <c r="AB37" s="1106" t="n">
        <v>2000</v>
      </c>
      <c r="AC37" s="1107">
        <f>AA37+AB37</f>
        <v/>
      </c>
      <c r="AD37" s="1112" t="n">
        <v>25000</v>
      </c>
      <c r="AE37" s="1112" t="n">
        <v>30000</v>
      </c>
      <c r="AF37" s="1112" t="n">
        <v>37000</v>
      </c>
      <c r="AG37" s="1112" t="n">
        <v>43000</v>
      </c>
    </row>
    <row r="38" ht="17.25" customHeight="1" s="850">
      <c r="A38" s="1100" t="inlineStr">
        <is>
          <t>PBT &amp; Exceptional Item</t>
        </is>
      </c>
      <c r="B38" s="1098">
        <f>B36+B37</f>
        <v/>
      </c>
      <c r="C38" s="1098">
        <f>C36+C37</f>
        <v/>
      </c>
      <c r="D38" s="1098">
        <f>D36+D37</f>
        <v/>
      </c>
      <c r="E38" s="1098">
        <f>E36+E37</f>
        <v/>
      </c>
      <c r="F38" s="1098">
        <f>F36+F37</f>
        <v/>
      </c>
      <c r="G38" s="1098">
        <f>G36+G37</f>
        <v/>
      </c>
      <c r="H38" s="1100">
        <f>H36+H37</f>
        <v/>
      </c>
      <c r="I38" s="1098">
        <f>I36+I37</f>
        <v/>
      </c>
      <c r="J38" s="1098">
        <f>J36+J37</f>
        <v/>
      </c>
      <c r="K38" s="1098">
        <f>K36+K37</f>
        <v/>
      </c>
      <c r="L38" s="1098">
        <f>L36+L37</f>
        <v/>
      </c>
      <c r="M38" s="1098">
        <f>M36+M37</f>
        <v/>
      </c>
      <c r="N38" s="1098">
        <f>N36+N37</f>
        <v/>
      </c>
      <c r="O38" s="1100">
        <f>O36+O37</f>
        <v/>
      </c>
      <c r="P38" s="1098">
        <f>P36+P37</f>
        <v/>
      </c>
      <c r="Q38" s="1098">
        <f>Q36+Q37</f>
        <v/>
      </c>
      <c r="R38" s="1098">
        <f>R36+R37</f>
        <v/>
      </c>
      <c r="S38" s="1098">
        <f>S36+S37</f>
        <v/>
      </c>
      <c r="T38" s="1098">
        <f>T36+T37</f>
        <v/>
      </c>
      <c r="U38" s="1098">
        <f>U36+U37</f>
        <v/>
      </c>
      <c r="V38" s="1100">
        <f>V36+V37</f>
        <v/>
      </c>
      <c r="W38" s="1098">
        <f>W36+W37</f>
        <v/>
      </c>
      <c r="X38" s="1098">
        <f>X36+X37</f>
        <v/>
      </c>
      <c r="Y38" s="1098">
        <f>Y36+Y37</f>
        <v/>
      </c>
      <c r="Z38" s="1098">
        <f>Z36+Z37</f>
        <v/>
      </c>
      <c r="AA38" s="1098">
        <f>AA36+AA37</f>
        <v/>
      </c>
      <c r="AB38" s="1098">
        <f>AB36+AB37</f>
        <v/>
      </c>
      <c r="AC38" s="1100">
        <f>AC36+AC37</f>
        <v/>
      </c>
      <c r="AD38" s="1101">
        <f>AD36+AD37</f>
        <v/>
      </c>
      <c r="AE38" s="1101">
        <f>AE36+AE37</f>
        <v/>
      </c>
      <c r="AF38" s="1101">
        <f>AF36+AF37</f>
        <v/>
      </c>
      <c r="AG38" s="1101">
        <f>AG36+AG37</f>
        <v/>
      </c>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f>K39+L39</f>
        <v/>
      </c>
      <c r="N39" s="1104" t="n">
        <v>0</v>
      </c>
      <c r="O39" s="1105" t="n">
        <v>0</v>
      </c>
      <c r="P39" s="1106" t="n"/>
      <c r="Q39" s="1106" t="n"/>
      <c r="R39" s="1104">
        <f>P39+Q39</f>
        <v/>
      </c>
      <c r="S39" s="1104" t="n"/>
      <c r="T39" s="1104">
        <f>R39+S39</f>
        <v/>
      </c>
      <c r="U39" s="1104" t="n"/>
      <c r="V39" s="1105" t="n">
        <v>0</v>
      </c>
      <c r="W39" s="1106" t="n">
        <v>0</v>
      </c>
      <c r="X39" s="1106" t="n">
        <v>0</v>
      </c>
      <c r="Y39" s="1106">
        <f>W39+X39</f>
        <v/>
      </c>
      <c r="Z39" s="1104" t="n"/>
      <c r="AA39" s="1104">
        <f>Y39+Z39</f>
        <v/>
      </c>
      <c r="AB39" s="1106" t="n"/>
      <c r="AC39" s="1107" t="n"/>
      <c r="AD39" s="1112" t="n">
        <v>0</v>
      </c>
      <c r="AE39" s="1112" t="n">
        <v>0</v>
      </c>
      <c r="AF39" s="1112" t="n">
        <v>0</v>
      </c>
      <c r="AG39" s="1112" t="n">
        <v>0</v>
      </c>
    </row>
    <row r="40" ht="17.25" customHeight="1" s="850">
      <c r="A40" s="1100" t="inlineStr">
        <is>
          <t>Profit Before Tax</t>
        </is>
      </c>
      <c r="B40" s="1098">
        <f>B38+B39</f>
        <v/>
      </c>
      <c r="C40" s="1098">
        <f>C38+C39</f>
        <v/>
      </c>
      <c r="D40" s="1098">
        <f>D38+D39</f>
        <v/>
      </c>
      <c r="E40" s="1098">
        <f>E38+E39</f>
        <v/>
      </c>
      <c r="F40" s="1098">
        <f>F38+F39</f>
        <v/>
      </c>
      <c r="G40" s="1098">
        <f>G38+G39</f>
        <v/>
      </c>
      <c r="H40" s="1100">
        <f>H38+H39</f>
        <v/>
      </c>
      <c r="I40" s="1098">
        <f>I38+I39</f>
        <v/>
      </c>
      <c r="J40" s="1098">
        <f>J38+J39</f>
        <v/>
      </c>
      <c r="K40" s="1098">
        <f>K38+K39</f>
        <v/>
      </c>
      <c r="L40" s="1098">
        <f>L38+L39</f>
        <v/>
      </c>
      <c r="M40" s="1098">
        <f>M38+M39</f>
        <v/>
      </c>
      <c r="N40" s="1098">
        <f>N38+N39</f>
        <v/>
      </c>
      <c r="O40" s="1100">
        <f>O38+O39</f>
        <v/>
      </c>
      <c r="P40" s="1098">
        <f>P38-P39</f>
        <v/>
      </c>
      <c r="Q40" s="1098">
        <f>Q38-Q39</f>
        <v/>
      </c>
      <c r="R40" s="1098">
        <f>R38-R39</f>
        <v/>
      </c>
      <c r="S40" s="1098">
        <f>S38-S39</f>
        <v/>
      </c>
      <c r="T40" s="1098">
        <f>T38-T39</f>
        <v/>
      </c>
      <c r="U40" s="1098">
        <f>U38-U39</f>
        <v/>
      </c>
      <c r="V40" s="1100">
        <f>V38-V39</f>
        <v/>
      </c>
      <c r="W40" s="1098">
        <f>W38-W39</f>
        <v/>
      </c>
      <c r="X40" s="1098">
        <f>X38-X39</f>
        <v/>
      </c>
      <c r="Y40" s="1098">
        <f>Y38-Y39</f>
        <v/>
      </c>
      <c r="Z40" s="1098">
        <f>Z38-Z39</f>
        <v/>
      </c>
      <c r="AA40" s="1098">
        <f>AA38-AA39</f>
        <v/>
      </c>
      <c r="AB40" s="1098">
        <f>AB38-AB39</f>
        <v/>
      </c>
      <c r="AC40" s="1100">
        <f>AC38-AC39</f>
        <v/>
      </c>
      <c r="AD40" s="1101">
        <f>AD38-AD39</f>
        <v/>
      </c>
      <c r="AE40" s="1101">
        <f>AE38-AE39</f>
        <v/>
      </c>
      <c r="AF40" s="1101">
        <f>AF38-AF39</f>
        <v/>
      </c>
      <c r="AG40" s="1101">
        <f>AG38-AG39</f>
        <v/>
      </c>
    </row>
    <row r="41" ht="16.5" customHeight="1" s="850">
      <c r="A41" s="1103" t="inlineStr">
        <is>
          <t>Current Tax</t>
        </is>
      </c>
      <c r="B41" s="1104" t="n">
        <v>-26000</v>
      </c>
      <c r="C41" s="1104" t="n">
        <v>13539</v>
      </c>
      <c r="D41" s="1104">
        <f>B41+C41</f>
        <v/>
      </c>
      <c r="E41" s="1104" t="n">
        <v>-21238</v>
      </c>
      <c r="F41" s="1104">
        <f>D41+E41</f>
        <v/>
      </c>
      <c r="G41" s="1104" t="n">
        <v>13466</v>
      </c>
      <c r="H41" s="1105" t="n">
        <v>47311</v>
      </c>
      <c r="I41" s="1104" t="n">
        <v>27547</v>
      </c>
      <c r="J41" s="1104" t="n">
        <v>29708</v>
      </c>
      <c r="K41" s="1104">
        <f>I41+J41</f>
        <v/>
      </c>
      <c r="L41" s="1104" t="n">
        <v>24150</v>
      </c>
      <c r="M41" s="1104">
        <f>K41+L41</f>
        <v/>
      </c>
      <c r="N41" s="1104" t="n">
        <v>43093</v>
      </c>
      <c r="O41" s="1105" t="n">
        <v>125354</v>
      </c>
      <c r="P41" s="1104" t="n">
        <v>44394</v>
      </c>
      <c r="Q41" s="1106" t="n">
        <v>48928</v>
      </c>
      <c r="R41" s="1104">
        <f>P41+Q41</f>
        <v/>
      </c>
      <c r="S41" s="1104" t="n">
        <v>7561</v>
      </c>
      <c r="T41" s="1104">
        <f>R41+S41</f>
        <v/>
      </c>
      <c r="U41" s="1104" t="n">
        <v>37752</v>
      </c>
      <c r="V41" s="1105" t="n">
        <v>140032</v>
      </c>
      <c r="W41" s="1104" t="n">
        <v>33982</v>
      </c>
      <c r="X41" s="1104" t="n">
        <v>30940</v>
      </c>
      <c r="Y41" s="1104">
        <f>W41+X41</f>
        <v/>
      </c>
      <c r="Z41" s="1104" t="n">
        <v>37111</v>
      </c>
      <c r="AA41" s="1104">
        <f>Y41+Z41</f>
        <v/>
      </c>
      <c r="AB41" s="1104" t="n">
        <v>46236.3</v>
      </c>
      <c r="AC41" s="1105">
        <f>AA41+AB41</f>
        <v/>
      </c>
      <c r="AD41" s="1108">
        <f>AD40*33%</f>
        <v/>
      </c>
      <c r="AE41" s="1108">
        <f>AE40*33%</f>
        <v/>
      </c>
      <c r="AF41" s="1108">
        <f>AF40*33%</f>
        <v/>
      </c>
      <c r="AG41" s="1108">
        <f>AG40*33%</f>
        <v/>
      </c>
    </row>
    <row r="42" ht="16.5" customHeight="1" s="850">
      <c r="A42" s="1109" t="inlineStr">
        <is>
          <t>Deferred Tax</t>
        </is>
      </c>
      <c r="B42" s="1104" t="n">
        <v>0</v>
      </c>
      <c r="C42" s="1104" t="n">
        <v>0</v>
      </c>
      <c r="D42" s="1104">
        <f>B42+C42</f>
        <v/>
      </c>
      <c r="E42" s="1104" t="n">
        <v>0</v>
      </c>
      <c r="F42" s="1104">
        <f>D42+E42</f>
        <v/>
      </c>
      <c r="G42" s="1104" t="n">
        <v>0</v>
      </c>
      <c r="H42" s="1105">
        <f>F42+G42</f>
        <v/>
      </c>
      <c r="I42" s="1104" t="n">
        <v>514</v>
      </c>
      <c r="J42" s="1104" t="n">
        <v>1684</v>
      </c>
      <c r="K42" s="1104">
        <f>I42+J42</f>
        <v/>
      </c>
      <c r="L42" s="1104" t="n">
        <v>3463</v>
      </c>
      <c r="M42" s="1104">
        <f>K42+L42</f>
        <v/>
      </c>
      <c r="N42" s="1104" t="n">
        <v>-5760</v>
      </c>
      <c r="O42" s="1105" t="n">
        <v>0</v>
      </c>
      <c r="P42" s="1104" t="n">
        <v>999</v>
      </c>
      <c r="Q42" s="1104" t="n">
        <v>-1156</v>
      </c>
      <c r="R42" s="1104">
        <f>P42+Q42</f>
        <v/>
      </c>
      <c r="S42" s="1104" t="n">
        <v>1372</v>
      </c>
      <c r="T42" s="1104">
        <f>R42+S42</f>
        <v/>
      </c>
      <c r="U42" s="1104" t="n">
        <v>591</v>
      </c>
      <c r="V42" s="1105" t="n">
        <v>0</v>
      </c>
      <c r="W42" s="1104" t="n">
        <v>-865</v>
      </c>
      <c r="X42" s="1104" t="n">
        <v>412</v>
      </c>
      <c r="Y42" s="1104">
        <f>W42+X42</f>
        <v/>
      </c>
      <c r="Z42" s="1104" t="n">
        <v>2720</v>
      </c>
      <c r="AA42" s="1104">
        <f>Y42+Z42</f>
        <v/>
      </c>
      <c r="AB42" s="1104" t="n">
        <v>2720</v>
      </c>
      <c r="AC42" s="1105">
        <f>AA42+AB42</f>
        <v/>
      </c>
      <c r="AD42" s="1112" t="n">
        <v>0</v>
      </c>
      <c r="AE42" s="1112" t="n">
        <v>0</v>
      </c>
      <c r="AF42" s="1112" t="n">
        <v>0</v>
      </c>
      <c r="AG42" s="1112" t="n">
        <v>0</v>
      </c>
    </row>
    <row r="43" ht="17.25" customHeight="1" s="850">
      <c r="A43" s="1109" t="inlineStr">
        <is>
          <t>Fringe Benefit Tax</t>
        </is>
      </c>
      <c r="B43" s="1104" t="n">
        <v>0</v>
      </c>
      <c r="C43" s="1104" t="n">
        <v>0</v>
      </c>
      <c r="D43" s="1104">
        <f>B43+C43</f>
        <v/>
      </c>
      <c r="E43" s="1104" t="n">
        <v>0</v>
      </c>
      <c r="F43" s="1104">
        <f>D43+E43</f>
        <v/>
      </c>
      <c r="G43" s="1104" t="n">
        <v>0</v>
      </c>
      <c r="H43" s="1105">
        <f>F43+G43</f>
        <v/>
      </c>
      <c r="I43" s="1104" t="n">
        <v>-1404</v>
      </c>
      <c r="J43" s="1104" t="n">
        <v>320</v>
      </c>
      <c r="K43" s="1104">
        <f>I43+J43</f>
        <v/>
      </c>
      <c r="L43" s="1104" t="n">
        <v>139</v>
      </c>
      <c r="M43" s="1104">
        <f>K43+L43</f>
        <v/>
      </c>
      <c r="N43" s="1104" t="n">
        <v>191</v>
      </c>
      <c r="O43" s="1105" t="n">
        <v>0</v>
      </c>
      <c r="P43" s="1104" t="n">
        <v>142</v>
      </c>
      <c r="Q43" s="1104" t="n">
        <v>169</v>
      </c>
      <c r="R43" s="1104">
        <f>P43+Q43</f>
        <v/>
      </c>
      <c r="S43" s="1104" t="n">
        <v>254</v>
      </c>
      <c r="T43" s="1104">
        <f>R43+S43</f>
        <v/>
      </c>
      <c r="U43" s="1104" t="n">
        <v>208</v>
      </c>
      <c r="V43" s="1105" t="n">
        <v>0</v>
      </c>
      <c r="W43" s="1104" t="n">
        <v>0</v>
      </c>
      <c r="X43" s="1104" t="n"/>
      <c r="Y43" s="1104">
        <f>W43+X43</f>
        <v/>
      </c>
      <c r="Z43" s="1104" t="n"/>
      <c r="AA43" s="1104">
        <f>Y43+Z43</f>
        <v/>
      </c>
      <c r="AB43" s="1106" t="n">
        <v>0</v>
      </c>
      <c r="AC43" s="1107" t="n"/>
      <c r="AD43" s="1112" t="n">
        <v>0</v>
      </c>
      <c r="AE43" s="1112" t="n">
        <v>0</v>
      </c>
      <c r="AF43" s="1112" t="n">
        <v>0</v>
      </c>
      <c r="AG43" s="1112" t="n">
        <v>0</v>
      </c>
    </row>
    <row r="44" ht="17.25" customHeight="1" s="850">
      <c r="A44" s="1100" t="inlineStr">
        <is>
          <t>Profit After Tax</t>
        </is>
      </c>
      <c r="B44" s="1115">
        <f>B40-B41-B42-B43</f>
        <v/>
      </c>
      <c r="C44" s="1115">
        <f>C40-C41-C42-C43</f>
        <v/>
      </c>
      <c r="D44" s="1115">
        <f>D40-D41-D42-D43</f>
        <v/>
      </c>
      <c r="E44" s="1115">
        <f>E40-E41-E42-E43</f>
        <v/>
      </c>
      <c r="F44" s="1115">
        <f>F40-F41-F42-F43</f>
        <v/>
      </c>
      <c r="G44" s="1115">
        <f>G40-G41-G42-G43</f>
        <v/>
      </c>
      <c r="H44" s="1116">
        <f>H40-H41-H42-H43</f>
        <v/>
      </c>
      <c r="I44" s="1115">
        <f>I40-I41-I42-I43</f>
        <v/>
      </c>
      <c r="J44" s="1115">
        <f>J40-J41-J42-J43</f>
        <v/>
      </c>
      <c r="K44" s="1115">
        <f>K40-K41-K42-K43</f>
        <v/>
      </c>
      <c r="L44" s="1115">
        <f>L40-L41-L42-L43</f>
        <v/>
      </c>
      <c r="M44" s="1115">
        <f>M40-M41-M42-M43</f>
        <v/>
      </c>
      <c r="N44" s="1115">
        <f>N40-N41-N42-N43</f>
        <v/>
      </c>
      <c r="O44" s="1116">
        <f>O40-O41-O42-O43</f>
        <v/>
      </c>
      <c r="P44" s="1115">
        <f>P40-P41-P42-P43</f>
        <v/>
      </c>
      <c r="Q44" s="1115">
        <f>Q40-Q41-Q42-Q43</f>
        <v/>
      </c>
      <c r="R44" s="1115">
        <f>R40-R41-R42-R43</f>
        <v/>
      </c>
      <c r="S44" s="1115">
        <f>S40-S41-S42-S43</f>
        <v/>
      </c>
      <c r="T44" s="1115">
        <f>T40-T41-T42-T43</f>
        <v/>
      </c>
      <c r="U44" s="1115">
        <f>U40-U41-U42-U43</f>
        <v/>
      </c>
      <c r="V44" s="1116">
        <f>V40-V41-V42-V43</f>
        <v/>
      </c>
      <c r="W44" s="1115">
        <f>W40-W41-W42-W43</f>
        <v/>
      </c>
      <c r="X44" s="1115">
        <f>X40-X41-X42-X43</f>
        <v/>
      </c>
      <c r="Y44" s="1115">
        <f>Y40-Y41-Y42-Y43</f>
        <v/>
      </c>
      <c r="Z44" s="1115">
        <f>Z40-Z41-Z42-Z43</f>
        <v/>
      </c>
      <c r="AA44" s="1115">
        <f>AA40-AA41-AA42-AA43</f>
        <v/>
      </c>
      <c r="AB44" s="1115">
        <f>AB40-AB41-AB42-AB43</f>
        <v/>
      </c>
      <c r="AC44" s="1116">
        <f>AC40-AC41-AC42-AC43</f>
        <v/>
      </c>
      <c r="AD44" s="1116">
        <f>AD40-AD41-AD42-AD43</f>
        <v/>
      </c>
      <c r="AE44" s="1116">
        <f>AE40-AE41-AE42-AE43</f>
        <v/>
      </c>
      <c r="AF44" s="1116">
        <f>AF40-AF41-AF42-AF43</f>
        <v/>
      </c>
      <c r="AG44" s="1116">
        <f>AG40-AG41-AG42-AG43</f>
        <v/>
      </c>
    </row>
    <row r="45" ht="17.25" customHeight="1" s="850">
      <c r="A45" s="1100" t="inlineStr">
        <is>
          <t>NET PROFIT</t>
        </is>
      </c>
      <c r="B45" s="1115">
        <f>B44</f>
        <v/>
      </c>
      <c r="C45" s="1115">
        <f>C44</f>
        <v/>
      </c>
      <c r="D45" s="1115">
        <f>D44</f>
        <v/>
      </c>
      <c r="E45" s="1115">
        <f>E44</f>
        <v/>
      </c>
      <c r="F45" s="1115">
        <f>F44</f>
        <v/>
      </c>
      <c r="G45" s="1115">
        <f>G44</f>
        <v/>
      </c>
      <c r="H45" s="1117">
        <f>H44</f>
        <v/>
      </c>
      <c r="I45" s="1115">
        <f>I44</f>
        <v/>
      </c>
      <c r="J45" s="1115">
        <f>J44</f>
        <v/>
      </c>
      <c r="K45" s="1115">
        <f>K44</f>
        <v/>
      </c>
      <c r="L45" s="1115">
        <f>L44</f>
        <v/>
      </c>
      <c r="M45" s="1115">
        <f>M44</f>
        <v/>
      </c>
      <c r="N45" s="1115">
        <f>N44</f>
        <v/>
      </c>
      <c r="O45" s="1117">
        <f>O44</f>
        <v/>
      </c>
      <c r="P45" s="1115">
        <f>P44</f>
        <v/>
      </c>
      <c r="Q45" s="1115">
        <f>Q44</f>
        <v/>
      </c>
      <c r="R45" s="1115">
        <f>R44</f>
        <v/>
      </c>
      <c r="S45" s="1115">
        <f>S44</f>
        <v/>
      </c>
      <c r="T45" s="1115">
        <f>T44</f>
        <v/>
      </c>
      <c r="U45" s="1115">
        <f>U44</f>
        <v/>
      </c>
      <c r="V45" s="1117">
        <f>V44</f>
        <v/>
      </c>
      <c r="W45" s="1115">
        <f>W44</f>
        <v/>
      </c>
      <c r="X45" s="1115">
        <f>X44</f>
        <v/>
      </c>
      <c r="Y45" s="1115">
        <f>Y44</f>
        <v/>
      </c>
      <c r="Z45" s="1115">
        <f>Z44</f>
        <v/>
      </c>
      <c r="AA45" s="1115">
        <f>AA44</f>
        <v/>
      </c>
      <c r="AB45" s="1115">
        <f>AB44</f>
        <v/>
      </c>
      <c r="AC45" s="1117">
        <f>AC44</f>
        <v/>
      </c>
      <c r="AD45" s="1117">
        <f>AD44</f>
        <v/>
      </c>
      <c r="AE45" s="1117">
        <f>AE44</f>
        <v/>
      </c>
      <c r="AF45" s="1117">
        <f>AF44</f>
        <v/>
      </c>
      <c r="AG45" s="1117">
        <f>AG44</f>
        <v/>
      </c>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f>B46/B45</f>
        <v/>
      </c>
      <c r="C47" s="1119">
        <f>C37/C44</f>
        <v/>
      </c>
      <c r="D47" s="1119">
        <f>D37/D44</f>
        <v/>
      </c>
      <c r="E47" s="1119">
        <f>E37/E44</f>
        <v/>
      </c>
      <c r="F47" s="1119">
        <f>F37/F44</f>
        <v/>
      </c>
      <c r="G47" s="1119">
        <f>G37/G44</f>
        <v/>
      </c>
      <c r="H47" s="1120">
        <f>H37/H44</f>
        <v/>
      </c>
      <c r="I47" s="1119">
        <f>I37/I44</f>
        <v/>
      </c>
      <c r="J47" s="1119">
        <f>J37/J44</f>
        <v/>
      </c>
      <c r="K47" s="1119">
        <f>K37/K44</f>
        <v/>
      </c>
      <c r="L47" s="1119">
        <f>L37/L44</f>
        <v/>
      </c>
      <c r="M47" s="1119">
        <f>M37/M44</f>
        <v/>
      </c>
      <c r="N47" s="1119">
        <f>N37/N44</f>
        <v/>
      </c>
      <c r="O47" s="1120">
        <f>O37/O44</f>
        <v/>
      </c>
      <c r="P47" s="1119">
        <f>P37/P44</f>
        <v/>
      </c>
      <c r="Q47" s="1119">
        <f>Q37/Q44</f>
        <v/>
      </c>
      <c r="R47" s="1119">
        <f>R37/R44</f>
        <v/>
      </c>
      <c r="S47" s="1119">
        <f>S37/S44</f>
        <v/>
      </c>
      <c r="T47" s="1119">
        <f>T37/T44</f>
        <v/>
      </c>
      <c r="U47" s="1119">
        <f>U37/U44</f>
        <v/>
      </c>
      <c r="V47" s="1120">
        <f>V37/V44</f>
        <v/>
      </c>
      <c r="W47" s="1119">
        <f>W37/W44</f>
        <v/>
      </c>
      <c r="X47" s="1119">
        <f>X37/X44</f>
        <v/>
      </c>
      <c r="Y47" s="1119">
        <f>Y37/Y44</f>
        <v/>
      </c>
      <c r="Z47" s="1119">
        <f>Z37/Z44</f>
        <v/>
      </c>
      <c r="AA47" s="1119">
        <f>AA37/AA44</f>
        <v/>
      </c>
      <c r="AB47" s="1119">
        <f>AB37/AB44</f>
        <v/>
      </c>
      <c r="AC47" s="1120">
        <f>AC37/AC44</f>
        <v/>
      </c>
      <c r="AD47" s="1120">
        <f>AD37/AD44</f>
        <v/>
      </c>
      <c r="AE47" s="1120">
        <f>AE37/AE44</f>
        <v/>
      </c>
      <c r="AF47" s="1120">
        <f>AF37/AF44</f>
        <v/>
      </c>
      <c r="AG47" s="1120">
        <f>AG37/AG44</f>
        <v/>
      </c>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f>'Ratio Analysis'!I23</f>
        <v/>
      </c>
      <c r="J58" s="1142">
        <f>'Ratio Analysis'!J23</f>
        <v/>
      </c>
    </row>
    <row r="61" ht="15.75" customHeight="1" s="850">
      <c r="A61" s="1124" t="inlineStr">
        <is>
          <t>Valuation Metrics</t>
        </is>
      </c>
    </row>
    <row r="62" ht="15.75" customHeight="1" s="850"/>
    <row r="63" ht="15" customHeight="1" s="850">
      <c r="A63" s="1132" t="inlineStr">
        <is>
          <t>Gross Profit Margin(%)</t>
        </is>
      </c>
      <c r="B63" s="1143" t="n"/>
      <c r="C63" s="1144">
        <f>'Ratio Analysis'!C13</f>
        <v/>
      </c>
      <c r="D63" s="1144">
        <f>'Ratio Analysis'!D13</f>
        <v/>
      </c>
      <c r="E63" s="1144">
        <f>'Ratio Analysis'!E13</f>
        <v/>
      </c>
      <c r="F63" s="1144">
        <f>'Ratio Analysis'!F13</f>
        <v/>
      </c>
      <c r="G63" s="1144">
        <f>'Ratio Analysis'!G13</f>
        <v/>
      </c>
      <c r="H63" s="1144">
        <f>'Ratio Analysis'!H13</f>
        <v/>
      </c>
      <c r="I63" s="1144">
        <f>'Ratio Analysis'!I13</f>
        <v/>
      </c>
      <c r="J63" s="1145">
        <f>'Ratio Analysis'!J13</f>
        <v/>
      </c>
    </row>
    <row r="64" ht="15" customHeight="1" s="850">
      <c r="A64" s="1146" t="inlineStr">
        <is>
          <t>EBITDA Margin (%)</t>
        </is>
      </c>
      <c r="B64" s="933" t="n"/>
      <c r="C64" s="1147">
        <f>'INCOME STATEMENT'!H6/'INCOME STATEMENT'!H10</f>
        <v/>
      </c>
      <c r="D64" s="1147">
        <f>'INCOME STATEMENT'!O6/'INCOME STATEMENT'!O10</f>
        <v/>
      </c>
      <c r="E64" s="1147">
        <f>'INCOME STATEMENT'!V6/'INCOME STATEMENT'!V10</f>
        <v/>
      </c>
      <c r="F64" s="1147">
        <f>'INCOME STATEMENT'!AC6/'INCOME STATEMENT'!AC10</f>
        <v/>
      </c>
      <c r="G64" s="1147">
        <f>'INCOME STATEMENT'!AD6/'INCOME STATEMENT'!AD10</f>
        <v/>
      </c>
      <c r="H64" s="1147">
        <f>'INCOME STATEMENT'!AE6/'INCOME STATEMENT'!AE10</f>
        <v/>
      </c>
      <c r="I64" s="1147">
        <f>'INCOME STATEMENT'!AF6/'INCOME STATEMENT'!AF10</f>
        <v/>
      </c>
      <c r="J64" s="1148">
        <f>'INCOME STATEMENT'!AG6/'INCOME STATEMENT'!AG10</f>
        <v/>
      </c>
    </row>
    <row r="65" ht="15" customHeight="1" s="850">
      <c r="A65" s="1146" t="inlineStr">
        <is>
          <t>Net Profit Margin (%)</t>
        </is>
      </c>
      <c r="B65" s="933" t="n"/>
      <c r="C65" s="1149">
        <f>'Ratio Analysis'!C14</f>
        <v/>
      </c>
      <c r="D65" s="1149">
        <f>'Ratio Analysis'!D14</f>
        <v/>
      </c>
      <c r="E65" s="1149">
        <f>'Ratio Analysis'!E14</f>
        <v/>
      </c>
      <c r="F65" s="1149">
        <f>'Ratio Analysis'!F14</f>
        <v/>
      </c>
      <c r="G65" s="1149">
        <f>'Ratio Analysis'!G14</f>
        <v/>
      </c>
      <c r="H65" s="1149">
        <f>'Ratio Analysis'!H14</f>
        <v/>
      </c>
      <c r="I65" s="1149">
        <f>'Ratio Analysis'!I14</f>
        <v/>
      </c>
      <c r="J65" s="1150">
        <f>'Ratio Analysis'!J14</f>
        <v/>
      </c>
    </row>
    <row r="66" ht="15.75" customHeight="1" s="850">
      <c r="A66" s="1151" t="inlineStr">
        <is>
          <t>Interest Cover</t>
        </is>
      </c>
      <c r="B66" s="1152" t="n"/>
      <c r="C66" s="1153">
        <f>'Ratio Analysis'!C19</f>
        <v/>
      </c>
      <c r="D66" s="1153">
        <f>'Ratio Analysis'!D19</f>
        <v/>
      </c>
      <c r="E66" s="1153">
        <f>'Ratio Analysis'!E19</f>
        <v/>
      </c>
      <c r="F66" s="1153">
        <f>'Ratio Analysis'!F19</f>
        <v/>
      </c>
      <c r="G66" s="1153">
        <f>'Ratio Analysis'!G19</f>
        <v/>
      </c>
      <c r="H66" s="1153">
        <f>'Ratio Analysis'!H19</f>
        <v/>
      </c>
      <c r="I66" s="1153">
        <f>'Ratio Analysis'!I19</f>
        <v/>
      </c>
      <c r="J66" s="1154">
        <f>'Ratio Analysis'!J19</f>
        <v/>
      </c>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f>SUM(B8:E8)</f>
        <v/>
      </c>
      <c r="G8" s="1008" t="n">
        <v>30067.23</v>
      </c>
      <c r="H8" s="1008" t="n">
        <v>32486.93</v>
      </c>
      <c r="I8" s="1010" t="n">
        <v>31120.1</v>
      </c>
      <c r="J8" s="1008" t="n">
        <v>33801.6</v>
      </c>
      <c r="K8" s="1009">
        <f>SUM(G8:J8)</f>
        <v/>
      </c>
      <c r="L8" s="1010" t="n">
        <v>41192.8</v>
      </c>
      <c r="M8" s="1010" t="n">
        <v>44953.8</v>
      </c>
      <c r="N8" s="1010" t="n">
        <v>49507.4</v>
      </c>
      <c r="O8" s="1010" t="n">
        <v>47429.6</v>
      </c>
      <c r="P8" s="1011">
        <f>SUM(L8:O8)</f>
        <v/>
      </c>
      <c r="Q8" s="1012" t="n">
        <v>46417.1</v>
      </c>
      <c r="R8" s="1012" t="n">
        <v>49691.3</v>
      </c>
      <c r="S8" s="1012" t="n">
        <v>45274.4</v>
      </c>
      <c r="T8" s="1013">
        <f>U8-(Q8+R8+S8)</f>
        <v/>
      </c>
      <c r="U8" s="1166">
        <f>(U24+1)*P8</f>
        <v/>
      </c>
      <c r="V8" s="1167">
        <f>(V24+1)*U8</f>
        <v/>
      </c>
      <c r="W8" s="1168">
        <f>(W24+1)*V8</f>
        <v/>
      </c>
      <c r="X8" s="1168">
        <f>(X24+1)*W8</f>
        <v/>
      </c>
      <c r="Y8" s="1168">
        <f>(Y24+1)*X8</f>
        <v/>
      </c>
    </row>
    <row r="9" ht="12" customFormat="1" customHeight="1" s="970">
      <c r="A9" s="1006" t="inlineStr">
        <is>
          <t>Transmission Services - Natural Gas</t>
        </is>
      </c>
      <c r="B9" s="1017" t="n">
        <v>5008.51</v>
      </c>
      <c r="C9" s="1018" t="n">
        <v>4971.7</v>
      </c>
      <c r="D9" s="1018" t="n">
        <v>6412.5</v>
      </c>
      <c r="E9" s="1019" t="n">
        <v>4761.8</v>
      </c>
      <c r="F9" s="1020">
        <f>SUM(B9:E9)</f>
        <v/>
      </c>
      <c r="G9" s="1019" t="n">
        <v>4894.67</v>
      </c>
      <c r="H9" s="1019" t="n">
        <v>5288.57</v>
      </c>
      <c r="I9" s="1019" t="n">
        <v>6021.6</v>
      </c>
      <c r="J9" s="1019" t="n">
        <v>5761.5</v>
      </c>
      <c r="K9" s="1020">
        <f>SUM(G9:J9)</f>
        <v/>
      </c>
      <c r="L9" s="1019" t="n">
        <v>6213.8</v>
      </c>
      <c r="M9" s="1019" t="n">
        <v>6215</v>
      </c>
      <c r="N9" s="1019" t="n">
        <v>6140.9</v>
      </c>
      <c r="O9" s="1010" t="n">
        <v>6511</v>
      </c>
      <c r="P9" s="1020">
        <f>SUM(L9:O9)</f>
        <v/>
      </c>
      <c r="Q9" s="1010" t="n">
        <v>7331.5</v>
      </c>
      <c r="R9" s="1019" t="n">
        <v>8429.5</v>
      </c>
      <c r="S9" s="1019" t="n">
        <v>8527.799999999999</v>
      </c>
      <c r="T9" s="1021">
        <f>U9-(Q9+R9+S9)</f>
        <v/>
      </c>
      <c r="U9" s="1169">
        <f>(U25+1)*P9</f>
        <v/>
      </c>
      <c r="V9" s="1170">
        <f>(V25+1)*U9</f>
        <v/>
      </c>
      <c r="W9" s="1171">
        <f>(W25+1)*V9</f>
        <v/>
      </c>
      <c r="X9" s="1171">
        <f>(X25+1)*W9</f>
        <v/>
      </c>
      <c r="Y9" s="1171">
        <f>(Y25+1)*X9</f>
        <v/>
      </c>
    </row>
    <row r="10" ht="12" customFormat="1" customHeight="1" s="970">
      <c r="A10" s="1006" t="inlineStr">
        <is>
          <t>Petrochemicals</t>
        </is>
      </c>
      <c r="B10" s="1017" t="n">
        <v>5502.8</v>
      </c>
      <c r="C10" s="1018" t="n">
        <v>5455.6</v>
      </c>
      <c r="D10" s="1018" t="n">
        <v>7306</v>
      </c>
      <c r="E10" s="1019" t="n">
        <v>7437.2</v>
      </c>
      <c r="F10" s="1020">
        <f>SUM(B10:E10)</f>
        <v/>
      </c>
      <c r="G10" s="1019" t="n">
        <v>7783.9</v>
      </c>
      <c r="H10" s="1019" t="n">
        <v>6402.2</v>
      </c>
      <c r="I10" s="1019" t="n">
        <v>5378.1</v>
      </c>
      <c r="J10" s="1019" t="n">
        <v>7467</v>
      </c>
      <c r="K10" s="1020">
        <f>SUM(G10:J10)</f>
        <v/>
      </c>
      <c r="L10" s="1019" t="n">
        <v>8007.9</v>
      </c>
      <c r="M10" s="1019" t="n">
        <v>6287.3</v>
      </c>
      <c r="N10" s="1019" t="n">
        <v>6226.8</v>
      </c>
      <c r="O10" s="1019" t="n">
        <v>6813.3</v>
      </c>
      <c r="P10" s="1020">
        <f>SUM(L10:O10)</f>
        <v/>
      </c>
      <c r="Q10" s="1019" t="n">
        <v>6225.7</v>
      </c>
      <c r="R10" s="1019" t="n">
        <v>6156.6</v>
      </c>
      <c r="S10" s="1019" t="n">
        <v>7927.1</v>
      </c>
      <c r="T10" s="1021">
        <f>U10-(Q10+R10+S10)</f>
        <v/>
      </c>
      <c r="U10" s="1172">
        <f>(U26+1)*P10</f>
        <v/>
      </c>
      <c r="V10" s="1170">
        <f>(V26+1)*U10</f>
        <v/>
      </c>
      <c r="W10" s="1171">
        <f>(W26+1)*V10</f>
        <v/>
      </c>
      <c r="X10" s="1171">
        <f>(X26+1)*W10</f>
        <v/>
      </c>
      <c r="Y10" s="1171">
        <f>(Y26+1)*X10</f>
        <v/>
      </c>
    </row>
    <row r="11" ht="12" customFormat="1" customHeight="1" s="970">
      <c r="A11" s="1006" t="inlineStr">
        <is>
          <t>LPG &amp; Liquid Hydrocarbons</t>
        </is>
      </c>
      <c r="B11" s="1017" t="n">
        <v>6406.2</v>
      </c>
      <c r="C11" s="1018" t="n">
        <v>4219.1</v>
      </c>
      <c r="D11" s="1018" t="n">
        <v>6261.1</v>
      </c>
      <c r="E11" s="1019" t="n">
        <v>4332.1</v>
      </c>
      <c r="F11" s="1020">
        <f>SUM(B11:E11)</f>
        <v/>
      </c>
      <c r="G11" s="1019" t="n">
        <v>6751.5</v>
      </c>
      <c r="H11" s="1019" t="n">
        <v>7033.3</v>
      </c>
      <c r="I11" s="1019" t="n">
        <v>5278.3</v>
      </c>
      <c r="J11" s="1019" t="n">
        <v>7897.8</v>
      </c>
      <c r="K11" s="1020">
        <f>SUM(G11:J11)</f>
        <v/>
      </c>
      <c r="L11" s="1019" t="n">
        <v>7997</v>
      </c>
      <c r="M11" s="1019" t="n">
        <v>10902.1</v>
      </c>
      <c r="N11" s="1019" t="n">
        <v>3329.9</v>
      </c>
      <c r="O11" s="1019" t="n">
        <v>7671.4</v>
      </c>
      <c r="P11" s="1020">
        <f>SUM(L11:O11)</f>
        <v/>
      </c>
      <c r="Q11" s="1019" t="n">
        <v>6839</v>
      </c>
      <c r="R11" s="1019" t="n">
        <v>5150.9</v>
      </c>
      <c r="S11" s="1019" t="n">
        <v>7102.6</v>
      </c>
      <c r="T11" s="1021">
        <f>U11-(Q11+R11+S11)</f>
        <v/>
      </c>
      <c r="U11" s="1172">
        <f>(U27+1)*P11</f>
        <v/>
      </c>
      <c r="V11" s="1170">
        <f>(V27+1)*U11</f>
        <v/>
      </c>
      <c r="W11" s="1171">
        <f>(W27+1)*V11</f>
        <v/>
      </c>
      <c r="X11" s="1171">
        <f>(X27+1)*W11</f>
        <v/>
      </c>
      <c r="Y11" s="1171">
        <f>(Y27+1)*X11</f>
        <v/>
      </c>
    </row>
    <row r="12" ht="12" customFormat="1" customHeight="1" s="970">
      <c r="A12" s="1006" t="inlineStr">
        <is>
          <t>Transmission Services - LPG</t>
        </is>
      </c>
      <c r="B12" s="1017" t="n">
        <v>714.9</v>
      </c>
      <c r="C12" s="1018" t="n">
        <v>816</v>
      </c>
      <c r="D12" s="1018" t="n">
        <v>993.7</v>
      </c>
      <c r="E12" s="1019" t="n">
        <v>915</v>
      </c>
      <c r="F12" s="1020">
        <f>SUM(B12:E12)</f>
        <v/>
      </c>
      <c r="G12" s="1019" t="n">
        <v>922.5</v>
      </c>
      <c r="H12" s="1019" t="n">
        <v>896</v>
      </c>
      <c r="I12" s="1019" t="n">
        <v>995.5</v>
      </c>
      <c r="J12" s="1019" t="n">
        <v>1079.1</v>
      </c>
      <c r="K12" s="1020">
        <f>SUM(G12:J12)</f>
        <v/>
      </c>
      <c r="L12" s="1019" t="n">
        <v>855.4</v>
      </c>
      <c r="M12" s="1019" t="n">
        <v>905.9</v>
      </c>
      <c r="N12" s="1019" t="n">
        <v>1064.9</v>
      </c>
      <c r="O12" s="1019" t="n">
        <v>992.4</v>
      </c>
      <c r="P12" s="1020">
        <f>SUM(L12:O12)</f>
        <v/>
      </c>
      <c r="Q12" s="1019" t="n">
        <v>1057.3</v>
      </c>
      <c r="R12" s="1019" t="n">
        <v>1029.3</v>
      </c>
      <c r="S12" s="1019" t="n">
        <v>1160.6</v>
      </c>
      <c r="T12" s="1021">
        <f>U12-(Q12+R12+S12)</f>
        <v/>
      </c>
      <c r="U12" s="1169">
        <f>(U28+1)*3819</f>
        <v/>
      </c>
      <c r="V12" s="1170">
        <f>(V28+1)*U12</f>
        <v/>
      </c>
      <c r="W12" s="1171">
        <f>(W28+1)*V12</f>
        <v/>
      </c>
      <c r="X12" s="1171">
        <f>(X28+1)*W12</f>
        <v/>
      </c>
      <c r="Y12" s="1171">
        <f>(Y28+1)*X12</f>
        <v/>
      </c>
    </row>
    <row r="13" ht="12" customFormat="1" customHeight="1" s="970">
      <c r="A13" s="1006" t="inlineStr">
        <is>
          <t>Gailtel</t>
        </is>
      </c>
      <c r="B13" s="1026" t="n">
        <v>50.8</v>
      </c>
      <c r="C13" s="1027" t="n">
        <v>62.7</v>
      </c>
      <c r="D13" s="1027" t="n">
        <v>70.7</v>
      </c>
      <c r="E13" s="1028" t="n">
        <v>69.40000000000001</v>
      </c>
      <c r="F13" s="1029">
        <f>SUM(B13:E13)</f>
        <v/>
      </c>
      <c r="G13" s="1028" t="n">
        <v>67.09999999999999</v>
      </c>
      <c r="H13" s="1028" t="n">
        <v>76.40000000000001</v>
      </c>
      <c r="I13" s="1028" t="n">
        <v>70.3</v>
      </c>
      <c r="J13" s="1028" t="n">
        <v>71.7</v>
      </c>
      <c r="K13" s="1030">
        <f>SUM(G13:J13)</f>
        <v/>
      </c>
      <c r="L13" s="1028" t="n">
        <v>65.3</v>
      </c>
      <c r="M13" s="1028" t="n">
        <v>65.40000000000001</v>
      </c>
      <c r="N13" s="1028" t="n">
        <v>63.5</v>
      </c>
      <c r="O13" s="1028" t="n">
        <v>49.1</v>
      </c>
      <c r="P13" s="1030">
        <f>SUM(L13:O13)</f>
        <v/>
      </c>
      <c r="Q13" s="1028" t="n">
        <v>37.8</v>
      </c>
      <c r="R13" s="1028" t="n">
        <v>34.2</v>
      </c>
      <c r="S13" s="1028" t="n">
        <v>28.5</v>
      </c>
      <c r="T13" s="1021">
        <f>U13-(Q13+R13+S13)</f>
        <v/>
      </c>
      <c r="U13" s="1172">
        <f>(U29+1)*P13</f>
        <v/>
      </c>
      <c r="V13" s="1170">
        <f>(V29+1)*U13</f>
        <v/>
      </c>
      <c r="W13" s="1171">
        <f>(W29+1)*V13</f>
        <v/>
      </c>
      <c r="X13" s="1171">
        <f>(X29+1)*W13</f>
        <v/>
      </c>
      <c r="Y13" s="1171">
        <f>(Y29+1)*X13</f>
        <v/>
      </c>
    </row>
    <row r="14" ht="12" customFormat="1" customHeight="1" s="970">
      <c r="A14" s="1006" t="inlineStr">
        <is>
          <t>Others</t>
        </is>
      </c>
      <c r="B14" s="1017" t="n">
        <v>742.1</v>
      </c>
      <c r="C14" s="1018" t="n">
        <v>1607</v>
      </c>
      <c r="D14" s="1018" t="n">
        <v>1764.2</v>
      </c>
      <c r="E14" s="1019" t="n">
        <v>983.8</v>
      </c>
      <c r="F14" s="1020">
        <f>SUM(B14:E14)</f>
        <v/>
      </c>
      <c r="G14" s="1019" t="n">
        <v>806</v>
      </c>
      <c r="H14" s="1019" t="n">
        <v>1636.1</v>
      </c>
      <c r="I14" s="1019" t="n">
        <v>1571.4</v>
      </c>
      <c r="J14" s="1019" t="n">
        <v>1054.6</v>
      </c>
      <c r="K14" s="1020">
        <f>SUM(G14:J14)</f>
        <v/>
      </c>
      <c r="L14" s="1019" t="n">
        <v>1231.1</v>
      </c>
      <c r="M14" s="1019" t="n">
        <v>1929.3</v>
      </c>
      <c r="N14" s="1019" t="n">
        <v>2526.2</v>
      </c>
      <c r="O14" s="1019" t="n">
        <v>62.8</v>
      </c>
      <c r="P14" s="1020">
        <f>SUM(L14:O14)</f>
        <v/>
      </c>
      <c r="Q14" s="1019" t="n">
        <v>100.4</v>
      </c>
      <c r="R14" s="1019" t="n">
        <v>142.1</v>
      </c>
      <c r="S14" s="1019" t="n">
        <v>136.8</v>
      </c>
      <c r="T14" s="1021">
        <f>U14-(Q14+R14+S14)</f>
        <v/>
      </c>
      <c r="U14" s="1172">
        <f>(U30+1)*P14</f>
        <v/>
      </c>
      <c r="V14" s="1170">
        <f>(V30+1)*U14</f>
        <v/>
      </c>
      <c r="W14" s="1171">
        <f>(W30+1)*V14</f>
        <v/>
      </c>
      <c r="X14" s="1171">
        <f>(X30+1)*W14</f>
        <v/>
      </c>
      <c r="Y14" s="1171">
        <f>(Y30+1)*X14</f>
        <v/>
      </c>
    </row>
    <row r="15" ht="12" customFormat="1" customHeight="1" s="970">
      <c r="A15" s="1031" t="inlineStr">
        <is>
          <t>Total</t>
        </is>
      </c>
      <c r="B15" s="1032">
        <f>SUM(B8:B14)</f>
        <v/>
      </c>
      <c r="C15" s="1033">
        <f>SUM(C8:C14)</f>
        <v/>
      </c>
      <c r="D15" s="1034">
        <f>SUM(D8:D14)</f>
        <v/>
      </c>
      <c r="E15" s="1035">
        <f>SUM(E8:E14)</f>
        <v/>
      </c>
      <c r="F15" s="1036">
        <f>F8+F9+F10+F11+F12+F13+F14</f>
        <v/>
      </c>
      <c r="G15" s="1035">
        <f>SUM(G8:G14)</f>
        <v/>
      </c>
      <c r="H15" s="1035">
        <f>SUM(H8:H14)</f>
        <v/>
      </c>
      <c r="I15" s="1037">
        <f>SUM(I8:I14)</f>
        <v/>
      </c>
      <c r="J15" s="1035">
        <f>SUM(J8:J14)</f>
        <v/>
      </c>
      <c r="K15" s="1038">
        <f>K8+K9+K10+K11+K12+K13+K14</f>
        <v/>
      </c>
      <c r="L15" s="1039">
        <f>SUM(L8:L14)</f>
        <v/>
      </c>
      <c r="M15" s="1039">
        <f>SUM(M8:M14)</f>
        <v/>
      </c>
      <c r="N15" s="1039">
        <f>SUM(N8:N14)</f>
        <v/>
      </c>
      <c r="O15" s="1039">
        <f>SUM(O8:O14)</f>
        <v/>
      </c>
      <c r="P15" s="1038">
        <f>P8+P9+P10+P11+P12+P13+P14</f>
        <v/>
      </c>
      <c r="Q15" s="1040">
        <f>SUM(Q8:Q14)</f>
        <v/>
      </c>
      <c r="R15" s="1040">
        <f>SUM(R8:R14)</f>
        <v/>
      </c>
      <c r="S15" s="1040">
        <f>SUM(S8:S14)</f>
        <v/>
      </c>
      <c r="T15" s="1041">
        <f>SUM(T8:T14)</f>
        <v/>
      </c>
      <c r="U15" s="1173">
        <f>Q15+R15+S15+T15</f>
        <v/>
      </c>
      <c r="V15" s="1174">
        <f>SUM(V8:V14)</f>
        <v/>
      </c>
      <c r="W15" s="1175">
        <f>(W31+1)*V15</f>
        <v/>
      </c>
      <c r="X15" s="1175">
        <f>(X31+1)*W15</f>
        <v/>
      </c>
      <c r="Y15" s="1175">
        <f>(Y31+1)*X15</f>
        <v/>
      </c>
    </row>
    <row r="16" ht="12" customFormat="1" customHeight="1" s="970">
      <c r="A16" s="1006" t="inlineStr">
        <is>
          <t>Less: Inter Segment Revenue</t>
        </is>
      </c>
      <c r="B16" s="1017" t="n">
        <v>6519.3</v>
      </c>
      <c r="C16" s="1018" t="n">
        <v>6513.1</v>
      </c>
      <c r="D16" s="1018" t="n">
        <v>7278.5</v>
      </c>
      <c r="E16" s="1019" t="n">
        <v>6844.3</v>
      </c>
      <c r="F16" s="1020">
        <f>SUM(B16:E16)</f>
        <v/>
      </c>
      <c r="G16" s="1019" t="n">
        <v>6452.1</v>
      </c>
      <c r="H16" s="1019" t="n">
        <v>6724.5</v>
      </c>
      <c r="I16" s="1019" t="n">
        <v>5603.8</v>
      </c>
      <c r="J16" s="1019" t="n">
        <v>6783.8</v>
      </c>
      <c r="K16" s="1020" t="n">
        <v>8245</v>
      </c>
      <c r="L16" s="1019" t="n">
        <v>7108.5</v>
      </c>
      <c r="M16" s="1019" t="n">
        <v>7676.8</v>
      </c>
      <c r="N16" s="1019" t="n">
        <v>8391.5</v>
      </c>
      <c r="O16" s="1019" t="n">
        <v>8486.5</v>
      </c>
      <c r="P16" s="1020">
        <f>SUM(L16:O16)</f>
        <v/>
      </c>
      <c r="Q16" s="1019" t="n">
        <v>-7794.6</v>
      </c>
      <c r="R16" s="1019" t="n">
        <v>-8612.1</v>
      </c>
      <c r="S16" s="1019" t="n">
        <v>-8279.4</v>
      </c>
      <c r="T16" s="1021" t="n">
        <v>35175.2</v>
      </c>
      <c r="U16" s="1176">
        <f>SUM(Q16:T16)</f>
        <v/>
      </c>
      <c r="V16" s="1170">
        <f>(V32+1)*U16</f>
        <v/>
      </c>
      <c r="W16" s="1171">
        <f>(W32+1)*V16</f>
        <v/>
      </c>
      <c r="X16" s="1171">
        <f>(X32+1)*W16</f>
        <v/>
      </c>
      <c r="Y16" s="1171">
        <f>(Y32+1)*X16</f>
        <v/>
      </c>
    </row>
    <row r="17" ht="12.75" customFormat="1" customHeight="1" s="970">
      <c r="A17" s="1046" t="inlineStr">
        <is>
          <t>Net sales/income from Operations</t>
        </is>
      </c>
      <c r="B17" s="1047">
        <f>B15-B16</f>
        <v/>
      </c>
      <c r="C17" s="1048">
        <f>C15-C16</f>
        <v/>
      </c>
      <c r="D17" s="1048">
        <f>D15-D16</f>
        <v/>
      </c>
      <c r="E17" s="1049">
        <f>E15-E16</f>
        <v/>
      </c>
      <c r="F17" s="1050">
        <f>SUM(B17:E17)</f>
        <v/>
      </c>
      <c r="G17" s="1051">
        <f>G15-G16</f>
        <v/>
      </c>
      <c r="H17" s="1051">
        <f>H15-H16</f>
        <v/>
      </c>
      <c r="I17" s="1051">
        <f>I15-I16</f>
        <v/>
      </c>
      <c r="J17" s="1049">
        <f>J15-J16</f>
        <v/>
      </c>
      <c r="K17" s="1052">
        <f>K15-K16</f>
        <v/>
      </c>
      <c r="L17" s="1051">
        <f>L15-L16</f>
        <v/>
      </c>
      <c r="M17" s="1049">
        <f>M15-M16</f>
        <v/>
      </c>
      <c r="N17" s="1051">
        <f>N15-N16</f>
        <v/>
      </c>
      <c r="O17" s="1051">
        <f>O15-O16</f>
        <v/>
      </c>
      <c r="P17" s="1052">
        <f>P15-P16</f>
        <v/>
      </c>
      <c r="Q17" s="1051">
        <f>SUM(Q15:Q16)</f>
        <v/>
      </c>
      <c r="R17" s="1051">
        <f>SUM(R15:R16)</f>
        <v/>
      </c>
      <c r="S17" s="1051">
        <f>SUM(S15:S16)</f>
        <v/>
      </c>
      <c r="T17" s="1053">
        <f>T15-T16</f>
        <v/>
      </c>
      <c r="U17" s="1177">
        <f>U15-U16</f>
        <v/>
      </c>
      <c r="V17" s="1178">
        <f>V15-V16</f>
        <v/>
      </c>
      <c r="W17" s="1179">
        <f>W15-W16</f>
        <v/>
      </c>
      <c r="X17" s="1179">
        <f>X15-X16</f>
        <v/>
      </c>
      <c r="Y17" s="1179">
        <f>Y15-Y16</f>
        <v/>
      </c>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f>G8/B8-1</f>
        <v/>
      </c>
      <c r="H24" s="1186">
        <f>H8/C8-1</f>
        <v/>
      </c>
      <c r="I24" s="1186">
        <f>I8/D8-1</f>
        <v/>
      </c>
      <c r="J24" s="1186">
        <f>J8/E8-1</f>
        <v/>
      </c>
      <c r="K24" s="1187">
        <f>K8/F8-1</f>
        <v/>
      </c>
      <c r="L24" s="1186">
        <f>L8/G8-1</f>
        <v/>
      </c>
      <c r="M24" s="1186">
        <f>M8/H8-1</f>
        <v/>
      </c>
      <c r="N24" s="1186">
        <f>N8/I8-1</f>
        <v/>
      </c>
      <c r="O24" s="1186">
        <f>O8/J8-1</f>
        <v/>
      </c>
      <c r="P24" s="1187">
        <f>P8/K8-1</f>
        <v/>
      </c>
      <c r="Q24" s="1188">
        <f>Q8/L8-1</f>
        <v/>
      </c>
      <c r="R24" s="1188">
        <f>R8/M8-1</f>
        <v/>
      </c>
      <c r="S24" s="1188">
        <f>S8/N8-1</f>
        <v/>
      </c>
      <c r="T24" s="1189">
        <f>T8/O8-1</f>
        <v/>
      </c>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f>G9/B9-1</f>
        <v/>
      </c>
      <c r="H25" s="1193">
        <f>H9/C9-1</f>
        <v/>
      </c>
      <c r="I25" s="1193">
        <f>I9/D9-1</f>
        <v/>
      </c>
      <c r="J25" s="1193">
        <f>J9/E9-1</f>
        <v/>
      </c>
      <c r="K25" s="1194">
        <f>K9/F9-1</f>
        <v/>
      </c>
      <c r="L25" s="1193">
        <f>L9/G9-1</f>
        <v/>
      </c>
      <c r="M25" s="1193">
        <f>M9/H9-1</f>
        <v/>
      </c>
      <c r="N25" s="1193">
        <f>N9/I9-1</f>
        <v/>
      </c>
      <c r="O25" s="1193">
        <f>O9/J9-1</f>
        <v/>
      </c>
      <c r="P25" s="1194">
        <f>P9/K9-1</f>
        <v/>
      </c>
      <c r="Q25" s="1195">
        <f>Q9/L9-1</f>
        <v/>
      </c>
      <c r="R25" s="1195">
        <f>R9/M9-1</f>
        <v/>
      </c>
      <c r="S25" s="1195">
        <f>S9/N9-1</f>
        <v/>
      </c>
      <c r="T25" s="1196">
        <f>T9/O9-1</f>
        <v/>
      </c>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f>G10/B10-1</f>
        <v/>
      </c>
      <c r="H26" s="1193">
        <f>H10/C10-1</f>
        <v/>
      </c>
      <c r="I26" s="1193">
        <f>I10/D10-1</f>
        <v/>
      </c>
      <c r="J26" s="1193">
        <f>J10/E10-1</f>
        <v/>
      </c>
      <c r="K26" s="1194">
        <f>K10/F10-1</f>
        <v/>
      </c>
      <c r="L26" s="1193">
        <f>L10/G10-1</f>
        <v/>
      </c>
      <c r="M26" s="1193">
        <f>M10/H10-1</f>
        <v/>
      </c>
      <c r="N26" s="1193">
        <f>N10/I10-1</f>
        <v/>
      </c>
      <c r="O26" s="1193">
        <f>O10/J10-1</f>
        <v/>
      </c>
      <c r="P26" s="1194">
        <f>P10/K10-1</f>
        <v/>
      </c>
      <c r="Q26" s="1195">
        <f>Q10/L10-1</f>
        <v/>
      </c>
      <c r="R26" s="1195">
        <f>R10/M10-1</f>
        <v/>
      </c>
      <c r="S26" s="1195">
        <f>S10/N10-1</f>
        <v/>
      </c>
      <c r="T26" s="1196">
        <f>T10/O10-1</f>
        <v/>
      </c>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f>G11/B11-1</f>
        <v/>
      </c>
      <c r="H27" s="1193">
        <f>H11/C11-1</f>
        <v/>
      </c>
      <c r="I27" s="1193">
        <f>I11/D11-1</f>
        <v/>
      </c>
      <c r="J27" s="1193">
        <f>J11/E11-1</f>
        <v/>
      </c>
      <c r="K27" s="1194">
        <f>K11/F11-1</f>
        <v/>
      </c>
      <c r="L27" s="1193">
        <f>L11/G11-1</f>
        <v/>
      </c>
      <c r="M27" s="1193">
        <f>M11/H11-1</f>
        <v/>
      </c>
      <c r="N27" s="1193">
        <f>N11/I11-1</f>
        <v/>
      </c>
      <c r="O27" s="1193">
        <f>O11/J11-1</f>
        <v/>
      </c>
      <c r="P27" s="1194">
        <f>P11/K11-1</f>
        <v/>
      </c>
      <c r="Q27" s="1195">
        <f>Q11/L11-1</f>
        <v/>
      </c>
      <c r="R27" s="1195">
        <f>R11/M11-1</f>
        <v/>
      </c>
      <c r="S27" s="1195">
        <f>S11/N11-1</f>
        <v/>
      </c>
      <c r="T27" s="1196">
        <f>T11/O11-1</f>
        <v/>
      </c>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f>G12/B12-1</f>
        <v/>
      </c>
      <c r="H28" s="1193">
        <f>H12/C12-1</f>
        <v/>
      </c>
      <c r="I28" s="1193">
        <f>I12/D12-1</f>
        <v/>
      </c>
      <c r="J28" s="1193">
        <f>J12/E12-1</f>
        <v/>
      </c>
      <c r="K28" s="1194">
        <f>K12/F12-1</f>
        <v/>
      </c>
      <c r="L28" s="1193">
        <f>L12/G12-1</f>
        <v/>
      </c>
      <c r="M28" s="1193">
        <f>M12/H12-1</f>
        <v/>
      </c>
      <c r="N28" s="1193">
        <f>N12/I12-1</f>
        <v/>
      </c>
      <c r="O28" s="1193">
        <f>O12/J12-1</f>
        <v/>
      </c>
      <c r="P28" s="1194">
        <f>P12/K12-1</f>
        <v/>
      </c>
      <c r="Q28" s="1195">
        <f>Q12/L12-1</f>
        <v/>
      </c>
      <c r="R28" s="1195">
        <f>R12/M12-1</f>
        <v/>
      </c>
      <c r="S28" s="1195">
        <f>S12/N12-1</f>
        <v/>
      </c>
      <c r="T28" s="1196">
        <f>T12/O12-1</f>
        <v/>
      </c>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f>G13/B13-1</f>
        <v/>
      </c>
      <c r="H29" s="1193">
        <f>H13/C13-1</f>
        <v/>
      </c>
      <c r="I29" s="1193">
        <f>I13/D13-1</f>
        <v/>
      </c>
      <c r="J29" s="1193">
        <f>J13/E13-1</f>
        <v/>
      </c>
      <c r="K29" s="1194">
        <f>K13/F13-1</f>
        <v/>
      </c>
      <c r="L29" s="1193">
        <f>L13/G13-1</f>
        <v/>
      </c>
      <c r="M29" s="1193">
        <f>M13/H13-1</f>
        <v/>
      </c>
      <c r="N29" s="1193">
        <f>N13/I13-1</f>
        <v/>
      </c>
      <c r="O29" s="1193">
        <f>O13/J13-1</f>
        <v/>
      </c>
      <c r="P29" s="1194">
        <f>P13/K13-1</f>
        <v/>
      </c>
      <c r="Q29" s="1195">
        <f>Q13/L13-1</f>
        <v/>
      </c>
      <c r="R29" s="1195">
        <f>R13/M13-1</f>
        <v/>
      </c>
      <c r="S29" s="1195">
        <f>S13/N13-1</f>
        <v/>
      </c>
      <c r="T29" s="1196">
        <f>T13/O13-1</f>
        <v/>
      </c>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f>G14/B14-1</f>
        <v/>
      </c>
      <c r="H30" s="1193">
        <f>H14/C14-1</f>
        <v/>
      </c>
      <c r="I30" s="1193">
        <f>I14/D14-1</f>
        <v/>
      </c>
      <c r="J30" s="1193">
        <f>J14/E14-1</f>
        <v/>
      </c>
      <c r="K30" s="1194">
        <f>K14/F14-1</f>
        <v/>
      </c>
      <c r="L30" s="1193">
        <f>L14/G14-1</f>
        <v/>
      </c>
      <c r="M30" s="1193">
        <f>M14/H14-1</f>
        <v/>
      </c>
      <c r="N30" s="1193">
        <f>N14/I14-1</f>
        <v/>
      </c>
      <c r="O30" s="1193">
        <f>O14/J14-1</f>
        <v/>
      </c>
      <c r="P30" s="1194">
        <f>P14/K14-1</f>
        <v/>
      </c>
      <c r="Q30" s="1195">
        <f>Q14/L14-1</f>
        <v/>
      </c>
      <c r="R30" s="1195">
        <f>R14/M14-1</f>
        <v/>
      </c>
      <c r="S30" s="1195">
        <f>S14/N14-1</f>
        <v/>
      </c>
      <c r="T30" s="1196">
        <f>T14/O14-1</f>
        <v/>
      </c>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f>G15/B15-1</f>
        <v/>
      </c>
      <c r="H31" s="1201">
        <f>H15/C15-1</f>
        <v/>
      </c>
      <c r="I31" s="1201">
        <f>I15/D15-1</f>
        <v/>
      </c>
      <c r="J31" s="1201">
        <f>J15/E15-1</f>
        <v/>
      </c>
      <c r="K31" s="1202">
        <f>K15/F15-1</f>
        <v/>
      </c>
      <c r="L31" s="1201">
        <f>L15/G15-1</f>
        <v/>
      </c>
      <c r="M31" s="1201">
        <f>M15/H15-1</f>
        <v/>
      </c>
      <c r="N31" s="1201">
        <f>N15/I15-1</f>
        <v/>
      </c>
      <c r="O31" s="1201">
        <f>O15/J15-1</f>
        <v/>
      </c>
      <c r="P31" s="1202">
        <f>P15/K15-1</f>
        <v/>
      </c>
      <c r="Q31" s="1201">
        <f>Q15/L15-1</f>
        <v/>
      </c>
      <c r="R31" s="1201">
        <f>R15/M15-1</f>
        <v/>
      </c>
      <c r="S31" s="1201">
        <f>S15/N15-1</f>
        <v/>
      </c>
      <c r="T31" s="1203">
        <f>T15/O15-1</f>
        <v/>
      </c>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f>G16/B16-1</f>
        <v/>
      </c>
      <c r="H32" s="1193">
        <f>H16/C16-1</f>
        <v/>
      </c>
      <c r="I32" s="1193">
        <f>I16/D16-1</f>
        <v/>
      </c>
      <c r="J32" s="1193">
        <f>J16/E16-1</f>
        <v/>
      </c>
      <c r="K32" s="1194">
        <f>K16/F16-1</f>
        <v/>
      </c>
      <c r="L32" s="1193">
        <f>L16/G16-1</f>
        <v/>
      </c>
      <c r="M32" s="1193">
        <f>M16/H16-1</f>
        <v/>
      </c>
      <c r="N32" s="1193">
        <f>N16/I16-1</f>
        <v/>
      </c>
      <c r="O32" s="1193">
        <f>O16/J16-1</f>
        <v/>
      </c>
      <c r="P32" s="1194">
        <f>P16/K16-1</f>
        <v/>
      </c>
      <c r="Q32" s="1195">
        <f>Q16/L16-1</f>
        <v/>
      </c>
      <c r="R32" s="1195">
        <f>R16/M16-1</f>
        <v/>
      </c>
      <c r="S32" s="1195">
        <f>S16/N16-1</f>
        <v/>
      </c>
      <c r="T32" s="1196">
        <f>T16/O16-1</f>
        <v/>
      </c>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f>G17/B17-1</f>
        <v/>
      </c>
      <c r="H33" s="1209">
        <f>H17/C17-1</f>
        <v/>
      </c>
      <c r="I33" s="1209">
        <f>I17/D17-1</f>
        <v/>
      </c>
      <c r="J33" s="1209">
        <f>J17/E17-1</f>
        <v/>
      </c>
      <c r="K33" s="1210">
        <f>K17/F17-1</f>
        <v/>
      </c>
      <c r="L33" s="1209">
        <f>L17/G17-1</f>
        <v/>
      </c>
      <c r="M33" s="1209">
        <f>M17/H17-1</f>
        <v/>
      </c>
      <c r="N33" s="1209">
        <f>N17/I17-1</f>
        <v/>
      </c>
      <c r="O33" s="1209">
        <f>O17/J17-1</f>
        <v/>
      </c>
      <c r="P33" s="1210">
        <f>P17/K17-1</f>
        <v/>
      </c>
      <c r="Q33" s="1209">
        <f>Q17/L17-1</f>
        <v/>
      </c>
      <c r="R33" s="1209">
        <f>R17/M17-1</f>
        <v/>
      </c>
      <c r="S33" s="1209">
        <f>S17/N17-1</f>
        <v/>
      </c>
      <c r="T33" s="1211">
        <f>T17/O17-1</f>
        <v/>
      </c>
      <c r="U33" s="1212">
        <f>U17/P17-1</f>
        <v/>
      </c>
      <c r="V33" s="1212">
        <f>V17/U17-1</f>
        <v/>
      </c>
      <c r="W33" s="1212">
        <f>W17/V17-1</f>
        <v/>
      </c>
      <c r="X33" s="1212">
        <f>X17/W17-1</f>
        <v/>
      </c>
      <c r="Y33" s="1212">
        <f>Y17/X17-1</f>
        <v/>
      </c>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f>G8/G17</f>
        <v/>
      </c>
      <c r="H37" s="1219">
        <f>H8/H17</f>
        <v/>
      </c>
      <c r="I37" s="1219">
        <f>I8/I17</f>
        <v/>
      </c>
      <c r="J37" s="1219">
        <f>J8/J17</f>
        <v/>
      </c>
      <c r="K37" s="1220">
        <f>K8/K17</f>
        <v/>
      </c>
      <c r="L37" s="1219">
        <f>L8/L17</f>
        <v/>
      </c>
      <c r="M37" s="1219">
        <f>M8/M17</f>
        <v/>
      </c>
      <c r="N37" s="1219">
        <f>N8/N17</f>
        <v/>
      </c>
      <c r="O37" s="1219">
        <f>O8/O17</f>
        <v/>
      </c>
      <c r="P37" s="1220">
        <f>P8/P17</f>
        <v/>
      </c>
      <c r="Q37" s="1219">
        <f>Q8/Q17</f>
        <v/>
      </c>
      <c r="R37" s="1219">
        <f>R8/R17</f>
        <v/>
      </c>
      <c r="S37" s="1219">
        <f>S8/S17</f>
        <v/>
      </c>
      <c r="T37" s="1219">
        <f>T8/T17</f>
        <v/>
      </c>
      <c r="U37" s="1221">
        <f>U8/U17</f>
        <v/>
      </c>
      <c r="V37" s="1221">
        <f>V8/V17</f>
        <v/>
      </c>
      <c r="W37" s="1221">
        <f>W8/W17</f>
        <v/>
      </c>
      <c r="X37" s="1221">
        <f>X8/X17</f>
        <v/>
      </c>
      <c r="Y37" s="1221">
        <f>Y8/Y17</f>
        <v/>
      </c>
    </row>
    <row r="38" ht="12" customFormat="1" customHeight="1" s="970">
      <c r="A38" s="1006" t="inlineStr">
        <is>
          <t>Transmission Services - Natural Gas</t>
        </is>
      </c>
      <c r="B38" s="972" t="n"/>
      <c r="C38" s="972" t="n"/>
      <c r="D38" s="972" t="n"/>
      <c r="E38" s="972" t="n"/>
      <c r="F38" s="1192" t="n"/>
      <c r="G38" s="1193">
        <f>G9/G17</f>
        <v/>
      </c>
      <c r="H38" s="1193">
        <f>H9/H17</f>
        <v/>
      </c>
      <c r="I38" s="1193">
        <f>I9/I17</f>
        <v/>
      </c>
      <c r="J38" s="1193">
        <f>J9/J17</f>
        <v/>
      </c>
      <c r="K38" s="1194">
        <f>K9/K17</f>
        <v/>
      </c>
      <c r="L38" s="1193">
        <f>L9/L17</f>
        <v/>
      </c>
      <c r="M38" s="1193">
        <f>M9/M17</f>
        <v/>
      </c>
      <c r="N38" s="1193">
        <f>N9/N17</f>
        <v/>
      </c>
      <c r="O38" s="1193">
        <f>O9/O17</f>
        <v/>
      </c>
      <c r="P38" s="1194">
        <f>P9/P17</f>
        <v/>
      </c>
      <c r="Q38" s="1193">
        <f>Q9/Q17</f>
        <v/>
      </c>
      <c r="R38" s="1193">
        <f>R9/R17</f>
        <v/>
      </c>
      <c r="S38" s="1193">
        <f>S9/S17</f>
        <v/>
      </c>
      <c r="T38" s="1193">
        <f>T9/T17</f>
        <v/>
      </c>
      <c r="U38" s="1197">
        <f>U9/U17</f>
        <v/>
      </c>
      <c r="V38" s="1197">
        <f>V9/V17</f>
        <v/>
      </c>
      <c r="W38" s="1197">
        <f>W9/W17</f>
        <v/>
      </c>
      <c r="X38" s="1197">
        <f>X9/X17</f>
        <v/>
      </c>
      <c r="Y38" s="1197">
        <f>Y9/Y17</f>
        <v/>
      </c>
    </row>
    <row r="39" ht="12" customFormat="1" customHeight="1" s="970">
      <c r="A39" s="1006" t="inlineStr">
        <is>
          <t>Petrochemicals</t>
        </is>
      </c>
      <c r="B39" s="972" t="n"/>
      <c r="C39" s="972" t="n"/>
      <c r="D39" s="972" t="n"/>
      <c r="E39" s="972" t="n"/>
      <c r="F39" s="1192" t="n"/>
      <c r="G39" s="1193">
        <f>G10/G17</f>
        <v/>
      </c>
      <c r="H39" s="1193">
        <f>H10/H17</f>
        <v/>
      </c>
      <c r="I39" s="1193">
        <f>I10/I17</f>
        <v/>
      </c>
      <c r="J39" s="1193">
        <f>J10/J17</f>
        <v/>
      </c>
      <c r="K39" s="1194">
        <f>K10/K17</f>
        <v/>
      </c>
      <c r="L39" s="1193">
        <f>L10/L17</f>
        <v/>
      </c>
      <c r="M39" s="1193">
        <f>M10/M17</f>
        <v/>
      </c>
      <c r="N39" s="1193">
        <f>N10/N17</f>
        <v/>
      </c>
      <c r="O39" s="1193">
        <f>O10/O17</f>
        <v/>
      </c>
      <c r="P39" s="1194">
        <f>P10/P17</f>
        <v/>
      </c>
      <c r="Q39" s="1193">
        <f>Q10/Q17</f>
        <v/>
      </c>
      <c r="R39" s="1193">
        <f>R10/R17</f>
        <v/>
      </c>
      <c r="S39" s="1193">
        <f>S10/S17</f>
        <v/>
      </c>
      <c r="T39" s="1193">
        <f>T10/T17</f>
        <v/>
      </c>
      <c r="U39" s="1197">
        <f>U10/U17</f>
        <v/>
      </c>
      <c r="V39" s="1197">
        <f>V10/V17</f>
        <v/>
      </c>
      <c r="W39" s="1197">
        <f>W10/W17</f>
        <v/>
      </c>
      <c r="X39" s="1197">
        <f>X10/X17</f>
        <v/>
      </c>
      <c r="Y39" s="1197">
        <f>Y10/Y17</f>
        <v/>
      </c>
    </row>
    <row r="40" ht="12" customFormat="1" customHeight="1" s="970">
      <c r="A40" s="1006" t="inlineStr">
        <is>
          <t>LPG &amp; Liquid Hydrocarbons</t>
        </is>
      </c>
      <c r="B40" s="972" t="n"/>
      <c r="C40" s="972" t="n"/>
      <c r="D40" s="972" t="n"/>
      <c r="E40" s="972" t="n"/>
      <c r="F40" s="1192" t="n"/>
      <c r="G40" s="1193">
        <f>G11/G17</f>
        <v/>
      </c>
      <c r="H40" s="1193">
        <f>H11/H17</f>
        <v/>
      </c>
      <c r="I40" s="1193">
        <f>I11/I17</f>
        <v/>
      </c>
      <c r="J40" s="1193">
        <f>J11/J17</f>
        <v/>
      </c>
      <c r="K40" s="1194">
        <f>K11/K17</f>
        <v/>
      </c>
      <c r="L40" s="1193">
        <f>L11/L17</f>
        <v/>
      </c>
      <c r="M40" s="1193">
        <f>M11/M17</f>
        <v/>
      </c>
      <c r="N40" s="1193">
        <f>N11/N17</f>
        <v/>
      </c>
      <c r="O40" s="1193">
        <f>O11/O17</f>
        <v/>
      </c>
      <c r="P40" s="1194">
        <f>P11/P17</f>
        <v/>
      </c>
      <c r="Q40" s="1193">
        <f>Q11/Q17</f>
        <v/>
      </c>
      <c r="R40" s="1193">
        <f>R11/R17</f>
        <v/>
      </c>
      <c r="S40" s="1193">
        <f>S11/S17</f>
        <v/>
      </c>
      <c r="T40" s="1193">
        <f>T11/T17</f>
        <v/>
      </c>
      <c r="U40" s="1197">
        <f>U11/U17</f>
        <v/>
      </c>
      <c r="V40" s="1197">
        <f>V11/V17</f>
        <v/>
      </c>
      <c r="W40" s="1197">
        <f>W11/W17</f>
        <v/>
      </c>
      <c r="X40" s="1197">
        <f>X11/X17</f>
        <v/>
      </c>
      <c r="Y40" s="1197">
        <f>Y11/Y17</f>
        <v/>
      </c>
    </row>
    <row r="41" ht="12" customFormat="1" customHeight="1" s="970">
      <c r="A41" s="1006" t="inlineStr">
        <is>
          <t>Transmission Services - LPG</t>
        </is>
      </c>
      <c r="B41" s="972" t="n"/>
      <c r="C41" s="972" t="n"/>
      <c r="D41" s="972" t="n"/>
      <c r="E41" s="972" t="n"/>
      <c r="F41" s="1192" t="n"/>
      <c r="G41" s="1193">
        <f>G12/G17</f>
        <v/>
      </c>
      <c r="H41" s="1193">
        <f>H12/H17</f>
        <v/>
      </c>
      <c r="I41" s="1193">
        <f>I12/I17</f>
        <v/>
      </c>
      <c r="J41" s="1193">
        <f>J12/J17</f>
        <v/>
      </c>
      <c r="K41" s="1194">
        <f>K12/K17</f>
        <v/>
      </c>
      <c r="L41" s="1193">
        <f>L12/L17</f>
        <v/>
      </c>
      <c r="M41" s="1193">
        <f>M12/M17</f>
        <v/>
      </c>
      <c r="N41" s="1193">
        <f>N12/N17</f>
        <v/>
      </c>
      <c r="O41" s="1193">
        <f>O12/O17</f>
        <v/>
      </c>
      <c r="P41" s="1194">
        <f>P12/P17</f>
        <v/>
      </c>
      <c r="Q41" s="1193">
        <f>Q12/Q17</f>
        <v/>
      </c>
      <c r="R41" s="1193">
        <f>R12/R17</f>
        <v/>
      </c>
      <c r="S41" s="1193">
        <f>S12/S17</f>
        <v/>
      </c>
      <c r="T41" s="1193">
        <f>T12/T17</f>
        <v/>
      </c>
      <c r="U41" s="1197" t="n"/>
      <c r="V41" s="1197">
        <f>V12/V17</f>
        <v/>
      </c>
      <c r="W41" s="1197">
        <f>W12/W17</f>
        <v/>
      </c>
      <c r="X41" s="1197">
        <f>X12/X17</f>
        <v/>
      </c>
      <c r="Y41" s="1197">
        <f>Y12/Y17</f>
        <v/>
      </c>
    </row>
    <row r="42" ht="12" customFormat="1" customHeight="1" s="970">
      <c r="A42" s="1006" t="inlineStr">
        <is>
          <t>Gailtel</t>
        </is>
      </c>
      <c r="B42" s="972" t="n"/>
      <c r="C42" s="972" t="n"/>
      <c r="D42" s="972" t="n"/>
      <c r="E42" s="972" t="n"/>
      <c r="F42" s="1192" t="n"/>
      <c r="G42" s="1193">
        <f>G13/G17</f>
        <v/>
      </c>
      <c r="H42" s="1193">
        <f>H13/H17</f>
        <v/>
      </c>
      <c r="I42" s="1193">
        <f>I13/I17</f>
        <v/>
      </c>
      <c r="J42" s="1193">
        <f>J13/J17</f>
        <v/>
      </c>
      <c r="K42" s="1194">
        <f>K13/K17</f>
        <v/>
      </c>
      <c r="L42" s="1193">
        <f>L13/L17</f>
        <v/>
      </c>
      <c r="M42" s="1193">
        <f>M13/M17</f>
        <v/>
      </c>
      <c r="N42" s="1193">
        <f>N13/N17</f>
        <v/>
      </c>
      <c r="O42" s="1193">
        <f>O13/O17</f>
        <v/>
      </c>
      <c r="P42" s="1194">
        <f>P13/P17</f>
        <v/>
      </c>
      <c r="Q42" s="1193">
        <f>Q13/Q17</f>
        <v/>
      </c>
      <c r="R42" s="1193">
        <f>R13/R17</f>
        <v/>
      </c>
      <c r="S42" s="1193">
        <f>S13/S17</f>
        <v/>
      </c>
      <c r="T42" s="1193">
        <f>T13/T17</f>
        <v/>
      </c>
      <c r="U42" s="1197">
        <f>U13/U17</f>
        <v/>
      </c>
      <c r="V42" s="1197">
        <f>V13/V17</f>
        <v/>
      </c>
      <c r="W42" s="1197">
        <f>W13/W17</f>
        <v/>
      </c>
      <c r="X42" s="1197">
        <f>X13/X17</f>
        <v/>
      </c>
      <c r="Y42" s="1197">
        <f>Y13/Y17</f>
        <v/>
      </c>
    </row>
    <row r="43" ht="12" customFormat="1" customHeight="1" s="970">
      <c r="A43" s="1006" t="inlineStr">
        <is>
          <t>Others</t>
        </is>
      </c>
      <c r="B43" s="970" t="n"/>
      <c r="C43" s="970" t="n"/>
      <c r="D43" s="970" t="n"/>
      <c r="E43" s="970" t="n"/>
      <c r="F43" s="1155" t="n"/>
      <c r="G43" s="1219">
        <f>G14/G17</f>
        <v/>
      </c>
      <c r="H43" s="1219">
        <f>H14/H17</f>
        <v/>
      </c>
      <c r="I43" s="1219">
        <f>I14/I17</f>
        <v/>
      </c>
      <c r="J43" s="1219">
        <f>J14/J17</f>
        <v/>
      </c>
      <c r="K43" s="1220">
        <f>K14/K17</f>
        <v/>
      </c>
      <c r="L43" s="1219">
        <f>L14/L17</f>
        <v/>
      </c>
      <c r="M43" s="1219">
        <f>M14/M17</f>
        <v/>
      </c>
      <c r="N43" s="1219">
        <f>N14/N17</f>
        <v/>
      </c>
      <c r="O43" s="1219">
        <f>O14/O17</f>
        <v/>
      </c>
      <c r="P43" s="1220">
        <f>P14/P17</f>
        <v/>
      </c>
      <c r="Q43" s="1219">
        <f>Q14/Q17</f>
        <v/>
      </c>
      <c r="R43" s="1219">
        <f>R14/R17</f>
        <v/>
      </c>
      <c r="S43" s="1219">
        <f>S14/S17</f>
        <v/>
      </c>
      <c r="T43" s="1219">
        <f>T14/T17</f>
        <v/>
      </c>
      <c r="U43" s="1221">
        <f>U14/U17</f>
        <v/>
      </c>
      <c r="V43" s="1221">
        <f>V14/V17</f>
        <v/>
      </c>
      <c r="W43" s="1221">
        <f>W14/W17</f>
        <v/>
      </c>
      <c r="X43" s="1221">
        <f>X14/X17</f>
        <v/>
      </c>
      <c r="Y43" s="1221">
        <f>Y14/Y17</f>
        <v/>
      </c>
    </row>
    <row r="44" ht="12" customFormat="1" customHeight="1" s="1222">
      <c r="A44" s="1031" t="inlineStr">
        <is>
          <t>Total</t>
        </is>
      </c>
      <c r="B44" s="1199" t="n"/>
      <c r="C44" s="1199" t="n"/>
      <c r="D44" s="1199" t="n"/>
      <c r="E44" s="1199" t="n"/>
      <c r="F44" s="1200" t="n"/>
      <c r="G44" s="1201">
        <f>G15/G17</f>
        <v/>
      </c>
      <c r="H44" s="1201">
        <f>H15/H17</f>
        <v/>
      </c>
      <c r="I44" s="1201">
        <f>I15/I17</f>
        <v/>
      </c>
      <c r="J44" s="1201">
        <f>J15/J17</f>
        <v/>
      </c>
      <c r="K44" s="1202">
        <f>K15/K17</f>
        <v/>
      </c>
      <c r="L44" s="1201">
        <f>L15/L17</f>
        <v/>
      </c>
      <c r="M44" s="1201">
        <f>M15/M17</f>
        <v/>
      </c>
      <c r="N44" s="1201">
        <f>N15/N17</f>
        <v/>
      </c>
      <c r="O44" s="1201">
        <f>O15/O17</f>
        <v/>
      </c>
      <c r="P44" s="1202">
        <f>P15/P17</f>
        <v/>
      </c>
      <c r="Q44" s="1201">
        <f>Q15/Q17</f>
        <v/>
      </c>
      <c r="R44" s="1201">
        <f>R15/R17</f>
        <v/>
      </c>
      <c r="S44" s="1201">
        <f>S15/S17</f>
        <v/>
      </c>
      <c r="T44" s="1201">
        <f>T15/T17</f>
        <v/>
      </c>
      <c r="U44" s="1204">
        <f>U15/U17</f>
        <v/>
      </c>
      <c r="V44" s="1204">
        <f>V15/V17</f>
        <v/>
      </c>
      <c r="W44" s="1204">
        <f>W15/W17</f>
        <v/>
      </c>
      <c r="X44" s="1204">
        <f>X15/X17</f>
        <v/>
      </c>
      <c r="Y44" s="1204">
        <f>Y15/Y17</f>
        <v/>
      </c>
    </row>
    <row r="45" ht="12" customFormat="1" customHeight="1" s="970">
      <c r="A45" s="1006" t="inlineStr">
        <is>
          <t>Less: Inter Segment Revenue</t>
        </is>
      </c>
      <c r="B45" s="972" t="n"/>
      <c r="C45" s="972" t="n"/>
      <c r="D45" s="972" t="n"/>
      <c r="E45" s="972" t="n"/>
      <c r="F45" s="1192" t="n"/>
      <c r="G45" s="1193">
        <f>G16/G17</f>
        <v/>
      </c>
      <c r="H45" s="1193">
        <f>H16/H17</f>
        <v/>
      </c>
      <c r="I45" s="1193">
        <f>I16/I17</f>
        <v/>
      </c>
      <c r="J45" s="1193">
        <f>J16/J17</f>
        <v/>
      </c>
      <c r="K45" s="1194">
        <f>K16/K17</f>
        <v/>
      </c>
      <c r="L45" s="1193">
        <f>L16/L17</f>
        <v/>
      </c>
      <c r="M45" s="1193">
        <f>M16/M17</f>
        <v/>
      </c>
      <c r="N45" s="1193">
        <f>N16/N17</f>
        <v/>
      </c>
      <c r="O45" s="1193">
        <f>O16/O17</f>
        <v/>
      </c>
      <c r="P45" s="1194">
        <f>P16/P17</f>
        <v/>
      </c>
      <c r="Q45" s="1193">
        <f>Q16/Q17</f>
        <v/>
      </c>
      <c r="R45" s="1193">
        <f>R16/R17</f>
        <v/>
      </c>
      <c r="S45" s="1193">
        <f>S16/S17</f>
        <v/>
      </c>
      <c r="T45" s="1193">
        <f>T16/T17</f>
        <v/>
      </c>
      <c r="U45" s="1197">
        <f>U16/U17</f>
        <v/>
      </c>
      <c r="V45" s="1197">
        <f>V16/V17</f>
        <v/>
      </c>
      <c r="W45" s="1197">
        <f>W16/W17</f>
        <v/>
      </c>
      <c r="X45" s="1197">
        <f>X16/X17</f>
        <v/>
      </c>
      <c r="Y45" s="1197">
        <f>Y16/Y17</f>
        <v/>
      </c>
    </row>
    <row r="46" ht="12.75" customFormat="1" customHeight="1" s="1222">
      <c r="A46" s="1031" t="inlineStr">
        <is>
          <t>Net sales/income from Operations</t>
        </is>
      </c>
      <c r="B46" s="1199" t="n"/>
      <c r="C46" s="1199" t="n"/>
      <c r="D46" s="1199" t="n"/>
      <c r="E46" s="1199" t="n"/>
      <c r="F46" s="1200" t="n"/>
      <c r="G46" s="1201">
        <f>G17/G17</f>
        <v/>
      </c>
      <c r="H46" s="1201">
        <f>H17/H17</f>
        <v/>
      </c>
      <c r="I46" s="1201">
        <f>I17/I17</f>
        <v/>
      </c>
      <c r="J46" s="1201">
        <f>J17/J17</f>
        <v/>
      </c>
      <c r="K46" s="1202">
        <f>K17/K17</f>
        <v/>
      </c>
      <c r="L46" s="1223">
        <f>L17/L17</f>
        <v/>
      </c>
      <c r="M46" s="1223">
        <f>M17/M17</f>
        <v/>
      </c>
      <c r="N46" s="1223">
        <f>N17/N17</f>
        <v/>
      </c>
      <c r="O46" s="1223">
        <f>O17/O17</f>
        <v/>
      </c>
      <c r="P46" s="1224">
        <f>P17/P17</f>
        <v/>
      </c>
      <c r="Q46" s="1201">
        <f>Q17/Q17</f>
        <v/>
      </c>
      <c r="R46" s="1201">
        <f>R17/R17</f>
        <v/>
      </c>
      <c r="S46" s="1201">
        <f>S17/S17</f>
        <v/>
      </c>
      <c r="T46" s="1201">
        <f>T17/T17</f>
        <v/>
      </c>
      <c r="U46" s="1212">
        <f>U17/U17</f>
        <v/>
      </c>
      <c r="V46" s="1212">
        <f>V17/V17</f>
        <v/>
      </c>
      <c r="W46" s="1212">
        <f>W17/W17</f>
        <v/>
      </c>
      <c r="X46" s="1212">
        <f>X17/X17</f>
        <v/>
      </c>
      <c r="Y46" s="1212">
        <f>Y17/Y17</f>
        <v/>
      </c>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f>SUM(C51:E51)</f>
        <v/>
      </c>
      <c r="G51" s="1231" t="n">
        <v>39304</v>
      </c>
      <c r="H51" s="1231" t="n">
        <v>46584</v>
      </c>
      <c r="I51" s="1232" t="n">
        <v>402.3</v>
      </c>
      <c r="J51" s="1232" t="n">
        <v>6915</v>
      </c>
      <c r="K51" s="1233">
        <f>G51+H51+I51+I52+J52+J51</f>
        <v/>
      </c>
      <c r="L51" s="1229" t="n">
        <v>947.5</v>
      </c>
      <c r="M51" s="1229" t="n">
        <v>1113.4</v>
      </c>
      <c r="N51" s="1229" t="n">
        <v>823.1</v>
      </c>
      <c r="O51" s="1229" t="n">
        <v>592</v>
      </c>
      <c r="P51" s="1230">
        <f>SUM(L51:O51)</f>
        <v/>
      </c>
      <c r="Q51" s="1229" t="n">
        <v>1062.6</v>
      </c>
      <c r="R51" s="1229" t="n">
        <v>1104.7</v>
      </c>
      <c r="S51" s="1229" t="n">
        <v>1179.2</v>
      </c>
      <c r="T51" s="1234" t="n">
        <v>1286.7</v>
      </c>
      <c r="U51" s="1218">
        <f>SUM(Q51:T51)</f>
        <v/>
      </c>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f>SUM(C52:E52)</f>
        <v/>
      </c>
      <c r="I52" s="1238" t="n">
        <v>4141</v>
      </c>
      <c r="J52" s="1238" t="n">
        <v>37552</v>
      </c>
      <c r="L52" s="1236" t="n">
        <v>4337</v>
      </c>
      <c r="M52" s="1236" t="n">
        <v>3952.7</v>
      </c>
      <c r="N52" s="1236" t="n">
        <v>3590.7</v>
      </c>
      <c r="O52" s="1236" t="n">
        <v>4342.3</v>
      </c>
      <c r="P52" s="1237">
        <f>SUM(L52:O52)</f>
        <v/>
      </c>
      <c r="Q52" s="1236" t="n">
        <v>5221.8</v>
      </c>
      <c r="R52" s="1236" t="n">
        <v>6156.9</v>
      </c>
      <c r="S52" s="1236" t="n">
        <v>5924.2</v>
      </c>
      <c r="T52" s="1239" t="n">
        <v>6824.2</v>
      </c>
      <c r="U52" s="1240">
        <f>SUM(Q52:T52)</f>
        <v/>
      </c>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f>SUM(C53:E53)</f>
        <v/>
      </c>
      <c r="G53" s="1236" t="n">
        <v>34305</v>
      </c>
      <c r="H53" s="1236" t="n">
        <v>31953</v>
      </c>
      <c r="I53" s="1236" t="n">
        <v>2288.2</v>
      </c>
      <c r="J53" s="1236" t="n">
        <v>36283</v>
      </c>
      <c r="K53" s="1237">
        <f>SUM(G53:J53)</f>
        <v/>
      </c>
      <c r="L53" s="1236" t="n">
        <v>4395.1</v>
      </c>
      <c r="M53" s="1236" t="n">
        <v>3287.7</v>
      </c>
      <c r="N53" s="1236" t="n">
        <v>1296.5</v>
      </c>
      <c r="O53" s="1236" t="n">
        <v>3275</v>
      </c>
      <c r="P53" s="1237">
        <f>SUM(L53:O53)</f>
        <v/>
      </c>
      <c r="Q53" s="1236" t="n">
        <v>2643.2</v>
      </c>
      <c r="R53" s="1236" t="n">
        <v>2753.2</v>
      </c>
      <c r="S53" s="1236" t="n">
        <v>3413.8</v>
      </c>
      <c r="T53" s="1239" t="n">
        <v>4415.8</v>
      </c>
      <c r="U53" s="1240">
        <f>SUM(Q53:T53)</f>
        <v/>
      </c>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f>SUM(C54:E54)</f>
        <v/>
      </c>
      <c r="G54" s="1236" t="n">
        <v>19855</v>
      </c>
      <c r="H54" s="1236" t="n">
        <v>22338</v>
      </c>
      <c r="I54" s="1236" t="n">
        <v>1252</v>
      </c>
      <c r="J54" s="1236" t="n">
        <v>35330</v>
      </c>
      <c r="K54" s="1237">
        <f>SUM(G54:J54)</f>
        <v/>
      </c>
      <c r="L54" s="1236" t="n">
        <v>3178.2</v>
      </c>
      <c r="M54" s="1236" t="n">
        <v>5751</v>
      </c>
      <c r="N54" s="1236" t="n">
        <v>-2473</v>
      </c>
      <c r="O54" s="1236" t="n">
        <v>2239.7</v>
      </c>
      <c r="P54" s="1237">
        <f>SUM(L54:O54)</f>
        <v/>
      </c>
      <c r="Q54" s="1236" t="n">
        <v>1500</v>
      </c>
      <c r="R54" s="1236" t="n">
        <v>-731.1</v>
      </c>
      <c r="S54" s="1236" t="n">
        <v>1251.9</v>
      </c>
      <c r="T54" s="1239" t="n">
        <v>2051.9</v>
      </c>
      <c r="U54" s="1240">
        <f>SUM(Q54:T54)</f>
        <v/>
      </c>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f>SUM(C55:E55)</f>
        <v/>
      </c>
      <c r="G55" s="1236" t="n">
        <v>5450</v>
      </c>
      <c r="H55" s="1236" t="n">
        <v>5212</v>
      </c>
      <c r="I55" s="1236" t="n">
        <v>564.5</v>
      </c>
      <c r="J55" s="1236" t="n">
        <v>6877</v>
      </c>
      <c r="K55" s="1237">
        <f>SUM(G55:J55)</f>
        <v/>
      </c>
      <c r="L55" s="1236" t="n">
        <v>467.5</v>
      </c>
      <c r="M55" s="1236" t="n">
        <v>539.4</v>
      </c>
      <c r="N55" s="1236" t="n">
        <v>615</v>
      </c>
      <c r="O55" s="1236" t="n">
        <v>639.5</v>
      </c>
      <c r="P55" s="1237">
        <f>SUM(L55:O55)</f>
        <v/>
      </c>
      <c r="Q55" s="1236" t="n">
        <v>682.4</v>
      </c>
      <c r="R55" s="1236" t="n">
        <v>589.2</v>
      </c>
      <c r="S55" s="1236" t="n">
        <v>638.5</v>
      </c>
      <c r="T55" s="1242" t="n">
        <v>733.5</v>
      </c>
      <c r="U55" s="1240">
        <f>SUM(Q55:T55)</f>
        <v/>
      </c>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f>SUM(C56:E56)</f>
        <v/>
      </c>
      <c r="G56" s="1236" t="n">
        <v>51</v>
      </c>
      <c r="H56" s="1236" t="n">
        <v>138</v>
      </c>
      <c r="I56" s="1236" t="n">
        <v>8.199999999999999</v>
      </c>
      <c r="J56" s="1236" t="n">
        <v>40</v>
      </c>
      <c r="K56" s="1237">
        <f>SUM(G56:J56)</f>
        <v/>
      </c>
      <c r="L56" s="1236" t="n">
        <v>12.7</v>
      </c>
      <c r="M56" s="1236" t="n">
        <v>-46</v>
      </c>
      <c r="N56" s="1236" t="n">
        <v>9</v>
      </c>
      <c r="O56" s="1236" t="n">
        <v>-16.9</v>
      </c>
      <c r="P56" s="1237">
        <f>SUM(L56:O56)</f>
        <v/>
      </c>
      <c r="Q56" s="1236" t="n">
        <v>-10.8</v>
      </c>
      <c r="R56" s="1236" t="n">
        <v>-21.4</v>
      </c>
      <c r="S56" s="1236" t="n">
        <v>-39.4</v>
      </c>
      <c r="T56" s="1242" t="n">
        <v>-40</v>
      </c>
      <c r="U56" s="1240">
        <f>SUM(Q56:T56)</f>
        <v/>
      </c>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f>SUM(B57:E57)</f>
        <v/>
      </c>
      <c r="G57" s="1236" t="n">
        <v>0</v>
      </c>
      <c r="H57" s="1236" t="n">
        <v>-15250</v>
      </c>
      <c r="I57" s="1236" t="n">
        <v>527.7</v>
      </c>
      <c r="J57" s="1236" t="n">
        <v>-11282</v>
      </c>
      <c r="K57" s="1237">
        <f>SUM(G57:J57)</f>
        <v/>
      </c>
      <c r="L57" s="1236" t="n">
        <v>374.4</v>
      </c>
      <c r="M57" s="1236" t="n">
        <v>619.4</v>
      </c>
      <c r="N57" s="1236" t="n">
        <v>-223.9</v>
      </c>
      <c r="O57" s="1236" t="n">
        <v>-1649.7</v>
      </c>
      <c r="P57" s="1237">
        <f>SUM(L57:O57)</f>
        <v/>
      </c>
      <c r="Q57" s="1236" t="n">
        <v>-1169.9</v>
      </c>
      <c r="R57" s="1236" t="n">
        <v>-280.1</v>
      </c>
      <c r="S57" s="1236" t="n">
        <v>-109.5</v>
      </c>
      <c r="T57" s="1242" t="n">
        <v>-100</v>
      </c>
      <c r="U57" s="1240">
        <f>SUM(Q57:T57)</f>
        <v/>
      </c>
      <c r="V57" s="1240" t="n">
        <v>100</v>
      </c>
      <c r="W57" s="1240" t="n">
        <v>380</v>
      </c>
      <c r="X57" s="1240" t="n">
        <v>-215</v>
      </c>
      <c r="Y57" s="1240" t="n">
        <v>-104</v>
      </c>
    </row>
    <row r="58" ht="12" customFormat="1" customHeight="1" s="970">
      <c r="A58" s="1031" t="inlineStr">
        <is>
          <t>Total</t>
        </is>
      </c>
      <c r="B58" s="1243">
        <f>SUM(B51:B57)</f>
        <v/>
      </c>
      <c r="C58" s="1244">
        <f>SUM(C51:C57)</f>
        <v/>
      </c>
      <c r="D58" s="1244">
        <f>SUM(D51:D57)</f>
        <v/>
      </c>
      <c r="E58" s="1244">
        <f>SUM(E51:E57)</f>
        <v/>
      </c>
      <c r="F58" s="1245">
        <f>F51+F52+F53+F54+F55+F56+F57</f>
        <v/>
      </c>
      <c r="G58" s="1244">
        <f>SUM(G53:G57)</f>
        <v/>
      </c>
      <c r="H58" s="1244">
        <f>SUM(H51:H57)</f>
        <v/>
      </c>
      <c r="I58" s="1244">
        <f>SUM(I51:I57)</f>
        <v/>
      </c>
      <c r="J58" s="1244">
        <f>SUM(J51:J57)</f>
        <v/>
      </c>
      <c r="K58" s="1245">
        <f>K51+K53+K54+K55+K56+K57</f>
        <v/>
      </c>
      <c r="L58" s="1244">
        <f>SUM(L51:L57)</f>
        <v/>
      </c>
      <c r="M58" s="1244">
        <f>SUM(M51:M57)</f>
        <v/>
      </c>
      <c r="N58" s="1244">
        <f>SUM(N51:N57)</f>
        <v/>
      </c>
      <c r="O58" s="1244">
        <f>SUM(O51:O57)</f>
        <v/>
      </c>
      <c r="P58" s="1245">
        <f>P51+P52+P53+P54+P55+P56+P57</f>
        <v/>
      </c>
      <c r="Q58" s="1244">
        <f>SUM(Q51:Q57)</f>
        <v/>
      </c>
      <c r="R58" s="1244">
        <f>SUM(R51:R57)</f>
        <v/>
      </c>
      <c r="S58" s="1244">
        <f>SUM(S51:S57)</f>
        <v/>
      </c>
      <c r="T58" s="1246">
        <f>SUM(T51:T57)</f>
        <v/>
      </c>
      <c r="U58" s="1247">
        <f>U51+U52+U53+U54+U55+U56+U57</f>
        <v/>
      </c>
      <c r="V58" s="1247">
        <f>SUM(V51:V57)</f>
        <v/>
      </c>
      <c r="W58" s="1247">
        <f>SUM(W51:W57)</f>
        <v/>
      </c>
      <c r="X58" s="1247">
        <f>SUM(X51:X57)</f>
        <v/>
      </c>
      <c r="Y58" s="1247">
        <f>SUM(Y51:Y57)</f>
        <v/>
      </c>
    </row>
    <row r="59" ht="12" customFormat="1" customHeight="1" s="970">
      <c r="A59" s="1006" t="inlineStr">
        <is>
          <t>Interest</t>
        </is>
      </c>
      <c r="B59" s="1241" t="n">
        <v>2880</v>
      </c>
      <c r="C59" s="1236" t="n">
        <v>2912</v>
      </c>
      <c r="D59" s="1236" t="n">
        <v>2705</v>
      </c>
      <c r="E59" s="1236" t="n">
        <v>2211</v>
      </c>
      <c r="F59" s="1237">
        <f>SUM(B59:E59)</f>
        <v/>
      </c>
      <c r="G59" s="1236" t="n">
        <v>2040</v>
      </c>
      <c r="H59" s="1236" t="n">
        <v>2009</v>
      </c>
      <c r="I59" s="1236" t="n">
        <v>-195.5</v>
      </c>
      <c r="J59" s="1236" t="n">
        <v>1953</v>
      </c>
      <c r="K59" s="1237">
        <f>SUM(G59:J59)</f>
        <v/>
      </c>
      <c r="L59" s="1236" t="n">
        <v>-190.2</v>
      </c>
      <c r="M59" s="1236" t="n">
        <v>-189</v>
      </c>
      <c r="N59" s="1236" t="n">
        <v>-185.1</v>
      </c>
      <c r="O59" s="1236" t="n">
        <v>-305.7</v>
      </c>
      <c r="P59" s="1237">
        <f>SUM(L59:O59)</f>
        <v/>
      </c>
      <c r="Q59" s="1236" t="n">
        <v>-179.2</v>
      </c>
      <c r="R59" s="1236" t="n">
        <v>-178.5</v>
      </c>
      <c r="S59" s="1236" t="n">
        <v>-142.2</v>
      </c>
      <c r="T59" s="1242" t="n">
        <v>-125</v>
      </c>
      <c r="U59" s="1240">
        <f>SUM(Q59:T59)</f>
        <v/>
      </c>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f>SUM(B60:E60)</f>
        <v/>
      </c>
      <c r="G60" s="1236" t="n">
        <v>37</v>
      </c>
      <c r="H60" s="1236" t="n">
        <v>0</v>
      </c>
      <c r="I60" s="1236" t="n">
        <v>0</v>
      </c>
      <c r="J60" s="1236" t="n">
        <v>0</v>
      </c>
      <c r="K60" s="1237">
        <f>SUM(G60:J60)</f>
        <v/>
      </c>
      <c r="L60" s="1236" t="n">
        <v>0</v>
      </c>
      <c r="M60" s="1236" t="n">
        <v>0</v>
      </c>
      <c r="N60" s="1236" t="n">
        <v>0</v>
      </c>
      <c r="O60" s="1236" t="n">
        <v>920.9</v>
      </c>
      <c r="P60" s="1237">
        <f>SUM(L60:O60)</f>
        <v/>
      </c>
      <c r="Q60" s="1236" t="n">
        <v>120</v>
      </c>
      <c r="R60" s="1236" t="n">
        <v>874.6</v>
      </c>
      <c r="S60" s="1236" t="n">
        <v>436.1</v>
      </c>
      <c r="T60" s="1248" t="n">
        <v>500</v>
      </c>
      <c r="U60" s="1240">
        <f>SUM(Q60:T60)</f>
        <v/>
      </c>
      <c r="V60" s="1240" t="n">
        <v>1267</v>
      </c>
      <c r="W60" s="1240" t="n">
        <v>1568</v>
      </c>
      <c r="X60" s="1240" t="n">
        <v>1838</v>
      </c>
      <c r="Y60" s="1240" t="n">
        <v>2050</v>
      </c>
    </row>
    <row r="61" ht="12.75" customFormat="1" customHeight="1" s="970">
      <c r="A61" s="1046" t="inlineStr">
        <is>
          <t>Total Profit Before Tax</t>
        </is>
      </c>
      <c r="B61" s="1249">
        <f>B58-B59-B60</f>
        <v/>
      </c>
      <c r="C61" s="1250">
        <f>C58-C59-C60</f>
        <v/>
      </c>
      <c r="D61" s="1250">
        <f>D58-D59-D60</f>
        <v/>
      </c>
      <c r="E61" s="1250">
        <f>E58-E59-E60</f>
        <v/>
      </c>
      <c r="F61" s="1251">
        <f>F58-F59-F60</f>
        <v/>
      </c>
      <c r="G61" s="1250">
        <f>G58-G59-G60</f>
        <v/>
      </c>
      <c r="H61" s="1250">
        <f>H58-H59-H60</f>
        <v/>
      </c>
      <c r="I61" s="1250">
        <f>SUM(I58:I60)</f>
        <v/>
      </c>
      <c r="J61" s="1250">
        <f>J58-J59-J60</f>
        <v/>
      </c>
      <c r="K61" s="1251">
        <f>SUM(G61:J61)</f>
        <v/>
      </c>
      <c r="L61" s="1250">
        <f>SUM(L59:L60)</f>
        <v/>
      </c>
      <c r="M61" s="1250">
        <f>SUM(M58:M60)</f>
        <v/>
      </c>
      <c r="N61" s="1250">
        <f>SUM(N58:N60)</f>
        <v/>
      </c>
      <c r="O61" s="1250">
        <f>SUM(O58:O60)</f>
        <v/>
      </c>
      <c r="P61" s="1251">
        <f>P58+P59+P60</f>
        <v/>
      </c>
      <c r="Q61" s="1250">
        <f>Q58+Q59-Q60</f>
        <v/>
      </c>
      <c r="R61" s="1250">
        <f>R58+R59-R60</f>
        <v/>
      </c>
      <c r="S61" s="1250">
        <f>SUM(S58:S60)</f>
        <v/>
      </c>
      <c r="T61" s="1252">
        <f>SUM(T58:T60)</f>
        <v/>
      </c>
      <c r="U61" s="1253">
        <f>U58+U59+U60</f>
        <v/>
      </c>
      <c r="V61" s="1253">
        <f>V58+V59+V60</f>
        <v/>
      </c>
      <c r="W61" s="1253">
        <f>W58+W59+W60</f>
        <v/>
      </c>
      <c r="X61" s="1253">
        <f>X58+X59+X60</f>
        <v/>
      </c>
      <c r="Y61" s="1253">
        <f>Y58+Y59+Y60</f>
        <v/>
      </c>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f>SUM(B65:E65)</f>
        <v/>
      </c>
      <c r="G65" s="1184" t="n">
        <v>457797</v>
      </c>
      <c r="H65" s="1184" t="n">
        <v>520280</v>
      </c>
      <c r="I65" s="1184" t="n">
        <v>0</v>
      </c>
      <c r="J65" s="1184" t="n">
        <v>0</v>
      </c>
      <c r="K65" s="1185">
        <f>SUM(G65:J65)</f>
        <v/>
      </c>
      <c r="L65" s="1184" t="n">
        <v>0</v>
      </c>
      <c r="M65" s="1184" t="n">
        <v>0</v>
      </c>
      <c r="N65" s="1184" t="n">
        <v>60216.6</v>
      </c>
      <c r="O65" s="1184" t="n">
        <v>67949</v>
      </c>
      <c r="P65" s="1185">
        <f>SUM(L65:O65)</f>
        <v/>
      </c>
      <c r="Q65" s="1184" t="n">
        <v>0</v>
      </c>
      <c r="R65" s="1184" t="n">
        <v>0</v>
      </c>
      <c r="S65" s="1255" t="n">
        <v>17144.8</v>
      </c>
      <c r="T65" s="1256" t="n">
        <v>19887</v>
      </c>
      <c r="U65" s="1217">
        <f>SUM(Q65:T65)</f>
        <v/>
      </c>
      <c r="V65" s="970" t="n"/>
      <c r="W65" s="970" t="n"/>
      <c r="X65" s="970" t="n"/>
      <c r="Y65" s="970" t="n"/>
    </row>
    <row r="66" ht="12" customFormat="1" customHeight="1" s="970">
      <c r="A66" s="1257" t="inlineStr">
        <is>
          <t>Petrochemicals</t>
        </is>
      </c>
      <c r="B66" s="1258" t="n">
        <v>194855</v>
      </c>
      <c r="C66" s="970" t="n">
        <v>193493</v>
      </c>
      <c r="D66" s="970" t="n">
        <v>190702</v>
      </c>
      <c r="E66" s="970" t="n">
        <v>191284</v>
      </c>
      <c r="F66" s="1155">
        <f>SUM(B66:E66)</f>
        <v/>
      </c>
      <c r="G66" s="970" t="n">
        <v>182821</v>
      </c>
      <c r="H66" s="970" t="n">
        <v>183124</v>
      </c>
      <c r="I66" s="970" t="n">
        <v>20330.5</v>
      </c>
      <c r="J66" s="970" t="n">
        <v>200207</v>
      </c>
      <c r="K66" s="1155">
        <f>SUM(G66:J66)</f>
        <v/>
      </c>
      <c r="L66" s="970" t="n">
        <v>18856.4</v>
      </c>
      <c r="M66" s="970" t="n">
        <v>19512.3</v>
      </c>
      <c r="N66" s="970" t="n">
        <v>18433.1</v>
      </c>
      <c r="O66" s="970" t="n">
        <v>19918.3</v>
      </c>
      <c r="P66" s="1155">
        <f>SUM(L66:O66)</f>
        <v/>
      </c>
      <c r="Q66" s="970" t="n">
        <v>18737.9</v>
      </c>
      <c r="R66" s="970" t="n">
        <v>18359.4</v>
      </c>
      <c r="S66" s="1259" t="n">
        <v>9274.299999999999</v>
      </c>
      <c r="T66" s="1260" t="n">
        <v>10987</v>
      </c>
      <c r="U66" s="1217">
        <f>SUM(Q66:T66)</f>
        <v/>
      </c>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f>SUM(B67:E67)</f>
        <v/>
      </c>
      <c r="G67" s="970" t="n">
        <v>101411</v>
      </c>
      <c r="H67" s="970" t="n">
        <v>108037</v>
      </c>
      <c r="I67" s="970" t="n">
        <v>9357.1</v>
      </c>
      <c r="J67" s="970" t="n">
        <v>103522</v>
      </c>
      <c r="K67" s="1155">
        <f>SUM(G67:J67)</f>
        <v/>
      </c>
      <c r="L67" s="970" t="n">
        <v>11581</v>
      </c>
      <c r="M67" s="970" t="n">
        <v>11593.5</v>
      </c>
      <c r="N67" s="970" t="n">
        <v>7791.2</v>
      </c>
      <c r="O67" s="970" t="n">
        <v>12155.6</v>
      </c>
      <c r="P67" s="1155">
        <f>SUM(L67:O67)</f>
        <v/>
      </c>
      <c r="Q67" s="970" t="n">
        <v>10886.3</v>
      </c>
      <c r="R67" s="970" t="n">
        <v>7302.7</v>
      </c>
      <c r="S67" s="1259" t="n">
        <v>176.2</v>
      </c>
      <c r="T67" s="1260" t="n">
        <v>6785</v>
      </c>
      <c r="U67" s="1217">
        <f>SUM(Q67:T67)</f>
        <v/>
      </c>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f>SUM(B68:E68)</f>
        <v/>
      </c>
      <c r="G68" s="970" t="n">
        <v>0</v>
      </c>
      <c r="H68" s="970" t="n">
        <v>0</v>
      </c>
      <c r="I68" s="970" t="n">
        <v>52394.8</v>
      </c>
      <c r="J68" s="970" t="n">
        <v>541615</v>
      </c>
      <c r="K68" s="1155">
        <f>SUM(G68:J68)</f>
        <v/>
      </c>
      <c r="L68" s="970" t="n">
        <v>56944.6</v>
      </c>
      <c r="M68" s="970" t="n">
        <v>57307.7</v>
      </c>
      <c r="N68" s="970" t="n">
        <v>0</v>
      </c>
      <c r="O68" s="970" t="n">
        <v>0</v>
      </c>
      <c r="P68" s="1155">
        <f>SUM(L68:O68)</f>
        <v/>
      </c>
      <c r="Q68" s="970" t="n">
        <v>61582.8</v>
      </c>
      <c r="R68" s="970" t="n">
        <v>66150.5</v>
      </c>
      <c r="S68" s="1259" t="n">
        <v>66245</v>
      </c>
      <c r="T68" s="1260" t="n">
        <v>67543</v>
      </c>
      <c r="U68" s="1217">
        <f>SUM(Q68:T68)</f>
        <v/>
      </c>
      <c r="V68" s="970" t="n"/>
      <c r="W68" s="970" t="n"/>
      <c r="X68" s="970" t="n"/>
      <c r="Y68" s="970" t="n"/>
    </row>
    <row r="69" ht="12" customFormat="1" customHeight="1" s="970">
      <c r="A69" s="1257" t="inlineStr">
        <is>
          <t>Others</t>
        </is>
      </c>
      <c r="B69" s="1258" t="n">
        <v>0</v>
      </c>
      <c r="C69" s="970" t="n">
        <v>0</v>
      </c>
      <c r="D69" s="970" t="n">
        <v>0</v>
      </c>
      <c r="E69" s="970" t="n">
        <v>0</v>
      </c>
      <c r="F69" s="1155">
        <f>SUM(B69:E69)</f>
        <v/>
      </c>
      <c r="G69" s="970" t="n">
        <v>0</v>
      </c>
      <c r="H69" s="970" t="n">
        <v>385851</v>
      </c>
      <c r="I69" s="970" t="n">
        <v>0</v>
      </c>
      <c r="J69" s="970" t="n">
        <v>380383</v>
      </c>
      <c r="K69" s="1155">
        <f>SUM(G69:J69)</f>
        <v/>
      </c>
      <c r="L69" s="970" t="n">
        <v>67516.8</v>
      </c>
      <c r="M69" s="970" t="n">
        <v>76518.39999999999</v>
      </c>
      <c r="N69" s="970" t="n">
        <v>81004.39999999999</v>
      </c>
      <c r="O69" s="970" t="n">
        <v>-1042.3</v>
      </c>
      <c r="P69" s="1155">
        <f>SUM(L69:O69)</f>
        <v/>
      </c>
      <c r="Q69" s="970" t="n">
        <v>-938.9</v>
      </c>
      <c r="R69" s="970" t="n">
        <v>-792.8</v>
      </c>
      <c r="S69" s="1259" t="n">
        <v>94070.89999999999</v>
      </c>
      <c r="T69" s="1261" t="n">
        <v>77755</v>
      </c>
      <c r="U69" s="1217">
        <f>SUM(Q69:T69)</f>
        <v/>
      </c>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f>SUM(B70:E70)</f>
        <v/>
      </c>
      <c r="G70" s="970" t="n">
        <v>102776</v>
      </c>
      <c r="H70" s="970" t="n">
        <v>101090</v>
      </c>
      <c r="I70" s="970" t="n">
        <v>9966.6</v>
      </c>
      <c r="J70" s="970" t="n">
        <v>98831</v>
      </c>
      <c r="K70" s="1155">
        <f>SUM(G70:J70)</f>
        <v/>
      </c>
      <c r="L70" s="970" t="n">
        <v>9526.5</v>
      </c>
      <c r="M70" s="970" t="n">
        <v>9510.299999999999</v>
      </c>
      <c r="N70" s="970" t="n">
        <v>9408.799999999999</v>
      </c>
      <c r="O70" s="970" t="n">
        <v>9526.299999999999</v>
      </c>
      <c r="P70" s="1155">
        <f>SUM(L70:O70)</f>
        <v/>
      </c>
      <c r="Q70" s="970" t="n">
        <v>8934.1</v>
      </c>
      <c r="R70" s="970" t="n">
        <v>8935.200000000001</v>
      </c>
      <c r="S70" s="1259" t="n">
        <v>8507.4</v>
      </c>
      <c r="T70" s="1260" t="n">
        <v>8655</v>
      </c>
      <c r="U70" s="1217">
        <f>SUM(Q70:T70)</f>
        <v/>
      </c>
      <c r="V70" s="970" t="n"/>
      <c r="W70" s="970" t="n"/>
      <c r="X70" s="970" t="n"/>
      <c r="Y70" s="970" t="n"/>
    </row>
    <row r="71" ht="12" customFormat="1" customHeight="1" s="970">
      <c r="A71" s="1257" t="inlineStr">
        <is>
          <t>Gailtel</t>
        </is>
      </c>
      <c r="B71" s="1258" t="n">
        <v>3055</v>
      </c>
      <c r="C71" s="970" t="n">
        <v>3078</v>
      </c>
      <c r="D71" s="970" t="n">
        <v>2934</v>
      </c>
      <c r="E71" s="970" t="n">
        <v>4745</v>
      </c>
      <c r="F71" s="1155">
        <f>SUM(B71:E71)</f>
        <v/>
      </c>
      <c r="G71" s="970" t="n">
        <v>4427</v>
      </c>
      <c r="H71" s="970" t="n">
        <v>4335</v>
      </c>
      <c r="I71" s="970" t="n">
        <v>406.9</v>
      </c>
      <c r="J71" s="970" t="n">
        <v>3732</v>
      </c>
      <c r="K71" s="1155">
        <f>SUM(G71:J71)</f>
        <v/>
      </c>
      <c r="L71" s="970" t="n">
        <v>358.7</v>
      </c>
      <c r="M71" s="970" t="n">
        <v>279</v>
      </c>
      <c r="N71" s="970" t="n">
        <v>301.3</v>
      </c>
      <c r="O71" s="970" t="n">
        <v>301.7</v>
      </c>
      <c r="P71" s="1155">
        <f>SUM(L71:O71)</f>
        <v/>
      </c>
      <c r="Q71" s="970" t="n">
        <v>259</v>
      </c>
      <c r="R71" s="970" t="n">
        <v>238.2</v>
      </c>
      <c r="S71" s="1259" t="n">
        <v>-860.7</v>
      </c>
      <c r="T71" s="1262" t="n">
        <v>250</v>
      </c>
      <c r="U71" s="1217">
        <f>SUM(Q71:T71)</f>
        <v/>
      </c>
      <c r="V71" s="970" t="n"/>
      <c r="W71" s="970" t="n"/>
      <c r="X71" s="970" t="n"/>
      <c r="Y71" s="970" t="n"/>
    </row>
    <row r="72" ht="12" customFormat="1" customHeight="1" s="970">
      <c r="A72" s="1263" t="inlineStr">
        <is>
          <t>Total</t>
        </is>
      </c>
      <c r="B72" s="1264">
        <f>SUM(B65:B71)</f>
        <v/>
      </c>
      <c r="C72" s="1222">
        <f>SUM(C66:C71)</f>
        <v/>
      </c>
      <c r="D72" s="1222">
        <f>SUM(D65:D71)</f>
        <v/>
      </c>
      <c r="E72" s="1222">
        <f>SUM(E65:E71)</f>
        <v/>
      </c>
      <c r="F72" s="1265">
        <f>F65+F66+F67+F68+F69+F70+F71</f>
        <v/>
      </c>
      <c r="G72" s="1222">
        <f>SUM(G65:G71)</f>
        <v/>
      </c>
      <c r="H72" s="1222">
        <f>SUM(H65:H71)</f>
        <v/>
      </c>
      <c r="I72" s="1222">
        <f>SUM(I65:I71)</f>
        <v/>
      </c>
      <c r="J72" s="1222">
        <f>SUM(J65:J71)</f>
        <v/>
      </c>
      <c r="K72" s="1265">
        <f>K65+K66+K67+K68+K69+K70+K71</f>
        <v/>
      </c>
      <c r="L72" s="1222">
        <f>SUM(L66:L71)</f>
        <v/>
      </c>
      <c r="M72" s="1222">
        <f>SUM(M66:M71)</f>
        <v/>
      </c>
      <c r="N72" s="1222">
        <f>SUM(N65:N71)</f>
        <v/>
      </c>
      <c r="O72" s="1222">
        <f>SUM(O65:O71)</f>
        <v/>
      </c>
      <c r="P72" s="1265">
        <f>P65+P66+P67+P68+P69+P70+P71</f>
        <v/>
      </c>
      <c r="Q72" s="1222">
        <f>SUM(Q65:Q71)</f>
        <v/>
      </c>
      <c r="R72" s="1222">
        <f>SUM(R65:R71)</f>
        <v/>
      </c>
      <c r="S72" s="1266">
        <f>SUM(S65:S71)</f>
        <v/>
      </c>
      <c r="T72" s="1260">
        <f>SUM(T65:T71)</f>
        <v/>
      </c>
      <c r="U72" s="1217">
        <f>SUM(Q72:T72)</f>
        <v/>
      </c>
      <c r="V72" s="970" t="n"/>
      <c r="W72" s="970" t="n"/>
      <c r="X72" s="970" t="n"/>
      <c r="Y72" s="970" t="n"/>
    </row>
    <row r="73" ht="11.25" customFormat="1" customHeight="1" s="970">
      <c r="A73" s="1257" t="inlineStr">
        <is>
          <t>Other Unallocable Items</t>
        </is>
      </c>
      <c r="B73" s="1258" t="n">
        <v>0</v>
      </c>
      <c r="C73" s="970" t="n">
        <v>0</v>
      </c>
      <c r="D73" s="970" t="n">
        <v>0</v>
      </c>
      <c r="E73" s="970" t="n">
        <v>0</v>
      </c>
      <c r="F73" s="1155">
        <f>SUM(B73:E73)</f>
        <v/>
      </c>
      <c r="G73" s="970" t="n">
        <v>0</v>
      </c>
      <c r="H73" s="970" t="n">
        <v>0</v>
      </c>
      <c r="I73" s="970" t="n">
        <v>41099.5</v>
      </c>
      <c r="J73" s="970" t="n">
        <v>0</v>
      </c>
      <c r="K73" s="1155">
        <f>SUM(G73:J73)</f>
        <v/>
      </c>
      <c r="L73" s="970" t="n">
        <v>0</v>
      </c>
      <c r="M73" s="970" t="n">
        <v>0</v>
      </c>
      <c r="N73" s="970" t="n">
        <v>0</v>
      </c>
      <c r="O73" s="970" t="n">
        <v>64148.3</v>
      </c>
      <c r="P73" s="1155">
        <f>SUM(L73:O73)</f>
        <v/>
      </c>
      <c r="Q73" s="970" t="n">
        <v>79778.5</v>
      </c>
      <c r="R73" s="970" t="n">
        <v>87698.3</v>
      </c>
      <c r="S73" s="1259" t="n">
        <v>0</v>
      </c>
      <c r="T73" s="1267" t="n">
        <v>0</v>
      </c>
      <c r="U73" s="1217">
        <f>SUM(Q73:T73)</f>
        <v/>
      </c>
      <c r="V73" s="970" t="n"/>
      <c r="W73" s="970" t="n"/>
      <c r="X73" s="970" t="n"/>
      <c r="Y73" s="970" t="n"/>
    </row>
    <row r="74" ht="12" customFormat="1" customHeight="1" s="970">
      <c r="A74" s="1268" t="inlineStr">
        <is>
          <t>Total</t>
        </is>
      </c>
      <c r="B74" s="1264">
        <f>SUM(B72:B73)</f>
        <v/>
      </c>
      <c r="C74" s="1222">
        <f>SUM(C72:C73)</f>
        <v/>
      </c>
      <c r="D74" s="1222">
        <f>SUM(D72:D73)</f>
        <v/>
      </c>
      <c r="E74" s="1222">
        <f>SUM(E72:E73)</f>
        <v/>
      </c>
      <c r="F74" s="1265">
        <f>B74+C74+D74+E74</f>
        <v/>
      </c>
      <c r="G74" s="1222">
        <f>G72+G73</f>
        <v/>
      </c>
      <c r="H74" s="1222">
        <f>SUM(H72:H73)</f>
        <v/>
      </c>
      <c r="I74" s="1222">
        <f>SUM(I72:I73)</f>
        <v/>
      </c>
      <c r="J74" s="1222">
        <f>SUM(J72:J73)</f>
        <v/>
      </c>
      <c r="K74" s="1265">
        <f>K72+K73</f>
        <v/>
      </c>
      <c r="L74" s="1222">
        <f>SUM(L72:L73)</f>
        <v/>
      </c>
      <c r="M74" s="1222">
        <f>SUM(M72:M73)</f>
        <v/>
      </c>
      <c r="N74" s="1222">
        <f>SUM(N72:N73)</f>
        <v/>
      </c>
      <c r="O74" s="1222">
        <f>SUM(O72:O73)</f>
        <v/>
      </c>
      <c r="P74" s="1265">
        <f>P72+P73</f>
        <v/>
      </c>
      <c r="Q74" s="1222">
        <f>SUM(Q72:Q73)</f>
        <v/>
      </c>
      <c r="R74" s="1222">
        <f>SUM(R72:R73)</f>
        <v/>
      </c>
      <c r="S74" s="1266">
        <f>SUM(S72:S73)</f>
        <v/>
      </c>
      <c r="T74" s="1269">
        <f>SUM(T72:T73)</f>
        <v/>
      </c>
      <c r="U74" s="1270">
        <f>SUM(U72:U73)</f>
        <v/>
      </c>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G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f>B6+C6</f>
        <v/>
      </c>
      <c r="E6" s="1315" t="n">
        <v>510622</v>
      </c>
      <c r="F6" s="1315">
        <f>D6+E6</f>
        <v/>
      </c>
      <c r="G6" s="1315" t="n">
        <v>388340</v>
      </c>
      <c r="H6" s="1317" t="n">
        <v>1604718</v>
      </c>
      <c r="I6" s="1315" t="n">
        <v>424568</v>
      </c>
      <c r="J6" s="1315" t="n">
        <v>452890</v>
      </c>
      <c r="K6" s="1315">
        <f>I6+J6</f>
        <v/>
      </c>
      <c r="L6" s="1315" t="n">
        <v>429833</v>
      </c>
      <c r="M6" s="1315">
        <f>K6+L6</f>
        <v/>
      </c>
      <c r="N6" s="1315" t="n">
        <v>493529</v>
      </c>
      <c r="O6" s="1317">
        <f>M6+N6</f>
        <v/>
      </c>
      <c r="P6" s="1315" t="n">
        <v>573071</v>
      </c>
      <c r="Q6" s="1315" t="n">
        <v>617261</v>
      </c>
      <c r="R6" s="1315">
        <f>P6+Q6</f>
        <v/>
      </c>
      <c r="S6" s="1315" t="n">
        <v>581602</v>
      </c>
      <c r="T6" s="1315">
        <f>R6+S6</f>
        <v/>
      </c>
      <c r="U6" s="1315" t="n">
        <v>623395</v>
      </c>
      <c r="V6" s="1317" t="n">
        <v>2377595</v>
      </c>
      <c r="W6" s="1315" t="n">
        <v>604133</v>
      </c>
      <c r="X6" s="1315" t="n">
        <v>622434</v>
      </c>
      <c r="Y6" s="1315">
        <f>W6+X6</f>
        <v/>
      </c>
      <c r="Z6" s="1315" t="n">
        <v>620571</v>
      </c>
      <c r="AA6" s="1315">
        <f>Y6+Z6</f>
        <v/>
      </c>
      <c r="AB6" s="1315" t="n">
        <v>625000</v>
      </c>
      <c r="AC6" s="1317">
        <f>AA6+AB6</f>
        <v/>
      </c>
      <c r="AD6" s="1315" t="n">
        <v>3263222.2</v>
      </c>
      <c r="AE6" s="1315" t="n">
        <v>4405349.97</v>
      </c>
      <c r="AF6" s="1318" t="n">
        <v>6167490</v>
      </c>
      <c r="AG6" s="1318" t="n">
        <v>8942860</v>
      </c>
    </row>
    <row r="7" ht="15" customFormat="1" customHeight="1" s="1319">
      <c r="A7" s="1320" t="inlineStr">
        <is>
          <t>% full year</t>
        </is>
      </c>
      <c r="B7" s="1321">
        <f>B6/$H6*100</f>
        <v/>
      </c>
      <c r="C7" s="1321">
        <f>C6/$H6*100</f>
        <v/>
      </c>
      <c r="D7" s="1321">
        <f>D6/$H6*100</f>
        <v/>
      </c>
      <c r="E7" s="1321">
        <f>E6/$H6*100</f>
        <v/>
      </c>
      <c r="F7" s="1321">
        <f>F6/$H6*100</f>
        <v/>
      </c>
      <c r="G7" s="1321">
        <f>G6/$H6*100</f>
        <v/>
      </c>
      <c r="H7" s="1322">
        <f>F7+G7</f>
        <v/>
      </c>
      <c r="I7" s="1321">
        <f>I6/O6*100</f>
        <v/>
      </c>
      <c r="J7" s="1321">
        <f>J6/$O6*100</f>
        <v/>
      </c>
      <c r="K7" s="1321">
        <f>K6/$O6*100</f>
        <v/>
      </c>
      <c r="L7" s="1321">
        <f>L6/$O6*100</f>
        <v/>
      </c>
      <c r="M7" s="1321">
        <f>M6/$O6*100</f>
        <v/>
      </c>
      <c r="N7" s="1321">
        <f>N6/$O6*100</f>
        <v/>
      </c>
      <c r="O7" s="1322">
        <f>M7+N7</f>
        <v/>
      </c>
      <c r="P7" s="1321">
        <f>P6/$V6*100</f>
        <v/>
      </c>
      <c r="Q7" s="1321">
        <f>Q6/$V6*100</f>
        <v/>
      </c>
      <c r="R7" s="1321">
        <f>R6/$V6*100</f>
        <v/>
      </c>
      <c r="S7" s="1321">
        <f>S6/$V6*100</f>
        <v/>
      </c>
      <c r="T7" s="1321">
        <f>T6/$V6*100</f>
        <v/>
      </c>
      <c r="U7" s="1321">
        <f>U6/$V6*100</f>
        <v/>
      </c>
      <c r="V7" s="1322">
        <f>T7+U7</f>
        <v/>
      </c>
      <c r="W7" s="1321">
        <f>W6/$AC6*100</f>
        <v/>
      </c>
      <c r="X7" s="1321">
        <f>X6/$AC6*100</f>
        <v/>
      </c>
      <c r="Y7" s="1321">
        <f>Y6/$AC6*100</f>
        <v/>
      </c>
      <c r="Z7" s="1321">
        <f>Z6/$AC6*100</f>
        <v/>
      </c>
      <c r="AA7" s="1321">
        <f>AA6/$AC6*100</f>
        <v/>
      </c>
      <c r="AB7" s="1321">
        <f>AB6/$AC6*100</f>
        <v/>
      </c>
      <c r="AC7" s="1323">
        <f>AA7+AB7</f>
        <v/>
      </c>
      <c r="AD7" s="1324" t="n"/>
      <c r="AE7" s="1324" t="n"/>
      <c r="AF7" s="1325" t="n"/>
      <c r="AG7" s="1325" t="n"/>
    </row>
    <row r="8" ht="15" customFormat="1" customHeight="1" s="1319">
      <c r="A8" s="1326" t="inlineStr">
        <is>
          <t>% growth y-o-y</t>
        </is>
      </c>
      <c r="B8" s="1321" t="n"/>
      <c r="C8" s="1321" t="n"/>
      <c r="D8" s="1321" t="n"/>
      <c r="E8" s="1321" t="n"/>
      <c r="F8" s="1321" t="n"/>
      <c r="G8" s="1321" t="n"/>
      <c r="H8" s="1322">
        <f>(H6/#REF!-1)*100</f>
        <v/>
      </c>
      <c r="I8" s="1321">
        <f>(I6/B6-1)*100</f>
        <v/>
      </c>
      <c r="J8" s="1321">
        <f>(J6/C6-1)*100</f>
        <v/>
      </c>
      <c r="K8" s="1321">
        <f>(L6/D6-1)*100</f>
        <v/>
      </c>
      <c r="L8" s="1321">
        <f>L6/E6-1*100</f>
        <v/>
      </c>
      <c r="M8" s="1321">
        <f>(M6/F6-1)*100</f>
        <v/>
      </c>
      <c r="N8" s="1321">
        <f>(N6/G6-1)*100</f>
        <v/>
      </c>
      <c r="O8" s="1323">
        <f>(O6/H6-1)*100</f>
        <v/>
      </c>
      <c r="P8" s="1321">
        <f>(P6/I6-1)*100</f>
        <v/>
      </c>
      <c r="Q8" s="1321">
        <f>(Q6/J6-1)*100</f>
        <v/>
      </c>
      <c r="R8" s="1321">
        <f>(R6/L6-1)*100</f>
        <v/>
      </c>
      <c r="S8" s="1321">
        <f>(S6/L6-1)*100</f>
        <v/>
      </c>
      <c r="T8" s="1321">
        <f>(T6/M6-1)*100</f>
        <v/>
      </c>
      <c r="U8" s="1321">
        <f>(U6/N6-1)*100</f>
        <v/>
      </c>
      <c r="V8" s="1322">
        <f>(V6/O6-1)*100</f>
        <v/>
      </c>
      <c r="W8" s="1321">
        <f>(W6/P6-1)*100</f>
        <v/>
      </c>
      <c r="X8" s="1321">
        <f>(X6/Q6-1)*100</f>
        <v/>
      </c>
      <c r="Y8" s="1321">
        <f>(Y6/R6-1)*100</f>
        <v/>
      </c>
      <c r="Z8" s="1321">
        <f>(Z6/S6-1)*100</f>
        <v/>
      </c>
      <c r="AA8" s="1321">
        <f>(AA6/T6-1)*100</f>
        <v/>
      </c>
      <c r="AB8" s="1327">
        <f>(AB6/U6-1)*100</f>
        <v/>
      </c>
      <c r="AC8" s="1323">
        <f>(AC6/V6-1)*100</f>
        <v/>
      </c>
      <c r="AD8" s="1328">
        <f>(AD6/AC6-1)*100</f>
        <v/>
      </c>
      <c r="AE8" s="1328">
        <f>(AE6/AD6-1)*100</f>
        <v/>
      </c>
      <c r="AF8" s="1328">
        <f>(AF6/AE6-1)*100</f>
        <v/>
      </c>
      <c r="AG8" s="1328">
        <f>(AG6/AF6-1)*100</f>
        <v/>
      </c>
    </row>
    <row r="9" ht="15" customFormat="1" customHeight="1" s="1319">
      <c r="A9" s="1329" t="inlineStr">
        <is>
          <t>% growth q-o-q</t>
        </is>
      </c>
      <c r="B9" s="1321" t="n"/>
      <c r="C9" s="1321">
        <f>(C6/B6-1)*100</f>
        <v/>
      </c>
      <c r="D9" s="1321" t="n"/>
      <c r="E9" s="1321">
        <f>(E6/C6-1)*100</f>
        <v/>
      </c>
      <c r="F9" s="1321" t="n"/>
      <c r="G9" s="1321">
        <f>(G6/E6-1)*100</f>
        <v/>
      </c>
      <c r="H9" s="1322" t="n"/>
      <c r="I9" s="1321">
        <f>(I6/G6-1)*100</f>
        <v/>
      </c>
      <c r="J9" s="1321">
        <f>(J6/I6-1)*100</f>
        <v/>
      </c>
      <c r="K9" s="1321" t="n"/>
      <c r="L9" s="1321">
        <f>(L6/J6-1)*100</f>
        <v/>
      </c>
      <c r="M9" s="1321" t="n"/>
      <c r="N9" s="1321">
        <f>(N6/L6-1)*100</f>
        <v/>
      </c>
      <c r="O9" s="1322" t="n"/>
      <c r="P9" s="1321">
        <f>(P6/N6-1)*100</f>
        <v/>
      </c>
      <c r="Q9" s="1321">
        <f>(Q6/P6-1)*100</f>
        <v/>
      </c>
      <c r="R9" s="1321" t="n"/>
      <c r="S9" s="1321">
        <f>(S6/Q6-1)*100</f>
        <v/>
      </c>
      <c r="T9" s="1321" t="n"/>
      <c r="U9" s="1321">
        <f>(U6/S6-1)*100</f>
        <v/>
      </c>
      <c r="V9" s="1322" t="n"/>
      <c r="W9" s="1321">
        <f>(W6/U6-1)*100</f>
        <v/>
      </c>
      <c r="X9" s="1321">
        <f>(X6/W6-1)*100</f>
        <v/>
      </c>
      <c r="Y9" s="1321" t="n"/>
      <c r="Z9" s="1321">
        <f>(Z6/X6-1)*100</f>
        <v/>
      </c>
      <c r="AA9" s="1321" t="n"/>
      <c r="AB9" s="1327">
        <f>(AB6/Z6-1)*100</f>
        <v/>
      </c>
      <c r="AC9" s="1330" t="n"/>
      <c r="AD9" s="1325" t="n"/>
      <c r="AE9" s="1325" t="n"/>
      <c r="AF9" s="1325" t="n"/>
      <c r="AG9" s="1325" t="n"/>
    </row>
    <row r="10" ht="15" customFormat="1" customHeight="1" s="1118">
      <c r="A10" s="1331" t="inlineStr">
        <is>
          <t>Total Expenditure</t>
        </is>
      </c>
      <c r="B10" s="1332">
        <f>B11+B13+B15+B17+B19</f>
        <v/>
      </c>
      <c r="C10" s="1332">
        <f>C11+C13+C15+C17+C19</f>
        <v/>
      </c>
      <c r="D10" s="1332">
        <f>D11+D13+D15+D17+D19</f>
        <v/>
      </c>
      <c r="E10" s="1332">
        <f>E11+E13+E15+E17+E19</f>
        <v/>
      </c>
      <c r="F10" s="1332">
        <f>F11+F13+F15+F17+F19</f>
        <v/>
      </c>
      <c r="G10" s="1332">
        <f>G11+G13+G15+G17+G19</f>
        <v/>
      </c>
      <c r="H10" s="1333">
        <f>H11+H13+H17+H15</f>
        <v/>
      </c>
      <c r="I10" s="1332">
        <f>I11+I13+I17+I15+I51</f>
        <v/>
      </c>
      <c r="J10" s="1332">
        <f>J11+J13+J17+J15+J19</f>
        <v/>
      </c>
      <c r="K10" s="1332" t="n">
        <v>39178</v>
      </c>
      <c r="L10" s="1332">
        <f>L11+L13+L17+L15+L19</f>
        <v/>
      </c>
      <c r="M10" s="1332">
        <f>M11+M13+M17+M15+M19</f>
        <v/>
      </c>
      <c r="N10" s="1332">
        <f>N11+N13+N17+N15+N19</f>
        <v/>
      </c>
      <c r="O10" s="1333">
        <f>O11+O13+O17+O15+O19</f>
        <v/>
      </c>
      <c r="P10" s="1332">
        <f>P11+P13+P17+P15+P19</f>
        <v/>
      </c>
      <c r="Q10" s="1332">
        <f>Q11+Q13+U17+Q15+Q19</f>
        <v/>
      </c>
      <c r="R10" s="1332">
        <f>R11+R13+R17+R15+R19</f>
        <v/>
      </c>
      <c r="S10" s="1332">
        <f>S11+S13+S15+S17+S19</f>
        <v/>
      </c>
      <c r="T10" s="1332">
        <f>T11+T13+T17+T15+T19</f>
        <v/>
      </c>
      <c r="U10" s="1332">
        <f>U11+U13+U17+U15+U19</f>
        <v/>
      </c>
      <c r="V10" s="1333">
        <f>V11+V13+V17+V15+V19</f>
        <v/>
      </c>
      <c r="W10" s="1332">
        <f>W11+W13+W17+W15+W19</f>
        <v/>
      </c>
      <c r="X10" s="1332">
        <f>X11+X13+X17+X15+X19</f>
        <v/>
      </c>
      <c r="Y10" s="1332">
        <f>Y11+Y13+Y17+Y15+Y19</f>
        <v/>
      </c>
      <c r="Z10" s="1332">
        <f>Z11+Z13+Z17+Z15+Z19</f>
        <v/>
      </c>
      <c r="AA10" s="1332">
        <f>AA11+AA13+AA17+AA15+AA19</f>
        <v/>
      </c>
      <c r="AB10" s="1332">
        <f>AB11+AB13+AB17+AB15+AB19</f>
        <v/>
      </c>
      <c r="AC10" s="1333">
        <f>AC11+AC13+AC17+AC15+AC19</f>
        <v/>
      </c>
      <c r="AD10" s="1332">
        <f>AD11+AD13+AD15+AD17+AD19</f>
        <v/>
      </c>
      <c r="AE10" s="1332">
        <f>AE11+AE13+AE15+AE17+AE19</f>
        <v/>
      </c>
      <c r="AF10" s="1332">
        <f>AF11+AF13+AF15+AF17+AF19</f>
        <v/>
      </c>
      <c r="AG10" s="1332">
        <f>AG11+AG13+AG15+AG17+AG19</f>
        <v/>
      </c>
    </row>
    <row r="11" ht="15" customHeight="1" s="850">
      <c r="A11" s="1334" t="inlineStr">
        <is>
          <t>(Increase) / Decrease In Stock In Trade &amp; WIP</t>
        </is>
      </c>
      <c r="B11" s="1335" t="n">
        <v>13288</v>
      </c>
      <c r="C11" s="1335" t="n">
        <v>-27170</v>
      </c>
      <c r="D11" s="1335">
        <f>B11+C11</f>
        <v/>
      </c>
      <c r="E11" s="1335" t="n">
        <v>-5883</v>
      </c>
      <c r="F11" s="1335">
        <f>D11+E11</f>
        <v/>
      </c>
      <c r="G11" s="1335" t="n">
        <v>28380</v>
      </c>
      <c r="H11" s="1336" t="n">
        <v>-7526</v>
      </c>
      <c r="I11" s="1335" t="n">
        <v>322</v>
      </c>
      <c r="J11" s="1335" t="n">
        <v>-563</v>
      </c>
      <c r="K11" s="1335">
        <f>I11+J11</f>
        <v/>
      </c>
      <c r="L11" s="1335" t="n">
        <v>5466</v>
      </c>
      <c r="M11" s="1335">
        <f>K11+L11</f>
        <v/>
      </c>
      <c r="N11" s="1335" t="n">
        <v>-8213</v>
      </c>
      <c r="O11" s="1336">
        <f>M11+N11</f>
        <v/>
      </c>
      <c r="P11" s="1335" t="n">
        <v>2858</v>
      </c>
      <c r="Q11" s="1335" t="n">
        <v>-7349</v>
      </c>
      <c r="R11" s="1335">
        <f>P11+Q11</f>
        <v/>
      </c>
      <c r="S11" s="1335" t="n">
        <v>6256</v>
      </c>
      <c r="T11" s="1335">
        <f>R11+S11</f>
        <v/>
      </c>
      <c r="U11" s="1335" t="n">
        <v>2265</v>
      </c>
      <c r="V11" s="1336" t="n">
        <v>500</v>
      </c>
      <c r="W11" s="1335" t="n">
        <v>3839</v>
      </c>
      <c r="X11" s="1335" t="n">
        <v>1354</v>
      </c>
      <c r="Y11" s="1335">
        <f>W11+X11</f>
        <v/>
      </c>
      <c r="Z11" s="1335" t="n">
        <v>849</v>
      </c>
      <c r="AA11" s="1335">
        <f>Y11+Z11</f>
        <v/>
      </c>
      <c r="AB11" s="1337" t="n">
        <v>1000</v>
      </c>
      <c r="AC11" s="1338">
        <f>AA11+AB11</f>
        <v/>
      </c>
      <c r="AD11" s="1339">
        <f>AD6*AD12%</f>
        <v/>
      </c>
      <c r="AE11" s="1339">
        <f>AE6*AE12%</f>
        <v/>
      </c>
      <c r="AF11" s="1339">
        <f>AF6*AF12%</f>
        <v/>
      </c>
      <c r="AG11" s="1339">
        <f>AG6*AG12%</f>
        <v/>
      </c>
    </row>
    <row r="12" ht="15" customFormat="1" customHeight="1" s="1319">
      <c r="A12" s="1326" t="inlineStr">
        <is>
          <t>% of Revenue</t>
        </is>
      </c>
      <c r="B12" s="1321">
        <f>B11/B$6%</f>
        <v/>
      </c>
      <c r="C12" s="1321">
        <f>C11/C$6%</f>
        <v/>
      </c>
      <c r="D12" s="1321">
        <f>D11/D$6%</f>
        <v/>
      </c>
      <c r="E12" s="1321">
        <f>E11/E$6%</f>
        <v/>
      </c>
      <c r="F12" s="1321">
        <f>F11/F$6%</f>
        <v/>
      </c>
      <c r="G12" s="1321">
        <f>G11/G$6%</f>
        <v/>
      </c>
      <c r="H12" s="1322">
        <f>H11/H$6%</f>
        <v/>
      </c>
      <c r="I12" s="1321">
        <f>I11/I$6%</f>
        <v/>
      </c>
      <c r="J12" s="1321">
        <f>J11/J$6%</f>
        <v/>
      </c>
      <c r="K12" s="1321">
        <f>K11/L$6%</f>
        <v/>
      </c>
      <c r="L12" s="1321">
        <f>L11/L6%</f>
        <v/>
      </c>
      <c r="M12" s="1321">
        <f>M11/M$6%</f>
        <v/>
      </c>
      <c r="N12" s="1321">
        <f>N11/N$6%</f>
        <v/>
      </c>
      <c r="O12" s="1322">
        <f>O11/O$6%</f>
        <v/>
      </c>
      <c r="P12" s="1321">
        <f>P11/P$6%</f>
        <v/>
      </c>
      <c r="Q12" s="1321">
        <f>Q11/Q$6%</f>
        <v/>
      </c>
      <c r="R12" s="1340">
        <f>R11/R$6%</f>
        <v/>
      </c>
      <c r="S12" s="1321">
        <f>S11/S$6%</f>
        <v/>
      </c>
      <c r="T12" s="1327">
        <f>T11/T$6%</f>
        <v/>
      </c>
      <c r="U12" s="1340">
        <f>U11/U$6%</f>
        <v/>
      </c>
      <c r="V12" s="1322">
        <f>V11/V$6%</f>
        <v/>
      </c>
      <c r="W12" s="1321">
        <f>(W11/W6)*100</f>
        <v/>
      </c>
      <c r="X12" s="1327">
        <f>X11/X$6%</f>
        <v/>
      </c>
      <c r="Y12" s="1327">
        <f>Y11/Y$6%</f>
        <v/>
      </c>
      <c r="Z12" s="1327">
        <f>Z11/Z$6%</f>
        <v/>
      </c>
      <c r="AA12" s="1327">
        <f>AA11/AA$6%</f>
        <v/>
      </c>
      <c r="AB12" s="1327">
        <f>AB11/AB$6%</f>
        <v/>
      </c>
      <c r="AC12" s="1323">
        <f>AC11/AC$6%</f>
        <v/>
      </c>
      <c r="AD12" s="1328" t="n">
        <v>1.5</v>
      </c>
      <c r="AE12" s="1328" t="n">
        <v>1.7</v>
      </c>
      <c r="AF12" s="1328" t="n">
        <v>1.7</v>
      </c>
      <c r="AG12" s="1328" t="n">
        <v>1.9</v>
      </c>
    </row>
    <row r="13" ht="15" customHeight="1" s="850">
      <c r="A13" s="1341" t="inlineStr">
        <is>
          <t>Consumption of Raw Materials</t>
        </is>
      </c>
      <c r="B13" s="1335" t="n">
        <v>356206</v>
      </c>
      <c r="C13" s="1335" t="n">
        <v>329333</v>
      </c>
      <c r="D13" s="1335">
        <f>B13+C13</f>
        <v/>
      </c>
      <c r="E13" s="1335" t="n">
        <v>361270</v>
      </c>
      <c r="F13" s="1335">
        <f>E13+D13</f>
        <v/>
      </c>
      <c r="G13" s="1335" t="n">
        <v>278947</v>
      </c>
      <c r="H13" s="1336" t="n">
        <v>1121412</v>
      </c>
      <c r="I13" s="1335" t="n">
        <v>129390</v>
      </c>
      <c r="J13" s="1335" t="n">
        <v>45029</v>
      </c>
      <c r="K13" s="1335">
        <f>I13+J13</f>
        <v/>
      </c>
      <c r="L13" s="1335" t="n">
        <v>47246</v>
      </c>
      <c r="M13" s="1335">
        <f>L13+K13</f>
        <v/>
      </c>
      <c r="N13" s="1335" t="n">
        <v>36070</v>
      </c>
      <c r="O13" s="1336" t="n">
        <v>1191550</v>
      </c>
      <c r="P13" s="1335" t="n">
        <v>49620</v>
      </c>
      <c r="Q13" s="1335" t="n">
        <v>55114</v>
      </c>
      <c r="R13" s="1335">
        <f>P13+Q13</f>
        <v/>
      </c>
      <c r="S13" s="1335" t="n">
        <v>52395</v>
      </c>
      <c r="T13" s="1335">
        <f>S13+R13</f>
        <v/>
      </c>
      <c r="U13" s="1335" t="n">
        <v>55702</v>
      </c>
      <c r="V13" s="1336" t="n">
        <v>212831</v>
      </c>
      <c r="W13" s="1335" t="n">
        <v>51644</v>
      </c>
      <c r="X13" s="1335" t="n">
        <v>58766</v>
      </c>
      <c r="Y13" s="1335">
        <f>W13+X13</f>
        <v/>
      </c>
      <c r="Z13" s="1335" t="n">
        <v>55557</v>
      </c>
      <c r="AA13" s="1335">
        <f>Z13+Y13</f>
        <v/>
      </c>
      <c r="AB13" s="1337" t="n">
        <v>56280</v>
      </c>
      <c r="AC13" s="1338">
        <f>AA13+AB13</f>
        <v/>
      </c>
      <c r="AD13" s="1339">
        <f>AD6*AD14%</f>
        <v/>
      </c>
      <c r="AE13" s="1339">
        <f>AE6*AE14%</f>
        <v/>
      </c>
      <c r="AF13" s="1339">
        <f>AF6*AF14%</f>
        <v/>
      </c>
      <c r="AG13" s="1339">
        <f>AG6*AG14%</f>
        <v/>
      </c>
    </row>
    <row r="14" ht="15" customFormat="1" customHeight="1" s="1319">
      <c r="A14" s="1326" t="inlineStr">
        <is>
          <t>% of Revenue</t>
        </is>
      </c>
      <c r="B14" s="1321">
        <f>B13/B$6%</f>
        <v/>
      </c>
      <c r="C14" s="1321">
        <f>C13/C$6%</f>
        <v/>
      </c>
      <c r="D14" s="1321">
        <f>D13/D$6%</f>
        <v/>
      </c>
      <c r="E14" s="1321">
        <f>E13/E$6%</f>
        <v/>
      </c>
      <c r="F14" s="1321">
        <f>F13/F$6%</f>
        <v/>
      </c>
      <c r="G14" s="1321">
        <f>G13/G$6%</f>
        <v/>
      </c>
      <c r="H14" s="1322">
        <f>H13/H$6%</f>
        <v/>
      </c>
      <c r="I14" s="1321">
        <f>I13/I$6%</f>
        <v/>
      </c>
      <c r="J14" s="1321">
        <f>J13/J$6%</f>
        <v/>
      </c>
      <c r="K14" s="1321">
        <f>K13/L$6%</f>
        <v/>
      </c>
      <c r="L14" s="1321">
        <f>L13/L6%</f>
        <v/>
      </c>
      <c r="M14" s="1321">
        <f>M13/M$6%</f>
        <v/>
      </c>
      <c r="N14" s="1321">
        <f>N13/N$6%</f>
        <v/>
      </c>
      <c r="O14" s="1322">
        <f>O13/O$6%</f>
        <v/>
      </c>
      <c r="P14" s="1321">
        <f>P13/P$6%</f>
        <v/>
      </c>
      <c r="Q14" s="1321">
        <f>Q13/Q$6%</f>
        <v/>
      </c>
      <c r="R14" s="1321">
        <f>R13/R$6%</f>
        <v/>
      </c>
      <c r="S14" s="1321">
        <f>S13/S$6%</f>
        <v/>
      </c>
      <c r="T14" s="1321">
        <f>T13/T$6%</f>
        <v/>
      </c>
      <c r="U14" s="1321">
        <f>U13/U$6%</f>
        <v/>
      </c>
      <c r="V14" s="1322">
        <f>V13/V$6%</f>
        <v/>
      </c>
      <c r="W14" s="1321">
        <f>W13/W$6%</f>
        <v/>
      </c>
      <c r="X14" s="1321">
        <f>X13/X$6%</f>
        <v/>
      </c>
      <c r="Y14" s="1321">
        <f>Y13/Y$6%</f>
        <v/>
      </c>
      <c r="Z14" s="1321">
        <f>Z13/Z$6%</f>
        <v/>
      </c>
      <c r="AA14" s="1321">
        <f>AA13/AA$6%</f>
        <v/>
      </c>
      <c r="AB14" s="1321">
        <f>AB13/AB$6%</f>
        <v/>
      </c>
      <c r="AC14" s="1323">
        <f>AC13/AC$6%</f>
        <v/>
      </c>
      <c r="AD14" s="1342" t="n">
        <v>9</v>
      </c>
      <c r="AE14" s="1342" t="n">
        <v>9</v>
      </c>
      <c r="AF14" s="1342" t="n">
        <v>9</v>
      </c>
      <c r="AG14" s="1342" t="n">
        <v>9</v>
      </c>
    </row>
    <row r="15" ht="15" customHeight="1" s="850">
      <c r="A15" s="1341" t="inlineStr">
        <is>
          <t>Employees Cost</t>
        </is>
      </c>
      <c r="B15" s="1335" t="n">
        <v>5513</v>
      </c>
      <c r="C15" s="1335" t="n">
        <v>9047</v>
      </c>
      <c r="D15" s="1335">
        <f>B15+C15</f>
        <v/>
      </c>
      <c r="E15" s="1335" t="n">
        <v>6509</v>
      </c>
      <c r="F15" s="1335">
        <f>E15+D15</f>
        <v/>
      </c>
      <c r="G15" s="1335" t="n">
        <v>8163</v>
      </c>
      <c r="H15" s="1336">
        <f>F15+G15</f>
        <v/>
      </c>
      <c r="I15" s="1335" t="n">
        <v>6876</v>
      </c>
      <c r="J15" s="1335" t="n">
        <v>8239</v>
      </c>
      <c r="K15" s="1335">
        <f>I15+J15</f>
        <v/>
      </c>
      <c r="L15" s="1335" t="n">
        <v>9854</v>
      </c>
      <c r="M15" s="1335">
        <f>L15+K15</f>
        <v/>
      </c>
      <c r="N15" s="1335" t="n">
        <v>22032</v>
      </c>
      <c r="O15" s="1336">
        <f>M15+N15</f>
        <v/>
      </c>
      <c r="P15" s="1335" t="n">
        <v>8663</v>
      </c>
      <c r="Q15" s="1335" t="n">
        <v>11802</v>
      </c>
      <c r="R15" s="1335">
        <f>P15+Q15</f>
        <v/>
      </c>
      <c r="S15" s="1335" t="n">
        <v>32256</v>
      </c>
      <c r="T15" s="1335">
        <f>S15+R15</f>
        <v/>
      </c>
      <c r="U15" s="1335" t="n">
        <v>4946</v>
      </c>
      <c r="V15" s="1336">
        <f>T15+U15</f>
        <v/>
      </c>
      <c r="W15" s="1335" t="n">
        <v>13201</v>
      </c>
      <c r="X15" s="1335" t="n">
        <v>12685</v>
      </c>
      <c r="Y15" s="1335">
        <f>W15+X15</f>
        <v/>
      </c>
      <c r="Z15" s="1335" t="n">
        <v>25387</v>
      </c>
      <c r="AA15" s="1335">
        <f>Z15+Y15</f>
        <v/>
      </c>
      <c r="AB15" s="1343" t="n">
        <v>40150</v>
      </c>
      <c r="AC15" s="1336">
        <f>AA15+AB15</f>
        <v/>
      </c>
      <c r="AD15" s="1339">
        <f>AD6*AD16%</f>
        <v/>
      </c>
      <c r="AE15" s="1339">
        <f>AE6*AE16%</f>
        <v/>
      </c>
      <c r="AF15" s="1339">
        <f>AF6*AF16%</f>
        <v/>
      </c>
      <c r="AG15" s="1339">
        <f>AG6*AG16%</f>
        <v/>
      </c>
    </row>
    <row r="16" ht="15" customFormat="1" customHeight="1" s="1319">
      <c r="A16" s="1326" t="inlineStr">
        <is>
          <t>% of Revenue</t>
        </is>
      </c>
      <c r="B16" s="1321">
        <f>B15/B$6%</f>
        <v/>
      </c>
      <c r="C16" s="1321">
        <f>C15/C$6%</f>
        <v/>
      </c>
      <c r="D16" s="1321">
        <f>D15/D$6%</f>
        <v/>
      </c>
      <c r="E16" s="1321">
        <f>E15/E$6%</f>
        <v/>
      </c>
      <c r="F16" s="1321">
        <f>F15/F$6%</f>
        <v/>
      </c>
      <c r="G16" s="1321">
        <f>G15/G$6%</f>
        <v/>
      </c>
      <c r="H16" s="1322">
        <f>H15/H$6%</f>
        <v/>
      </c>
      <c r="I16" s="1321">
        <f>I15/I$6%</f>
        <v/>
      </c>
      <c r="J16" s="1321">
        <f>J15/J$6%</f>
        <v/>
      </c>
      <c r="K16" s="1321">
        <f>K15/L$6%</f>
        <v/>
      </c>
      <c r="L16" s="1321">
        <f>L15/L6%</f>
        <v/>
      </c>
      <c r="M16" s="1321">
        <f>M15/M$6%</f>
        <v/>
      </c>
      <c r="N16" s="1321">
        <f>N15/N$6%</f>
        <v/>
      </c>
      <c r="O16" s="1322">
        <f>O15/O$6%</f>
        <v/>
      </c>
      <c r="P16" s="1321">
        <f>P15/P$6%</f>
        <v/>
      </c>
      <c r="Q16" s="1321">
        <f>Q15/Q$6%</f>
        <v/>
      </c>
      <c r="R16" s="1321">
        <f>R15/R$6%</f>
        <v/>
      </c>
      <c r="S16" s="1321">
        <f>S15/S$6%</f>
        <v/>
      </c>
      <c r="T16" s="1321">
        <f>T15/T$6%</f>
        <v/>
      </c>
      <c r="U16" s="1321">
        <f>U15/U$6%</f>
        <v/>
      </c>
      <c r="V16" s="1322">
        <f>V15/V$6%</f>
        <v/>
      </c>
      <c r="W16" s="1321">
        <f>W15/W$6%</f>
        <v/>
      </c>
      <c r="X16" s="1321">
        <f>X15/X$6%</f>
        <v/>
      </c>
      <c r="Y16" s="1321">
        <f>Y15/Y$6%</f>
        <v/>
      </c>
      <c r="Z16" s="1340">
        <f>Z15/Z$6%</f>
        <v/>
      </c>
      <c r="AA16" s="1321">
        <f>AA15/AA$6%</f>
        <v/>
      </c>
      <c r="AB16" s="1321">
        <f>AB15/AB$6%</f>
        <v/>
      </c>
      <c r="AC16" s="1322">
        <f>AC15/AC$6%</f>
        <v/>
      </c>
      <c r="AD16" s="1344" t="n">
        <v>6</v>
      </c>
      <c r="AE16" s="1344" t="n">
        <v>7</v>
      </c>
      <c r="AF16" s="1344" t="n">
        <v>7</v>
      </c>
      <c r="AG16" s="1344" t="n">
        <v>7</v>
      </c>
    </row>
    <row r="17" ht="15" customHeight="1" s="850">
      <c r="A17" s="1341" t="inlineStr">
        <is>
          <t>Other Expenditure</t>
        </is>
      </c>
      <c r="B17" s="1335" t="n">
        <v>30440</v>
      </c>
      <c r="C17" s="1335" t="n">
        <v>35822</v>
      </c>
      <c r="D17" s="1335">
        <f>B17+C17</f>
        <v/>
      </c>
      <c r="E17" s="1335" t="n">
        <v>50547</v>
      </c>
      <c r="F17" s="1335">
        <f>E17+D17</f>
        <v/>
      </c>
      <c r="G17" s="1335" t="n">
        <v>43827</v>
      </c>
      <c r="H17" s="1336" t="n">
        <v>161871</v>
      </c>
      <c r="I17" s="1335" t="n">
        <v>35075</v>
      </c>
      <c r="J17" s="1335" t="n">
        <v>58378</v>
      </c>
      <c r="K17" s="1335">
        <f>I17+J17</f>
        <v/>
      </c>
      <c r="L17" s="1335" t="n">
        <v>38138</v>
      </c>
      <c r="M17" s="1335">
        <f>L17+K17</f>
        <v/>
      </c>
      <c r="N17" s="1335" t="n">
        <v>38742</v>
      </c>
      <c r="O17" s="1336">
        <f>M17+N17</f>
        <v/>
      </c>
      <c r="P17" s="1335" t="n">
        <v>39182</v>
      </c>
      <c r="Q17" s="1345" t="n">
        <v>47979</v>
      </c>
      <c r="R17" s="1335">
        <f>P17+U17</f>
        <v/>
      </c>
      <c r="S17" s="1335" t="n">
        <v>46490</v>
      </c>
      <c r="T17" s="1335">
        <f>S17+R17</f>
        <v/>
      </c>
      <c r="U17" s="1335" t="n">
        <v>60476</v>
      </c>
      <c r="V17" s="1336" t="n">
        <v>194127</v>
      </c>
      <c r="W17" s="1335" t="n">
        <v>48476</v>
      </c>
      <c r="X17" s="1335" t="n">
        <v>44481</v>
      </c>
      <c r="Y17" s="1335">
        <f>W17+X17</f>
        <v/>
      </c>
      <c r="Z17" s="1335" t="n">
        <v>40451</v>
      </c>
      <c r="AA17" s="1335">
        <f>Z17+Y17</f>
        <v/>
      </c>
      <c r="AB17" s="1343" t="n">
        <v>50000</v>
      </c>
      <c r="AC17" s="1336">
        <f>AA17+AB17</f>
        <v/>
      </c>
      <c r="AD17" s="1339">
        <f>AD6*AD18%</f>
        <v/>
      </c>
      <c r="AE17" s="1339">
        <f>AE6*AE18%</f>
        <v/>
      </c>
      <c r="AF17" s="1339">
        <f>AF6*AF18%</f>
        <v/>
      </c>
      <c r="AG17" s="1339">
        <f>AG6*AG18%</f>
        <v/>
      </c>
    </row>
    <row r="18" ht="15" customFormat="1" customHeight="1" s="1319">
      <c r="A18" s="1326" t="inlineStr">
        <is>
          <t>% of Revenue</t>
        </is>
      </c>
      <c r="B18" s="1321">
        <f>B17/B$6%</f>
        <v/>
      </c>
      <c r="C18" s="1321">
        <f>C17/C$6%</f>
        <v/>
      </c>
      <c r="D18" s="1321">
        <f>D17/D$6%</f>
        <v/>
      </c>
      <c r="E18" s="1321">
        <f>E17/E$6%</f>
        <v/>
      </c>
      <c r="F18" s="1321">
        <f>F17/F$6%</f>
        <v/>
      </c>
      <c r="G18" s="1321">
        <f>G17/G$6%</f>
        <v/>
      </c>
      <c r="H18" s="1322">
        <f>H17/H$6%</f>
        <v/>
      </c>
      <c r="I18" s="1321">
        <f>I17/I$6%</f>
        <v/>
      </c>
      <c r="J18" s="1321">
        <f>J17/J$6%</f>
        <v/>
      </c>
      <c r="K18" s="1321">
        <f>K17/L$6%</f>
        <v/>
      </c>
      <c r="L18" s="1321">
        <f>L17/L6%</f>
        <v/>
      </c>
      <c r="M18" s="1321">
        <f>M17/M$6%</f>
        <v/>
      </c>
      <c r="N18" s="1321">
        <f>N17/N$6%</f>
        <v/>
      </c>
      <c r="O18" s="1322">
        <f>O17/O$6%</f>
        <v/>
      </c>
      <c r="P18" s="1321">
        <f>P17/P$6%</f>
        <v/>
      </c>
      <c r="Q18" s="1321">
        <f>U17/Q$6%</f>
        <v/>
      </c>
      <c r="R18" s="1321">
        <f>R17/R$6%</f>
        <v/>
      </c>
      <c r="S18" s="1321">
        <f>S17/S$6%</f>
        <v/>
      </c>
      <c r="T18" s="1321">
        <f>T17/T$6%</f>
        <v/>
      </c>
      <c r="U18" s="1321">
        <f>U17/U6%</f>
        <v/>
      </c>
      <c r="V18" s="1322">
        <f>V17/V$6%</f>
        <v/>
      </c>
      <c r="W18" s="1321">
        <f>W17/W$6%</f>
        <v/>
      </c>
      <c r="X18" s="1321">
        <f>X17/X$6%</f>
        <v/>
      </c>
      <c r="Y18" s="1321">
        <f>Y17/Y$6%</f>
        <v/>
      </c>
      <c r="Z18" s="1321">
        <f>Z17/Z$6%</f>
        <v/>
      </c>
      <c r="AA18" s="1321">
        <f>AA17/AA$6%</f>
        <v/>
      </c>
      <c r="AB18" s="1321">
        <f>AB17/AB$6%</f>
        <v/>
      </c>
      <c r="AC18" s="1322">
        <f>AC17/AC$6%</f>
        <v/>
      </c>
      <c r="AD18" s="1344" t="n">
        <v>8</v>
      </c>
      <c r="AE18" s="1344" t="n">
        <v>9</v>
      </c>
      <c r="AF18" s="1344" t="n">
        <v>9</v>
      </c>
      <c r="AG18" s="1344" t="n">
        <v>9</v>
      </c>
    </row>
    <row r="19" ht="15" customHeight="1" s="850">
      <c r="A19" s="1341" t="inlineStr">
        <is>
          <t>Consumption of Materials/Purchase</t>
        </is>
      </c>
      <c r="B19" s="1345" t="n">
        <v>0</v>
      </c>
      <c r="C19" s="1345" t="n">
        <v>0</v>
      </c>
      <c r="D19" s="1335">
        <f>B19+C19</f>
        <v/>
      </c>
      <c r="E19" s="1345" t="n">
        <v>0</v>
      </c>
      <c r="F19" s="1335">
        <f>E19+D19</f>
        <v/>
      </c>
      <c r="G19" s="1335" t="n"/>
      <c r="H19" s="1336">
        <f>F19+G19</f>
        <v/>
      </c>
      <c r="I19" s="1335" t="n">
        <v>235285</v>
      </c>
      <c r="J19" s="1335" t="n">
        <v>253976</v>
      </c>
      <c r="K19" s="1335">
        <f>I51+J19</f>
        <v/>
      </c>
      <c r="L19" s="1335" t="n">
        <v>241903</v>
      </c>
      <c r="M19" s="1335">
        <f>L19+K19</f>
        <v/>
      </c>
      <c r="N19" s="1335" t="n">
        <v>288902</v>
      </c>
      <c r="O19" s="1336" t="n">
        <v>0</v>
      </c>
      <c r="P19" s="1335" t="n">
        <v>332805</v>
      </c>
      <c r="Q19" s="1335" t="n">
        <v>362240</v>
      </c>
      <c r="R19" s="1335">
        <f>P19+Q19</f>
        <v/>
      </c>
      <c r="S19" s="1335" t="n">
        <v>417171</v>
      </c>
      <c r="T19" s="1335">
        <f>S19+R19</f>
        <v/>
      </c>
      <c r="U19" s="1335" t="n">
        <v>395823</v>
      </c>
      <c r="V19" s="1336">
        <f>T19+U19</f>
        <v/>
      </c>
      <c r="W19" s="1335" t="n">
        <v>378432</v>
      </c>
      <c r="X19" s="1335" t="n">
        <v>401202</v>
      </c>
      <c r="Y19" s="1335">
        <f>W19+X19</f>
        <v/>
      </c>
      <c r="Z19" s="1335" t="n">
        <v>371276</v>
      </c>
      <c r="AA19" s="1335">
        <f>Z19+Y19</f>
        <v/>
      </c>
      <c r="AB19" s="1343" t="n">
        <v>375000</v>
      </c>
      <c r="AC19" s="1336">
        <f>AA19+AB19</f>
        <v/>
      </c>
      <c r="AD19" s="1339">
        <f>AD6*AD20%</f>
        <v/>
      </c>
      <c r="AE19" s="1339">
        <f>AE6*AE20%</f>
        <v/>
      </c>
      <c r="AF19" s="1339">
        <f>AF6*AF20%</f>
        <v/>
      </c>
      <c r="AG19" s="1339">
        <f>AG6*AG20%</f>
        <v/>
      </c>
    </row>
    <row r="20" ht="15" customFormat="1" customHeight="1" s="1319">
      <c r="A20" s="1329" t="inlineStr">
        <is>
          <t>% of Revenue</t>
        </is>
      </c>
      <c r="B20" s="1321">
        <f>B51/B$6%</f>
        <v/>
      </c>
      <c r="C20" s="1321">
        <f>C51/C$6%</f>
        <v/>
      </c>
      <c r="D20" s="1321">
        <f>D19/D$6%</f>
        <v/>
      </c>
      <c r="E20" s="1321">
        <f>E51/E$6%</f>
        <v/>
      </c>
      <c r="F20" s="1321">
        <f>F19/F$6%</f>
        <v/>
      </c>
      <c r="G20" s="1321">
        <f>G19/G$6%</f>
        <v/>
      </c>
      <c r="H20" s="1322">
        <f>H19/H$6%</f>
        <v/>
      </c>
      <c r="I20" s="1321">
        <f>I51/I$6%</f>
        <v/>
      </c>
      <c r="J20" s="1321">
        <f>J19/J$6%</f>
        <v/>
      </c>
      <c r="K20" s="1321">
        <f>K19/L$6%</f>
        <v/>
      </c>
      <c r="L20" s="1321">
        <f>L19/L6%</f>
        <v/>
      </c>
      <c r="M20" s="1321">
        <f>M19/M$6%</f>
        <v/>
      </c>
      <c r="N20" s="1321">
        <f>N19/N$6%</f>
        <v/>
      </c>
      <c r="O20" s="1322">
        <f>O19/O$6%</f>
        <v/>
      </c>
      <c r="P20" s="1321">
        <f>P19/P$6%</f>
        <v/>
      </c>
      <c r="Q20" s="1321">
        <f>Q19/Q$6%</f>
        <v/>
      </c>
      <c r="R20" s="1321">
        <f>R19/R$6%</f>
        <v/>
      </c>
      <c r="S20" s="1321">
        <f>S19/S$6%</f>
        <v/>
      </c>
      <c r="T20" s="1321">
        <f>T19/T$6%</f>
        <v/>
      </c>
      <c r="U20" s="1321">
        <f>U19/U$6%</f>
        <v/>
      </c>
      <c r="V20" s="1322">
        <f>V19/V$6%</f>
        <v/>
      </c>
      <c r="W20" s="1321">
        <f>W19/W$6%</f>
        <v/>
      </c>
      <c r="X20" s="1321">
        <f>X19/X$6%</f>
        <v/>
      </c>
      <c r="Y20" s="1321">
        <f>Y19/Y$6%</f>
        <v/>
      </c>
      <c r="Z20" s="1321">
        <f>Z19/Z$6%</f>
        <v/>
      </c>
      <c r="AA20" s="1321">
        <f>AA19/AA$6%</f>
        <v/>
      </c>
      <c r="AB20" s="1321">
        <f>AB19/AB$6%</f>
        <v/>
      </c>
      <c r="AC20" s="1322">
        <f>AC19/AC$6%</f>
        <v/>
      </c>
      <c r="AD20" s="1344" t="n">
        <v>62</v>
      </c>
      <c r="AE20" s="1344" t="n">
        <v>60</v>
      </c>
      <c r="AF20" s="1344" t="n">
        <v>62</v>
      </c>
      <c r="AG20" s="1344" t="n">
        <v>60</v>
      </c>
    </row>
    <row r="21" ht="15" customFormat="1" customHeight="1" s="1346">
      <c r="A21" s="1347" t="inlineStr">
        <is>
          <t>OPBDIT</t>
        </is>
      </c>
      <c r="B21" s="1348">
        <f>B6-B10</f>
        <v/>
      </c>
      <c r="C21" s="1348">
        <f>C6-C10</f>
        <v/>
      </c>
      <c r="D21" s="1348">
        <f>D6-D10</f>
        <v/>
      </c>
      <c r="E21" s="1348">
        <f>E6-E10</f>
        <v/>
      </c>
      <c r="F21" s="1348">
        <f>F6-F10</f>
        <v/>
      </c>
      <c r="G21" s="1348">
        <f>G6-G10</f>
        <v/>
      </c>
      <c r="H21" s="1349">
        <f>H6-H10</f>
        <v/>
      </c>
      <c r="I21" s="1348">
        <f>I6-I10</f>
        <v/>
      </c>
      <c r="J21" s="1348">
        <f>J6-J10</f>
        <v/>
      </c>
      <c r="K21" s="1348">
        <f>L6-K10</f>
        <v/>
      </c>
      <c r="L21" s="1348">
        <f>L6-L10</f>
        <v/>
      </c>
      <c r="M21" s="1348">
        <f>M6-M10</f>
        <v/>
      </c>
      <c r="N21" s="1348">
        <f>N6-N10</f>
        <v/>
      </c>
      <c r="O21" s="1349">
        <f>O6-O10</f>
        <v/>
      </c>
      <c r="P21" s="1348">
        <f>P6-P10</f>
        <v/>
      </c>
      <c r="Q21" s="1348">
        <f>Q6-Q10</f>
        <v/>
      </c>
      <c r="R21" s="1348">
        <f>R6-R10</f>
        <v/>
      </c>
      <c r="S21" s="1348">
        <f>S6-S10</f>
        <v/>
      </c>
      <c r="T21" s="1348">
        <f>T6-T10</f>
        <v/>
      </c>
      <c r="U21" s="1348">
        <f>U6-U10</f>
        <v/>
      </c>
      <c r="V21" s="1349">
        <f>V6-V10</f>
        <v/>
      </c>
      <c r="W21" s="1348">
        <f>W6-W10</f>
        <v/>
      </c>
      <c r="X21" s="1348">
        <f>X6-X10</f>
        <v/>
      </c>
      <c r="Y21" s="1348">
        <f>Y6-Y10</f>
        <v/>
      </c>
      <c r="Z21" s="1348">
        <f>Z6-Z10</f>
        <v/>
      </c>
      <c r="AA21" s="1348">
        <f>AA6-AA10</f>
        <v/>
      </c>
      <c r="AB21" s="1348">
        <f>AB6-AB10</f>
        <v/>
      </c>
      <c r="AC21" s="1349">
        <f>AC6-AC10</f>
        <v/>
      </c>
      <c r="AD21" s="1349">
        <f>AD6-AD10</f>
        <v/>
      </c>
      <c r="AE21" s="1349">
        <f>AE6-AE10</f>
        <v/>
      </c>
      <c r="AF21" s="1349">
        <f>AF6-AF10</f>
        <v/>
      </c>
      <c r="AG21" s="1349">
        <f>AG6-AG10</f>
        <v/>
      </c>
    </row>
    <row r="22" ht="15" customFormat="1" customHeight="1" s="1319">
      <c r="A22" s="1320" t="inlineStr">
        <is>
          <t>% full year    (OR)      %Y-o-Y</t>
        </is>
      </c>
      <c r="B22" s="1321">
        <f>B21/$H21*100</f>
        <v/>
      </c>
      <c r="C22" s="1321">
        <f>C21/$H21*100</f>
        <v/>
      </c>
      <c r="D22" s="1321">
        <f>D21/$H21*100</f>
        <v/>
      </c>
      <c r="E22" s="1321">
        <f>E21/$H21*100</f>
        <v/>
      </c>
      <c r="F22" s="1321">
        <f>F21/$H21*100</f>
        <v/>
      </c>
      <c r="G22" s="1321">
        <f>G21/$H21*100</f>
        <v/>
      </c>
      <c r="H22" s="1322">
        <f>F22+G22</f>
        <v/>
      </c>
      <c r="I22" s="1321">
        <f>I21/$O21*100</f>
        <v/>
      </c>
      <c r="J22" s="1321">
        <f>J21/$O21*100</f>
        <v/>
      </c>
      <c r="K22" s="1321">
        <f>K21/$O21*100</f>
        <v/>
      </c>
      <c r="L22" s="1321">
        <f>L21/$O21*100</f>
        <v/>
      </c>
      <c r="M22" s="1321">
        <f>M21/$O21*100</f>
        <v/>
      </c>
      <c r="N22" s="1321">
        <f>N21/$O21*100</f>
        <v/>
      </c>
      <c r="O22" s="1322">
        <f>M22+N22</f>
        <v/>
      </c>
      <c r="P22" s="1321">
        <f>P21/$V21*100</f>
        <v/>
      </c>
      <c r="Q22" s="1321">
        <f>Q21/$V21*100</f>
        <v/>
      </c>
      <c r="R22" s="1321">
        <f>R21/$V21*100</f>
        <v/>
      </c>
      <c r="S22" s="1321">
        <f>S21/$V21*100</f>
        <v/>
      </c>
      <c r="T22" s="1321">
        <f>T21/$V21*100</f>
        <v/>
      </c>
      <c r="U22" s="1321">
        <f>U21/$V21*100</f>
        <v/>
      </c>
      <c r="V22" s="1322">
        <f>T22+U22</f>
        <v/>
      </c>
      <c r="W22" s="1321">
        <f>W21/$AC21*100</f>
        <v/>
      </c>
      <c r="X22" s="1321">
        <f>X21/$AC21*100</f>
        <v/>
      </c>
      <c r="Y22" s="1321">
        <f>Y21/$AC21*100</f>
        <v/>
      </c>
      <c r="Z22" s="1321">
        <f>Z21/$AC21*100</f>
        <v/>
      </c>
      <c r="AA22" s="1321">
        <f>AA21/$AC21*100</f>
        <v/>
      </c>
      <c r="AB22" s="1321">
        <f>AB21/$AC21*100</f>
        <v/>
      </c>
      <c r="AC22" s="1323">
        <f>AA22+AB22</f>
        <v/>
      </c>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f>(I21/B21-1)*100</f>
        <v/>
      </c>
      <c r="J23" s="1321">
        <f>(J21/C21-1)*100</f>
        <v/>
      </c>
      <c r="K23" s="1321">
        <f>(K21/D21-1)*100</f>
        <v/>
      </c>
      <c r="L23" s="1321">
        <f>(L21/E21-1)*100</f>
        <v/>
      </c>
      <c r="M23" s="1321">
        <f>(M21/F21-1)*100</f>
        <v/>
      </c>
      <c r="N23" s="1321">
        <f>(N21/G21-1)*100</f>
        <v/>
      </c>
      <c r="O23" s="1322">
        <f>(O21/H21-1)*100</f>
        <v/>
      </c>
      <c r="P23" s="1321">
        <f>(P21/I21-1)*100</f>
        <v/>
      </c>
      <c r="Q23" s="1321">
        <f>(Q21/J21-1)*100</f>
        <v/>
      </c>
      <c r="R23" s="1321">
        <f>(R21/K21-1)*100</f>
        <v/>
      </c>
      <c r="S23" s="1321">
        <f>(S21/L21-1)*100</f>
        <v/>
      </c>
      <c r="T23" s="1321">
        <f>(T21/M21-1)*100</f>
        <v/>
      </c>
      <c r="U23" s="1321">
        <f>(U21/N21-1)*100</f>
        <v/>
      </c>
      <c r="V23" s="1322">
        <f>(V21/O21-1)*100</f>
        <v/>
      </c>
      <c r="W23" s="1321">
        <f>(W21/P21-1)*100</f>
        <v/>
      </c>
      <c r="X23" s="1321">
        <f>(X21/Q21-1)*100</f>
        <v/>
      </c>
      <c r="Y23" s="1321">
        <f>(Y21/R21-1)*100</f>
        <v/>
      </c>
      <c r="Z23" s="1321">
        <f>(Z21/S21-1)*100</f>
        <v/>
      </c>
      <c r="AA23" s="1321">
        <f>(AA21/T21-1)*100</f>
        <v/>
      </c>
      <c r="AB23" s="1327">
        <f>(AB21/U21-1)*100</f>
        <v/>
      </c>
      <c r="AC23" s="1323">
        <f>(AC21/V21-1)*100</f>
        <v/>
      </c>
      <c r="AD23" s="1324">
        <f>((AD21/AC21)-1)*100</f>
        <v/>
      </c>
      <c r="AE23" s="1324">
        <f>((AE21/AD21)-1)*100</f>
        <v/>
      </c>
      <c r="AF23" s="1324">
        <f>((AF21/AE21)-1)*100</f>
        <v/>
      </c>
      <c r="AG23" s="1324">
        <f>((AG21/AF21)-1)*100</f>
        <v/>
      </c>
    </row>
    <row r="24" ht="15" customFormat="1" customHeight="1" s="1319">
      <c r="A24" s="1329" t="inlineStr">
        <is>
          <t>% growth q-o-q</t>
        </is>
      </c>
      <c r="B24" s="1321" t="n"/>
      <c r="C24" s="1321">
        <f>(C21/B21-1)*100</f>
        <v/>
      </c>
      <c r="D24" s="1321" t="n"/>
      <c r="E24" s="1321">
        <f>(E21/C21-1)*100</f>
        <v/>
      </c>
      <c r="F24" s="1321" t="n"/>
      <c r="G24" s="1321">
        <f>(G21/E21-1)*100</f>
        <v/>
      </c>
      <c r="H24" s="1322" t="n"/>
      <c r="I24" s="1321">
        <f>(I21/G21-1)*100</f>
        <v/>
      </c>
      <c r="J24" s="1321">
        <f>(J21/I21-1)*100</f>
        <v/>
      </c>
      <c r="K24" s="1321" t="n"/>
      <c r="L24" s="1321">
        <f>(L21/J21-1)*100</f>
        <v/>
      </c>
      <c r="M24" s="1321" t="n"/>
      <c r="N24" s="1321">
        <f>(N21/L21-1)*100</f>
        <v/>
      </c>
      <c r="O24" s="1322" t="n"/>
      <c r="P24" s="1321">
        <f>(P21/N21-1)*100</f>
        <v/>
      </c>
      <c r="Q24" s="1321">
        <f>(Q21/P21-1)*100</f>
        <v/>
      </c>
      <c r="R24" s="1321" t="n"/>
      <c r="S24" s="1321">
        <f>(S21/Q21-1)*100</f>
        <v/>
      </c>
      <c r="T24" s="1321" t="n"/>
      <c r="U24" s="1321">
        <f>(U21/S21-1)*100</f>
        <v/>
      </c>
      <c r="V24" s="1322" t="n"/>
      <c r="W24" s="1321">
        <f>(W21/U21-1)*100</f>
        <v/>
      </c>
      <c r="X24" s="1321">
        <f>(X21/W21-1)*100</f>
        <v/>
      </c>
      <c r="Y24" s="1321" t="n"/>
      <c r="Z24" s="1321">
        <f>(Z21/X21-1)*100</f>
        <v/>
      </c>
      <c r="AA24" s="1321" t="n"/>
      <c r="AB24" s="1327">
        <f>(AB21/Z21-1)*100</f>
        <v/>
      </c>
      <c r="AC24" s="1323" t="n"/>
      <c r="AD24" s="1325" t="n"/>
      <c r="AE24" s="1325" t="n"/>
      <c r="AF24" s="1325" t="n"/>
      <c r="AG24" s="1325" t="n"/>
    </row>
    <row r="25" ht="15" customFormat="1" customHeight="1" s="1118">
      <c r="A25" s="1351" t="inlineStr">
        <is>
          <t>OP Margin</t>
        </is>
      </c>
      <c r="B25" s="1352">
        <f>(B21/B6)*100</f>
        <v/>
      </c>
      <c r="C25" s="1352">
        <f>(C21/C6)*100</f>
        <v/>
      </c>
      <c r="D25" s="1352">
        <f>(D21/D6)*100</f>
        <v/>
      </c>
      <c r="E25" s="1352">
        <f>(E21/E6)*100</f>
        <v/>
      </c>
      <c r="F25" s="1352">
        <f>(F21/F6)*100</f>
        <v/>
      </c>
      <c r="G25" s="1352">
        <f>(G21/G6)*100</f>
        <v/>
      </c>
      <c r="H25" s="1349">
        <f>H21/H6*100</f>
        <v/>
      </c>
      <c r="I25" s="1352">
        <f>(I21/I6)*100</f>
        <v/>
      </c>
      <c r="J25" s="1352">
        <f>(J21/J6)*100</f>
        <v/>
      </c>
      <c r="K25" s="1352">
        <f>(K21/L6)*100</f>
        <v/>
      </c>
      <c r="L25" s="1352">
        <f>(L21/L6)*100</f>
        <v/>
      </c>
      <c r="M25" s="1352">
        <f>(M21/M6)*100</f>
        <v/>
      </c>
      <c r="N25" s="1352">
        <f>(N21/N6)*100</f>
        <v/>
      </c>
      <c r="O25" s="1349">
        <f>O21/O6*100</f>
        <v/>
      </c>
      <c r="P25" s="1352">
        <f>(P21/P6)*100</f>
        <v/>
      </c>
      <c r="Q25" s="1352">
        <f>(Q21/Q6)*100</f>
        <v/>
      </c>
      <c r="R25" s="1352">
        <f>(R21/R6)*100</f>
        <v/>
      </c>
      <c r="S25" s="1352">
        <f>(S21/S6)*100</f>
        <v/>
      </c>
      <c r="T25" s="1352">
        <f>(T21/T6)*100</f>
        <v/>
      </c>
      <c r="U25" s="1352">
        <f>(U21/U6)*100</f>
        <v/>
      </c>
      <c r="V25" s="1349">
        <f>V21/V6*100</f>
        <v/>
      </c>
      <c r="W25" s="1352">
        <f>(W21/W6)*100</f>
        <v/>
      </c>
      <c r="X25" s="1352">
        <f>(X21/X6)*100</f>
        <v/>
      </c>
      <c r="Y25" s="1352">
        <f>(Y21/Y6)*100</f>
        <v/>
      </c>
      <c r="Z25" s="1352">
        <f>(Z21/Z6)*100</f>
        <v/>
      </c>
      <c r="AA25" s="1352">
        <f>(AA21/AA6)*100</f>
        <v/>
      </c>
      <c r="AB25" s="1352">
        <f>(AB21/AB6)*100</f>
        <v/>
      </c>
      <c r="AC25" s="1349">
        <f>(AC21/AC6)*100</f>
        <v/>
      </c>
      <c r="AD25" s="1353">
        <f>(AD21/AD6)*100</f>
        <v/>
      </c>
      <c r="AE25" s="1353">
        <f>(AE21/AE6)*100</f>
        <v/>
      </c>
      <c r="AF25" s="1353">
        <f>(AF21/AF6)*100</f>
        <v/>
      </c>
      <c r="AG25" s="1353">
        <f>(AG21/AG6)*100</f>
        <v/>
      </c>
    </row>
    <row r="26" ht="15" customHeight="1" s="850">
      <c r="A26" s="1334" t="inlineStr">
        <is>
          <t>Interest</t>
        </is>
      </c>
      <c r="B26" s="1335" t="n">
        <v>2880</v>
      </c>
      <c r="C26" s="1335" t="n">
        <v>2912</v>
      </c>
      <c r="D26" s="1335">
        <f>B26+C26</f>
        <v/>
      </c>
      <c r="E26" s="1335" t="n">
        <v>2705</v>
      </c>
      <c r="F26" s="1335">
        <f>D26+E26</f>
        <v/>
      </c>
      <c r="G26" s="1335" t="n">
        <v>2211</v>
      </c>
      <c r="H26" s="1336">
        <f>F26+G26</f>
        <v/>
      </c>
      <c r="I26" s="1335" t="n">
        <v>2040</v>
      </c>
      <c r="J26" s="1335" t="n">
        <v>2009</v>
      </c>
      <c r="K26" s="1335">
        <f>I26+J26</f>
        <v/>
      </c>
      <c r="L26" s="1335" t="n">
        <v>1955</v>
      </c>
      <c r="M26" s="1335">
        <f>K26+L26</f>
        <v/>
      </c>
      <c r="N26" s="1335" t="n">
        <v>1953</v>
      </c>
      <c r="O26" s="1336">
        <f>M26+N26</f>
        <v/>
      </c>
      <c r="P26" s="1335" t="n">
        <v>1902</v>
      </c>
      <c r="Q26" s="1335" t="n">
        <v>1890</v>
      </c>
      <c r="R26" s="1335">
        <f>P26+Q26</f>
        <v/>
      </c>
      <c r="S26" s="1335" t="n">
        <v>1851</v>
      </c>
      <c r="T26" s="1335">
        <f>R26+S26</f>
        <v/>
      </c>
      <c r="U26" s="1335" t="n">
        <v>3057</v>
      </c>
      <c r="V26" s="1336">
        <f>T26+U26</f>
        <v/>
      </c>
      <c r="W26" s="1335" t="n">
        <v>1792</v>
      </c>
      <c r="X26" s="1335" t="n">
        <v>1785</v>
      </c>
      <c r="Y26" s="1335">
        <f>W26+X26</f>
        <v/>
      </c>
      <c r="Z26" s="1354" t="n">
        <v>1422</v>
      </c>
      <c r="AA26" s="1335">
        <f>Y26+Z26</f>
        <v/>
      </c>
      <c r="AB26" s="1343" t="n">
        <v>1790</v>
      </c>
      <c r="AC26" s="1336">
        <f>AA26+AB26</f>
        <v/>
      </c>
      <c r="AD26" s="1355" t="n">
        <v>7765</v>
      </c>
      <c r="AE26" s="1355" t="n">
        <v>6594</v>
      </c>
      <c r="AF26" s="1355" t="n">
        <v>5423</v>
      </c>
      <c r="AG26" s="1355" t="n">
        <v>5889</v>
      </c>
    </row>
    <row r="27" ht="15" customHeight="1" s="850">
      <c r="A27" s="1356" t="inlineStr">
        <is>
          <t>Depreciation</t>
        </is>
      </c>
      <c r="B27" s="1335" t="n">
        <v>14081</v>
      </c>
      <c r="C27" s="1335" t="n">
        <v>14357</v>
      </c>
      <c r="D27" s="1335">
        <f>B27+C27</f>
        <v/>
      </c>
      <c r="E27" s="1335" t="n">
        <v>14387</v>
      </c>
      <c r="F27" s="1335">
        <f>D27+E27</f>
        <v/>
      </c>
      <c r="G27" s="1335" t="n">
        <v>14713</v>
      </c>
      <c r="H27" s="1336">
        <f>F27+G27</f>
        <v/>
      </c>
      <c r="I27" s="1335" t="n">
        <v>14070</v>
      </c>
      <c r="J27" s="1335" t="n">
        <v>14916</v>
      </c>
      <c r="K27" s="1335">
        <f>I27+J27</f>
        <v/>
      </c>
      <c r="L27" s="1335" t="n">
        <v>13869</v>
      </c>
      <c r="M27" s="1335">
        <f>K27+L27</f>
        <v/>
      </c>
      <c r="N27" s="1335" t="n">
        <v>14247</v>
      </c>
      <c r="O27" s="1336">
        <f>M27+N27</f>
        <v/>
      </c>
      <c r="P27" s="1335" t="n">
        <v>14296</v>
      </c>
      <c r="Q27" s="1335" t="n">
        <v>13858</v>
      </c>
      <c r="R27" s="1335">
        <f>P27+Q27</f>
        <v/>
      </c>
      <c r="S27" s="1335" t="n">
        <v>13739</v>
      </c>
      <c r="T27" s="1335">
        <f>R27+S27</f>
        <v/>
      </c>
      <c r="U27" s="1335" t="n">
        <v>14098</v>
      </c>
      <c r="V27" s="1336">
        <f>T27+U27</f>
        <v/>
      </c>
      <c r="W27" s="1335" t="n">
        <v>14041</v>
      </c>
      <c r="X27" s="1335" t="n">
        <v>14162</v>
      </c>
      <c r="Y27" s="1335">
        <f>W27+X27</f>
        <v/>
      </c>
      <c r="Z27" s="1335" t="n">
        <v>14091</v>
      </c>
      <c r="AA27" s="1335">
        <f>Y27+Z27</f>
        <v/>
      </c>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f>B21-(B26+B27)</f>
        <v/>
      </c>
      <c r="C28" s="1352">
        <f>C21-(C26+C27)</f>
        <v/>
      </c>
      <c r="D28" s="1352">
        <f>D21-(D26+D27)</f>
        <v/>
      </c>
      <c r="E28" s="1352">
        <f>E21-(E26+E27)</f>
        <v/>
      </c>
      <c r="F28" s="1352">
        <f>F21-(F26+F27)</f>
        <v/>
      </c>
      <c r="G28" s="1352">
        <f>G21-(G26+G27)</f>
        <v/>
      </c>
      <c r="H28" s="1349">
        <f>H21-(H26+H27)</f>
        <v/>
      </c>
      <c r="I28" s="1352">
        <f>I21-(I26+I27)</f>
        <v/>
      </c>
      <c r="J28" s="1352">
        <f>J21-(J26+J27)</f>
        <v/>
      </c>
      <c r="K28" s="1352">
        <f>K21-(K26+K27)</f>
        <v/>
      </c>
      <c r="L28" s="1352">
        <f>L21-(L26+L27)</f>
        <v/>
      </c>
      <c r="M28" s="1352">
        <f>M21-(M26+M27)</f>
        <v/>
      </c>
      <c r="N28" s="1352">
        <f>N21-(N26+N27)</f>
        <v/>
      </c>
      <c r="O28" s="1349">
        <f>O21-(O26+O27)</f>
        <v/>
      </c>
      <c r="P28" s="1352">
        <f>P21-(P26+P27)</f>
        <v/>
      </c>
      <c r="Q28" s="1352">
        <f>Q21-(Q26+Q27)</f>
        <v/>
      </c>
      <c r="R28" s="1352">
        <f>R21-(R26+R27)</f>
        <v/>
      </c>
      <c r="S28" s="1352">
        <f>S21-(S26+S27)</f>
        <v/>
      </c>
      <c r="T28" s="1352">
        <f>T21-(T26+T27)</f>
        <v/>
      </c>
      <c r="U28" s="1352">
        <f>U21-(U26+U27)</f>
        <v/>
      </c>
      <c r="V28" s="1349">
        <f>V21-(V26+V27)</f>
        <v/>
      </c>
      <c r="W28" s="1352">
        <f>W21-(W26+W27)</f>
        <v/>
      </c>
      <c r="X28" s="1352">
        <f>X21-(X26+X27)</f>
        <v/>
      </c>
      <c r="Y28" s="1352">
        <f>Y21-(Y26+Y27)</f>
        <v/>
      </c>
      <c r="Z28" s="1352">
        <f>Z21-(Z26+Z27)</f>
        <v/>
      </c>
      <c r="AA28" s="1352">
        <f>AA21-(AA26+AA27)</f>
        <v/>
      </c>
      <c r="AB28" s="1352">
        <f>AB21-(AB26+AB27)</f>
        <v/>
      </c>
      <c r="AC28" s="1349">
        <f>AC21-(AC26+AC27)</f>
        <v/>
      </c>
      <c r="AD28" s="1358">
        <f>AD21-(AD26+AD27)</f>
        <v/>
      </c>
      <c r="AE28" s="1358">
        <f>AE21-(AE26+AE27)</f>
        <v/>
      </c>
      <c r="AF28" s="1358">
        <f>AF21-(AF26+AF27)</f>
        <v/>
      </c>
      <c r="AG28" s="1358">
        <f>AG21-(AG26+AG27)</f>
        <v/>
      </c>
    </row>
    <row r="29" ht="15" customHeight="1" s="850">
      <c r="A29" s="1359" t="inlineStr">
        <is>
          <t>Other Income</t>
        </is>
      </c>
      <c r="B29" s="1335" t="n">
        <v>8006</v>
      </c>
      <c r="C29" s="1335" t="n">
        <v>16737</v>
      </c>
      <c r="D29" s="1335">
        <f>B29+C29</f>
        <v/>
      </c>
      <c r="E29" s="1335" t="n">
        <v>18463</v>
      </c>
      <c r="F29" s="1335">
        <f>D29+E29</f>
        <v/>
      </c>
      <c r="G29" s="1335" t="n">
        <v>11289</v>
      </c>
      <c r="H29" s="1336">
        <f>F29+G29</f>
        <v/>
      </c>
      <c r="I29" s="1335" t="n">
        <v>9127</v>
      </c>
      <c r="J29" s="1335" t="n">
        <v>18060</v>
      </c>
      <c r="K29" s="1335">
        <f>I29+J29</f>
        <v/>
      </c>
      <c r="L29" s="1335" t="n">
        <v>18482</v>
      </c>
      <c r="M29" s="1335">
        <f>K29+L29</f>
        <v/>
      </c>
      <c r="N29" s="1335" t="n">
        <v>9966</v>
      </c>
      <c r="O29" s="1336">
        <f>M29+N29</f>
        <v/>
      </c>
      <c r="P29" s="1335" t="n">
        <v>11477</v>
      </c>
      <c r="Q29" s="1335" t="n">
        <v>4333</v>
      </c>
      <c r="R29" s="1335">
        <f>P29+Q29</f>
        <v/>
      </c>
      <c r="S29" s="1335" t="n">
        <v>437</v>
      </c>
      <c r="T29" s="1335">
        <f>R29+S29</f>
        <v/>
      </c>
      <c r="U29" s="1335" t="n">
        <v>12964</v>
      </c>
      <c r="V29" s="1336">
        <f>61177+18485</f>
        <v/>
      </c>
      <c r="W29" s="1335" t="n">
        <v>1991</v>
      </c>
      <c r="X29" s="1335" t="n">
        <v>2216</v>
      </c>
      <c r="Y29" s="1335">
        <f>W29+X29</f>
        <v/>
      </c>
      <c r="Z29" s="1335" t="n">
        <v>1787</v>
      </c>
      <c r="AA29" s="1335">
        <f>Y29+Z29</f>
        <v/>
      </c>
      <c r="AB29" s="1337" t="n">
        <v>2000</v>
      </c>
      <c r="AC29" s="1338">
        <f>AA29+AB29</f>
        <v/>
      </c>
      <c r="AD29" s="1355" t="n">
        <v>25000</v>
      </c>
      <c r="AE29" s="1355" t="n">
        <v>30000</v>
      </c>
      <c r="AF29" s="1355" t="n">
        <v>37000</v>
      </c>
      <c r="AG29" s="1355" t="n">
        <v>43000</v>
      </c>
    </row>
    <row r="30" ht="15" customFormat="1" customHeight="1" s="1118">
      <c r="A30" s="1357" t="inlineStr">
        <is>
          <t>PBT &amp; Exceptional Item</t>
        </is>
      </c>
      <c r="B30" s="1352">
        <f>B28+B29</f>
        <v/>
      </c>
      <c r="C30" s="1352">
        <f>C28+C29</f>
        <v/>
      </c>
      <c r="D30" s="1352">
        <f>D28+D29</f>
        <v/>
      </c>
      <c r="E30" s="1352">
        <f>E28+E29</f>
        <v/>
      </c>
      <c r="F30" s="1352">
        <f>F28+F29</f>
        <v/>
      </c>
      <c r="G30" s="1352">
        <f>G28+G29</f>
        <v/>
      </c>
      <c r="H30" s="1349">
        <f>H28+H29</f>
        <v/>
      </c>
      <c r="I30" s="1352">
        <f>I28+I29</f>
        <v/>
      </c>
      <c r="J30" s="1352">
        <f>J28+J29</f>
        <v/>
      </c>
      <c r="K30" s="1352">
        <f>K28+K29</f>
        <v/>
      </c>
      <c r="L30" s="1352">
        <f>L28+L29</f>
        <v/>
      </c>
      <c r="M30" s="1352">
        <f>M28+M29</f>
        <v/>
      </c>
      <c r="N30" s="1352">
        <f>N28+N29</f>
        <v/>
      </c>
      <c r="O30" s="1349">
        <f>O28+O29</f>
        <v/>
      </c>
      <c r="P30" s="1352">
        <f>P28+P29</f>
        <v/>
      </c>
      <c r="Q30" s="1352">
        <f>Q28+Q29</f>
        <v/>
      </c>
      <c r="R30" s="1352">
        <f>R28+R29</f>
        <v/>
      </c>
      <c r="S30" s="1352">
        <f>S28+S29</f>
        <v/>
      </c>
      <c r="T30" s="1352">
        <f>T28+T29</f>
        <v/>
      </c>
      <c r="U30" s="1352">
        <f>U28+U29</f>
        <v/>
      </c>
      <c r="V30" s="1349">
        <f>V28+V29</f>
        <v/>
      </c>
      <c r="W30" s="1352">
        <f>W28+W29</f>
        <v/>
      </c>
      <c r="X30" s="1352">
        <f>X28+X29</f>
        <v/>
      </c>
      <c r="Y30" s="1352">
        <f>Y28+Y29</f>
        <v/>
      </c>
      <c r="Z30" s="1352">
        <f>Z28+Z29</f>
        <v/>
      </c>
      <c r="AA30" s="1352">
        <f>AA28+AA29</f>
        <v/>
      </c>
      <c r="AB30" s="1352">
        <f>AB28+AB29</f>
        <v/>
      </c>
      <c r="AC30" s="1349">
        <f>AC28+AC29</f>
        <v/>
      </c>
      <c r="AD30" s="1358">
        <f>AD28+AD29</f>
        <v/>
      </c>
      <c r="AE30" s="1358">
        <f>AE28+AE29</f>
        <v/>
      </c>
      <c r="AF30" s="1358">
        <f>AF28+AF29</f>
        <v/>
      </c>
      <c r="AG30" s="1358">
        <f>AG28+AG29</f>
        <v/>
      </c>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f>K31+L31</f>
        <v/>
      </c>
      <c r="N31" s="1335" t="n">
        <v>0</v>
      </c>
      <c r="O31" s="1336" t="n">
        <v>0</v>
      </c>
      <c r="P31" s="1360" t="n"/>
      <c r="Q31" s="1360" t="n"/>
      <c r="R31" s="1335">
        <f>P31+Q31</f>
        <v/>
      </c>
      <c r="S31" s="1335" t="n"/>
      <c r="T31" s="1335">
        <f>R31+S31</f>
        <v/>
      </c>
      <c r="U31" s="1335" t="n"/>
      <c r="V31" s="1336" t="n">
        <v>0</v>
      </c>
      <c r="W31" s="1360" t="n">
        <v>0</v>
      </c>
      <c r="X31" s="1360" t="n">
        <v>0</v>
      </c>
      <c r="Y31" s="1360">
        <f>W31+X31</f>
        <v/>
      </c>
      <c r="Z31" s="1335" t="n"/>
      <c r="AA31" s="1335">
        <f>Y31+Z31</f>
        <v/>
      </c>
      <c r="AB31" s="1360" t="n"/>
      <c r="AC31" s="1338" t="n"/>
      <c r="AD31" s="1361" t="n">
        <v>0</v>
      </c>
      <c r="AE31" s="1361" t="n">
        <v>0</v>
      </c>
      <c r="AF31" s="1361" t="n">
        <v>0</v>
      </c>
      <c r="AG31" s="1361" t="n">
        <v>0</v>
      </c>
    </row>
    <row r="32" ht="15" customFormat="1" customHeight="1" s="1346">
      <c r="A32" s="1357" t="inlineStr">
        <is>
          <t>Profit Before Tax</t>
        </is>
      </c>
      <c r="B32" s="1352">
        <f>B30+B31</f>
        <v/>
      </c>
      <c r="C32" s="1352">
        <f>C30+C31</f>
        <v/>
      </c>
      <c r="D32" s="1352">
        <f>D30+D31</f>
        <v/>
      </c>
      <c r="E32" s="1352">
        <f>E30+E31</f>
        <v/>
      </c>
      <c r="F32" s="1352">
        <f>F30+F31</f>
        <v/>
      </c>
      <c r="G32" s="1352">
        <f>G30+G51</f>
        <v/>
      </c>
      <c r="H32" s="1349">
        <f>H30+H31</f>
        <v/>
      </c>
      <c r="I32" s="1352">
        <f>I30+I31</f>
        <v/>
      </c>
      <c r="J32" s="1352">
        <f>J30+J31</f>
        <v/>
      </c>
      <c r="K32" s="1352">
        <f>K30+K31</f>
        <v/>
      </c>
      <c r="L32" s="1352">
        <f>L30+L31</f>
        <v/>
      </c>
      <c r="M32" s="1352">
        <f>M30+M31</f>
        <v/>
      </c>
      <c r="N32" s="1352">
        <f>N30+N31</f>
        <v/>
      </c>
      <c r="O32" s="1349">
        <f>O30+O31</f>
        <v/>
      </c>
      <c r="P32" s="1352">
        <f>P30-P31</f>
        <v/>
      </c>
      <c r="Q32" s="1352">
        <f>Q30-Q31</f>
        <v/>
      </c>
      <c r="R32" s="1352">
        <f>R30-R31</f>
        <v/>
      </c>
      <c r="S32" s="1352">
        <f>S30-S31</f>
        <v/>
      </c>
      <c r="T32" s="1352">
        <f>T30-T31</f>
        <v/>
      </c>
      <c r="U32" s="1352">
        <f>U30-U31</f>
        <v/>
      </c>
      <c r="V32" s="1349">
        <f>V30-V31</f>
        <v/>
      </c>
      <c r="W32" s="1352">
        <f>W30-W31</f>
        <v/>
      </c>
      <c r="X32" s="1352">
        <f>X30-X31</f>
        <v/>
      </c>
      <c r="Y32" s="1352">
        <f>Y30-Y31</f>
        <v/>
      </c>
      <c r="Z32" s="1352">
        <f>Z30-Z31</f>
        <v/>
      </c>
      <c r="AA32" s="1352">
        <f>AA30-AA31</f>
        <v/>
      </c>
      <c r="AB32" s="1352">
        <f>AB30-AB31</f>
        <v/>
      </c>
      <c r="AC32" s="1349">
        <f>AC30-AC31</f>
        <v/>
      </c>
      <c r="AD32" s="1358">
        <f>AD30-AD31</f>
        <v/>
      </c>
      <c r="AE32" s="1358">
        <f>AE30-AE31</f>
        <v/>
      </c>
      <c r="AF32" s="1358">
        <f>AF30-AF31</f>
        <v/>
      </c>
      <c r="AG32" s="1358">
        <f>AG30-AG31</f>
        <v/>
      </c>
    </row>
    <row r="33" ht="15" customHeight="1" s="850">
      <c r="A33" s="1334" t="inlineStr">
        <is>
          <t>Current Tax</t>
        </is>
      </c>
      <c r="B33" s="1335" t="n">
        <v>-26000</v>
      </c>
      <c r="C33" s="1335" t="n">
        <v>13539</v>
      </c>
      <c r="D33" s="1335">
        <f>B33+C33</f>
        <v/>
      </c>
      <c r="E33" s="1335" t="n">
        <v>-21238</v>
      </c>
      <c r="F33" s="1335">
        <f>D33+E33</f>
        <v/>
      </c>
      <c r="G33" s="1335" t="n">
        <v>13466</v>
      </c>
      <c r="H33" s="1336" t="n">
        <v>47311</v>
      </c>
      <c r="I33" s="1335" t="n">
        <v>27547</v>
      </c>
      <c r="J33" s="1335" t="n">
        <v>29708</v>
      </c>
      <c r="K33" s="1335">
        <f>I33+J33</f>
        <v/>
      </c>
      <c r="L33" s="1335" t="n">
        <v>24150</v>
      </c>
      <c r="M33" s="1335">
        <f>K33+L33</f>
        <v/>
      </c>
      <c r="N33" s="1335" t="n">
        <v>43093</v>
      </c>
      <c r="O33" s="1336" t="n">
        <v>125354</v>
      </c>
      <c r="P33" s="1335" t="n">
        <v>44394</v>
      </c>
      <c r="Q33" s="1360" t="n">
        <v>48928</v>
      </c>
      <c r="R33" s="1335">
        <f>P33+Q33</f>
        <v/>
      </c>
      <c r="S33" s="1335" t="n">
        <v>7561</v>
      </c>
      <c r="T33" s="1335">
        <f>R33+S33</f>
        <v/>
      </c>
      <c r="U33" s="1335" t="n">
        <v>37752</v>
      </c>
      <c r="V33" s="1336" t="n">
        <v>140032</v>
      </c>
      <c r="W33" s="1335" t="n">
        <v>33982</v>
      </c>
      <c r="X33" s="1335" t="n">
        <v>30940</v>
      </c>
      <c r="Y33" s="1335">
        <f>W33+X33</f>
        <v/>
      </c>
      <c r="Z33" s="1335" t="n">
        <v>37111</v>
      </c>
      <c r="AA33" s="1335">
        <f>Y33+Z33</f>
        <v/>
      </c>
      <c r="AB33" s="1343" t="n">
        <v>46236.3</v>
      </c>
      <c r="AC33" s="1336">
        <f>AA33+AB33</f>
        <v/>
      </c>
      <c r="AD33" s="1362">
        <f>AD32*33%</f>
        <v/>
      </c>
      <c r="AE33" s="1362">
        <f>AE32*33%</f>
        <v/>
      </c>
      <c r="AF33" s="1362">
        <f>AF32*33%</f>
        <v/>
      </c>
      <c r="AG33" s="1362">
        <f>AG32*33%</f>
        <v/>
      </c>
    </row>
    <row r="34" ht="15" customHeight="1" s="850">
      <c r="A34" s="1341" t="inlineStr">
        <is>
          <t>Deferred Tax</t>
        </is>
      </c>
      <c r="B34" s="1335" t="n">
        <v>0</v>
      </c>
      <c r="C34" s="1335" t="n">
        <v>0</v>
      </c>
      <c r="D34" s="1335">
        <f>B34+C34</f>
        <v/>
      </c>
      <c r="E34" s="1335" t="n">
        <v>0</v>
      </c>
      <c r="F34" s="1335">
        <f>D34+E34</f>
        <v/>
      </c>
      <c r="G34" s="1335" t="n">
        <v>0</v>
      </c>
      <c r="H34" s="1336">
        <f>F34+G34</f>
        <v/>
      </c>
      <c r="I34" s="1335" t="n">
        <v>514</v>
      </c>
      <c r="J34" s="1335" t="n">
        <v>1684</v>
      </c>
      <c r="K34" s="1335">
        <f>I34+J34</f>
        <v/>
      </c>
      <c r="L34" s="1335" t="n">
        <v>3463</v>
      </c>
      <c r="M34" s="1335">
        <f>K34+L34</f>
        <v/>
      </c>
      <c r="N34" s="1335" t="n">
        <v>-5760</v>
      </c>
      <c r="O34" s="1336" t="n">
        <v>0</v>
      </c>
      <c r="P34" s="1335" t="n">
        <v>999</v>
      </c>
      <c r="Q34" s="1335" t="n">
        <v>-1156</v>
      </c>
      <c r="R34" s="1335">
        <f>P34+Q34</f>
        <v/>
      </c>
      <c r="S34" s="1335" t="n">
        <v>1372</v>
      </c>
      <c r="T34" s="1335">
        <f>R34+S34</f>
        <v/>
      </c>
      <c r="U34" s="1335" t="n">
        <v>591</v>
      </c>
      <c r="V34" s="1336" t="n">
        <v>0</v>
      </c>
      <c r="W34" s="1335" t="n">
        <v>-865</v>
      </c>
      <c r="X34" s="1335" t="n">
        <v>412</v>
      </c>
      <c r="Y34" s="1335">
        <f>W34+X34</f>
        <v/>
      </c>
      <c r="Z34" s="1335" t="n">
        <v>2720</v>
      </c>
      <c r="AA34" s="1335">
        <f>Y34+Z34</f>
        <v/>
      </c>
      <c r="AB34" s="1343" t="n">
        <v>2720</v>
      </c>
      <c r="AC34" s="1336">
        <f>AA34+AB34</f>
        <v/>
      </c>
      <c r="AD34" s="1361" t="n">
        <v>0</v>
      </c>
      <c r="AE34" s="1361" t="n">
        <v>0</v>
      </c>
      <c r="AF34" s="1361" t="n">
        <v>0</v>
      </c>
      <c r="AG34" s="1361" t="n">
        <v>0</v>
      </c>
    </row>
    <row r="35" ht="15" customHeight="1" s="850">
      <c r="A35" s="1341" t="inlineStr">
        <is>
          <t>Fringe Benefit Tax</t>
        </is>
      </c>
      <c r="B35" s="1335" t="n">
        <v>0</v>
      </c>
      <c r="C35" s="1335" t="n">
        <v>0</v>
      </c>
      <c r="D35" s="1335">
        <f>B35+C35</f>
        <v/>
      </c>
      <c r="E35" s="1335" t="n">
        <v>0</v>
      </c>
      <c r="F35" s="1335">
        <f>D35+E35</f>
        <v/>
      </c>
      <c r="G35" s="1335" t="n">
        <v>0</v>
      </c>
      <c r="H35" s="1336">
        <f>F35+G35</f>
        <v/>
      </c>
      <c r="I35" s="1335" t="n">
        <v>-1404</v>
      </c>
      <c r="J35" s="1335" t="n">
        <v>320</v>
      </c>
      <c r="K35" s="1335">
        <f>I35+J35</f>
        <v/>
      </c>
      <c r="L35" s="1335" t="n">
        <v>139</v>
      </c>
      <c r="M35" s="1335">
        <f>K35+L35</f>
        <v/>
      </c>
      <c r="N35" s="1335" t="n">
        <v>191</v>
      </c>
      <c r="O35" s="1336" t="n">
        <v>0</v>
      </c>
      <c r="P35" s="1335" t="n">
        <v>142</v>
      </c>
      <c r="Q35" s="1335" t="n">
        <v>169</v>
      </c>
      <c r="R35" s="1335">
        <f>P35+Q35</f>
        <v/>
      </c>
      <c r="S35" s="1335" t="n">
        <v>254</v>
      </c>
      <c r="T35" s="1335">
        <f>R35+S35</f>
        <v/>
      </c>
      <c r="U35" s="1335" t="n">
        <v>208</v>
      </c>
      <c r="V35" s="1336" t="n">
        <v>0</v>
      </c>
      <c r="W35" s="1335" t="n">
        <v>0</v>
      </c>
      <c r="X35" s="1335" t="n"/>
      <c r="Y35" s="1335">
        <f>W35+X35</f>
        <v/>
      </c>
      <c r="Z35" s="1335" t="n"/>
      <c r="AA35" s="1335">
        <f>Y35+Z35</f>
        <v/>
      </c>
      <c r="AB35" s="1360" t="n">
        <v>0</v>
      </c>
      <c r="AC35" s="1338" t="n"/>
      <c r="AD35" s="1361" t="n">
        <v>0</v>
      </c>
      <c r="AE35" s="1361" t="n">
        <v>0</v>
      </c>
      <c r="AF35" s="1361" t="n">
        <v>0</v>
      </c>
      <c r="AG35" s="1361" t="n">
        <v>0</v>
      </c>
    </row>
    <row r="36" ht="15" customFormat="1" customHeight="1" s="1363">
      <c r="A36" s="1364" t="inlineStr">
        <is>
          <t>Eff tax rate - non deferred</t>
        </is>
      </c>
      <c r="B36" s="1365">
        <f>B33/B32%</f>
        <v/>
      </c>
      <c r="C36" s="1365">
        <f>C33/C32%</f>
        <v/>
      </c>
      <c r="D36" s="1365">
        <f>D33/D32%</f>
        <v/>
      </c>
      <c r="E36" s="1365">
        <f>E33/E32%</f>
        <v/>
      </c>
      <c r="F36" s="1365">
        <f>F33/F32%</f>
        <v/>
      </c>
      <c r="G36" s="1365">
        <f>G33/G32%</f>
        <v/>
      </c>
      <c r="H36" s="1366">
        <f>H33/H32%</f>
        <v/>
      </c>
      <c r="I36" s="1365">
        <f>I33/I32%</f>
        <v/>
      </c>
      <c r="J36" s="1365">
        <f>J33/J32%</f>
        <v/>
      </c>
      <c r="K36" s="1365">
        <f>K33/K32%</f>
        <v/>
      </c>
      <c r="L36" s="1365">
        <f>L33/L32%</f>
        <v/>
      </c>
      <c r="M36" s="1365">
        <f>M33/M32%</f>
        <v/>
      </c>
      <c r="N36" s="1365">
        <f>N33/N32%</f>
        <v/>
      </c>
      <c r="O36" s="1366">
        <f>O33/O32%</f>
        <v/>
      </c>
      <c r="P36" s="1365">
        <f>P33/P32%</f>
        <v/>
      </c>
      <c r="Q36" s="1365">
        <f>Q33/Q32%</f>
        <v/>
      </c>
      <c r="R36" s="1365">
        <f>R33/R32%</f>
        <v/>
      </c>
      <c r="S36" s="1365">
        <f>S33/S32%</f>
        <v/>
      </c>
      <c r="T36" s="1365">
        <f>T33/T32%</f>
        <v/>
      </c>
      <c r="U36" s="1365">
        <f>U33/U32%</f>
        <v/>
      </c>
      <c r="V36" s="1366">
        <f>V33/V32%</f>
        <v/>
      </c>
      <c r="W36" s="1365">
        <f>W33/W32%</f>
        <v/>
      </c>
      <c r="X36" s="1365">
        <f>X33/X32%</f>
        <v/>
      </c>
      <c r="Y36" s="1365">
        <f>Y33/Y32%</f>
        <v/>
      </c>
      <c r="Z36" s="1365">
        <f>Z33/Z32%</f>
        <v/>
      </c>
      <c r="AA36" s="1365">
        <f>AA33/AA32%</f>
        <v/>
      </c>
      <c r="AB36" s="1367">
        <f>AB33/AB32%</f>
        <v/>
      </c>
      <c r="AC36" s="1368">
        <f>AC33/AC32%</f>
        <v/>
      </c>
      <c r="AD36" s="1369">
        <f>AD33/AD32%</f>
        <v/>
      </c>
      <c r="AE36" s="1369">
        <f>AE33/AE32%</f>
        <v/>
      </c>
      <c r="AF36" s="1369">
        <f>AF33/AF32%</f>
        <v/>
      </c>
      <c r="AG36" s="1369">
        <f>AG33/AG32%</f>
        <v/>
      </c>
    </row>
    <row r="37" ht="15" customFormat="1" customHeight="1" s="1370">
      <c r="A37" s="1371" t="inlineStr">
        <is>
          <t>Eff tax rate (%)</t>
        </is>
      </c>
      <c r="B37" s="1365">
        <f>((B33+B34+B35)/B32)*100</f>
        <v/>
      </c>
      <c r="C37" s="1365">
        <f>((C33+C34+C35)/C32)*100</f>
        <v/>
      </c>
      <c r="D37" s="1365">
        <f>((D33+D34+D35)/D32)*100</f>
        <v/>
      </c>
      <c r="E37" s="1365">
        <f>((E33+E34+E35)/E32)*100</f>
        <v/>
      </c>
      <c r="F37" s="1365">
        <f>((F33+F34+F35)/F32)*100</f>
        <v/>
      </c>
      <c r="G37" s="1365">
        <f>((G33+G34+G35)/G32)*100</f>
        <v/>
      </c>
      <c r="H37" s="1366">
        <f>((H33+H34+H35)/H32)*100</f>
        <v/>
      </c>
      <c r="I37" s="1365">
        <f>((I33+I34+I35)/I32)*100</f>
        <v/>
      </c>
      <c r="J37" s="1365">
        <f>((J33+J34+J35)/J32)*100</f>
        <v/>
      </c>
      <c r="K37" s="1365">
        <f>((K33+K34+K35)/K32)*100</f>
        <v/>
      </c>
      <c r="L37" s="1365">
        <f>((L33+L34+L35)/L32)*100</f>
        <v/>
      </c>
      <c r="M37" s="1365">
        <f>((M33+M34+M35)/M32)*100</f>
        <v/>
      </c>
      <c r="N37" s="1365">
        <f>((N33+N34+N35)/N32)*100</f>
        <v/>
      </c>
      <c r="O37" s="1366">
        <f>((O33+O34+O35)/O32)*100</f>
        <v/>
      </c>
      <c r="P37" s="1365">
        <f>((P33+P34+P35)/P32)*100</f>
        <v/>
      </c>
      <c r="Q37" s="1365">
        <f>((Q33+Q34+Q35)/Q32)*100</f>
        <v/>
      </c>
      <c r="R37" s="1365">
        <f>((R33+R34+R35)/R32)*100</f>
        <v/>
      </c>
      <c r="S37" s="1365">
        <f>((S33+S34+S35)/S32)*100</f>
        <v/>
      </c>
      <c r="T37" s="1365">
        <f>((T33+T34+T35)/T32)*100</f>
        <v/>
      </c>
      <c r="U37" s="1365">
        <f>((U33+U34+U35)/U32)*100</f>
        <v/>
      </c>
      <c r="V37" s="1366">
        <f>((V33+V34+V35)/V32)*100</f>
        <v/>
      </c>
      <c r="W37" s="1365">
        <f>((W33+W34+W35)/W32)*100</f>
        <v/>
      </c>
      <c r="X37" s="1365">
        <f>((X33+X34+X35)/X32)*100</f>
        <v/>
      </c>
      <c r="Y37" s="1365">
        <f>((Y33+Y34+Y35)/Y32)*100</f>
        <v/>
      </c>
      <c r="Z37" s="1365">
        <f>((Z33+Z34+Z35)/Z32)*100</f>
        <v/>
      </c>
      <c r="AA37" s="1365">
        <f>((AA33+AA34+AA35)/AA32)*100</f>
        <v/>
      </c>
      <c r="AB37" s="1365">
        <f>((AB33+AB34+AB35)/AB32)*100</f>
        <v/>
      </c>
      <c r="AC37" s="1366">
        <f>((AC33+AC34+AC35)/AC32)*100</f>
        <v/>
      </c>
      <c r="AD37" s="1372">
        <f>((AD33+AD34+AD35)/AD32)*100</f>
        <v/>
      </c>
      <c r="AE37" s="1372">
        <f>((AE33+AE34+AE35)/AE32)*100</f>
        <v/>
      </c>
      <c r="AF37" s="1372">
        <f>((AF33+AF34+AF35)/AF32)*100</f>
        <v/>
      </c>
      <c r="AG37" s="1372">
        <f>((AG33+AG34+AG35)/AG32)*100</f>
        <v/>
      </c>
    </row>
    <row r="38" ht="15" customFormat="1" customHeight="1" s="1346">
      <c r="A38" s="1357" t="inlineStr">
        <is>
          <t>Profit After Tax</t>
        </is>
      </c>
      <c r="B38" s="1352">
        <f>B32-B33-B34-B35</f>
        <v/>
      </c>
      <c r="C38" s="1352">
        <f>C32-C33-C34-C35</f>
        <v/>
      </c>
      <c r="D38" s="1352">
        <f>D32-D33-D34-D35</f>
        <v/>
      </c>
      <c r="E38" s="1352">
        <f>E32-E33-E34-E35</f>
        <v/>
      </c>
      <c r="F38" s="1352">
        <f>F32-F33-F34-F35</f>
        <v/>
      </c>
      <c r="G38" s="1352">
        <f>G32-G33-G34-G35</f>
        <v/>
      </c>
      <c r="H38" s="1349">
        <f>H32-H33-H34-H35</f>
        <v/>
      </c>
      <c r="I38" s="1352">
        <f>I32-I33-I34-I35</f>
        <v/>
      </c>
      <c r="J38" s="1352">
        <f>J32-J33-J34-J35</f>
        <v/>
      </c>
      <c r="K38" s="1352">
        <f>K32-K33-K34-K35</f>
        <v/>
      </c>
      <c r="L38" s="1352">
        <f>L32-L33-L34-L35</f>
        <v/>
      </c>
      <c r="M38" s="1352">
        <f>M32-M33-M34-M35</f>
        <v/>
      </c>
      <c r="N38" s="1352">
        <f>N32-N33-N34-N35</f>
        <v/>
      </c>
      <c r="O38" s="1349">
        <f>O32-O33-O34-O35</f>
        <v/>
      </c>
      <c r="P38" s="1352">
        <f>P32-P33-P34-P35</f>
        <v/>
      </c>
      <c r="Q38" s="1352">
        <f>Q32-Q33-Q34-Q35</f>
        <v/>
      </c>
      <c r="R38" s="1352">
        <f>R32-R33-R34-R35</f>
        <v/>
      </c>
      <c r="S38" s="1352">
        <f>S32-S33-S34-S35</f>
        <v/>
      </c>
      <c r="T38" s="1352">
        <f>T32-T33-T34-T35</f>
        <v/>
      </c>
      <c r="U38" s="1352">
        <f>U32-U33-U34-U35</f>
        <v/>
      </c>
      <c r="V38" s="1349">
        <f>V32-V33-V34-V35</f>
        <v/>
      </c>
      <c r="W38" s="1352">
        <f>W32-W33-W34-W35</f>
        <v/>
      </c>
      <c r="X38" s="1352">
        <f>X32-X33-X34-X35</f>
        <v/>
      </c>
      <c r="Y38" s="1352">
        <f>Y32-Y33-Y34-Y35</f>
        <v/>
      </c>
      <c r="Z38" s="1352">
        <f>Z32-Z33-Z34-Z35</f>
        <v/>
      </c>
      <c r="AA38" s="1352">
        <f>AA32-AA33-AA34-AA35</f>
        <v/>
      </c>
      <c r="AB38" s="1352">
        <f>AB32-AB33-AB34-AB35</f>
        <v/>
      </c>
      <c r="AC38" s="1349">
        <f>AC32-AC33-AC34-AC35</f>
        <v/>
      </c>
      <c r="AD38" s="1358">
        <f>AD32-AD33-AD34-AD35</f>
        <v/>
      </c>
      <c r="AE38" s="1358">
        <f>AE32-AE33-AE34-AE35</f>
        <v/>
      </c>
      <c r="AF38" s="1358">
        <f>AF32-AF33-AF34-AF35</f>
        <v/>
      </c>
      <c r="AG38" s="1358">
        <f>AG32-AG33-AG34-AG35</f>
        <v/>
      </c>
    </row>
    <row r="39" ht="15" customFormat="1" customHeight="1" s="1104">
      <c r="A39" s="1373" t="inlineStr">
        <is>
          <t>Prior Period Items</t>
        </is>
      </c>
      <c r="B39" s="1335" t="n">
        <v>0</v>
      </c>
      <c r="C39" s="1335" t="n">
        <v>0</v>
      </c>
      <c r="D39" s="1335">
        <f>B39+C39</f>
        <v/>
      </c>
      <c r="E39" s="1335" t="n">
        <v>0</v>
      </c>
      <c r="F39" s="1335" t="n">
        <v>0</v>
      </c>
      <c r="G39" s="1335" t="n">
        <v>0</v>
      </c>
      <c r="H39" s="1336">
        <f>F39+G39</f>
        <v/>
      </c>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f>B40+C40</f>
        <v/>
      </c>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f>B38-B39-B40</f>
        <v/>
      </c>
      <c r="C41" s="1377">
        <f>C38-C39-C40</f>
        <v/>
      </c>
      <c r="D41" s="1377">
        <f>D38-D39-D40</f>
        <v/>
      </c>
      <c r="E41" s="1377">
        <f>E38-E39-E40</f>
        <v/>
      </c>
      <c r="F41" s="1377">
        <f>F38-F39-F40</f>
        <v/>
      </c>
      <c r="G41" s="1377">
        <f>G38-G39-G40</f>
        <v/>
      </c>
      <c r="H41" s="1349">
        <f>H38-H39-H40</f>
        <v/>
      </c>
      <c r="I41" s="1377">
        <f>I38-I39-I40</f>
        <v/>
      </c>
      <c r="J41" s="1377">
        <f>J38-J39-J40</f>
        <v/>
      </c>
      <c r="K41" s="1377">
        <f>K38-K39-K40</f>
        <v/>
      </c>
      <c r="L41" s="1377">
        <f>L38-L39-L40</f>
        <v/>
      </c>
      <c r="M41" s="1377">
        <f>M38-M39-M40</f>
        <v/>
      </c>
      <c r="N41" s="1377">
        <f>N38-N39-N40</f>
        <v/>
      </c>
      <c r="O41" s="1349">
        <f>O38-O39-O40</f>
        <v/>
      </c>
      <c r="P41" s="1377">
        <f>P38-P39-P40</f>
        <v/>
      </c>
      <c r="Q41" s="1377">
        <f>Q38-Q39-Q40</f>
        <v/>
      </c>
      <c r="R41" s="1377">
        <f>R38-R39-R40</f>
        <v/>
      </c>
      <c r="S41" s="1377">
        <f>S38-S39-S40</f>
        <v/>
      </c>
      <c r="T41" s="1377">
        <f>T38-T39-T40</f>
        <v/>
      </c>
      <c r="U41" s="1377">
        <f>U38-U39-U40</f>
        <v/>
      </c>
      <c r="V41" s="1349">
        <f>V38-V39-V40</f>
        <v/>
      </c>
      <c r="W41" s="1377">
        <f>W38-W39-W40</f>
        <v/>
      </c>
      <c r="X41" s="1377">
        <f>X38-X39-X40</f>
        <v/>
      </c>
      <c r="Y41" s="1377">
        <f>Y38-Y39-Y40</f>
        <v/>
      </c>
      <c r="Z41" s="1377">
        <f>Z38-Z39-Z40</f>
        <v/>
      </c>
      <c r="AA41" s="1377">
        <f>AA38-AA39-AA40</f>
        <v/>
      </c>
      <c r="AB41" s="1377">
        <f>AB38-AB39-AB40</f>
        <v/>
      </c>
      <c r="AC41" s="1378">
        <f>AA41+AB41</f>
        <v/>
      </c>
      <c r="AD41" s="1349" t="n">
        <v>268170</v>
      </c>
      <c r="AE41" s="1349" t="n">
        <v>369071</v>
      </c>
      <c r="AF41" s="1349" t="n">
        <v>448389</v>
      </c>
      <c r="AG41" s="1349" t="n">
        <v>769546</v>
      </c>
    </row>
    <row r="42" ht="15" customFormat="1" customHeight="1" s="1319">
      <c r="A42" s="1320" t="inlineStr">
        <is>
          <t>% full year</t>
        </is>
      </c>
      <c r="B42" s="1321">
        <f>B38/$H38*100</f>
        <v/>
      </c>
      <c r="C42" s="1321">
        <f>C38/$H38*100</f>
        <v/>
      </c>
      <c r="D42" s="1321">
        <f>D38/$H38*100</f>
        <v/>
      </c>
      <c r="E42" s="1321">
        <f>E38/$H38*100</f>
        <v/>
      </c>
      <c r="F42" s="1321">
        <f>F38/$H38*100</f>
        <v/>
      </c>
      <c r="G42" s="1321">
        <f>G38/$H38*100</f>
        <v/>
      </c>
      <c r="H42" s="1322">
        <f>F42+G42</f>
        <v/>
      </c>
      <c r="I42" s="1321">
        <f>I41/$O41*100</f>
        <v/>
      </c>
      <c r="J42" s="1321">
        <f>J41/$O41*100</f>
        <v/>
      </c>
      <c r="K42" s="1321">
        <f>K41/$O41*100</f>
        <v/>
      </c>
      <c r="L42" s="1321">
        <f>L41/$O41*100</f>
        <v/>
      </c>
      <c r="M42" s="1321">
        <f>M41/$O41*100</f>
        <v/>
      </c>
      <c r="N42" s="1321">
        <f>N41/$O41*100</f>
        <v/>
      </c>
      <c r="O42" s="1322">
        <f>M42+N42</f>
        <v/>
      </c>
      <c r="P42" s="1321">
        <f>P38/$V38*100</f>
        <v/>
      </c>
      <c r="Q42" s="1321">
        <f>Q38/$V38*100</f>
        <v/>
      </c>
      <c r="R42" s="1321">
        <f>R38/$V38*100</f>
        <v/>
      </c>
      <c r="S42" s="1321">
        <f>S38/$V38*100</f>
        <v/>
      </c>
      <c r="T42" s="1321">
        <f>T38/$V38*100</f>
        <v/>
      </c>
      <c r="U42" s="1321">
        <f>U38/$V38*100</f>
        <v/>
      </c>
      <c r="V42" s="1322">
        <f>T42+U42</f>
        <v/>
      </c>
      <c r="W42" s="1321">
        <f>W41/$AC41*100</f>
        <v/>
      </c>
      <c r="X42" s="1321">
        <f>X41/$AC41*100</f>
        <v/>
      </c>
      <c r="Y42" s="1321">
        <f>Y41/$AC41*100</f>
        <v/>
      </c>
      <c r="Z42" s="1321">
        <f>Z41/$AC41*100</f>
        <v/>
      </c>
      <c r="AA42" s="1321">
        <f>AA41/$AC41*100</f>
        <v/>
      </c>
      <c r="AB42" s="1321">
        <f>AB41/$AC41*100</f>
        <v/>
      </c>
      <c r="AC42" s="1323">
        <f>AA42+AB42</f>
        <v/>
      </c>
      <c r="AD42" s="1325" t="n"/>
      <c r="AE42" s="1325" t="n"/>
      <c r="AF42" s="1325" t="n"/>
      <c r="AG42" s="1325" t="n"/>
    </row>
    <row r="43" ht="15" customFormat="1" customHeight="1" s="1319">
      <c r="A43" s="1326" t="inlineStr">
        <is>
          <t>% growth y-o-y</t>
        </is>
      </c>
      <c r="B43" s="1321">
        <f>(B38/#REF!-1)*100</f>
        <v/>
      </c>
      <c r="C43" s="1321">
        <f>(C38/#REF!-1)*100</f>
        <v/>
      </c>
      <c r="D43" s="1321">
        <f>(D38/#REF!-1)*100</f>
        <v/>
      </c>
      <c r="E43" s="1321">
        <f>(E38/#REF!-1)*100</f>
        <v/>
      </c>
      <c r="F43" s="1321">
        <f>(F38/#REF!-1)*100</f>
        <v/>
      </c>
      <c r="G43" s="1321">
        <f>(G38/#REF!-1)*100</f>
        <v/>
      </c>
      <c r="H43" s="1322">
        <f>(H38/#REF!-1)*100</f>
        <v/>
      </c>
      <c r="I43" s="1321">
        <f>(I38/B38-1)*100</f>
        <v/>
      </c>
      <c r="J43" s="1321">
        <f>(J38/C38-1)*100</f>
        <v/>
      </c>
      <c r="K43" s="1321">
        <f>(K38/D38-1)*100</f>
        <v/>
      </c>
      <c r="L43" s="1321">
        <f>(L38/E38-1)*100</f>
        <v/>
      </c>
      <c r="M43" s="1321">
        <f>(M38/F38-1)*100</f>
        <v/>
      </c>
      <c r="N43" s="1321">
        <f>(N38/G38-1)*100</f>
        <v/>
      </c>
      <c r="O43" s="1322">
        <f>(O38/H38-1)*100</f>
        <v/>
      </c>
      <c r="P43" s="1321">
        <f>(P38/I38-1)*100</f>
        <v/>
      </c>
      <c r="Q43" s="1321">
        <f>(Q38/J38-1)*100</f>
        <v/>
      </c>
      <c r="R43" s="1321">
        <f>(R38/K38-1)*100</f>
        <v/>
      </c>
      <c r="S43" s="1321">
        <f>(S38/L38-1)*100</f>
        <v/>
      </c>
      <c r="T43" s="1321">
        <f>(T38/M38-1)*100</f>
        <v/>
      </c>
      <c r="U43" s="1321">
        <f>(U38/N38-1)*100</f>
        <v/>
      </c>
      <c r="V43" s="1322">
        <f>(V38/O38-1)*100</f>
        <v/>
      </c>
      <c r="W43" s="1321">
        <f>(W38/P38-1)*100</f>
        <v/>
      </c>
      <c r="X43" s="1321">
        <f>(X38/Q38-1)*100</f>
        <v/>
      </c>
      <c r="Y43" s="1321">
        <f>(Y38/R38-1)*100</f>
        <v/>
      </c>
      <c r="Z43" s="1321">
        <f>(Z38/S38-1)*100</f>
        <v/>
      </c>
      <c r="AA43" s="1321">
        <f>(AA38/T38-1)*100</f>
        <v/>
      </c>
      <c r="AB43" s="1327">
        <f>(AB38/U38-1)*100</f>
        <v/>
      </c>
      <c r="AC43" s="1323">
        <f>(AC38/V38-1)*100</f>
        <v/>
      </c>
      <c r="AD43" s="1324">
        <f>AD41/AC41%</f>
        <v/>
      </c>
      <c r="AE43" s="1324">
        <f>AE41/AD41%</f>
        <v/>
      </c>
      <c r="AF43" s="1324">
        <f>AF41/AE41%</f>
        <v/>
      </c>
      <c r="AG43" s="1324">
        <f>AG41/AF41%</f>
        <v/>
      </c>
    </row>
    <row r="44" ht="15" customFormat="1" customHeight="1" s="1319">
      <c r="A44" s="1329" t="inlineStr">
        <is>
          <t>% growth q-o-q</t>
        </is>
      </c>
      <c r="B44" s="1321">
        <f>(B38/#REF!-1)*100</f>
        <v/>
      </c>
      <c r="C44" s="1321">
        <f>(C38/B38-1)*100</f>
        <v/>
      </c>
      <c r="D44" s="1321" t="n"/>
      <c r="E44" s="1321">
        <f>(E38/C38-1)*100</f>
        <v/>
      </c>
      <c r="F44" s="1321" t="n"/>
      <c r="G44" s="1321">
        <f>(G38/E38-1)*100</f>
        <v/>
      </c>
      <c r="H44" s="1322" t="n"/>
      <c r="I44" s="1321">
        <f>(I38/G38-1)*100</f>
        <v/>
      </c>
      <c r="J44" s="1321">
        <f>(J38/I38-1)*100</f>
        <v/>
      </c>
      <c r="K44" s="1321" t="n"/>
      <c r="L44" s="1321">
        <f>(L38/J38-1)*100</f>
        <v/>
      </c>
      <c r="M44" s="1321" t="n"/>
      <c r="N44" s="1321">
        <f>(N38/L38-1)*100</f>
        <v/>
      </c>
      <c r="O44" s="1323" t="n"/>
      <c r="P44" s="1321">
        <f>(P38/N38-1)*100</f>
        <v/>
      </c>
      <c r="Q44" s="1321">
        <f>(Q38/P38-1)*100</f>
        <v/>
      </c>
      <c r="R44" s="1321" t="n"/>
      <c r="S44" s="1321">
        <f>(S38/Q38-1)*100</f>
        <v/>
      </c>
      <c r="T44" s="1321" t="n"/>
      <c r="U44" s="1321">
        <f>(U38/S38-1)*100</f>
        <v/>
      </c>
      <c r="V44" s="1322" t="n"/>
      <c r="W44" s="1321">
        <f>(W38/U38-1)*100</f>
        <v/>
      </c>
      <c r="X44" s="1321">
        <f>(X38/W38-1)*100</f>
        <v/>
      </c>
      <c r="Y44" s="1321" t="n"/>
      <c r="Z44" s="1321">
        <f>(Z38/X38-1)*100</f>
        <v/>
      </c>
      <c r="AA44" s="1321" t="n"/>
      <c r="AB44" s="1327">
        <f>(AB38/Z38-1)*100</f>
        <v/>
      </c>
      <c r="AC44" s="1323" t="n"/>
      <c r="AD44" s="1325" t="n"/>
      <c r="AE44" s="1325" t="n"/>
      <c r="AF44" s="1325" t="n"/>
      <c r="AG44" s="1325" t="n"/>
    </row>
    <row r="45" ht="15" customFormat="1" customHeight="1" s="1118">
      <c r="A45" s="1351" t="inlineStr">
        <is>
          <t>PAT(% of Sales)</t>
        </is>
      </c>
      <c r="B45" s="1352">
        <f>(B41/B6)*100</f>
        <v/>
      </c>
      <c r="C45" s="1352">
        <f>(C41/C6)*100</f>
        <v/>
      </c>
      <c r="D45" s="1352">
        <f>(D41/D6)*100</f>
        <v/>
      </c>
      <c r="E45" s="1352">
        <f>(E41/E6)*100</f>
        <v/>
      </c>
      <c r="F45" s="1352">
        <f>(F41/F6)*100</f>
        <v/>
      </c>
      <c r="G45" s="1352">
        <f>(G41/G6)*100</f>
        <v/>
      </c>
      <c r="H45" s="1349">
        <f>(H41/H6)*100</f>
        <v/>
      </c>
      <c r="I45" s="1352">
        <f>(I41/I6)*100</f>
        <v/>
      </c>
      <c r="J45" s="1352">
        <f>(J41/J6)*100</f>
        <v/>
      </c>
      <c r="K45" s="1352">
        <f>(K41/L6)*100</f>
        <v/>
      </c>
      <c r="L45" s="1352">
        <f>(L41/L6)*100</f>
        <v/>
      </c>
      <c r="M45" s="1352">
        <f>(M41/M6)*100</f>
        <v/>
      </c>
      <c r="N45" s="1352">
        <f>(N41/N6)*100</f>
        <v/>
      </c>
      <c r="O45" s="1349">
        <f>(O41/O6)*100</f>
        <v/>
      </c>
      <c r="P45" s="1352">
        <f>(P41/P6)*100</f>
        <v/>
      </c>
      <c r="Q45" s="1352">
        <f>(Q41/Q6)*100</f>
        <v/>
      </c>
      <c r="R45" s="1352">
        <f>(R41/R6)*100</f>
        <v/>
      </c>
      <c r="S45" s="1352">
        <f>(S41/S6)*100</f>
        <v/>
      </c>
      <c r="T45" s="1352">
        <f>(T41/T6)*100</f>
        <v/>
      </c>
      <c r="U45" s="1352">
        <f>(U41/U6)*100</f>
        <v/>
      </c>
      <c r="V45" s="1349">
        <f>(V41/V6)*100</f>
        <v/>
      </c>
      <c r="W45" s="1352">
        <f>(W41/W6)*100</f>
        <v/>
      </c>
      <c r="X45" s="1352">
        <f>(X41/X6)*100</f>
        <v/>
      </c>
      <c r="Y45" s="1352">
        <f>(Y41/Y6)*100</f>
        <v/>
      </c>
      <c r="Z45" s="1352">
        <f>(Z41/Z6)*100</f>
        <v/>
      </c>
      <c r="AA45" s="1352">
        <f>(AA41/AA6)*100</f>
        <v/>
      </c>
      <c r="AB45" s="1352">
        <f>(AB41/AB6)*100</f>
        <v/>
      </c>
      <c r="AC45" s="1349">
        <f>(AC41/AC6)*100</f>
        <v/>
      </c>
      <c r="AD45" s="1379">
        <f>(AD41/AD6)*100</f>
        <v/>
      </c>
      <c r="AE45" s="1379">
        <f>(AE41/AE6)*100</f>
        <v/>
      </c>
      <c r="AF45" s="1379">
        <f>(AF41/AF6)*100</f>
        <v/>
      </c>
      <c r="AG45" s="1379">
        <f>(AG41/AG6)*100</f>
        <v/>
      </c>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f>B47</f>
        <v/>
      </c>
      <c r="D47" s="1360">
        <f>C47</f>
        <v/>
      </c>
      <c r="E47" s="1360">
        <f>D47</f>
        <v/>
      </c>
      <c r="F47" s="1360">
        <f>E47</f>
        <v/>
      </c>
      <c r="G47" s="1360">
        <f>F47</f>
        <v/>
      </c>
      <c r="H47" s="1338">
        <f>G47</f>
        <v/>
      </c>
      <c r="I47" s="1360">
        <f>H47</f>
        <v/>
      </c>
      <c r="J47" s="1360">
        <f>I47</f>
        <v/>
      </c>
      <c r="K47" s="1360">
        <f>J47</f>
        <v/>
      </c>
      <c r="L47" s="1360">
        <f>K47</f>
        <v/>
      </c>
      <c r="M47" s="1360">
        <f>L47</f>
        <v/>
      </c>
      <c r="N47" s="1360">
        <f>M47</f>
        <v/>
      </c>
      <c r="O47" s="1386">
        <f>N47</f>
        <v/>
      </c>
      <c r="P47" s="1360">
        <f>N47</f>
        <v/>
      </c>
      <c r="Q47" s="1360">
        <f>P47</f>
        <v/>
      </c>
      <c r="R47" s="1360">
        <f>Q47</f>
        <v/>
      </c>
      <c r="S47" s="1360" t="n">
        <v>126848</v>
      </c>
      <c r="T47" s="1360">
        <f>S47</f>
        <v/>
      </c>
      <c r="U47" s="1360">
        <f>T47</f>
        <v/>
      </c>
      <c r="V47" s="1338">
        <f>U47</f>
        <v/>
      </c>
      <c r="W47" s="1360">
        <f>V47</f>
        <v/>
      </c>
      <c r="X47" s="1360">
        <f>W47</f>
        <v/>
      </c>
      <c r="Y47" s="1360">
        <f>X47</f>
        <v/>
      </c>
      <c r="Z47" s="1360">
        <f>Y47</f>
        <v/>
      </c>
      <c r="AA47" s="1360">
        <f>Z47</f>
        <v/>
      </c>
      <c r="AB47" s="1360">
        <f>AA47</f>
        <v/>
      </c>
      <c r="AC47" s="1338">
        <f>AB47</f>
        <v/>
      </c>
      <c r="AD47" s="1387">
        <f>AC47</f>
        <v/>
      </c>
      <c r="AE47" s="1387">
        <f>AD47</f>
        <v/>
      </c>
      <c r="AF47" s="1387">
        <f>AE47</f>
        <v/>
      </c>
      <c r="AG47" s="1387">
        <f>AF47</f>
        <v/>
      </c>
    </row>
    <row r="48" ht="15" customFormat="1" customHeight="1" s="1104">
      <c r="A48" s="1375" t="inlineStr">
        <is>
          <t>No of Equity shares</t>
        </is>
      </c>
      <c r="B48" s="1360">
        <f>B47/10</f>
        <v/>
      </c>
      <c r="C48" s="1360">
        <f>C47/10</f>
        <v/>
      </c>
      <c r="D48" s="1360">
        <f>D47/10</f>
        <v/>
      </c>
      <c r="E48" s="1360">
        <f>E47/10.52</f>
        <v/>
      </c>
      <c r="F48" s="1360">
        <f>F47/10</f>
        <v/>
      </c>
      <c r="G48" s="1360">
        <f>G47/10</f>
        <v/>
      </c>
      <c r="H48" s="1338">
        <f>H47/10</f>
        <v/>
      </c>
      <c r="I48" s="1360">
        <f>I47/10</f>
        <v/>
      </c>
      <c r="J48" s="1360">
        <f>J47/10</f>
        <v/>
      </c>
      <c r="K48" s="1360">
        <f>K47/10</f>
        <v/>
      </c>
      <c r="L48" s="1360">
        <f>L47/10</f>
        <v/>
      </c>
      <c r="M48" s="1360">
        <f>M47/1</f>
        <v/>
      </c>
      <c r="N48" s="1360">
        <f>N47/10</f>
        <v/>
      </c>
      <c r="O48" s="1338">
        <f>O47/10</f>
        <v/>
      </c>
      <c r="P48" s="1360">
        <f>P47/10</f>
        <v/>
      </c>
      <c r="Q48" s="1360">
        <f>Q47/10</f>
        <v/>
      </c>
      <c r="R48" s="1360">
        <f>R47/10</f>
        <v/>
      </c>
      <c r="S48" s="1360">
        <f>S47/10</f>
        <v/>
      </c>
      <c r="T48" s="1360">
        <f>T47/10</f>
        <v/>
      </c>
      <c r="U48" s="1360">
        <f>U47/10</f>
        <v/>
      </c>
      <c r="V48" s="1338">
        <f>V47/10</f>
        <v/>
      </c>
      <c r="W48" s="1360">
        <f>W47/10</f>
        <v/>
      </c>
      <c r="X48" s="1360">
        <f>X47/10</f>
        <v/>
      </c>
      <c r="Y48" s="1360">
        <f>Y47/10</f>
        <v/>
      </c>
      <c r="Z48" s="1360">
        <f>Z47/10</f>
        <v/>
      </c>
      <c r="AA48" s="1360">
        <f>AA47/10</f>
        <v/>
      </c>
      <c r="AB48" s="1360">
        <f>AB47/10</f>
        <v/>
      </c>
      <c r="AC48" s="1338">
        <f>AC47/10</f>
        <v/>
      </c>
      <c r="AD48" s="1387">
        <f>AD47/10</f>
        <v/>
      </c>
      <c r="AE48" s="1387">
        <f>AE47/10</f>
        <v/>
      </c>
      <c r="AF48" s="1387">
        <f>AF47/10</f>
        <v/>
      </c>
      <c r="AG48" s="1387">
        <f>AG47/10</f>
        <v/>
      </c>
    </row>
    <row r="49" ht="15" customFormat="1" customHeight="1" s="1118">
      <c r="A49" s="1351" t="inlineStr">
        <is>
          <t>EPS Basic</t>
        </is>
      </c>
      <c r="B49" s="1388">
        <f>B41/B48</f>
        <v/>
      </c>
      <c r="C49" s="1388">
        <f>C41/C48</f>
        <v/>
      </c>
      <c r="D49" s="1388">
        <f>D41/D48</f>
        <v/>
      </c>
      <c r="E49" s="1388">
        <f>E41/E48</f>
        <v/>
      </c>
      <c r="F49" s="1388">
        <f>F41/F48</f>
        <v/>
      </c>
      <c r="G49" s="1388">
        <f>G41/G48</f>
        <v/>
      </c>
      <c r="H49" s="1378">
        <f>H41/H48</f>
        <v/>
      </c>
      <c r="I49" s="1388">
        <f>I41/I48</f>
        <v/>
      </c>
      <c r="J49" s="1388">
        <f>J41/J48</f>
        <v/>
      </c>
      <c r="K49" s="1388">
        <f>K41/K48</f>
        <v/>
      </c>
      <c r="L49" s="1388">
        <f>L41/L48</f>
        <v/>
      </c>
      <c r="M49" s="1388">
        <f>M41/M48</f>
        <v/>
      </c>
      <c r="N49" s="1388">
        <f>N41/N48</f>
        <v/>
      </c>
      <c r="O49" s="1378">
        <f>O41/O48</f>
        <v/>
      </c>
      <c r="P49" s="1388">
        <f>P41/P48</f>
        <v/>
      </c>
      <c r="Q49" s="1388">
        <f>Q41/Q48</f>
        <v/>
      </c>
      <c r="R49" s="1388">
        <f>R41/R48</f>
        <v/>
      </c>
      <c r="S49" s="1388">
        <f>S41/S48</f>
        <v/>
      </c>
      <c r="T49" s="1388">
        <f>T41/T48</f>
        <v/>
      </c>
      <c r="U49" s="1388">
        <f>U41/U48</f>
        <v/>
      </c>
      <c r="V49" s="1378">
        <f>V41/V48</f>
        <v/>
      </c>
      <c r="W49" s="1388">
        <f>W41/W48</f>
        <v/>
      </c>
      <c r="X49" s="1388">
        <f>X41/X48</f>
        <v/>
      </c>
      <c r="Y49" s="1388">
        <f>Y41/Y48</f>
        <v/>
      </c>
      <c r="Z49" s="1388">
        <f>Z41/Z48</f>
        <v/>
      </c>
      <c r="AA49" s="1388">
        <f>AA41/AA48</f>
        <v/>
      </c>
      <c r="AB49" s="1388">
        <f>AB41/AB48</f>
        <v/>
      </c>
      <c r="AC49" s="1378">
        <f>AC41/AC48</f>
        <v/>
      </c>
      <c r="AD49" s="1389">
        <f>AD41/AD48</f>
        <v/>
      </c>
      <c r="AE49" s="1389">
        <f>AE41/AE48</f>
        <v/>
      </c>
      <c r="AF49" s="1389">
        <f>AF41/AF48</f>
        <v/>
      </c>
      <c r="AG49" s="1389">
        <f>AG41/AG48</f>
        <v/>
      </c>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f>81-58</f>
        <v/>
      </c>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f>'INCOME STATEMENT'!H32</f>
        <v/>
      </c>
      <c r="C8" s="1418">
        <f>'INCOME STATEMENT'!O32</f>
        <v/>
      </c>
      <c r="D8" s="1418">
        <f>'INCOME STATEMENT'!V32</f>
        <v/>
      </c>
      <c r="E8" s="1418">
        <f>'INCOME STATEMENT'!AC32</f>
        <v/>
      </c>
      <c r="F8" s="1418">
        <f>'INCOME STATEMENT'!AE32</f>
        <v/>
      </c>
      <c r="G8" s="1418">
        <f>'INCOME STATEMENT'!AF32</f>
        <v/>
      </c>
      <c r="H8" s="1418">
        <f>'INCOME STATEMENT'!AG32</f>
        <v/>
      </c>
      <c r="I8" s="1418">
        <f>'INCOME STATEMENT'!AH32</f>
        <v/>
      </c>
    </row>
    <row r="9" ht="12.75" customHeight="1" s="850">
      <c r="A9" s="1419" t="inlineStr">
        <is>
          <t>Tax - non deferred</t>
        </is>
      </c>
      <c r="B9" s="1420">
        <f>'INCOME STATEMENT'!H33-'INCOME STATEMENT'!H34</f>
        <v/>
      </c>
      <c r="C9" s="1420">
        <f>'INCOME STATEMENT'!O33-'INCOME STATEMENT'!O34</f>
        <v/>
      </c>
      <c r="D9" s="1420">
        <f>'INCOME STATEMENT'!V33-'INCOME STATEMENT'!V34</f>
        <v/>
      </c>
      <c r="E9" s="1420">
        <f>'INCOME STATEMENT'!AC33-'INCOME STATEMENT'!AC34</f>
        <v/>
      </c>
      <c r="F9" s="1420">
        <f>'INCOME STATEMENT'!AE33-'INCOME STATEMENT'!AE34</f>
        <v/>
      </c>
      <c r="G9" s="1420">
        <f>'INCOME STATEMENT'!AF33-'INCOME STATEMENT'!AF34</f>
        <v/>
      </c>
      <c r="H9" s="1420">
        <f>'INCOME STATEMENT'!AG33-'INCOME STATEMENT'!AG34</f>
        <v/>
      </c>
      <c r="I9" s="1420">
        <f>'INCOME STATEMENT'!AH33-'INCOME STATEMENT'!AH34</f>
        <v/>
      </c>
    </row>
    <row r="10" ht="12.75" customHeight="1" s="850">
      <c r="A10" s="1421" t="inlineStr">
        <is>
          <t>PAT</t>
        </is>
      </c>
      <c r="B10" s="1422">
        <f>B8-B9</f>
        <v/>
      </c>
      <c r="C10" s="1422">
        <f>C8-C9</f>
        <v/>
      </c>
      <c r="D10" s="1422">
        <f>D8-D9</f>
        <v/>
      </c>
      <c r="E10" s="1422">
        <f>E8-E9</f>
        <v/>
      </c>
      <c r="F10" s="1422">
        <f>F8-F9</f>
        <v/>
      </c>
      <c r="G10" s="1422">
        <f>G8-G9</f>
        <v/>
      </c>
      <c r="H10" s="1422">
        <f>H8-H9</f>
        <v/>
      </c>
      <c r="I10" s="1422">
        <f>I8-I9</f>
        <v/>
      </c>
    </row>
    <row r="11" ht="12.75" customHeight="1" s="850">
      <c r="A11" s="1419" t="inlineStr">
        <is>
          <t>Depreciation</t>
        </is>
      </c>
      <c r="B11" s="1423">
        <f>'INCOME STATEMENT'!H27</f>
        <v/>
      </c>
      <c r="C11" s="1420">
        <f>'INCOME STATEMENT'!O27</f>
        <v/>
      </c>
      <c r="D11" s="1420">
        <f>'INCOME STATEMENT'!V27</f>
        <v/>
      </c>
      <c r="E11" s="1420">
        <f>'INCOME STATEMENT'!AC27</f>
        <v/>
      </c>
      <c r="F11" s="1420">
        <f>'INCOME STATEMENT'!AD27</f>
        <v/>
      </c>
      <c r="G11" s="1420">
        <f>'INCOME STATEMENT'!AE27</f>
        <v/>
      </c>
      <c r="H11" s="1420">
        <f>'INCOME STATEMENT'!AF27</f>
        <v/>
      </c>
      <c r="I11" s="1420">
        <f>'INCOME STATEMENT'!AG27</f>
        <v/>
      </c>
    </row>
    <row r="12" ht="12.75" customHeight="1" s="850">
      <c r="A12" s="1421" t="inlineStr">
        <is>
          <t>Operating Cash Flow</t>
        </is>
      </c>
      <c r="B12" s="1422">
        <f>B10+B11</f>
        <v/>
      </c>
      <c r="C12" s="1422">
        <f>C10+C11</f>
        <v/>
      </c>
      <c r="D12" s="1422">
        <f>D10+D11</f>
        <v/>
      </c>
      <c r="E12" s="1422">
        <f>E10+E11</f>
        <v/>
      </c>
      <c r="F12" s="1422">
        <f>F10+F11</f>
        <v/>
      </c>
      <c r="G12" s="1422">
        <f>G10+G11</f>
        <v/>
      </c>
      <c r="H12" s="1422">
        <f>H10+H11</f>
        <v/>
      </c>
      <c r="I12" s="1422">
        <f>I10+I11</f>
        <v/>
      </c>
    </row>
    <row r="13" ht="12.75" customHeight="1" s="850">
      <c r="A13" s="1419" t="inlineStr">
        <is>
          <t>Capex</t>
        </is>
      </c>
      <c r="B13" s="1420">
        <f>(BALANCESHEET!C28-BALANCESHEET!B28)+(BALANCESHEET!C31-BALANCESHEET!B31)</f>
        <v/>
      </c>
      <c r="C13" s="1420">
        <f>(BALANCESHEET!D28-BALANCESHEET!C28)+(BALANCESHEET!D31-BALANCESHEET!C31)</f>
        <v/>
      </c>
      <c r="D13" s="1420">
        <f>(BALANCESHEET!E28-BALANCESHEET!D28)+(BALANCESHEET!E31-BALANCESHEET!D31)</f>
        <v/>
      </c>
      <c r="E13" s="1420">
        <f>(BALANCESHEET!F28-BALANCESHEET!E28)+(BALANCESHEET!F31-BALANCESHEET!E31)</f>
        <v/>
      </c>
      <c r="F13" s="1420">
        <f>(BALANCESHEET!G28-BALANCESHEET!F28)+(BALANCESHEET!G31-BALANCESHEET!F31)</f>
        <v/>
      </c>
      <c r="G13" s="1420">
        <f>(BALANCESHEET!H28-BALANCESHEET!G28)+(BALANCESHEET!H31-BALANCESHEET!G31)</f>
        <v/>
      </c>
      <c r="H13" s="1420">
        <f>(BALANCESHEET!I28-BALANCESHEET!H28)+(BALANCESHEET!I31-BALANCESHEET!H31)</f>
        <v/>
      </c>
      <c r="I13" s="1420">
        <f>(BALANCESHEET!J28-BALANCESHEET!I28)+(BALANCESHEET!J31-BALANCESHEET!I31)</f>
        <v/>
      </c>
    </row>
    <row r="14" ht="12.75" customHeight="1" s="850">
      <c r="A14" s="1421" t="inlineStr">
        <is>
          <t>Net cash Flow</t>
        </is>
      </c>
      <c r="B14" s="1422">
        <f>B12-B13</f>
        <v/>
      </c>
      <c r="C14" s="1422">
        <f>C12-C13</f>
        <v/>
      </c>
      <c r="D14" s="1422">
        <f>D12-D13</f>
        <v/>
      </c>
      <c r="E14" s="1422">
        <f>E12-E13</f>
        <v/>
      </c>
      <c r="F14" s="1422">
        <f>F12-F13</f>
        <v/>
      </c>
      <c r="G14" s="1422">
        <f>G12-G13</f>
        <v/>
      </c>
      <c r="H14" s="1422">
        <f>H12-H13</f>
        <v/>
      </c>
      <c r="I14" s="1422">
        <f>I12-I13</f>
        <v/>
      </c>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f>BALANCESHEET!C9-BALANCESHEET!B9</f>
        <v/>
      </c>
      <c r="C17" s="1420">
        <f>BALANCESHEET!D9-BALANCESHEET!C9</f>
        <v/>
      </c>
      <c r="D17" s="1420">
        <f>BALANCESHEET!E9-BALANCESHEET!D9</f>
        <v/>
      </c>
      <c r="E17" s="1420">
        <f>BALANCESHEET!F9-BALANCESHEET!E9</f>
        <v/>
      </c>
      <c r="F17" s="1420">
        <f>BALANCESHEET!G9-BALANCESHEET!F9</f>
        <v/>
      </c>
      <c r="G17" s="1420">
        <f>BALANCESHEET!H9-BALANCESHEET!G9</f>
        <v/>
      </c>
      <c r="H17" s="1420">
        <f>BALANCESHEET!I9-BALANCESHEET!H9</f>
        <v/>
      </c>
      <c r="I17" s="1420">
        <f>BALANCESHEET!J9-BALANCESHEET!I9</f>
        <v/>
      </c>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f>BALANCESHEET!C33-BALANCESHEET!B33</f>
        <v/>
      </c>
      <c r="C19" s="1420">
        <f>BALANCESHEET!D33-BALANCESHEET!C33</f>
        <v/>
      </c>
      <c r="D19" s="1420">
        <f>BALANCESHEET!E33-BALANCESHEET!D33</f>
        <v/>
      </c>
      <c r="E19" s="1420">
        <f>BALANCESHEET!F33-BALANCESHEET!E33</f>
        <v/>
      </c>
      <c r="F19" s="1420">
        <f>BALANCESHEET!G33-BALANCESHEET!F33</f>
        <v/>
      </c>
      <c r="G19" s="1420">
        <f>BALANCESHEET!H33-BALANCESHEET!G33</f>
        <v/>
      </c>
      <c r="H19" s="1420">
        <f>BALANCESHEET!I33-BALANCESHEET!H33</f>
        <v/>
      </c>
      <c r="I19" s="1420">
        <f>BALANCESHEET!J33-BALANCESHEET!I33</f>
        <v/>
      </c>
    </row>
    <row r="20" ht="12.75" customFormat="1" customHeight="1" s="1404">
      <c r="A20" s="1419" t="inlineStr">
        <is>
          <t>Inc/Dec in Net Working Capital</t>
        </is>
      </c>
      <c r="B20" s="1420">
        <f>(BALANCESHEET!C37+BALANCESHEET!C38+BALANCESHEET!C40+BALANCESHEET!C41-BALANCESHEET!C43)-(BALANCESHEET!B37+BALANCESHEET!B38+BALANCESHEET!B40+BALANCESHEET!B41-BALANCESHEET!B43)</f>
        <v/>
      </c>
      <c r="C20" s="1420">
        <f>(BALANCESHEET!D37+BALANCESHEET!D38+BALANCESHEET!D40+BALANCESHEET!D41-BALANCESHEET!D43)-(BALANCESHEET!C37+BALANCESHEET!C38+BALANCESHEET!C40+BALANCESHEET!C41-BALANCESHEET!C43)</f>
        <v/>
      </c>
      <c r="D20" s="1420">
        <f>(BALANCESHEET!E37+BALANCESHEET!E38+BALANCESHEET!E40+BALANCESHEET!E41-BALANCESHEET!E43)-(BALANCESHEET!D37+BALANCESHEET!D38+BALANCESHEET!D40+BALANCESHEET!D41-BALANCESHEET!D43)</f>
        <v/>
      </c>
      <c r="E20" s="1420">
        <f>(BALANCESHEET!F37+BALANCESHEET!F38+BALANCESHEET!F40+BALANCESHEET!F41-BALANCESHEET!F43)-(BALANCESHEET!E37+BALANCESHEET!E38+BALANCESHEET!E40+BALANCESHEET!E41-BALANCESHEET!E43)</f>
        <v/>
      </c>
      <c r="F20" s="1420">
        <f>(BALANCESHEET!G37+BALANCESHEET!G38+BALANCESHEET!G40+BALANCESHEET!G41-BALANCESHEET!G43)-(BALANCESHEET!F37+BALANCESHEET!F38+BALANCESHEET!F40+BALANCESHEET!F41-BALANCESHEET!F43)</f>
        <v/>
      </c>
      <c r="G20" s="1420">
        <f>(BALANCESHEET!H37+BALANCESHEET!H38+BALANCESHEET!H40+BALANCESHEET!H41-BALANCESHEET!H43)-(BALANCESHEET!G37+BALANCESHEET!G38+BALANCESHEET!G40+BALANCESHEET!G41-BALANCESHEET!G43)</f>
        <v/>
      </c>
      <c r="H20" s="1420">
        <f>(BALANCESHEET!I37+BALANCESHEET!I38+BALANCESHEET!I40+BALANCESHEET!I41-BALANCESHEET!I43)-(BALANCESHEET!H37+BALANCESHEET!H38+BALANCESHEET!H40+BALANCESHEET!H41-BALANCESHEET!H43)</f>
        <v/>
      </c>
      <c r="I20" s="1420">
        <f>(BALANCESHEET!J37+BALANCESHEET!J38+BALANCESHEET!J40+BALANCESHEET!J41-BALANCESHEET!J43)-(BALANCESHEET!I37+BALANCESHEET!I38+BALANCESHEET!I40+BALANCESHEET!I41-BALANCESHEET!I43)</f>
        <v/>
      </c>
    </row>
    <row r="21" ht="12.75" customHeight="1" s="850">
      <c r="A21" s="1419" t="inlineStr">
        <is>
          <t>Inc/Dec in loan funds</t>
        </is>
      </c>
      <c r="B21" s="1420">
        <f>BALANCESHEET!C19-BALANCESHEET!B19</f>
        <v/>
      </c>
      <c r="C21" s="1420">
        <f>BALANCESHEET!D19-BALANCESHEET!C19</f>
        <v/>
      </c>
      <c r="D21" s="1420">
        <f>BALANCESHEET!E19-BALANCESHEET!D19</f>
        <v/>
      </c>
      <c r="E21" s="1420">
        <f>BALANCESHEET!F19-BALANCESHEET!E19</f>
        <v/>
      </c>
      <c r="F21" s="1420">
        <f>BALANCESHEET!G19-BALANCESHEET!F19</f>
        <v/>
      </c>
      <c r="G21" s="1420">
        <f>BALANCESHEET!H19-BALANCESHEET!G19</f>
        <v/>
      </c>
      <c r="H21" s="1420">
        <f>BALANCESHEET!I19-BALANCESHEET!H19</f>
        <v/>
      </c>
      <c r="I21" s="1420">
        <f>BALANCESHEET!J19-BALANCESHEET!I19</f>
        <v/>
      </c>
    </row>
    <row r="22" ht="12.75" customHeight="1" s="850">
      <c r="A22" s="1419" t="inlineStr">
        <is>
          <t>Opening cash balance</t>
        </is>
      </c>
      <c r="B22" s="1420" t="n">
        <v>4495.94</v>
      </c>
      <c r="C22" s="1420" t="n">
        <v>2260.41</v>
      </c>
      <c r="D22" s="1420" t="n">
        <v>4472.99</v>
      </c>
      <c r="E22" s="1420">
        <f>D24</f>
        <v/>
      </c>
      <c r="F22" s="1429" t="n">
        <v>3500.76</v>
      </c>
      <c r="G22" s="1427" t="n">
        <v>3657.75</v>
      </c>
      <c r="H22" s="1427" t="n">
        <v>3699</v>
      </c>
      <c r="I22" s="1427" t="n">
        <v>3734</v>
      </c>
    </row>
    <row r="23" ht="12.75" customFormat="1" customHeight="1" s="1430">
      <c r="A23" s="1421" t="inlineStr">
        <is>
          <t>Total cash flow</t>
        </is>
      </c>
      <c r="B23" s="1431">
        <f>B14-B16+B17-B19-B20+B18+B21</f>
        <v/>
      </c>
      <c r="C23" s="1431">
        <f>(C14-C16)+(C17-C19)-(B20+C18+C21)</f>
        <v/>
      </c>
      <c r="D23" s="1431">
        <f>(D14-D16)+(D17-D19)-(C20+D18+D21)</f>
        <v/>
      </c>
      <c r="E23" s="1431">
        <f>E14-E16+E17-E19-D20+E18+E21</f>
        <v/>
      </c>
      <c r="F23" s="1431">
        <f>F14-F16+F17-F19-E20+F18+F21</f>
        <v/>
      </c>
      <c r="G23" s="1431">
        <f>G14-G16+G17-G19-F20+G18+G21</f>
        <v/>
      </c>
      <c r="H23" s="1431">
        <f>H14-H16+H17-H19-G20+H18+H21</f>
        <v/>
      </c>
      <c r="I23" s="1431">
        <f>I14-I16+I17-I19-H20+I18+I21</f>
        <v/>
      </c>
    </row>
    <row r="24" ht="13.5" customHeight="1" s="850">
      <c r="A24" s="1432" t="inlineStr">
        <is>
          <t>Closing cash balance</t>
        </is>
      </c>
      <c r="B24" s="1433" t="n">
        <v>2660.39</v>
      </c>
      <c r="C24" s="1433" t="n">
        <v>4472.99</v>
      </c>
      <c r="D24" s="1433" t="n">
        <v>3456.15</v>
      </c>
      <c r="E24" s="1433">
        <f>E22+E23</f>
        <v/>
      </c>
      <c r="F24" s="1433">
        <f>F22+F23</f>
        <v/>
      </c>
      <c r="G24" s="1433">
        <f>G22+G23</f>
        <v/>
      </c>
      <c r="H24" s="1433">
        <f>H22+H23</f>
        <v/>
      </c>
      <c r="I24" s="1433">
        <f>I22+I23</f>
        <v/>
      </c>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f>SUM(B9:B10)</f>
        <v/>
      </c>
      <c r="C8" s="1453">
        <f>SUM(C9:C10)</f>
        <v/>
      </c>
      <c r="D8" s="1453">
        <f>SUM(D9:D10)</f>
        <v/>
      </c>
      <c r="E8" s="1453">
        <f>SUM(E9:E10)</f>
        <v/>
      </c>
      <c r="F8" s="1453">
        <f>SUM(F9:F10)</f>
        <v/>
      </c>
      <c r="G8" s="1453">
        <f>SUM(G9:G10)</f>
        <v/>
      </c>
      <c r="H8" s="1453">
        <f>SUM(H9:H10)</f>
        <v/>
      </c>
      <c r="I8" s="1453">
        <f>SUM(I9:I10)</f>
        <v/>
      </c>
      <c r="J8" s="1453">
        <f>SUM(J9:J10)</f>
        <v/>
      </c>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f>SUM(B11:B17)</f>
        <v/>
      </c>
      <c r="C10" s="1455">
        <f>SUM(C11:C17)</f>
        <v/>
      </c>
      <c r="D10" s="1455">
        <f>SUM(D11:D17)</f>
        <v/>
      </c>
      <c r="E10" s="1455">
        <f>SUM(E11:E17)</f>
        <v/>
      </c>
      <c r="F10" s="1455">
        <f>SUM(F11:F17)</f>
        <v/>
      </c>
      <c r="G10" s="1455">
        <f>SUM(G11:G17)</f>
        <v/>
      </c>
      <c r="H10" s="1455">
        <f>SUM(H11:H17)</f>
        <v/>
      </c>
      <c r="I10" s="1455">
        <f>SUM(I11:I17)</f>
        <v/>
      </c>
      <c r="J10" s="1455">
        <f>SUM(J11:J17)</f>
        <v/>
      </c>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f>SUM(B20:B21)</f>
        <v/>
      </c>
      <c r="C19" s="1453">
        <f>SUM(C20:C21)</f>
        <v/>
      </c>
      <c r="D19" s="1453">
        <f>SUM(D20:D21)</f>
        <v/>
      </c>
      <c r="E19" s="1453">
        <f>SUM(E20:E21)</f>
        <v/>
      </c>
      <c r="F19" s="1453">
        <f>SUM(F20:F21)</f>
        <v/>
      </c>
      <c r="G19" s="1453">
        <f>SUM(G20:G21)</f>
        <v/>
      </c>
      <c r="H19" s="1453">
        <f>SUM(H20:H21)</f>
        <v/>
      </c>
      <c r="I19" s="1453">
        <f>SUM(I20:I21)</f>
        <v/>
      </c>
      <c r="J19" s="1453">
        <f>SUM(J20:J21)</f>
        <v/>
      </c>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f>B9+B10+B19+B23</f>
        <v/>
      </c>
      <c r="C24" s="1463">
        <f>C9+C10+C19+C23</f>
        <v/>
      </c>
      <c r="D24" s="1463">
        <f>D9+D10+D19+D23</f>
        <v/>
      </c>
      <c r="E24" s="1463">
        <f>E9+E10+E19+E23</f>
        <v/>
      </c>
      <c r="F24" s="1463">
        <f>F9+F10+F19+F23</f>
        <v/>
      </c>
      <c r="G24" s="1463">
        <f>G9+G10+G19+G23</f>
        <v/>
      </c>
      <c r="H24" s="1463">
        <f>H9+H10+H19+H23</f>
        <v/>
      </c>
      <c r="I24" s="1463">
        <f>I9+I10+I19+I23</f>
        <v/>
      </c>
      <c r="J24" s="1463">
        <f>J9+J10+J19+J23</f>
        <v/>
      </c>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f>SUM(B30:B31)</f>
        <v/>
      </c>
      <c r="C27" s="1453">
        <f>SUM(C30:C31)</f>
        <v/>
      </c>
      <c r="D27" s="1453">
        <f>SUM(D30:D31)</f>
        <v/>
      </c>
      <c r="E27" s="1453">
        <f>SUM(E30:E31)</f>
        <v/>
      </c>
      <c r="F27" s="1453">
        <f>SUM(F30:F31)</f>
        <v/>
      </c>
      <c r="G27" s="1453">
        <f>SUM(G30:G31)</f>
        <v/>
      </c>
      <c r="H27" s="1453">
        <f>SUM(H30:H31)</f>
        <v/>
      </c>
      <c r="I27" s="1453">
        <f>SUM(I30:I31)</f>
        <v/>
      </c>
      <c r="J27" s="1453">
        <f>SUM(J30:J31)</f>
        <v/>
      </c>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f>B28-B29</f>
        <v/>
      </c>
      <c r="C30" s="1460">
        <f>C28-C29</f>
        <v/>
      </c>
      <c r="D30" s="1460">
        <f>D28-D29</f>
        <v/>
      </c>
      <c r="E30" s="1460">
        <f>E28-E29</f>
        <v/>
      </c>
      <c r="F30" s="1460">
        <f>F28-F29</f>
        <v/>
      </c>
      <c r="G30" s="1460">
        <f>G28-G29</f>
        <v/>
      </c>
      <c r="H30" s="1460">
        <f>H28-H29</f>
        <v/>
      </c>
      <c r="I30" s="1460">
        <f>I28-I29</f>
        <v/>
      </c>
      <c r="J30" s="1460">
        <f>J28-J29</f>
        <v/>
      </c>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f>SUM(B37:B41)</f>
        <v/>
      </c>
      <c r="C36" s="1461">
        <f>SUM(C37:C41)</f>
        <v/>
      </c>
      <c r="D36" s="1461">
        <f>SUM(D37:D41)</f>
        <v/>
      </c>
      <c r="E36" s="1461">
        <f>SUM(E37:E41)</f>
        <v/>
      </c>
      <c r="F36" s="1461">
        <f>SUM(F37:F41)</f>
        <v/>
      </c>
      <c r="G36" s="1461">
        <f>SUM(G37:G41)</f>
        <v/>
      </c>
      <c r="H36" s="1461">
        <f>SUM(H37:H41)</f>
        <v/>
      </c>
      <c r="I36" s="1461">
        <f>SUM(I37:I41)</f>
        <v/>
      </c>
      <c r="J36" s="1461">
        <f>SUM(J37:J41)</f>
        <v/>
      </c>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f>B44+B52</f>
        <v/>
      </c>
      <c r="C43" s="1461">
        <f>C44+C52</f>
        <v/>
      </c>
      <c r="D43" s="1461">
        <f>D44+D52</f>
        <v/>
      </c>
      <c r="E43" s="1467">
        <f>E44+E52</f>
        <v/>
      </c>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f>SUM(B45:B50)</f>
        <v/>
      </c>
      <c r="C44" s="1461">
        <f>SUM(C45:C50)</f>
        <v/>
      </c>
      <c r="D44" s="1461">
        <f>SUM(D45:D50)</f>
        <v/>
      </c>
      <c r="E44" s="1461">
        <f>SUM(E45:E50)</f>
        <v/>
      </c>
      <c r="F44" s="1472">
        <f>SUM(F45:F50)</f>
        <v/>
      </c>
      <c r="G44" s="1472">
        <f>SUM(G45:G50)</f>
        <v/>
      </c>
      <c r="H44" s="1472">
        <f>SUM(H45:H50)</f>
        <v/>
      </c>
      <c r="I44" s="1472">
        <f>SUM(I45:I50)</f>
        <v/>
      </c>
      <c r="J44" s="1472">
        <f>SUM(J45:J50)</f>
        <v/>
      </c>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f>SUM(B53:B56)</f>
        <v/>
      </c>
      <c r="C52" s="1236">
        <f>SUM(C53:C56)</f>
        <v/>
      </c>
      <c r="D52" s="1236">
        <f>SUM(D53:D56)</f>
        <v/>
      </c>
      <c r="E52" s="1236">
        <f>SUM(E53:E56)</f>
        <v/>
      </c>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f>B36-(B44+B52)</f>
        <v/>
      </c>
      <c r="C58" s="1476">
        <f>C36-(C44+C52)</f>
        <v/>
      </c>
      <c r="D58" s="1476">
        <f>D36-(D44+D52)</f>
        <v/>
      </c>
      <c r="E58" s="1476">
        <f>E36-(E44+E52)</f>
        <v/>
      </c>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f>B27+B33+B34+B58</f>
        <v/>
      </c>
      <c r="C60" s="1479">
        <f>C27+C33+C34+C58</f>
        <v/>
      </c>
      <c r="D60" s="1479">
        <f>D27+D33+D34+D58</f>
        <v/>
      </c>
      <c r="E60" s="1479">
        <f>E27+E33+E34+E58</f>
        <v/>
      </c>
      <c r="F60" s="1479">
        <f>F27+F33+F34+F58</f>
        <v/>
      </c>
      <c r="G60" s="1479">
        <f>G27+G33+G34+G58</f>
        <v/>
      </c>
      <c r="H60" s="1479">
        <f>H27+H33+H34+H58</f>
        <v/>
      </c>
      <c r="I60" s="1479">
        <f>I27+I33+I34+I58</f>
        <v/>
      </c>
      <c r="J60" s="1479">
        <f>J27+J33+J34+J58</f>
        <v/>
      </c>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f>B7+B9</f>
        <v/>
      </c>
      <c r="C11" s="1501">
        <f>C7+C9</f>
        <v/>
      </c>
      <c r="D11" s="1501">
        <f>D7+D9</f>
        <v/>
      </c>
      <c r="E11" s="1501">
        <f>E7+E9</f>
        <v/>
      </c>
      <c r="F11" s="1501">
        <f>F7+F9</f>
        <v/>
      </c>
      <c r="G11" s="1501">
        <f>G7+G9</f>
        <v/>
      </c>
      <c r="H11" s="1501">
        <f>H7+H9</f>
        <v/>
      </c>
      <c r="I11" s="1501">
        <f>I7+I9</f>
        <v/>
      </c>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f>B16+B18</f>
        <v/>
      </c>
      <c r="C20" s="1514">
        <f>C16+C18</f>
        <v/>
      </c>
      <c r="D20" s="1514">
        <f>D16+D18</f>
        <v/>
      </c>
      <c r="E20" s="1515">
        <f>E16+E18</f>
        <v/>
      </c>
      <c r="F20" s="1514">
        <f>F16+F18</f>
        <v/>
      </c>
      <c r="G20" s="1514">
        <f>G16+G18</f>
        <v/>
      </c>
      <c r="H20" s="1514">
        <f>H16+H18</f>
        <v/>
      </c>
      <c r="I20" s="1514">
        <f>I16+I18</f>
        <v/>
      </c>
    </row>
    <row r="21" ht="15" customHeight="1" s="850">
      <c r="A21" s="1516" t="inlineStr">
        <is>
          <t>TOTAL DEBT</t>
        </is>
      </c>
      <c r="B21" s="1517">
        <f>B20+B11</f>
        <v/>
      </c>
      <c r="C21" s="1517">
        <f>C20+C11</f>
        <v/>
      </c>
      <c r="D21" s="1517">
        <f>D20+D11</f>
        <v/>
      </c>
      <c r="E21" s="1518">
        <f>E20+E11</f>
        <v/>
      </c>
      <c r="F21" s="1519">
        <f>F20+F11</f>
        <v/>
      </c>
      <c r="G21" s="1519">
        <f>G20+G11</f>
        <v/>
      </c>
      <c r="H21" s="1519">
        <f>H20+H11</f>
        <v/>
      </c>
      <c r="I21" s="1519">
        <f>I20+I11</f>
        <v/>
      </c>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f>G9/G13</f>
        <v/>
      </c>
    </row>
    <row r="7" ht="11.25" customHeight="1" s="850">
      <c r="D7" s="1553" t="inlineStr">
        <is>
          <t>Current Market Price</t>
        </is>
      </c>
      <c r="F7" s="1549" t="n"/>
      <c r="G7" s="1554" t="n">
        <v>420.65</v>
      </c>
      <c r="I7" s="1549" t="inlineStr">
        <is>
          <t>D/(D+E) @ Enterprise Value</t>
        </is>
      </c>
      <c r="J7" s="1549" t="n"/>
      <c r="K7" s="1555">
        <f>G12/G13</f>
        <v/>
      </c>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f>G8*G7</f>
        <v/>
      </c>
      <c r="I9" s="1549" t="inlineStr">
        <is>
          <t>Interest Rate (%)</t>
        </is>
      </c>
      <c r="J9" s="1549" t="n"/>
      <c r="K9" s="1557" t="n">
        <v>0.06</v>
      </c>
    </row>
    <row r="10" ht="11.25" customHeight="1" s="850">
      <c r="A10" s="1549" t="inlineStr">
        <is>
          <t>Ke</t>
        </is>
      </c>
      <c r="B10" s="1558">
        <f>B11+B12*(B13)</f>
        <v/>
      </c>
      <c r="D10" s="1553" t="inlineStr">
        <is>
          <t>Long Term Liabilities</t>
        </is>
      </c>
      <c r="F10" s="1549" t="n"/>
      <c r="G10" s="932">
        <f>BALANCESHEET!E19</f>
        <v/>
      </c>
      <c r="I10" s="1549" t="inlineStr">
        <is>
          <t>Tax Rate (%)</t>
        </is>
      </c>
      <c r="J10" s="1549" t="n"/>
      <c r="K10" s="1559">
        <f>'INCOME STATEMENT'!V37</f>
        <v/>
      </c>
    </row>
    <row r="11" ht="11.25" customHeight="1" s="850">
      <c r="A11" s="1549" t="inlineStr">
        <is>
          <t>RFR</t>
        </is>
      </c>
      <c r="B11" s="1560" t="n">
        <v>0.04</v>
      </c>
      <c r="D11" s="1553" t="inlineStr">
        <is>
          <t>Less: Cash &amp; Cash Equivalents</t>
        </is>
      </c>
      <c r="F11" s="1549" t="n"/>
      <c r="G11" s="932">
        <f>BALANCESHEET!E39</f>
        <v/>
      </c>
    </row>
    <row r="12" ht="12" customHeight="1" s="850">
      <c r="A12" s="1549" t="inlineStr">
        <is>
          <t>Beta</t>
        </is>
      </c>
      <c r="B12" s="1561" t="n">
        <v>1.39</v>
      </c>
      <c r="D12" s="1553" t="inlineStr">
        <is>
          <t>Net Debt</t>
        </is>
      </c>
      <c r="F12" s="1549" t="n"/>
      <c r="G12" s="932">
        <f>G10+G11</f>
        <v/>
      </c>
      <c r="I12" s="1548" t="inlineStr">
        <is>
          <t>WACC Calculation</t>
        </is>
      </c>
      <c r="J12" s="910" t="n"/>
      <c r="K12" s="911" t="n"/>
    </row>
    <row r="13" ht="11.25" customHeight="1" s="850">
      <c r="A13" s="1549" t="inlineStr">
        <is>
          <t>Rp</t>
        </is>
      </c>
      <c r="B13" s="1550" t="n">
        <v>0.06</v>
      </c>
      <c r="D13" s="1553" t="inlineStr">
        <is>
          <t>Enterprise Value (EV)</t>
        </is>
      </c>
      <c r="F13" s="1549" t="n"/>
      <c r="G13" s="1556">
        <f>G9+G12</f>
        <v/>
      </c>
      <c r="I13" s="1551" t="inlineStr">
        <is>
          <t>WACC</t>
        </is>
      </c>
      <c r="J13" s="1551" t="n"/>
      <c r="K13" s="1557">
        <f>B10*K6+K9*K7*(1-K10)</f>
        <v/>
      </c>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f>'INCOME STATEMENT'!V6</f>
        <v/>
      </c>
      <c r="C19" s="1570">
        <f>'INCOME STATEMENT'!AC6</f>
        <v/>
      </c>
      <c r="D19" s="1570">
        <f>'INCOME STATEMENT'!AD6</f>
        <v/>
      </c>
      <c r="E19" s="1570">
        <f>'INCOME STATEMENT'!AE6</f>
        <v/>
      </c>
      <c r="F19" s="1570">
        <f>'INCOME STATEMENT'!AF6</f>
        <v/>
      </c>
      <c r="G19" s="1570">
        <f>'INCOME STATEMENT'!AG6</f>
        <v/>
      </c>
      <c r="H19" s="1570">
        <f>G19*(1+H37)</f>
        <v/>
      </c>
      <c r="I19" s="1570">
        <f>H19*(1+I37)</f>
        <v/>
      </c>
      <c r="J19" s="1570">
        <f>I19*(1+J37)</f>
        <v/>
      </c>
      <c r="K19" s="1570">
        <f>J19*(1+K37)</f>
        <v/>
      </c>
    </row>
    <row r="20" ht="11.25" customHeight="1" s="850">
      <c r="A20" s="1569" t="inlineStr">
        <is>
          <t>EBITDA</t>
        </is>
      </c>
      <c r="B20" s="1570">
        <f>'INCOME STATEMENT'!V21</f>
        <v/>
      </c>
      <c r="C20" s="1570">
        <f>'INCOME STATEMENT'!AC21</f>
        <v/>
      </c>
      <c r="D20" s="1570">
        <f>'INCOME STATEMENT'!AD21</f>
        <v/>
      </c>
      <c r="E20" s="1570">
        <f>'INCOME STATEMENT'!AE21</f>
        <v/>
      </c>
      <c r="F20" s="1570">
        <f>'INCOME STATEMENT'!AF21</f>
        <v/>
      </c>
      <c r="G20" s="1570">
        <f>'INCOME STATEMENT'!AG21</f>
        <v/>
      </c>
      <c r="H20" s="1570">
        <f>H21+H24</f>
        <v/>
      </c>
      <c r="I20" s="1570">
        <f>I21+I24</f>
        <v/>
      </c>
      <c r="J20" s="1570">
        <f>J21+J24</f>
        <v/>
      </c>
      <c r="K20" s="1570">
        <f>K21+K24</f>
        <v/>
      </c>
    </row>
    <row r="21" ht="11.25" customHeight="1" s="850">
      <c r="A21" s="1571" t="inlineStr">
        <is>
          <t>EBIT</t>
        </is>
      </c>
      <c r="B21" s="1570">
        <f>'INCOME STATEMENT'!V21-'INCOME STATEMENT'!V27</f>
        <v/>
      </c>
      <c r="C21" s="1570">
        <f>C20-'INCOME STATEMENT'!AC27</f>
        <v/>
      </c>
      <c r="D21" s="1570">
        <f>D20-'INCOME STATEMENT'!AD27</f>
        <v/>
      </c>
      <c r="E21" s="1570">
        <f>E20-'INCOME STATEMENT'!AE27</f>
        <v/>
      </c>
      <c r="F21" s="1570">
        <f>F20-'INCOME STATEMENT'!AF27</f>
        <v/>
      </c>
      <c r="G21" s="1570">
        <f>G20-'INCOME STATEMENT'!AG27</f>
        <v/>
      </c>
      <c r="H21" s="1572">
        <f>H19*H44</f>
        <v/>
      </c>
      <c r="I21" s="1572">
        <f>I19*I44</f>
        <v/>
      </c>
      <c r="J21" s="1572">
        <f>J19*J44</f>
        <v/>
      </c>
      <c r="K21" s="1572">
        <f>K19*K44</f>
        <v/>
      </c>
    </row>
    <row r="22" ht="11.25" customHeight="1" s="850">
      <c r="A22" s="1573" t="inlineStr">
        <is>
          <t>Tax Expense</t>
        </is>
      </c>
      <c r="B22" s="1574">
        <f>'INCOME STATEMENT'!V33</f>
        <v/>
      </c>
      <c r="C22" s="1574">
        <f>'INCOME STATEMENT'!AC33</f>
        <v/>
      </c>
      <c r="D22" s="1574">
        <f>'INCOME STATEMENT'!AD33</f>
        <v/>
      </c>
      <c r="E22" s="1574">
        <f>'INCOME STATEMENT'!AE33</f>
        <v/>
      </c>
      <c r="F22" s="1574">
        <f>'INCOME STATEMENT'!AF33</f>
        <v/>
      </c>
      <c r="G22" s="1574">
        <f>'INCOME STATEMENT'!AG33</f>
        <v/>
      </c>
      <c r="H22" s="1575">
        <f>H21*H48</f>
        <v/>
      </c>
      <c r="I22" s="1575">
        <f>I21*I48</f>
        <v/>
      </c>
      <c r="J22" s="1575">
        <f>J21*J48</f>
        <v/>
      </c>
      <c r="K22" s="1575">
        <f>K21*K48</f>
        <v/>
      </c>
    </row>
    <row r="23" ht="11.25" customHeight="1" s="850">
      <c r="A23" s="1549" t="inlineStr">
        <is>
          <t>Net Operating Profit After Tax</t>
        </is>
      </c>
      <c r="B23" s="1570">
        <f>B21-B22</f>
        <v/>
      </c>
      <c r="C23" s="1570">
        <f>C21-C22</f>
        <v/>
      </c>
      <c r="D23" s="1570">
        <f>D21-D22</f>
        <v/>
      </c>
      <c r="E23" s="1570">
        <f>E21-E22</f>
        <v/>
      </c>
      <c r="F23" s="1570">
        <f>F21-F22</f>
        <v/>
      </c>
      <c r="G23" s="1570">
        <f>G21-G22</f>
        <v/>
      </c>
      <c r="H23" s="1570">
        <f>H21-H22</f>
        <v/>
      </c>
      <c r="I23" s="1570">
        <f>I21-I22</f>
        <v/>
      </c>
      <c r="J23" s="1570">
        <f>J21-J22</f>
        <v/>
      </c>
      <c r="K23" s="1570">
        <f>K21-K22</f>
        <v/>
      </c>
    </row>
    <row r="24" ht="11.25" customHeight="1" s="850">
      <c r="A24" s="1569" t="inlineStr">
        <is>
          <t>Depreciation &amp; Amortisation</t>
        </is>
      </c>
      <c r="B24" s="1570">
        <f>'INCOME STATEMENT'!V27</f>
        <v/>
      </c>
      <c r="C24" s="1570">
        <f>'INCOME STATEMENT'!AC27</f>
        <v/>
      </c>
      <c r="D24" s="1570">
        <f>'INCOME STATEMENT'!AD27</f>
        <v/>
      </c>
      <c r="E24" s="1570">
        <f>'INCOME STATEMENT'!AE27</f>
        <v/>
      </c>
      <c r="F24" s="1570">
        <f>'INCOME STATEMENT'!AF27</f>
        <v/>
      </c>
      <c r="G24" s="1570">
        <f>'INCOME STATEMENT'!AG27</f>
        <v/>
      </c>
      <c r="H24" s="1570">
        <f>H45*H19</f>
        <v/>
      </c>
      <c r="I24" s="1570">
        <f>I45*I19</f>
        <v/>
      </c>
      <c r="J24" s="1570">
        <f>J45*J19</f>
        <v/>
      </c>
      <c r="K24" s="1570">
        <f>K45*K19</f>
        <v/>
      </c>
    </row>
    <row r="25" ht="11.25" customHeight="1" s="850">
      <c r="A25" s="1573" t="inlineStr">
        <is>
          <t>Working Capital Change</t>
        </is>
      </c>
      <c r="B25" s="1574">
        <f>'CASH FOW STATEMENT'!D20</f>
        <v/>
      </c>
      <c r="C25" s="1574">
        <f>'CASH FOW STATEMENT'!E20</f>
        <v/>
      </c>
      <c r="D25" s="1574">
        <f>'CASH FOW STATEMENT'!F20</f>
        <v/>
      </c>
      <c r="E25" s="1574">
        <f>'CASH FOW STATEMENT'!G20</f>
        <v/>
      </c>
      <c r="F25" s="1574">
        <f>'CASH FOW STATEMENT'!H20</f>
        <v/>
      </c>
      <c r="G25" s="1574">
        <f>'CASH FOW STATEMENT'!I20</f>
        <v/>
      </c>
      <c r="H25" s="1576">
        <f>G25</f>
        <v/>
      </c>
      <c r="I25" s="1576">
        <f>H25</f>
        <v/>
      </c>
      <c r="J25" s="1576">
        <f>I25</f>
        <v/>
      </c>
      <c r="K25" s="1576">
        <f>J25</f>
        <v/>
      </c>
    </row>
    <row r="26" ht="11.25" customHeight="1" s="850">
      <c r="A26" s="1549" t="inlineStr">
        <is>
          <t>Operating Cash Flow</t>
        </is>
      </c>
      <c r="B26" s="1570">
        <f>B23+B24-B25</f>
        <v/>
      </c>
      <c r="C26" s="1570">
        <f>C23+C24-C25</f>
        <v/>
      </c>
      <c r="D26" s="1570">
        <f>D23+D24-D25</f>
        <v/>
      </c>
      <c r="E26" s="1570">
        <f>E23+E24-E25</f>
        <v/>
      </c>
      <c r="F26" s="1570">
        <f>F23+F24-F25</f>
        <v/>
      </c>
      <c r="G26" s="1570">
        <f>G23+G24-G25</f>
        <v/>
      </c>
      <c r="H26" s="1570">
        <f>H23+H24-H25</f>
        <v/>
      </c>
      <c r="I26" s="1570">
        <f>I23+I24-I25</f>
        <v/>
      </c>
      <c r="J26" s="1570">
        <f>J23+J24-J25</f>
        <v/>
      </c>
      <c r="K26" s="1570">
        <f>K23+K24-K25</f>
        <v/>
      </c>
    </row>
    <row r="27" ht="11.25" customHeight="1" s="850">
      <c r="A27" s="1573" t="inlineStr">
        <is>
          <t>Capex</t>
        </is>
      </c>
      <c r="B27" s="1574">
        <f>'CASH FOW STATEMENT'!D13</f>
        <v/>
      </c>
      <c r="C27" s="1574">
        <f>'CASH FOW STATEMENT'!E13</f>
        <v/>
      </c>
      <c r="D27" s="1574">
        <f>'CASH FOW STATEMENT'!F13</f>
        <v/>
      </c>
      <c r="E27" s="1574">
        <f>'CASH FOW STATEMENT'!G13</f>
        <v/>
      </c>
      <c r="F27" s="1574">
        <f>'CASH FOW STATEMENT'!H13</f>
        <v/>
      </c>
      <c r="G27" s="1574">
        <f>'CASH FOW STATEMENT'!I13</f>
        <v/>
      </c>
      <c r="H27" s="1575">
        <f>H46*-H19</f>
        <v/>
      </c>
      <c r="I27" s="1575">
        <f>I46*-I19</f>
        <v/>
      </c>
      <c r="J27" s="1575">
        <f>J46*-J19</f>
        <v/>
      </c>
      <c r="K27" s="1575">
        <f>K46*-K19</f>
        <v/>
      </c>
    </row>
    <row r="28" ht="11.25" customHeight="1" s="850">
      <c r="A28" s="1549" t="inlineStr">
        <is>
          <t>FCF</t>
        </is>
      </c>
      <c r="B28" s="1570">
        <f>B26+B27</f>
        <v/>
      </c>
      <c r="C28" s="1570">
        <f>C26+C27</f>
        <v/>
      </c>
      <c r="D28" s="1570">
        <f>D26+D27</f>
        <v/>
      </c>
      <c r="E28" s="1570">
        <f>E26+E27</f>
        <v/>
      </c>
      <c r="F28" s="1570">
        <f>F26+F27</f>
        <v/>
      </c>
      <c r="G28" s="1570">
        <f>G26+G27</f>
        <v/>
      </c>
      <c r="H28" s="1570">
        <f>H26+H27</f>
        <v/>
      </c>
      <c r="I28" s="1570">
        <f>I26+I27</f>
        <v/>
      </c>
      <c r="J28" s="1570">
        <f>J26+J27</f>
        <v/>
      </c>
      <c r="K28" s="1570">
        <f>K26+K27</f>
        <v/>
      </c>
    </row>
    <row r="29" ht="11.25" customHeight="1" s="850">
      <c r="B29" s="1549" t="n"/>
      <c r="C29" s="1549" t="n"/>
      <c r="D29" s="1549" t="n"/>
      <c r="E29" s="1549" t="n"/>
    </row>
    <row r="30" ht="11.25" customHeight="1" s="850">
      <c r="A30" s="1549" t="inlineStr">
        <is>
          <t>Diluted Shares</t>
        </is>
      </c>
      <c r="B30" s="1570">
        <f>'INCOME STATEMENT'!V48</f>
        <v/>
      </c>
      <c r="C30" s="1570">
        <f>'INCOME STATEMENT'!AC48</f>
        <v/>
      </c>
      <c r="D30" s="1570">
        <f>'INCOME STATEMENT'!AD48</f>
        <v/>
      </c>
      <c r="E30" s="1570">
        <f>'INCOME STATEMENT'!AE48</f>
        <v/>
      </c>
      <c r="F30" s="1570">
        <f>'INCOME STATEMENT'!AF48</f>
        <v/>
      </c>
      <c r="G30" s="1570">
        <f>'INCOME STATEMENT'!AG48</f>
        <v/>
      </c>
      <c r="H30" s="1577">
        <f>G30</f>
        <v/>
      </c>
      <c r="I30" s="1577">
        <f>H30</f>
        <v/>
      </c>
      <c r="J30" s="1577">
        <f>I30</f>
        <v/>
      </c>
      <c r="K30" s="1577">
        <f>J30</f>
        <v/>
      </c>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f>1/(1+$K$13)^C32</f>
        <v/>
      </c>
      <c r="D33" s="1579">
        <f>1/(1+$K$13)^D32</f>
        <v/>
      </c>
      <c r="E33" s="1579">
        <f>1/(1+$K$13)^E32</f>
        <v/>
      </c>
      <c r="F33" s="1579">
        <f>1/(1+$K$13)^F32</f>
        <v/>
      </c>
      <c r="G33" s="1579">
        <f>1/(1+$K$13)^G32</f>
        <v/>
      </c>
      <c r="H33" s="1579">
        <f>1/(1+$K$13)^H32</f>
        <v/>
      </c>
      <c r="I33" s="1579">
        <f>1/(1+$K$13)^I32</f>
        <v/>
      </c>
      <c r="J33" s="1579">
        <f>1/(1+$K$13)^J32</f>
        <v/>
      </c>
      <c r="K33" s="1575" t="n"/>
    </row>
    <row r="34" ht="11.25" customHeight="1" s="850">
      <c r="A34" s="1580" t="inlineStr">
        <is>
          <t>Present Value of FCF</t>
        </is>
      </c>
      <c r="B34" s="955" t="n"/>
      <c r="C34" s="1581">
        <f>C33*C28</f>
        <v/>
      </c>
      <c r="D34" s="1581">
        <f>D33*D28</f>
        <v/>
      </c>
      <c r="E34" s="1581">
        <f>E33*E28</f>
        <v/>
      </c>
      <c r="F34" s="1581">
        <f>F33*F28</f>
        <v/>
      </c>
      <c r="G34" s="1581">
        <f>G33*G28</f>
        <v/>
      </c>
      <c r="H34" s="1581">
        <f>H33*H28</f>
        <v/>
      </c>
      <c r="I34" s="1581">
        <f>I33*I28</f>
        <v/>
      </c>
      <c r="J34" s="1581">
        <f>J33*J28</f>
        <v/>
      </c>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f>C19/B19-1</f>
        <v/>
      </c>
      <c r="D37" s="1583">
        <f>D19/C19-1</f>
        <v/>
      </c>
      <c r="E37" s="1583">
        <f>E19/D19-1</f>
        <v/>
      </c>
      <c r="F37" s="1584">
        <f>E37-($E$37-$J$37)/5</f>
        <v/>
      </c>
      <c r="G37" s="1584">
        <f>F37-($E$37-$J$37)/5</f>
        <v/>
      </c>
      <c r="H37" s="1584">
        <f>G37-($E$37-$J$37)/5</f>
        <v/>
      </c>
      <c r="I37" s="1584">
        <f>H37-($E$37-$J$37)/5</f>
        <v/>
      </c>
      <c r="J37" s="1584" t="n">
        <v>0.06</v>
      </c>
      <c r="K37" s="1585">
        <f>B6</f>
        <v/>
      </c>
    </row>
    <row r="38" ht="11.25" customHeight="1" s="850">
      <c r="A38" s="1569" t="inlineStr">
        <is>
          <t>EBITDA</t>
        </is>
      </c>
      <c r="B38" s="1583" t="n"/>
      <c r="C38" s="1583">
        <f>C20/B20-1</f>
        <v/>
      </c>
      <c r="D38" s="1583">
        <f>D20/C20-1</f>
        <v/>
      </c>
      <c r="E38" s="1583">
        <f>E20/D20-1</f>
        <v/>
      </c>
      <c r="F38" s="1583">
        <f>F20/E20-1</f>
        <v/>
      </c>
      <c r="G38" s="1583">
        <f>G20/F20-1</f>
        <v/>
      </c>
      <c r="H38" s="1583">
        <f>H20/G20-1</f>
        <v/>
      </c>
      <c r="I38" s="1583">
        <f>I20/H20-1</f>
        <v/>
      </c>
      <c r="J38" s="1583">
        <f>J20/I20-1</f>
        <v/>
      </c>
      <c r="K38" s="1583">
        <f>K20/J20-1</f>
        <v/>
      </c>
    </row>
    <row r="39" ht="11.25" customHeight="1" s="850">
      <c r="A39" s="1569" t="inlineStr">
        <is>
          <t>EBIT</t>
        </is>
      </c>
      <c r="B39" s="1557" t="n"/>
      <c r="C39" s="1583">
        <f>C21/B21-1</f>
        <v/>
      </c>
      <c r="D39" s="1583">
        <f>D21/C21-1</f>
        <v/>
      </c>
      <c r="E39" s="1583">
        <f>E21/D21-1</f>
        <v/>
      </c>
      <c r="F39" s="1583">
        <f>F21/E21-1</f>
        <v/>
      </c>
      <c r="G39" s="1583">
        <f>G21/F21-1</f>
        <v/>
      </c>
      <c r="H39" s="1583">
        <f>H21/G21-1</f>
        <v/>
      </c>
      <c r="I39" s="1583">
        <f>I21/H21-1</f>
        <v/>
      </c>
      <c r="J39" s="1583">
        <f>J21/I21-1</f>
        <v/>
      </c>
      <c r="K39" s="1583">
        <f>K21/J21-1</f>
        <v/>
      </c>
    </row>
    <row r="40" ht="11.25" customHeight="1" s="850">
      <c r="A40" s="1569" t="inlineStr">
        <is>
          <t>Depreciation &amp; Amortisation</t>
        </is>
      </c>
      <c r="B40" s="1557" t="n"/>
      <c r="C40" s="1583">
        <f>C24/B24-1</f>
        <v/>
      </c>
      <c r="D40" s="1583">
        <f>D24/C24-1</f>
        <v/>
      </c>
      <c r="E40" s="1583">
        <f>E24/D24-1</f>
        <v/>
      </c>
      <c r="F40" s="1583">
        <f>F24/E24-1</f>
        <v/>
      </c>
      <c r="G40" s="1583">
        <f>G24/F24-1</f>
        <v/>
      </c>
      <c r="H40" s="1583">
        <f>H24/G24-1</f>
        <v/>
      </c>
      <c r="I40" s="1583">
        <f>I24/H24-1</f>
        <v/>
      </c>
      <c r="J40" s="1583">
        <f>J24/I24-1</f>
        <v/>
      </c>
      <c r="K40" s="1583">
        <f>K24/J24-1</f>
        <v/>
      </c>
    </row>
    <row r="42" ht="11.25" customHeight="1" s="850">
      <c r="A42" s="1582" t="inlineStr">
        <is>
          <t>Margin Analysis (As % of Revenues)</t>
        </is>
      </c>
    </row>
    <row r="43" ht="11.25" customHeight="1" s="850">
      <c r="A43" s="1571" t="inlineStr">
        <is>
          <t>EBITA Margin</t>
        </is>
      </c>
      <c r="B43" s="1583">
        <f>B20/B$19</f>
        <v/>
      </c>
      <c r="C43" s="1583">
        <f>C20/C$19</f>
        <v/>
      </c>
      <c r="D43" s="1583">
        <f>D20/D$19</f>
        <v/>
      </c>
      <c r="E43" s="1583">
        <f>E20/E$19</f>
        <v/>
      </c>
    </row>
    <row r="44" ht="11.25" customHeight="1" s="850">
      <c r="A44" s="1569" t="inlineStr">
        <is>
          <t>EBIT Margin</t>
        </is>
      </c>
      <c r="B44" s="1583">
        <f>B21/B$19</f>
        <v/>
      </c>
      <c r="C44" s="1583">
        <f>C21/C$19</f>
        <v/>
      </c>
      <c r="D44" s="1583">
        <f>D21/D$19</f>
        <v/>
      </c>
      <c r="E44" s="1583">
        <f>E21/E$19</f>
        <v/>
      </c>
      <c r="F44" s="1585">
        <f>E44</f>
        <v/>
      </c>
      <c r="G44" s="1585">
        <f>F44</f>
        <v/>
      </c>
      <c r="H44" s="1585">
        <f>G44</f>
        <v/>
      </c>
      <c r="I44" s="1585">
        <f>H44</f>
        <v/>
      </c>
      <c r="J44" s="1585">
        <f>I44</f>
        <v/>
      </c>
      <c r="K44" s="1585">
        <f>J44</f>
        <v/>
      </c>
    </row>
    <row r="45" ht="11.25" customHeight="1" s="850">
      <c r="A45" s="1569" t="inlineStr">
        <is>
          <t>Depreciation &amp; Amortisation</t>
        </is>
      </c>
      <c r="B45" s="1583">
        <f>B24/B$19</f>
        <v/>
      </c>
      <c r="C45" s="1583">
        <f>C24/C$19</f>
        <v/>
      </c>
      <c r="D45" s="1583">
        <f>D24/D$19</f>
        <v/>
      </c>
      <c r="E45" s="1583">
        <f>E24/E$19</f>
        <v/>
      </c>
      <c r="F45" s="1585">
        <f>E45</f>
        <v/>
      </c>
      <c r="G45" s="1585">
        <f>F45</f>
        <v/>
      </c>
      <c r="H45" s="1585">
        <f>G45</f>
        <v/>
      </c>
      <c r="I45" s="1585">
        <f>H45</f>
        <v/>
      </c>
      <c r="J45" s="1585">
        <f>I45</f>
        <v/>
      </c>
      <c r="K45" s="1585">
        <f>J45</f>
        <v/>
      </c>
    </row>
    <row r="46" ht="11.25" customHeight="1" s="850">
      <c r="A46" s="1571" t="inlineStr">
        <is>
          <t>Capex</t>
        </is>
      </c>
      <c r="B46" s="1586">
        <f>-B27/B$19</f>
        <v/>
      </c>
      <c r="C46" s="1586">
        <f>-C27/C$19</f>
        <v/>
      </c>
      <c r="D46" s="1586">
        <f>-D27/D$19</f>
        <v/>
      </c>
      <c r="E46" s="1586">
        <f>-E27/E$19</f>
        <v/>
      </c>
      <c r="F46" s="1587">
        <f>E46</f>
        <v/>
      </c>
      <c r="G46" s="1587">
        <f>F46</f>
        <v/>
      </c>
      <c r="H46" s="1587">
        <f>G46</f>
        <v/>
      </c>
      <c r="I46" s="1587">
        <f>H46</f>
        <v/>
      </c>
      <c r="J46" s="1587">
        <f>I46</f>
        <v/>
      </c>
      <c r="K46" s="1587">
        <f>J46</f>
        <v/>
      </c>
    </row>
    <row r="47" ht="11.25" customHeight="1" s="850">
      <c r="F47" s="1588" t="n"/>
      <c r="G47" s="1588" t="n"/>
      <c r="H47" s="1588" t="n"/>
      <c r="I47" s="1588" t="n"/>
      <c r="J47" s="1588" t="n"/>
      <c r="K47" s="1588" t="n"/>
    </row>
    <row r="48" ht="11.25" customHeight="1" s="850">
      <c r="A48" s="1589" t="inlineStr">
        <is>
          <t>Tax Rate (Tax Expense/EBIT)</t>
        </is>
      </c>
      <c r="B48" s="1557">
        <f>B22/B21</f>
        <v/>
      </c>
      <c r="C48" s="1557">
        <f>C22/C21</f>
        <v/>
      </c>
      <c r="D48" s="1557">
        <f>D22/D21</f>
        <v/>
      </c>
      <c r="E48" s="1557">
        <f>E22/E21</f>
        <v/>
      </c>
      <c r="F48" s="1585">
        <f>E48</f>
        <v/>
      </c>
      <c r="G48" s="1585">
        <f>F48</f>
        <v/>
      </c>
      <c r="H48" s="1585">
        <f>G48</f>
        <v/>
      </c>
      <c r="I48" s="1585">
        <f>H48</f>
        <v/>
      </c>
      <c r="J48" s="1585">
        <f>I48</f>
        <v/>
      </c>
      <c r="K48" s="1585">
        <f>J48</f>
        <v/>
      </c>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f>SUM(C34:J34)</f>
        <v/>
      </c>
      <c r="C52" s="947" t="n"/>
      <c r="D52" s="1549" t="inlineStr">
        <is>
          <t>Enterprise Value</t>
        </is>
      </c>
      <c r="E52" s="1549" t="n"/>
      <c r="F52" s="1549" t="n"/>
      <c r="G52" s="1570">
        <f>B55+B52</f>
        <v/>
      </c>
      <c r="H52" s="1549" t="n"/>
      <c r="I52" s="1549" t="inlineStr">
        <is>
          <t>Equity Value</t>
        </is>
      </c>
      <c r="J52" s="1549" t="n"/>
      <c r="K52" s="1572">
        <f>G56</f>
        <v/>
      </c>
    </row>
    <row r="53" ht="11.25" customHeight="1" s="850">
      <c r="A53" s="1549" t="inlineStr">
        <is>
          <t>WACC</t>
        </is>
      </c>
      <c r="B53" s="1557">
        <f>K13</f>
        <v/>
      </c>
      <c r="C53" s="1549" t="n"/>
      <c r="D53" s="1549" t="inlineStr">
        <is>
          <t>-   Debt</t>
        </is>
      </c>
      <c r="E53" s="1549" t="n"/>
      <c r="F53" s="1549" t="n"/>
      <c r="G53" s="1570">
        <f>-G10</f>
        <v/>
      </c>
      <c r="H53" s="1549" t="n"/>
      <c r="I53" s="1549" t="inlineStr">
        <is>
          <t>Diluted Shares</t>
        </is>
      </c>
      <c r="J53" s="1549" t="n"/>
      <c r="K53" s="1572">
        <f>G8</f>
        <v/>
      </c>
    </row>
    <row r="54" ht="11.25" customHeight="1" s="850">
      <c r="A54" s="1549" t="inlineStr">
        <is>
          <t>Long term growth in EBIT</t>
        </is>
      </c>
      <c r="B54" s="1592">
        <f>B6</f>
        <v/>
      </c>
      <c r="C54" s="1549" t="n"/>
      <c r="D54" s="1549" t="inlineStr">
        <is>
          <t>+  Cash</t>
        </is>
      </c>
      <c r="E54" s="1549" t="n"/>
      <c r="F54" s="1549" t="n"/>
      <c r="G54" s="1570">
        <f>-G11</f>
        <v/>
      </c>
      <c r="H54" s="1549" t="n"/>
      <c r="I54" s="1549" t="n"/>
      <c r="J54" s="1549" t="n"/>
      <c r="K54" s="1549" t="n"/>
    </row>
    <row r="55" ht="11.25" customHeight="1" s="850">
      <c r="A55" s="1549" t="inlineStr">
        <is>
          <t>Present Value of terminal value</t>
        </is>
      </c>
      <c r="B55" s="1570">
        <f>K28/($B$53-$B$54)*J33</f>
        <v/>
      </c>
      <c r="C55" s="1549" t="n"/>
      <c r="D55" s="1549" t="inlineStr">
        <is>
          <t>Net Debt</t>
        </is>
      </c>
      <c r="E55" s="1549" t="n"/>
      <c r="F55" s="1549" t="n"/>
      <c r="G55" s="1572">
        <f>G53+G54</f>
        <v/>
      </c>
      <c r="H55" s="1549" t="n"/>
      <c r="I55" s="1549" t="inlineStr">
        <is>
          <t>Intrinsic Value</t>
        </is>
      </c>
      <c r="J55" s="1549" t="n"/>
      <c r="K55" s="1593">
        <f>K52/K53</f>
        <v/>
      </c>
    </row>
    <row r="56" ht="11.25" customHeight="1" s="850">
      <c r="A56" s="1549" t="inlineStr">
        <is>
          <t>Terminal Value as % of Total Value</t>
        </is>
      </c>
      <c r="B56" s="1557">
        <f>B55/(B55+B52)</f>
        <v/>
      </c>
      <c r="C56" s="1549" t="n"/>
      <c r="D56" s="1549" t="inlineStr">
        <is>
          <t>Equity Value</t>
        </is>
      </c>
      <c r="E56" s="1549" t="n"/>
      <c r="F56" s="1549" t="n"/>
      <c r="G56" s="1570">
        <f>G52+G55</f>
        <v/>
      </c>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f>B55</f>
        <v/>
      </c>
      <c r="D64" s="1599" t="n">
        <v>0.02</v>
      </c>
      <c r="E64" s="1599" t="n">
        <v>0.025</v>
      </c>
      <c r="F64" s="1599" t="n">
        <v>0.03</v>
      </c>
      <c r="G64" s="1600" t="n"/>
      <c r="H64" s="1599">
        <f>D64</f>
        <v/>
      </c>
      <c r="I64" s="1599">
        <f>E64</f>
        <v/>
      </c>
      <c r="J64" s="1599">
        <f>F64</f>
        <v/>
      </c>
    </row>
    <row r="65" ht="11.25" customHeight="1" s="850">
      <c r="A65" s="1601" t="n">
        <v>0.1</v>
      </c>
      <c r="B65" s="1602">
        <f>NPV(A65,$C$28:$J$28)</f>
        <v/>
      </c>
      <c r="C65" s="1603" t="n">
        <v>0.1</v>
      </c>
      <c r="D65" s="891" t="n">
        <v>92943.17628157631</v>
      </c>
      <c r="E65" s="891" t="n">
        <v>99770.4659448358</v>
      </c>
      <c r="F65" s="891" t="n">
        <v>107573.082702847</v>
      </c>
      <c r="H65" s="1604">
        <f>($B65+D65+$G$55)/$K$53</f>
        <v/>
      </c>
      <c r="I65" s="1604">
        <f>($B65+E65+$G$55)/$K$53</f>
        <v/>
      </c>
      <c r="J65" s="1604">
        <f>($B65+F65+$G$55)/$K$53</f>
        <v/>
      </c>
    </row>
    <row r="66" ht="11.25" customHeight="1" s="850">
      <c r="A66" s="1601" t="n">
        <v>0.11</v>
      </c>
      <c r="B66" s="1602">
        <f>NPV(A66,$C$28:$J$28)</f>
        <v/>
      </c>
      <c r="C66" s="1603" t="n">
        <v>0.11</v>
      </c>
      <c r="D66" s="891" t="n">
        <v>76846.2428097862</v>
      </c>
      <c r="E66" s="891" t="n">
        <v>81884.5542265714</v>
      </c>
      <c r="F66" s="891" t="n">
        <v>87552.65457045491</v>
      </c>
      <c r="H66" s="1604">
        <f>($B66+D66+$G$55)/$K$53</f>
        <v/>
      </c>
      <c r="I66" s="1604">
        <f>($B66+E66+$G$55)/$K$53</f>
        <v/>
      </c>
      <c r="J66" s="1604">
        <f>($B66+F66+$G$55)/$K$53</f>
        <v/>
      </c>
    </row>
    <row r="67" ht="11.25" customHeight="1" s="850">
      <c r="A67" s="1601">
        <f>$B$53</f>
        <v/>
      </c>
      <c r="B67" s="1602">
        <f>NPV(A67,$C$28:$J$28)</f>
        <v/>
      </c>
      <c r="C67" s="1603" t="n">
        <v>0.122011721437155</v>
      </c>
      <c r="D67" s="891" t="n">
        <v>62204.2059594607</v>
      </c>
      <c r="E67" s="891" t="n">
        <v>65826.5937251342</v>
      </c>
      <c r="F67" s="891" t="n">
        <v>69842.6691328923</v>
      </c>
      <c r="H67" s="1604">
        <f>($B67+D67+$G$55)/$K$53</f>
        <v/>
      </c>
      <c r="I67" s="1605">
        <f>($B67+E67+$G$55)/$K$53</f>
        <v/>
      </c>
      <c r="J67" s="1604">
        <f>($B67+F67+$G$55)/$K$53</f>
        <v/>
      </c>
    </row>
    <row r="68" ht="11.25" customHeight="1" s="850">
      <c r="A68" s="1558" t="n">
        <v>0.13</v>
      </c>
      <c r="B68" s="1602">
        <f>NPV(A68,$C$28:$J$28)</f>
        <v/>
      </c>
      <c r="C68" s="1603" t="n">
        <v>0.13</v>
      </c>
      <c r="D68" s="891" t="n">
        <v>54504.0463686265</v>
      </c>
      <c r="E68" s="891" t="n">
        <v>57462.9474042699</v>
      </c>
      <c r="F68" s="891" t="n">
        <v>60717.7385434776</v>
      </c>
      <c r="H68" s="1604">
        <f>($B68+D68+$G$55)/$K$53</f>
        <v/>
      </c>
      <c r="I68" s="1604">
        <f>($B68+E68+$G$55)/$K$53</f>
        <v/>
      </c>
      <c r="J68" s="1604">
        <f>($B68+F68+$G$55)/$K$53</f>
        <v/>
      </c>
    </row>
    <row r="69" ht="11.25" customHeight="1" s="850">
      <c r="A69" s="1601" t="n">
        <v>0.14</v>
      </c>
      <c r="B69" s="1602">
        <f>NPV(A69,$C$28:$J$28)</f>
        <v/>
      </c>
      <c r="C69" s="1603" t="n">
        <v>0.14</v>
      </c>
      <c r="D69" s="891" t="n">
        <v>46561.7100097448</v>
      </c>
      <c r="E69" s="891" t="n">
        <v>48895.4102159308</v>
      </c>
      <c r="F69" s="891" t="n">
        <v>51441.2649863157</v>
      </c>
      <c r="H69" s="1604">
        <f>($B69+D69+$G$55)/$K$53</f>
        <v/>
      </c>
      <c r="I69" s="1604">
        <f>($B69+E69+$G$55)/$K$53</f>
        <v/>
      </c>
      <c r="J69" s="1604">
        <f>($B69+F69+$G$55)/$K$53</f>
        <v/>
      </c>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f>D74</f>
        <v/>
      </c>
      <c r="I74" s="1609">
        <f>E74</f>
        <v/>
      </c>
      <c r="J74" s="1609">
        <f>F74</f>
        <v/>
      </c>
    </row>
    <row r="75" ht="11.25" customHeight="1" s="850">
      <c r="A75" s="1601" t="n">
        <v>0.1</v>
      </c>
      <c r="B75" s="1602">
        <f>NPV(A75,$C$28:$J$28)</f>
        <v/>
      </c>
      <c r="D75" s="1570">
        <f>(D$74*($K$21+$K$24))/(1+$A75)^$J$32</f>
        <v/>
      </c>
      <c r="E75" s="1570">
        <f>(E$74*($K$21+$K$24))/(1+$A75)^$J$32</f>
        <v/>
      </c>
      <c r="F75" s="1570">
        <f>(F$74*($K$21+$K$24))/(1+$A75)^$J$32</f>
        <v/>
      </c>
      <c r="H75" s="1604">
        <f>($B75+D75+$G$55)/$K$53</f>
        <v/>
      </c>
      <c r="I75" s="1604">
        <f>($B75+E75+$G$55)/$K$53</f>
        <v/>
      </c>
      <c r="J75" s="1604">
        <f>($B75+F75+$G$55)/$K$53</f>
        <v/>
      </c>
    </row>
    <row r="76" ht="11.25" customHeight="1" s="850">
      <c r="A76" s="1601" t="n">
        <v>0.11</v>
      </c>
      <c r="B76" s="1602">
        <f>NPV(A76,$C$28:$J$28)</f>
        <v/>
      </c>
      <c r="D76" s="1570">
        <f>(D$74*($K$21+$K$24))/(1+$A76)^$J$32</f>
        <v/>
      </c>
      <c r="E76" s="1570">
        <f>(E$74*($K$21+$K$24))/(1+$A76)^$J$32</f>
        <v/>
      </c>
      <c r="F76" s="1570">
        <f>(F$74*($K$21+$K$24))/(1+$A76)^$J$32</f>
        <v/>
      </c>
      <c r="H76" s="1604">
        <f>($B76+D76+$G$55)/$K$53</f>
        <v/>
      </c>
      <c r="I76" s="1604">
        <f>($B76+E76+$G$55)/$K$53</f>
        <v/>
      </c>
      <c r="J76" s="1604">
        <f>($B76+F76+$G$55)/$K$53</f>
        <v/>
      </c>
    </row>
    <row r="77" ht="11.25" customHeight="1" s="850">
      <c r="A77" s="1601">
        <f>$B$53</f>
        <v/>
      </c>
      <c r="B77" s="1602">
        <f>NPV(A77,$C$28:$J$28)</f>
        <v/>
      </c>
      <c r="D77" s="1570">
        <f>(D$74*($K$21+$K$24))/(1+$A77)^$J$32</f>
        <v/>
      </c>
      <c r="E77" s="1570">
        <f>(E$74*($K$21+$K$24))/(1+$A77)^$J$32</f>
        <v/>
      </c>
      <c r="F77" s="1570">
        <f>(F$74*($K$21+$K$24))/(1+$A77)^$J$32</f>
        <v/>
      </c>
      <c r="H77" s="1604">
        <f>($B77+D77+$G$55)/$K$53</f>
        <v/>
      </c>
      <c r="I77" s="1605">
        <f>($B77+E77+$G$55)/$K$53</f>
        <v/>
      </c>
      <c r="J77" s="1604">
        <f>($B77+F77+$G$55)/$K$53</f>
        <v/>
      </c>
    </row>
    <row r="78" ht="11.25" customHeight="1" s="850">
      <c r="A78" s="1558" t="n">
        <v>0.13</v>
      </c>
      <c r="B78" s="1602">
        <f>NPV(A78,$C$28:$J$28)</f>
        <v/>
      </c>
      <c r="D78" s="1570">
        <f>(D$74*($K$21+$K$24))/(1+$A78)^$J$32</f>
        <v/>
      </c>
      <c r="E78" s="1570">
        <f>(E$74*($K$21+$K$24))/(1+$A78)^$J$32</f>
        <v/>
      </c>
      <c r="F78" s="1570">
        <f>(F$74*($K$21+$K$24))/(1+$A78)^$J$32</f>
        <v/>
      </c>
      <c r="H78" s="1604">
        <f>($B78+D78+$G$55)/$K$53</f>
        <v/>
      </c>
      <c r="I78" s="1604">
        <f>($B78+E78+$G$55)/$K$53</f>
        <v/>
      </c>
      <c r="J78" s="1604">
        <f>($B78+F78+$G$55)/$K$53</f>
        <v/>
      </c>
    </row>
    <row r="79" ht="11.25" customHeight="1" s="850">
      <c r="A79" s="1601" t="n">
        <v>0.14</v>
      </c>
      <c r="B79" s="1602">
        <f>NPV(A79,$C$28:$J$28)</f>
        <v/>
      </c>
      <c r="D79" s="1570">
        <f>(D$74*($K$21+$K$24))/(1+$A79)^$J$32</f>
        <v/>
      </c>
      <c r="E79" s="1570">
        <f>(E$74*($K$21+$K$24))/(1+$A79)^$J$32</f>
        <v/>
      </c>
      <c r="F79" s="1570">
        <f>(F$74*($K$21+$K$24))/(1+$A79)^$J$32</f>
        <v/>
      </c>
      <c r="H79" s="1604">
        <f>($B79+D79+$G$55)/$K$53</f>
        <v/>
      </c>
      <c r="I79" s="1604">
        <f>($B79+E79+$G$55)/$K$53</f>
        <v/>
      </c>
      <c r="J79" s="1604">
        <f>($B79+F79+$G$55)/$K$53</f>
        <v/>
      </c>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f>(BALANCESHEET!B19+BALANCESHEET!B23)/BALANCESHEET!B24%</f>
        <v/>
      </c>
      <c r="C7" s="1614">
        <f>(BALANCESHEET!C19+BALANCESHEET!C23)/BALANCESHEET!C24%</f>
        <v/>
      </c>
      <c r="D7" s="1614">
        <f>(BALANCESHEET!D19+BALANCESHEET!D23)/BALANCESHEET!D24%</f>
        <v/>
      </c>
      <c r="E7" s="1614">
        <f>(BALANCESHEET!E19+BALANCESHEET!E23)/BALANCESHEET!E24%</f>
        <v/>
      </c>
      <c r="F7" s="1614">
        <f>(BALANCESHEET!F19+BALANCESHEET!F23)/BALANCESHEET!F24%</f>
        <v/>
      </c>
      <c r="G7" s="1614">
        <f>(BALANCESHEET!G19+BALANCESHEET!G23)/BALANCESHEET!G24%</f>
        <v/>
      </c>
      <c r="H7" s="1614">
        <f>(BALANCESHEET!H19+BALANCESHEET!H23)/BALANCESHEET!H24%</f>
        <v/>
      </c>
      <c r="I7" s="1614">
        <f>(BALANCESHEET!I19+BALANCESHEET!I23)/BALANCESHEET!I24%</f>
        <v/>
      </c>
      <c r="J7" s="1614">
        <f>(BALANCESHEET!J19+BALANCESHEET!J23)/BALANCESHEET!J24%</f>
        <v/>
      </c>
    </row>
    <row r="8" ht="15" customHeight="1" s="850">
      <c r="A8" s="1613" t="inlineStr">
        <is>
          <t>DEBT EQUITY</t>
        </is>
      </c>
      <c r="B8" s="1615">
        <f>BALANCESHEET!B19/BALANCESHEET!B8</f>
        <v/>
      </c>
      <c r="C8" s="1615">
        <f>BALANCESHEET!C19/BALANCESHEET!C8</f>
        <v/>
      </c>
      <c r="D8" s="1615">
        <f>BALANCESHEET!D19/BALANCESHEET!D8</f>
        <v/>
      </c>
      <c r="E8" s="1615">
        <f>BALANCESHEET!E19/BALANCESHEET!E8</f>
        <v/>
      </c>
      <c r="F8" s="1615">
        <f>BALANCESHEET!F19/BALANCESHEET!F8</f>
        <v/>
      </c>
      <c r="G8" s="1615">
        <f>BALANCESHEET!G19/BALANCESHEET!G8</f>
        <v/>
      </c>
      <c r="H8" s="1615">
        <f>BALANCESHEET!H19/BALANCESHEET!H8</f>
        <v/>
      </c>
      <c r="I8" s="1615">
        <f>BALANCESHEET!I19/BALANCESHEET!I8</f>
        <v/>
      </c>
      <c r="J8" s="1615">
        <f>BALANCESHEET!J19/BALANCESHEET!J8</f>
        <v/>
      </c>
    </row>
    <row r="9" ht="15" customHeight="1" s="850">
      <c r="A9" s="1613" t="inlineStr">
        <is>
          <t>CURRENT RATIO</t>
        </is>
      </c>
      <c r="B9" s="1615">
        <f>BALANCESHEET!B36/BALANCESHEET!B43</f>
        <v/>
      </c>
      <c r="C9" s="1615">
        <f>BALANCESHEET!C36/BALANCESHEET!C43</f>
        <v/>
      </c>
      <c r="D9" s="1615">
        <f>BALANCESHEET!D36/BALANCESHEET!D43</f>
        <v/>
      </c>
      <c r="E9" s="1615">
        <f>BALANCESHEET!E36/BALANCESHEET!E43</f>
        <v/>
      </c>
      <c r="F9" s="1615">
        <f>BALANCESHEET!F36/BALANCESHEET!F43</f>
        <v/>
      </c>
      <c r="G9" s="1615">
        <f>BALANCESHEET!G36/BALANCESHEET!G43</f>
        <v/>
      </c>
      <c r="H9" s="1615">
        <f>BALANCESHEET!H36/BALANCESHEET!H43</f>
        <v/>
      </c>
      <c r="I9" s="1615">
        <f>BALANCESHEET!I36/BALANCESHEET!I43</f>
        <v/>
      </c>
      <c r="J9" s="1615">
        <f>BALANCESHEET!J36/BALANCESHEET!J43</f>
        <v/>
      </c>
    </row>
    <row r="10" ht="15.75" customHeight="1" s="850">
      <c r="A10" s="1613" t="inlineStr">
        <is>
          <t>ASSET TURNOVER</t>
        </is>
      </c>
      <c r="B10" s="1616" t="n"/>
      <c r="C10" s="1616">
        <f>'INCOME STATEMENT'!H6/(BALANCESHEET!C27+BALANCESHEET!B27)</f>
        <v/>
      </c>
      <c r="D10" s="1617">
        <f>'INCOME STATEMENT'!O6/(BALANCESHEET!D27+BALANCESHEET!C27)</f>
        <v/>
      </c>
      <c r="E10" s="1616">
        <f>'INCOME STATEMENT'!V6/(BALANCESHEET!E27+BALANCESHEET!D27)</f>
        <v/>
      </c>
      <c r="F10" s="1616">
        <f>'INCOME STATEMENT'!AC6/(BALANCESHEET!F27+BALANCESHEET!E27)</f>
        <v/>
      </c>
      <c r="G10" s="1616">
        <f>'INCOME STATEMENT'!AD6/(BALANCESHEET!G27+BALANCESHEET!F27)</f>
        <v/>
      </c>
      <c r="H10" s="1616">
        <f>'INCOME STATEMENT'!AE6/(BALANCESHEET!H27+BALANCESHEET!G27)</f>
        <v/>
      </c>
      <c r="I10" s="1616">
        <f>'INCOME STATEMENT'!AF6/(BALANCESHEET!I27+BALANCESHEET!H27)</f>
        <v/>
      </c>
      <c r="J10" s="1616">
        <f>'INCOME STATEMENT'!AG6/(BALANCESHEET!J27+BALANCESHEET!I27)</f>
        <v/>
      </c>
    </row>
    <row r="11" ht="15" customHeight="1" s="850">
      <c r="A11" s="1618" t="inlineStr">
        <is>
          <t>RONW(%)</t>
        </is>
      </c>
      <c r="B11" s="1619" t="n"/>
      <c r="C11" s="1619">
        <f>'INCOME STATEMENT'!H38/BALANCESHEET!C8</f>
        <v/>
      </c>
      <c r="D11" s="1619">
        <f>'INCOME STATEMENT'!O38/BALANCESHEET!D8</f>
        <v/>
      </c>
      <c r="E11" s="1619">
        <f>'INCOME STATEMENT'!V38/BALANCESHEET!E8</f>
        <v/>
      </c>
      <c r="F11" s="1619">
        <f>'INCOME STATEMENT'!AC38/BALANCESHEET!F8</f>
        <v/>
      </c>
      <c r="G11" s="1619">
        <f>'INCOME STATEMENT'!AD38/BALANCESHEET!G8</f>
        <v/>
      </c>
      <c r="H11" s="1619">
        <f>'INCOME STATEMENT'!AE38/BALANCESHEET!H8</f>
        <v/>
      </c>
      <c r="I11" s="1619">
        <f>'INCOME STATEMENT'!AF38/BALANCESHEET!I8</f>
        <v/>
      </c>
      <c r="J11" s="1619">
        <f>'INCOME STATEMENT'!AG38/BALANCESHEET!J8</f>
        <v/>
      </c>
    </row>
    <row r="12" ht="15.75" customHeight="1" s="850">
      <c r="A12" s="1618" t="inlineStr">
        <is>
          <t>ROCE(%)</t>
        </is>
      </c>
      <c r="B12" s="1620" t="n"/>
      <c r="C12" s="1620">
        <f>('INCOME STATEMENT'!H32+'INCOME STATEMENT'!H26)/((BALANCESHEET!C24+BALANCESHEET!B24)*0.5)</f>
        <v/>
      </c>
      <c r="D12" s="1620">
        <f>('INCOME STATEMENT'!O32+'INCOME STATEMENT'!O26)/(BALANCESHEET!D8+BALANCESHEET!C8)</f>
        <v/>
      </c>
      <c r="E12" s="1620">
        <f>('INCOME STATEMENT'!V32+'INCOME STATEMENT'!V26)/(BALANCESHEET!E8+BALANCESHEET!D8)</f>
        <v/>
      </c>
      <c r="F12" s="1620">
        <f>('INCOME STATEMENT'!AC32+'INCOME STATEMENT'!AC26)/(BALANCESHEET!F8+BALANCESHEET!E8)</f>
        <v/>
      </c>
      <c r="G12" s="1620">
        <f>('INCOME STATEMENT'!AD32+'INCOME STATEMENT'!AD26)/(BALANCESHEET!G8+BALANCESHEET!F8)</f>
        <v/>
      </c>
      <c r="H12" s="1620">
        <f>('INCOME STATEMENT'!AE32+'INCOME STATEMENT'!AE26)/(BALANCESHEET!H8+BALANCESHEET!G8)</f>
        <v/>
      </c>
      <c r="I12" s="1620">
        <f>('INCOME STATEMENT'!AF32+'INCOME STATEMENT'!AF26)/(BALANCESHEET!I8+BALANCESHEET!H8)</f>
        <v/>
      </c>
      <c r="J12" s="1620">
        <f>('INCOME STATEMENT'!AG32+'INCOME STATEMENT'!AG26)/(BALANCESHEET!J8+BALANCESHEET!I8)</f>
        <v/>
      </c>
    </row>
    <row r="13" ht="15" customHeight="1" s="850">
      <c r="A13" s="1613" t="inlineStr">
        <is>
          <t>OPM(%)</t>
        </is>
      </c>
      <c r="B13" s="1621" t="n"/>
      <c r="C13" s="1621">
        <f>('INCOME STATEMENT'!H21*100)/'INCOME STATEMENT'!H6</f>
        <v/>
      </c>
      <c r="D13" s="1621">
        <f>('INCOME STATEMENT'!O21*100)/'INCOME STATEMENT'!O6</f>
        <v/>
      </c>
      <c r="E13" s="1621">
        <f>('INCOME STATEMENT'!V21*100)/'INCOME STATEMENT'!V6</f>
        <v/>
      </c>
      <c r="F13" s="1621">
        <f>('INCOME STATEMENT'!AC21*100)/'INCOME STATEMENT'!AC6</f>
        <v/>
      </c>
      <c r="G13" s="1621">
        <f>('INCOME STATEMENT'!AD21*100)/'INCOME STATEMENT'!AD6</f>
        <v/>
      </c>
      <c r="H13" s="1621">
        <f>('INCOME STATEMENT'!AE21*100)/'INCOME STATEMENT'!AE6</f>
        <v/>
      </c>
      <c r="I13" s="1621">
        <f>('INCOME STATEMENT'!AF21*100)/'INCOME STATEMENT'!AF6</f>
        <v/>
      </c>
      <c r="J13" s="1622">
        <f>('INCOME STATEMENT'!AG21*100)/'INCOME STATEMENT'!AG6</f>
        <v/>
      </c>
    </row>
    <row r="14" ht="15" customHeight="1" s="850">
      <c r="A14" s="1613" t="inlineStr">
        <is>
          <t>NPM(%)</t>
        </is>
      </c>
      <c r="B14" s="1615" t="n"/>
      <c r="C14" s="1615">
        <f>('INCOME STATEMENT'!H41*100)/'INCOME STATEMENT'!H6</f>
        <v/>
      </c>
      <c r="D14" s="1615">
        <f>('INCOME STATEMENT'!O41*100/'INCOME STATEMENT'!O6)</f>
        <v/>
      </c>
      <c r="E14" s="1615">
        <f>('INCOME STATEMENT'!V41*100)/'INCOME STATEMENT'!V6</f>
        <v/>
      </c>
      <c r="F14" s="1615">
        <f>('INCOME STATEMENT'!AC41*100)/'INCOME STATEMENT'!AC6</f>
        <v/>
      </c>
      <c r="G14" s="1615">
        <f>('INCOME STATEMENT'!AD41*100)/'INCOME STATEMENT'!AD6</f>
        <v/>
      </c>
      <c r="H14" s="1615">
        <f>('INCOME STATEMENT'!AE41*100)/'INCOME STATEMENT'!AE6</f>
        <v/>
      </c>
      <c r="I14" s="1615">
        <f>('INCOME STATEMENT'!AF41*100)/'INCOME STATEMENT'!AF6</f>
        <v/>
      </c>
      <c r="J14" s="1623">
        <f>('INCOME STATEMENT'!AG41*100)/'INCOME STATEMENT'!AG6</f>
        <v/>
      </c>
    </row>
    <row r="15" ht="15" customHeight="1" s="850">
      <c r="A15" s="1613" t="inlineStr">
        <is>
          <t>Effective Interest Rate</t>
        </is>
      </c>
      <c r="B15" s="1615" t="n"/>
      <c r="C15" s="1615">
        <f>'INCOME STATEMENT'!H26/((BALANCESHEET!C19+BALANCESHEET!B19))</f>
        <v/>
      </c>
      <c r="D15" s="1615">
        <f>'INCOME STATEMENT'!O26/(BALANCESHEET!D19+BALANCESHEET!C19)</f>
        <v/>
      </c>
      <c r="E15" s="1615">
        <f>'INCOME STATEMENT'!V26/(BALANCESHEET!E19+BALANCESHEET!D19)</f>
        <v/>
      </c>
      <c r="F15" s="1615">
        <f>'INCOME STATEMENT'!AC26/(BALANCESHEET!F19+BALANCESHEET!E19)</f>
        <v/>
      </c>
      <c r="G15" s="1615">
        <f>'INCOME STATEMENT'!AD26/(BALANCESHEET!G19+BALANCESHEET!F19)</f>
        <v/>
      </c>
      <c r="H15" s="1615">
        <f>'INCOME STATEMENT'!AE26/(BALANCESHEET!H19+BALANCESHEET!G19)</f>
        <v/>
      </c>
      <c r="I15" s="1615">
        <f>'INCOME STATEMENT'!AF26/(BALANCESHEET!I19+BALANCESHEET!H19)</f>
        <v/>
      </c>
      <c r="J15" s="1615">
        <f>'INCOME STATEMENT'!AG26/(BALANCESHEET!J19+BALANCESHEET!I19)</f>
        <v/>
      </c>
    </row>
    <row r="16" ht="15" customHeight="1" s="850">
      <c r="A16" s="1613" t="inlineStr">
        <is>
          <t>Effective Tax Rate(%)</t>
        </is>
      </c>
      <c r="B16" s="1615" t="n"/>
      <c r="C16" s="1615">
        <f>'INCOME STATEMENT'!H37%</f>
        <v/>
      </c>
      <c r="D16" s="1615">
        <f>'INCOME STATEMENT'!O37%</f>
        <v/>
      </c>
      <c r="E16" s="1615">
        <f>'INCOME STATEMENT'!V37%</f>
        <v/>
      </c>
      <c r="F16" s="1615">
        <f>'INCOME STATEMENT'!AC37%</f>
        <v/>
      </c>
      <c r="G16" s="1615">
        <f>'INCOME STATEMENT'!AD37%</f>
        <v/>
      </c>
      <c r="H16" s="1615">
        <f>'INCOME STATEMENT'!AE37%</f>
        <v/>
      </c>
      <c r="I16" s="1615">
        <f>'INCOME STATEMENT'!AF37%</f>
        <v/>
      </c>
      <c r="J16" s="1615">
        <f>'INCOME STATEMENT'!AG37%</f>
        <v/>
      </c>
    </row>
    <row r="17" ht="15" customHeight="1" s="850">
      <c r="A17" s="1613" t="inlineStr">
        <is>
          <t>Cash/Net Assets</t>
        </is>
      </c>
      <c r="B17" s="1624">
        <f>BALANCESHEET!B39/BALANCESHEET!B27</f>
        <v/>
      </c>
      <c r="C17" s="1624">
        <f>BALANCESHEET!C39/BALANCESHEET!C27</f>
        <v/>
      </c>
      <c r="D17" s="1624">
        <f>BALANCESHEET!D39/BALANCESHEET!D27</f>
        <v/>
      </c>
      <c r="E17" s="1624">
        <f>BALANCESHEET!E39/BALANCESHEET!E27</f>
        <v/>
      </c>
      <c r="F17" s="1624">
        <f>BALANCESHEET!F39/BALANCESHEET!F27</f>
        <v/>
      </c>
      <c r="G17" s="1624">
        <f>BALANCESHEET!G39/BALANCESHEET!G27</f>
        <v/>
      </c>
      <c r="H17" s="1624">
        <f>BALANCESHEET!H39/BALANCESHEET!H27</f>
        <v/>
      </c>
      <c r="I17" s="1624">
        <f>BALANCESHEET!I39/BALANCESHEET!I27</f>
        <v/>
      </c>
      <c r="J17" s="1625">
        <f>BALANCESHEET!J39/BALANCESHEET!J27</f>
        <v/>
      </c>
    </row>
    <row r="18" ht="15" customHeight="1" s="850">
      <c r="A18" s="1613" t="inlineStr">
        <is>
          <t>Other Income/PBT</t>
        </is>
      </c>
      <c r="B18" s="1615" t="n"/>
      <c r="C18" s="1624">
        <f>'INCOME STATEMENT'!H29/'INCOME STATEMENT'!H32</f>
        <v/>
      </c>
      <c r="D18" s="1624">
        <f>'INCOME STATEMENT'!O29/'INCOME STATEMENT'!O32</f>
        <v/>
      </c>
      <c r="E18" s="1624">
        <f>'INCOME STATEMENT'!V29/'INCOME STATEMENT'!V32</f>
        <v/>
      </c>
      <c r="F18" s="1624">
        <f>'INCOME STATEMENT'!AC29/'INCOME STATEMENT'!AC32</f>
        <v/>
      </c>
      <c r="G18" s="1624">
        <f>'INCOME STATEMENT'!AD29/'INCOME STATEMENT'!AD32</f>
        <v/>
      </c>
      <c r="H18" s="1624">
        <f>'INCOME STATEMENT'!AE29/'INCOME STATEMENT'!AE32</f>
        <v/>
      </c>
      <c r="I18" s="1624">
        <f>'INCOME STATEMENT'!AF29/'INCOME STATEMENT'!AF32</f>
        <v/>
      </c>
      <c r="J18" s="1624">
        <f>'INCOME STATEMENT'!AG29/'INCOME STATEMENT'!AG32</f>
        <v/>
      </c>
    </row>
    <row r="19" ht="15" customHeight="1" s="850">
      <c r="A19" s="1613" t="inlineStr">
        <is>
          <t>Interest Coverage</t>
        </is>
      </c>
      <c r="B19" s="1615" t="n"/>
      <c r="C19" s="1615">
        <f>('INCOME STATEMENT'!H21-'INCOME STATEMENT'!H27)/'INCOME STATEMENT'!H26</f>
        <v/>
      </c>
      <c r="D19" s="1615">
        <f>('INCOME STATEMENT'!O21-'INCOME STATEMENT'!O27)/'INCOME STATEMENT'!O26</f>
        <v/>
      </c>
      <c r="E19" s="1615">
        <f>('INCOME STATEMENT'!V21-'INCOME STATEMENT'!V27)/'INCOME STATEMENT'!V26</f>
        <v/>
      </c>
      <c r="F19" s="1615">
        <f>('INCOME STATEMENT'!AC21-'INCOME STATEMENT'!AC27)/'INCOME STATEMENT'!AC26</f>
        <v/>
      </c>
      <c r="G19" s="1615">
        <f>('INCOME STATEMENT'!AD21-'INCOME STATEMENT'!AD27)/'INCOME STATEMENT'!AD26</f>
        <v/>
      </c>
      <c r="H19" s="1615">
        <f>('INCOME STATEMENT'!AE21-'INCOME STATEMENT'!AE27)/'INCOME STATEMENT'!AE26</f>
        <v/>
      </c>
      <c r="I19" s="1615">
        <f>('INCOME STATEMENT'!AF21-'INCOME STATEMENT'!AF27)/'INCOME STATEMENT'!AF26</f>
        <v/>
      </c>
      <c r="J19" s="1615">
        <f>('INCOME STATEMENT'!AG21-'INCOME STATEMENT'!AG27)/'INCOME STATEMENT'!AG26</f>
        <v/>
      </c>
    </row>
    <row r="20" ht="15" customHeight="1" s="850">
      <c r="A20" s="1613" t="inlineStr">
        <is>
          <t>Growth in Gross Block</t>
        </is>
      </c>
      <c r="B20" s="1615" t="n"/>
      <c r="C20" s="1615">
        <f>BALANCESHEET!C28/BALANCESHEET!B28-1</f>
        <v/>
      </c>
      <c r="D20" s="1615">
        <f>BALANCESHEET!D28/BALANCESHEET!C28-1</f>
        <v/>
      </c>
      <c r="E20" s="1615">
        <f>BALANCESHEET!E28/BALANCESHEET!D28-1</f>
        <v/>
      </c>
      <c r="F20" s="1615">
        <f>BALANCESHEET!F28/BALANCESHEET!E28-1</f>
        <v/>
      </c>
      <c r="G20" s="1615">
        <f>BALANCESHEET!G28/BALANCESHEET!F28-1</f>
        <v/>
      </c>
      <c r="H20" s="1615">
        <f>BALANCESHEET!H28/BALANCESHEET!G28-1</f>
        <v/>
      </c>
      <c r="I20" s="1615">
        <f>BALANCESHEET!I28/BALANCESHEET!H28-1</f>
        <v/>
      </c>
      <c r="J20" s="1615">
        <f>BALANCESHEET!J28/BALANCESHEET!I28-1</f>
        <v/>
      </c>
    </row>
    <row r="21" ht="15" customHeight="1" s="850">
      <c r="A21" s="1613" t="inlineStr">
        <is>
          <t>Sales Growth</t>
        </is>
      </c>
      <c r="B21" s="1615" t="n"/>
      <c r="C21" s="1615" t="n"/>
      <c r="D21" s="1626">
        <f>'INCOME STATEMENT'!O6/'INCOME STATEMENT'!H6-1</f>
        <v/>
      </c>
      <c r="E21" s="1615">
        <f>'INCOME STATEMENT'!V6/'INCOME STATEMENT'!O6-1</f>
        <v/>
      </c>
      <c r="F21" s="1615">
        <f>'INCOME STATEMENT'!AC6/'INCOME STATEMENT'!V6-1</f>
        <v/>
      </c>
      <c r="G21" s="1615">
        <f>'INCOME STATEMENT'!AD6/'INCOME STATEMENT'!W6-1</f>
        <v/>
      </c>
      <c r="H21" s="1615">
        <f>'INCOME STATEMENT'!AE6/'INCOME STATEMENT'!X6-1</f>
        <v/>
      </c>
      <c r="I21" s="1615">
        <f>'INCOME STATEMENT'!AF6/'INCOME STATEMENT'!Y6-1</f>
        <v/>
      </c>
      <c r="J21" s="1615">
        <f>'INCOME STATEMENT'!AG6/'INCOME STATEMENT'!Z6-1</f>
        <v/>
      </c>
    </row>
    <row r="22" ht="15" customHeight="1" s="850">
      <c r="A22" s="1613" t="inlineStr">
        <is>
          <t>Operating Profit Growth</t>
        </is>
      </c>
      <c r="B22" s="1615" t="n"/>
      <c r="C22" s="1615" t="n"/>
      <c r="D22" s="1615">
        <f>'INCOME STATEMENT'!O21/'INCOME STATEMENT'!H21-1</f>
        <v/>
      </c>
      <c r="E22" s="1615">
        <f>'INCOME STATEMENT'!V21/'INCOME STATEMENT'!O21-1</f>
        <v/>
      </c>
      <c r="F22" s="1615">
        <f>'INCOME STATEMENT'!AC21/'INCOME STATEMENT'!V21-1</f>
        <v/>
      </c>
      <c r="G22" s="1615">
        <f>'INCOME STATEMENT'!AD21/'INCOME STATEMENT'!W21-1</f>
        <v/>
      </c>
      <c r="H22" s="1615">
        <f>'INCOME STATEMENT'!AE21/'INCOME STATEMENT'!X21-1</f>
        <v/>
      </c>
      <c r="I22" s="1615">
        <f>'INCOME STATEMENT'!AF21/'INCOME STATEMENT'!Y21-1</f>
        <v/>
      </c>
      <c r="J22" s="1615">
        <f>'INCOME STATEMENT'!AG21/'INCOME STATEMENT'!Z21-1</f>
        <v/>
      </c>
    </row>
    <row r="23" ht="15" customHeight="1" s="850">
      <c r="A23" s="1613" t="inlineStr">
        <is>
          <t>Inventory Turnover</t>
        </is>
      </c>
      <c r="B23" s="1615" t="n"/>
      <c r="C23" s="1615" t="n"/>
      <c r="D23" s="1615">
        <f>'INCOME STATEMENT'!O6/((BALANCESHEET!D37+BALANCESHEET!C37)*0.5)</f>
        <v/>
      </c>
      <c r="E23" s="1615">
        <f>'INCOME STATEMENT'!V6/((BALANCESHEET!E37+BALANCESHEET!D37)*0.5)</f>
        <v/>
      </c>
      <c r="F23" s="1615">
        <f>'INCOME STATEMENT'!AC6/((BALANCESHEET!F37+BALANCESHEET!E37)*0.5)</f>
        <v/>
      </c>
      <c r="G23" s="1615">
        <f>'INCOME STATEMENT'!AD6/((BALANCESHEET!G37+BALANCESHEET!F37)*0.5)</f>
        <v/>
      </c>
      <c r="H23" s="1615">
        <f>'INCOME STATEMENT'!AE6/((BALANCESHEET!H37+BALANCESHEET!G37)*0.5)</f>
        <v/>
      </c>
      <c r="I23" s="1615">
        <f>'INCOME STATEMENT'!AF6/((BALANCESHEET!I37+BALANCESHEET!H37)*0.5)</f>
        <v/>
      </c>
      <c r="J23" s="1615">
        <f>'INCOME STATEMENT'!AG6/((BALANCESHEET!J37+BALANCESHEET!I37)*0.5)</f>
        <v/>
      </c>
    </row>
    <row r="24" ht="15" customHeight="1" s="850">
      <c r="A24" s="1613" t="inlineStr">
        <is>
          <t>Net Current Assets/Sales</t>
        </is>
      </c>
      <c r="B24" s="1615" t="n"/>
      <c r="C24" s="1624">
        <f>BALANCESHEET!C58/'INCOME STATEMENT'!H6</f>
        <v/>
      </c>
      <c r="D24" s="1624">
        <f>BALANCESHEET!D58/'INCOME STATEMENT'!O6</f>
        <v/>
      </c>
      <c r="E24" s="1624">
        <f>BALANCESHEET!E58/'INCOME STATEMENT'!V6</f>
        <v/>
      </c>
      <c r="F24" s="1624">
        <f>BALANCESHEET!F58/'INCOME STATEMENT'!AC6</f>
        <v/>
      </c>
      <c r="G24" s="1624">
        <f>BALANCESHEET!G58/'INCOME STATEMENT'!AD6</f>
        <v/>
      </c>
      <c r="H24" s="1624">
        <f>BALANCESHEET!H58/'INCOME STATEMENT'!AE6</f>
        <v/>
      </c>
      <c r="I24" s="1624">
        <f>BALANCESHEET!I58/'INCOME STATEMENT'!AF6</f>
        <v/>
      </c>
      <c r="J24" s="1624">
        <f>BALANCESHEET!J58/'INCOME STATEMENT'!AG6</f>
        <v/>
      </c>
    </row>
    <row r="25" ht="15" customHeight="1" s="850">
      <c r="A25" s="1613" t="inlineStr">
        <is>
          <t>Tax Rate Non-Deferred</t>
        </is>
      </c>
      <c r="B25" s="1615" t="n"/>
      <c r="C25" s="1627">
        <f>'INCOME STATEMENT'!H36/100</f>
        <v/>
      </c>
      <c r="D25" s="1627">
        <f>'INCOME STATEMENT'!O36/100</f>
        <v/>
      </c>
      <c r="E25" s="1627">
        <f>'INCOME STATEMENT'!V36/100</f>
        <v/>
      </c>
      <c r="F25" s="1627">
        <f>'INCOME STATEMENT'!AC36/100</f>
        <v/>
      </c>
      <c r="G25" s="1627">
        <f>'INCOME STATEMENT'!AD36/100</f>
        <v/>
      </c>
      <c r="H25" s="1627">
        <f>'INCOME STATEMENT'!AE36/100</f>
        <v/>
      </c>
      <c r="I25" s="1627">
        <f>'INCOME STATEMENT'!AF36/100</f>
        <v/>
      </c>
      <c r="J25" s="1627">
        <f>'INCOME STATEMENT'!AG36/100</f>
        <v/>
      </c>
    </row>
    <row r="26" ht="15.75" customHeight="1" s="850">
      <c r="A26" s="1628" t="inlineStr">
        <is>
          <t>PBT From Operations Growth</t>
        </is>
      </c>
      <c r="B26" s="1615" t="n"/>
      <c r="C26" s="1615" t="n"/>
      <c r="D26" s="1615">
        <f>'INCOME STATEMENT'!O30/'INCOME STATEMENT'!H30-1</f>
        <v/>
      </c>
      <c r="E26" s="1615">
        <f>'INCOME STATEMENT'!V30/'INCOME STATEMENT'!O30-1</f>
        <v/>
      </c>
      <c r="F26" s="1615">
        <f>'INCOME STATEMENT'!AC30/'INCOME STATEMENT'!V30-1</f>
        <v/>
      </c>
      <c r="G26" s="1615">
        <f>'INCOME STATEMENT'!AD30/'INCOME STATEMENT'!W30-1</f>
        <v/>
      </c>
      <c r="H26" s="1615">
        <f>'INCOME STATEMENT'!AE30/'INCOME STATEMENT'!X30-1</f>
        <v/>
      </c>
      <c r="I26" s="1615">
        <f>'INCOME STATEMENT'!AF30/'INCOME STATEMENT'!Y30-1</f>
        <v/>
      </c>
      <c r="J26" s="1615">
        <f>'INCOME STATEMENT'!AG30/'INCOME STATEMENT'!Z30-1</f>
        <v/>
      </c>
    </row>
    <row r="27" ht="15.75" customHeight="1" s="850">
      <c r="A27" s="1629" t="inlineStr">
        <is>
          <t>EPS Growth</t>
        </is>
      </c>
      <c r="B27" s="1630" t="n"/>
      <c r="C27" s="1630">
        <f>'INCOME STATEMENT'!H49</f>
        <v/>
      </c>
      <c r="D27" s="1630">
        <f>'INCOME STATEMENT'!O49</f>
        <v/>
      </c>
      <c r="E27" s="1630">
        <f>'INCOME STATEMENT'!V49</f>
        <v/>
      </c>
      <c r="F27" s="1630">
        <f>'INCOME STATEMENT'!AC49</f>
        <v/>
      </c>
      <c r="G27" s="1630">
        <f>'INCOME STATEMENT'!AD49</f>
        <v/>
      </c>
      <c r="H27" s="1630">
        <f>'INCOME STATEMENT'!AE49</f>
        <v/>
      </c>
      <c r="I27" s="1630">
        <f>'INCOME STATEMENT'!AF49</f>
        <v/>
      </c>
      <c r="J27" s="1631">
        <f>'INCOME STATEMENT'!AG49</f>
        <v/>
      </c>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2026-03-05T04:04:50Z</dcterms:modified>
  <cp:lastModifiedBy>IMS</cp:lastModifiedBy>
  <cp:revision>0</cp:revision>
</cp:coreProperties>
</file>