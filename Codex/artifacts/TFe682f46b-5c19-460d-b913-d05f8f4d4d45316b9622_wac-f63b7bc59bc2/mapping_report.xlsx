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calculator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Loan calculator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11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inlineStr">
        <is>
          <t>center</t>
        </is>
      </c>
      <c r="R2" t="b">
        <v>0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Loan calculator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10</v>
      </c>
      <c r="M3" t="n">
        <v/>
      </c>
      <c r="N3" t="inlineStr">
        <is>
          <t>Values must be of type &lt;class 'str'&gt;</t>
        </is>
      </c>
      <c r="O3" t="inlineStr">
        <is>
          <t>center</t>
        </is>
      </c>
      <c r="P3" t="n">
        <v/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Loan calculator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M4" t="n">
        <v/>
      </c>
      <c r="N4" t="inlineStr">
        <is>
          <t>Values must be of type &lt;class 'str'&gt;</t>
        </is>
      </c>
      <c r="O4" t="inlineStr">
        <is>
          <t>center</t>
        </is>
      </c>
      <c r="P4" t="n">
        <v/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Loan calculator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M5" t="n">
        <v/>
      </c>
      <c r="N5" t="inlineStr">
        <is>
          <t>Values must be of type &lt;class 'str'&gt;</t>
        </is>
      </c>
      <c r="O5" t="inlineStr">
        <is>
          <t>center</t>
        </is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Loan calculator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M6" t="n">
        <v/>
      </c>
      <c r="N6" t="inlineStr">
        <is>
          <t>Values must be of type &lt;class 'str'&gt;</t>
        </is>
      </c>
      <c r="O6" t="inlineStr">
        <is>
          <t>center</t>
        </is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Loan calculator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10</v>
      </c>
      <c r="M7" t="n">
        <v/>
      </c>
      <c r="N7" t="inlineStr">
        <is>
          <t>Values must be of type &lt;class 'str'&gt;</t>
        </is>
      </c>
      <c r="O7" t="inlineStr">
        <is>
          <t>center</t>
        </is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Loan calculator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M8" t="n">
        <v/>
      </c>
      <c r="N8" t="inlineStr">
        <is>
          <t>Values must be of type &lt;class 'str'&gt;</t>
        </is>
      </c>
      <c r="O8" t="inlineStr">
        <is>
          <t>center</t>
        </is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Loan calculator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10</v>
      </c>
      <c r="M9" t="n">
        <v/>
      </c>
      <c r="N9" t="inlineStr">
        <is>
          <t>Values must be of type &lt;class 'str'&gt;</t>
        </is>
      </c>
      <c r="O9" t="inlineStr">
        <is>
          <t>center</t>
        </is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Loan calculator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G10" t="inlineStr">
        <is>
          <t> 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8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n">
        <v/>
      </c>
      <c r="P10" t="inlineStr">
        <is>
          <t>center</t>
        </is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Loan calculator</t>
        </is>
      </c>
      <c r="B11" t="inlineStr">
        <is>
          <t>A2</t>
        </is>
      </c>
      <c r="C11" t="n">
        <v>2</v>
      </c>
      <c r="D11" t="n">
        <v>1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n">
        <v/>
      </c>
      <c r="P11" t="inlineStr">
        <is>
          <t>center</t>
        </is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Loan calculator</t>
        </is>
      </c>
      <c r="B12" t="inlineStr">
        <is>
          <t>B2</t>
        </is>
      </c>
      <c r="C12" t="n">
        <v>2</v>
      </c>
      <c r="D12" t="n">
        <v>2</v>
      </c>
      <c r="E12" t="inlineStr">
        <is>
          <t>Input</t>
        </is>
      </c>
      <c r="F12" t="n">
        <v/>
      </c>
      <c r="G12" t="inlineStr">
        <is>
          <t>Simple loan calculator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28</v>
      </c>
      <c r="M12" t="n">
        <v/>
      </c>
      <c r="N12" t="inlineStr">
        <is>
          <t>Values must be of type &lt;class 'str'&gt;</t>
        </is>
      </c>
      <c r="O12" t="inlineStr">
        <is>
          <t>center</t>
        </is>
      </c>
      <c r="P12" t="inlineStr">
        <is>
          <t>center</t>
        </is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Loan calculator</t>
        </is>
      </c>
      <c r="B13" t="inlineStr">
        <is>
          <t>I2</t>
        </is>
      </c>
      <c r="C13" t="n">
        <v>2</v>
      </c>
      <c r="D13" t="n">
        <v>9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n">
        <v/>
      </c>
      <c r="P13" t="inlineStr">
        <is>
          <t>center</t>
        </is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Loan calculator</t>
        </is>
      </c>
      <c r="B14" t="inlineStr">
        <is>
          <t>K2</t>
        </is>
      </c>
      <c r="C14" t="n">
        <v>2</v>
      </c>
      <c r="D14" t="n">
        <v>11</v>
      </c>
      <c r="E14" t="inlineStr">
        <is>
          <t>Input</t>
        </is>
      </c>
      <c r="F14" t="n">
        <v/>
      </c>
      <c r="G14" t="inlineStr">
        <is>
          <t>Pmt no.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00000000</t>
        </is>
      </c>
      <c r="O14" t="n">
        <v/>
      </c>
      <c r="P14" t="inlineStr">
        <is>
          <t>center</t>
        </is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Loan calculator</t>
        </is>
      </c>
      <c r="B15" t="inlineStr">
        <is>
          <t>L2</t>
        </is>
      </c>
      <c r="C15" t="n">
        <v>2</v>
      </c>
      <c r="D15" t="n">
        <v>12</v>
      </c>
      <c r="E15" t="inlineStr">
        <is>
          <t>Input</t>
        </is>
      </c>
      <c r="F15" t="n">
        <v/>
      </c>
      <c r="G15" t="inlineStr">
        <is>
          <t>(All)</t>
        </is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00000000</t>
        </is>
      </c>
      <c r="O15" t="n">
        <v/>
      </c>
      <c r="P15" t="inlineStr">
        <is>
          <t>center</t>
        </is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Loan calculator</t>
        </is>
      </c>
      <c r="B16" t="inlineStr">
        <is>
          <t>A3</t>
        </is>
      </c>
      <c r="C16" t="n">
        <v>3</v>
      </c>
      <c r="D16" t="n">
        <v>1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11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n">
        <v/>
      </c>
      <c r="P16" t="inlineStr">
        <is>
          <t>center</t>
        </is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Loan calculator</t>
        </is>
      </c>
      <c r="B17" t="inlineStr">
        <is>
          <t>B3</t>
        </is>
      </c>
      <c r="C17" t="n">
        <v>3</v>
      </c>
      <c r="D17" t="n">
        <v>2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1</v>
      </c>
      <c r="K17" t="b">
        <v>0</v>
      </c>
      <c r="L17" t="n">
        <v>16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center</t>
        </is>
      </c>
      <c r="P17" t="inlineStr">
        <is>
          <t>center</t>
        </is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Loan calculator</t>
        </is>
      </c>
      <c r="B18" t="inlineStr">
        <is>
          <t>C3</t>
        </is>
      </c>
      <c r="C18" t="n">
        <v>3</v>
      </c>
      <c r="D18" t="n">
        <v>3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1</v>
      </c>
      <c r="K18" t="b">
        <v>0</v>
      </c>
      <c r="L18" t="n">
        <v>16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n">
        <v/>
      </c>
      <c r="P18" t="inlineStr">
        <is>
          <t>center</t>
        </is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Loan calculator</t>
        </is>
      </c>
      <c r="B19" t="inlineStr">
        <is>
          <t>D3</t>
        </is>
      </c>
      <c r="C19" t="n">
        <v>3</v>
      </c>
      <c r="D19" t="n">
        <v>4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16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n">
        <v/>
      </c>
      <c r="P19" t="inlineStr">
        <is>
          <t>center</t>
        </is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Loan calculator</t>
        </is>
      </c>
      <c r="B20" t="inlineStr">
        <is>
          <t>E3</t>
        </is>
      </c>
      <c r="C20" t="n">
        <v>3</v>
      </c>
      <c r="D20" t="n">
        <v>5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16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n">
        <v/>
      </c>
      <c r="P20" t="inlineStr">
        <is>
          <t>center</t>
        </is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Loan calculator</t>
        </is>
      </c>
      <c r="B21" t="inlineStr">
        <is>
          <t>F3</t>
        </is>
      </c>
      <c r="C21" t="n">
        <v>3</v>
      </c>
      <c r="D21" t="n">
        <v>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16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n">
        <v/>
      </c>
      <c r="P21" t="inlineStr">
        <is>
          <t>center</t>
        </is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Loan calculator</t>
        </is>
      </c>
      <c r="B22" t="inlineStr">
        <is>
          <t>G3</t>
        </is>
      </c>
      <c r="C22" t="n">
        <v>3</v>
      </c>
      <c r="D22" t="n">
        <v>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16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n">
        <v/>
      </c>
      <c r="P22" t="inlineStr">
        <is>
          <t>center</t>
        </is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Loan calculator</t>
        </is>
      </c>
      <c r="B23" t="inlineStr">
        <is>
          <t>H3</t>
        </is>
      </c>
      <c r="C23" t="n">
        <v>3</v>
      </c>
      <c r="D23" t="n">
        <v>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16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n">
        <v/>
      </c>
      <c r="P23" t="inlineStr">
        <is>
          <t>center</t>
        </is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Loan calculator</t>
        </is>
      </c>
      <c r="B24" t="inlineStr">
        <is>
          <t>I3</t>
        </is>
      </c>
      <c r="C24" t="n">
        <v>3</v>
      </c>
      <c r="D24" t="n">
        <v>9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n">
        <v/>
      </c>
      <c r="P24" t="inlineStr">
        <is>
          <t>center</t>
        </is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Loan calculator</t>
        </is>
      </c>
      <c r="B25" t="inlineStr">
        <is>
          <t>A4</t>
        </is>
      </c>
      <c r="C25" t="n">
        <v>4</v>
      </c>
      <c r="D25" t="n">
        <v>1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n">
        <v/>
      </c>
      <c r="P25" t="inlineStr">
        <is>
          <t>center</t>
        </is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Loan calculator</t>
        </is>
      </c>
      <c r="B26" t="inlineStr">
        <is>
          <t>B4</t>
        </is>
      </c>
      <c r="C26" t="n">
        <v>4</v>
      </c>
      <c r="D26" t="n">
        <v>2</v>
      </c>
      <c r="E26" t="inlineStr">
        <is>
          <t>Input</t>
        </is>
      </c>
      <c r="F26" t="n">
        <v/>
      </c>
      <c r="G26" t="inlineStr">
        <is>
          <t>Loan details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M26" t="n">
        <v/>
      </c>
      <c r="N26" t="inlineStr">
        <is>
          <t>Values must be of type &lt;class 'str'&gt;</t>
        </is>
      </c>
      <c r="O26" t="inlineStr">
        <is>
          <t>center</t>
        </is>
      </c>
      <c r="P26" t="inlineStr">
        <is>
          <t>center</t>
        </is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Loan calculator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11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n">
        <v/>
      </c>
      <c r="P27" t="inlineStr">
        <is>
          <t>center</t>
        </is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Loan calculator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10</v>
      </c>
      <c r="M28" t="n">
        <v/>
      </c>
      <c r="N28" t="inlineStr">
        <is>
          <t>Values must be of type &lt;class 'str'&gt;</t>
        </is>
      </c>
      <c r="O28" t="inlineStr">
        <is>
          <t>center</t>
        </is>
      </c>
      <c r="P28" t="n">
        <v/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Loan calculator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M29" t="n">
        <v/>
      </c>
      <c r="N29" t="inlineStr">
        <is>
          <t>Values must be of type &lt;class 'str'&gt;</t>
        </is>
      </c>
      <c r="O29" t="inlineStr">
        <is>
          <t>center</t>
        </is>
      </c>
      <c r="P29" t="n">
        <v/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Loan calculator</t>
        </is>
      </c>
      <c r="B30" t="inlineStr">
        <is>
          <t>H4</t>
        </is>
      </c>
      <c r="C30" t="n">
        <v>4</v>
      </c>
      <c r="D30" t="n">
        <v>8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M30" t="n">
        <v/>
      </c>
      <c r="N30" t="inlineStr">
        <is>
          <t>Values must be of type &lt;class 'str'&gt;</t>
        </is>
      </c>
      <c r="O30" t="inlineStr">
        <is>
          <t>center</t>
        </is>
      </c>
      <c r="P30" t="n">
        <v/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Loan calculator</t>
        </is>
      </c>
      <c r="B31" t="inlineStr">
        <is>
          <t>I4</t>
        </is>
      </c>
      <c r="C31" t="n">
        <v>4</v>
      </c>
      <c r="D31" t="n">
        <v>9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11</v>
      </c>
      <c r="M31" t="inlineStr">
        <is>
          <t>Values must be of type &lt;class 'str'&gt;</t>
        </is>
      </c>
      <c r="N31" t="inlineStr">
        <is>
          <t>Values must be of type &lt;class 'str'&gt;</t>
        </is>
      </c>
      <c r="O31" t="n">
        <v/>
      </c>
      <c r="P31" t="inlineStr">
        <is>
          <t>center</t>
        </is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Loan calculator</t>
        </is>
      </c>
      <c r="B32" t="inlineStr">
        <is>
          <t>K4</t>
        </is>
      </c>
      <c r="C32" t="n">
        <v>4</v>
      </c>
      <c r="D32" t="n">
        <v>11</v>
      </c>
      <c r="E32" t="inlineStr">
        <is>
          <t>Input</t>
        </is>
      </c>
      <c r="F32" t="n">
        <v/>
      </c>
      <c r="G32" t="inlineStr">
        <is>
          <t>Row Labels</t>
        </is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11</v>
      </c>
      <c r="M32" t="inlineStr">
        <is>
          <t>Values must be of type &lt;class 'str'&gt;</t>
        </is>
      </c>
      <c r="N32" t="inlineStr">
        <is>
          <t>00000000</t>
        </is>
      </c>
      <c r="O32" t="n">
        <v/>
      </c>
      <c r="P32" t="inlineStr">
        <is>
          <t>center</t>
        </is>
      </c>
      <c r="R32" t="b">
        <v>1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Loan calculator</t>
        </is>
      </c>
      <c r="B33" t="inlineStr">
        <is>
          <t>L4</t>
        </is>
      </c>
      <c r="C33" t="n">
        <v>4</v>
      </c>
      <c r="D33" t="n">
        <v>12</v>
      </c>
      <c r="E33" t="inlineStr">
        <is>
          <t>Input</t>
        </is>
      </c>
      <c r="F33" t="n">
        <v/>
      </c>
      <c r="G33" t="inlineStr">
        <is>
          <t>Principal Paid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11</v>
      </c>
      <c r="M33" t="inlineStr">
        <is>
          <t>Values must be of type &lt;class 'str'&gt;</t>
        </is>
      </c>
      <c r="N33" t="inlineStr">
        <is>
          <t>00000000</t>
        </is>
      </c>
      <c r="O33" t="n">
        <v/>
      </c>
      <c r="P33" t="inlineStr">
        <is>
          <t>center</t>
        </is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Loan calculator</t>
        </is>
      </c>
      <c r="B34" t="inlineStr">
        <is>
          <t>M4</t>
        </is>
      </c>
      <c r="C34" t="n">
        <v>4</v>
      </c>
      <c r="D34" t="n">
        <v>13</v>
      </c>
      <c r="E34" t="inlineStr">
        <is>
          <t>Input</t>
        </is>
      </c>
      <c r="F34" t="n">
        <v/>
      </c>
      <c r="G34" t="inlineStr">
        <is>
          <t>Interest Paid</t>
        </is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11</v>
      </c>
      <c r="M34" t="inlineStr">
        <is>
          <t>Values must be of type &lt;class 'str'&gt;</t>
        </is>
      </c>
      <c r="N34" t="inlineStr">
        <is>
          <t>00000000</t>
        </is>
      </c>
      <c r="O34" t="n">
        <v/>
      </c>
      <c r="P34" t="inlineStr">
        <is>
          <t>center</t>
        </is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Loan calculator</t>
        </is>
      </c>
      <c r="B35" t="inlineStr">
        <is>
          <t>N4</t>
        </is>
      </c>
      <c r="C35" t="n">
        <v>4</v>
      </c>
      <c r="D35" t="n">
        <v>14</v>
      </c>
      <c r="E35" t="inlineStr">
        <is>
          <t>Input</t>
        </is>
      </c>
      <c r="F35" t="n">
        <v/>
      </c>
      <c r="G35" t="inlineStr">
        <is>
          <t>Balance Paid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11</v>
      </c>
      <c r="M35" t="inlineStr">
        <is>
          <t>Values must be of type &lt;class 'str'&gt;</t>
        </is>
      </c>
      <c r="N35" t="inlineStr">
        <is>
          <t>00000000</t>
        </is>
      </c>
      <c r="O35" t="n">
        <v/>
      </c>
      <c r="P35" t="inlineStr">
        <is>
          <t>center</t>
        </is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Loan calculator</t>
        </is>
      </c>
      <c r="B36" t="inlineStr">
        <is>
          <t>A5</t>
        </is>
      </c>
      <c r="C36" t="n">
        <v>5</v>
      </c>
      <c r="D36" t="n">
        <v>1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11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n">
        <v/>
      </c>
      <c r="P36" t="inlineStr">
        <is>
          <t>center</t>
        </is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Loan calculator</t>
        </is>
      </c>
      <c r="B37" t="inlineStr">
        <is>
          <t>B5</t>
        </is>
      </c>
      <c r="C37" t="n">
        <v>5</v>
      </c>
      <c r="D37" t="n">
        <v>2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n">
        <v/>
      </c>
      <c r="P37" t="inlineStr">
        <is>
          <t>center</t>
        </is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Loan calculator</t>
        </is>
      </c>
      <c r="B38" t="inlineStr">
        <is>
          <t>C5</t>
        </is>
      </c>
      <c r="C38" t="n">
        <v>5</v>
      </c>
      <c r="D38" t="n">
        <v>3</v>
      </c>
      <c r="E38" t="inlineStr">
        <is>
          <t>Input</t>
        </is>
      </c>
      <c r="F38" t="n">
        <v/>
      </c>
      <c r="G38" t="inlineStr">
        <is>
          <t>Loan amount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right</t>
        </is>
      </c>
      <c r="P38" t="inlineStr">
        <is>
          <t>center</t>
        </is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Loan calculator</t>
        </is>
      </c>
      <c r="B39" t="inlineStr">
        <is>
          <t>D5</t>
        </is>
      </c>
      <c r="C39" t="n">
        <v>5</v>
      </c>
      <c r="D39" t="n">
        <v>4</v>
      </c>
      <c r="E39" t="inlineStr">
        <is>
          <t>Input</t>
        </is>
      </c>
      <c r="F39" t="n">
        <v/>
      </c>
      <c r="G39" t="n">
        <v>10000</v>
      </c>
      <c r="H39" t="inlineStr"/>
      <c r="I39" t="inlineStr">
        <is>
          <t>"$"#,##0.00</t>
        </is>
      </c>
      <c r="J39" t="b">
        <v>0</v>
      </c>
      <c r="K39" t="b">
        <v>0</v>
      </c>
      <c r="L39" t="n">
        <v>10</v>
      </c>
      <c r="M39" t="n">
        <v/>
      </c>
      <c r="N39" t="inlineStr">
        <is>
          <t>Values must be of type &lt;class 'str'&gt;</t>
        </is>
      </c>
      <c r="O39" t="inlineStr">
        <is>
          <t>left</t>
        </is>
      </c>
      <c r="P39" t="inlineStr">
        <is>
          <t>center</t>
        </is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Loan calculator</t>
        </is>
      </c>
      <c r="B40" t="inlineStr">
        <is>
          <t>E5</t>
        </is>
      </c>
      <c r="C40" t="n">
        <v>5</v>
      </c>
      <c r="D40" t="n">
        <v>5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11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n">
        <v/>
      </c>
      <c r="P40" t="inlineStr">
        <is>
          <t>center</t>
        </is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Loan calculator</t>
        </is>
      </c>
      <c r="B41" t="inlineStr">
        <is>
          <t>F5</t>
        </is>
      </c>
      <c r="C41" t="n">
        <v>5</v>
      </c>
      <c r="D41" t="n">
        <v>6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M41" t="n">
        <v/>
      </c>
      <c r="N41" t="inlineStr">
        <is>
          <t>Values must be of type &lt;class 'str'&gt;</t>
        </is>
      </c>
      <c r="O41" t="inlineStr">
        <is>
          <t>center</t>
        </is>
      </c>
      <c r="P41" t="n">
        <v/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Loan calculator</t>
        </is>
      </c>
      <c r="B42" t="inlineStr">
        <is>
          <t>G5</t>
        </is>
      </c>
      <c r="C42" t="n">
        <v>5</v>
      </c>
      <c r="D42" t="n">
        <v>7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M42" t="n">
        <v/>
      </c>
      <c r="N42" t="inlineStr">
        <is>
          <t>Values must be of type &lt;class 'str'&gt;</t>
        </is>
      </c>
      <c r="O42" t="inlineStr">
        <is>
          <t>center</t>
        </is>
      </c>
      <c r="P42" t="n">
        <v/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Loan calculator</t>
        </is>
      </c>
      <c r="B43" t="inlineStr">
        <is>
          <t>H5</t>
        </is>
      </c>
      <c r="C43" t="n">
        <v>5</v>
      </c>
      <c r="D43" t="n">
        <v>8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10</v>
      </c>
      <c r="M43" t="n">
        <v/>
      </c>
      <c r="N43" t="inlineStr">
        <is>
          <t>Values must be of type &lt;class 'str'&gt;</t>
        </is>
      </c>
      <c r="O43" t="inlineStr">
        <is>
          <t>center</t>
        </is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Loan calculator</t>
        </is>
      </c>
      <c r="B44" t="inlineStr">
        <is>
          <t>I5</t>
        </is>
      </c>
      <c r="C44" t="n">
        <v>5</v>
      </c>
      <c r="D44" t="n">
        <v>9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11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n">
        <v/>
      </c>
      <c r="P44" t="inlineStr">
        <is>
          <t>center</t>
        </is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Loan calculator</t>
        </is>
      </c>
      <c r="B45" t="inlineStr">
        <is>
          <t>K5</t>
        </is>
      </c>
      <c r="C45" t="n">
        <v>5</v>
      </c>
      <c r="D45" t="n">
        <v>11</v>
      </c>
      <c r="E45" t="inlineStr">
        <is>
          <t>Input</t>
        </is>
      </c>
      <c r="F45" t="n">
        <v/>
      </c>
      <c r="G45" t="inlineStr">
        <is>
          <t>2023</t>
        </is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11</v>
      </c>
      <c r="M45" t="inlineStr">
        <is>
          <t>Values must be of type &lt;class 'str'&gt;</t>
        </is>
      </c>
      <c r="N45" t="inlineStr">
        <is>
          <t>00000000</t>
        </is>
      </c>
      <c r="O45" t="inlineStr">
        <is>
          <t>left</t>
        </is>
      </c>
      <c r="P45" t="inlineStr">
        <is>
          <t>center</t>
        </is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Loan calculator</t>
        </is>
      </c>
      <c r="B46" t="inlineStr">
        <is>
          <t>L5</t>
        </is>
      </c>
      <c r="C46" t="n">
        <v>5</v>
      </c>
      <c r="D46" t="n">
        <v>12</v>
      </c>
      <c r="E46" t="inlineStr">
        <is>
          <t>Input</t>
        </is>
      </c>
      <c r="F46" t="n">
        <v/>
      </c>
      <c r="G46" t="n">
        <v>380.4942381590899</v>
      </c>
      <c r="H46" t="inlineStr"/>
      <c r="I46" t="inlineStr">
        <is>
          <t>"$"#,##0</t>
        </is>
      </c>
      <c r="J46" t="b">
        <v>0</v>
      </c>
      <c r="K46" t="b">
        <v>0</v>
      </c>
      <c r="L46" t="n">
        <v>11</v>
      </c>
      <c r="M46" t="inlineStr">
        <is>
          <t>Values must be of type &lt;class 'str'&gt;</t>
        </is>
      </c>
      <c r="N46" t="inlineStr">
        <is>
          <t>00000000</t>
        </is>
      </c>
      <c r="O46" t="n">
        <v/>
      </c>
      <c r="P46" t="inlineStr">
        <is>
          <t>center</t>
        </is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Loan calculator</t>
        </is>
      </c>
      <c r="B47" t="inlineStr">
        <is>
          <t>M5</t>
        </is>
      </c>
      <c r="C47" t="n">
        <v>5</v>
      </c>
      <c r="D47" t="n">
        <v>13</v>
      </c>
      <c r="E47" t="inlineStr">
        <is>
          <t>Input</t>
        </is>
      </c>
      <c r="F47" t="n">
        <v/>
      </c>
      <c r="G47" t="n">
        <v>270.6634296037944</v>
      </c>
      <c r="H47" t="inlineStr"/>
      <c r="I47" t="inlineStr">
        <is>
          <t>"$"#,##0</t>
        </is>
      </c>
      <c r="J47" t="b">
        <v>0</v>
      </c>
      <c r="K47" t="b">
        <v>0</v>
      </c>
      <c r="L47" t="n">
        <v>11</v>
      </c>
      <c r="M47" t="inlineStr">
        <is>
          <t>Values must be of type &lt;class 'str'&gt;</t>
        </is>
      </c>
      <c r="N47" t="inlineStr">
        <is>
          <t>00000000</t>
        </is>
      </c>
      <c r="O47" t="n">
        <v/>
      </c>
      <c r="P47" t="inlineStr">
        <is>
          <t>center</t>
        </is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Loan calculator</t>
        </is>
      </c>
      <c r="B48" t="inlineStr">
        <is>
          <t>N5</t>
        </is>
      </c>
      <c r="C48" t="n">
        <v>5</v>
      </c>
      <c r="D48" t="n">
        <v>14</v>
      </c>
      <c r="E48" t="inlineStr">
        <is>
          <t>Input</t>
        </is>
      </c>
      <c r="F48" t="n">
        <v/>
      </c>
      <c r="G48" t="n">
        <v>58673.34494812331</v>
      </c>
      <c r="H48" t="inlineStr"/>
      <c r="I48" t="inlineStr">
        <is>
          <t>"$"#,##0</t>
        </is>
      </c>
      <c r="J48" t="b">
        <v>0</v>
      </c>
      <c r="K48" t="b">
        <v>0</v>
      </c>
      <c r="L48" t="n">
        <v>11</v>
      </c>
      <c r="M48" t="inlineStr">
        <is>
          <t>Values must be of type &lt;class 'str'&gt;</t>
        </is>
      </c>
      <c r="N48" t="inlineStr">
        <is>
          <t>00000000</t>
        </is>
      </c>
      <c r="O48" t="n">
        <v/>
      </c>
      <c r="P48" t="inlineStr">
        <is>
          <t>center</t>
        </is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Loan calculator</t>
        </is>
      </c>
      <c r="B49" t="inlineStr">
        <is>
          <t>A6</t>
        </is>
      </c>
      <c r="C49" t="n">
        <v>6</v>
      </c>
      <c r="D49" t="n">
        <v>1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11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n">
        <v/>
      </c>
      <c r="P49" t="inlineStr">
        <is>
          <t>center</t>
        </is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Loan calculator</t>
        </is>
      </c>
      <c r="B50" t="inlineStr">
        <is>
          <t>B6</t>
        </is>
      </c>
      <c r="C50" t="n">
        <v>6</v>
      </c>
      <c r="D50" t="n">
        <v>2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n">
        <v/>
      </c>
      <c r="P50" t="inlineStr">
        <is>
          <t>center</t>
        </is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Loan calculator</t>
        </is>
      </c>
      <c r="B51" t="inlineStr">
        <is>
          <t>C6</t>
        </is>
      </c>
      <c r="C51" t="n">
        <v>6</v>
      </c>
      <c r="D51" t="n">
        <v>3</v>
      </c>
      <c r="E51" t="inlineStr">
        <is>
          <t>Input</t>
        </is>
      </c>
      <c r="F51" t="n">
        <v/>
      </c>
      <c r="G51" t="inlineStr">
        <is>
          <t>Annual interest rate</t>
        </is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right</t>
        </is>
      </c>
      <c r="P51" t="inlineStr">
        <is>
          <t>center</t>
        </is>
      </c>
      <c r="R51" t="b">
        <v>1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Loan calculator</t>
        </is>
      </c>
      <c r="B52" t="inlineStr">
        <is>
          <t>D6</t>
        </is>
      </c>
      <c r="C52" t="n">
        <v>6</v>
      </c>
      <c r="D52" t="n">
        <v>4</v>
      </c>
      <c r="E52" t="inlineStr">
        <is>
          <t>Input</t>
        </is>
      </c>
      <c r="F52" t="n">
        <v/>
      </c>
      <c r="G52" t="n">
        <v>0.055</v>
      </c>
      <c r="H52" t="inlineStr"/>
      <c r="I52" t="inlineStr">
        <is>
          <t>0.00%</t>
        </is>
      </c>
      <c r="J52" t="b">
        <v>0</v>
      </c>
      <c r="K52" t="b">
        <v>0</v>
      </c>
      <c r="L52" t="n">
        <v>10</v>
      </c>
      <c r="M52" t="n">
        <v/>
      </c>
      <c r="N52" t="inlineStr">
        <is>
          <t>Values must be of type &lt;class 'str'&gt;</t>
        </is>
      </c>
      <c r="O52" t="inlineStr">
        <is>
          <t>left</t>
        </is>
      </c>
      <c r="P52" t="inlineStr">
        <is>
          <t>center</t>
        </is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Loan calculator</t>
        </is>
      </c>
      <c r="B53" t="inlineStr">
        <is>
          <t>E6</t>
        </is>
      </c>
      <c r="C53" t="n">
        <v>6</v>
      </c>
      <c r="D53" t="n">
        <v>5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n">
        <v/>
      </c>
      <c r="P53" t="inlineStr">
        <is>
          <t>center</t>
        </is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Loan calculator</t>
        </is>
      </c>
      <c r="B54" t="inlineStr">
        <is>
          <t>F6</t>
        </is>
      </c>
      <c r="C54" t="n">
        <v>6</v>
      </c>
      <c r="D54" t="n">
        <v>6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M54" t="n">
        <v/>
      </c>
      <c r="N54" t="inlineStr">
        <is>
          <t>Values must be of type &lt;class 'str'&gt;</t>
        </is>
      </c>
      <c r="O54" t="inlineStr">
        <is>
          <t>center</t>
        </is>
      </c>
      <c r="P54" t="n">
        <v/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Loan calculator</t>
        </is>
      </c>
      <c r="B55" t="inlineStr">
        <is>
          <t>G6</t>
        </is>
      </c>
      <c r="C55" t="n">
        <v>6</v>
      </c>
      <c r="D55" t="n">
        <v>7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M55" t="n">
        <v/>
      </c>
      <c r="N55" t="inlineStr">
        <is>
          <t>Values must be of type &lt;class 'str'&gt;</t>
        </is>
      </c>
      <c r="O55" t="inlineStr">
        <is>
          <t>center</t>
        </is>
      </c>
      <c r="P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Loan calculator</t>
        </is>
      </c>
      <c r="B56" t="inlineStr">
        <is>
          <t>H6</t>
        </is>
      </c>
      <c r="C56" t="n">
        <v>6</v>
      </c>
      <c r="D56" t="n">
        <v>8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10</v>
      </c>
      <c r="M56" t="n">
        <v/>
      </c>
      <c r="N56" t="inlineStr">
        <is>
          <t>Values must be of type &lt;class 'str'&gt;</t>
        </is>
      </c>
      <c r="O56" t="inlineStr">
        <is>
          <t>center</t>
        </is>
      </c>
      <c r="P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Loan calculator</t>
        </is>
      </c>
      <c r="B57" t="inlineStr">
        <is>
          <t>I6</t>
        </is>
      </c>
      <c r="C57" t="n">
        <v>6</v>
      </c>
      <c r="D57" t="n">
        <v>9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n">
        <v/>
      </c>
      <c r="P57" t="inlineStr">
        <is>
          <t>center</t>
        </is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Loan calculator</t>
        </is>
      </c>
      <c r="B58" t="inlineStr">
        <is>
          <t>K6</t>
        </is>
      </c>
      <c r="C58" t="n">
        <v>6</v>
      </c>
      <c r="D58" t="n">
        <v>11</v>
      </c>
      <c r="E58" t="inlineStr">
        <is>
          <t>Input</t>
        </is>
      </c>
      <c r="F58" t="n">
        <v/>
      </c>
      <c r="G58" t="inlineStr">
        <is>
          <t>2024</t>
        </is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11</v>
      </c>
      <c r="M58" t="inlineStr">
        <is>
          <t>Values must be of type &lt;class 'str'&gt;</t>
        </is>
      </c>
      <c r="N58" t="inlineStr">
        <is>
          <t>00000000</t>
        </is>
      </c>
      <c r="O58" t="inlineStr">
        <is>
          <t>left</t>
        </is>
      </c>
      <c r="P58" t="inlineStr">
        <is>
          <t>center</t>
        </is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Loan calculator</t>
        </is>
      </c>
      <c r="B59" t="inlineStr">
        <is>
          <t>L6</t>
        </is>
      </c>
      <c r="C59" t="n">
        <v>6</v>
      </c>
      <c r="D59" t="n">
        <v>12</v>
      </c>
      <c r="E59" t="inlineStr">
        <is>
          <t>Input</t>
        </is>
      </c>
      <c r="F59" t="n">
        <v/>
      </c>
      <c r="G59" t="n">
        <v>793.0355642678467</v>
      </c>
      <c r="H59" t="inlineStr"/>
      <c r="I59" t="inlineStr">
        <is>
          <t>"$"#,##0</t>
        </is>
      </c>
      <c r="J59" t="b">
        <v>0</v>
      </c>
      <c r="K59" t="b">
        <v>0</v>
      </c>
      <c r="L59" t="n">
        <v>11</v>
      </c>
      <c r="M59" t="inlineStr">
        <is>
          <t>Values must be of type &lt;class 'str'&gt;</t>
        </is>
      </c>
      <c r="N59" t="inlineStr">
        <is>
          <t>00000000</t>
        </is>
      </c>
      <c r="O59" t="n">
        <v/>
      </c>
      <c r="P59" t="inlineStr">
        <is>
          <t>center</t>
        </is>
      </c>
      <c r="R59" t="b">
        <v>1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Loan calculator</t>
        </is>
      </c>
      <c r="B60" t="inlineStr">
        <is>
          <t>M6</t>
        </is>
      </c>
      <c r="C60" t="n">
        <v>6</v>
      </c>
      <c r="D60" t="n">
        <v>13</v>
      </c>
      <c r="E60" t="inlineStr">
        <is>
          <t>Input</t>
        </is>
      </c>
      <c r="F60" t="n">
        <v/>
      </c>
      <c r="G60" t="n">
        <v>509.2797712579219</v>
      </c>
      <c r="H60" t="inlineStr"/>
      <c r="I60" t="inlineStr">
        <is>
          <t>"$"#,##0</t>
        </is>
      </c>
      <c r="J60" t="b">
        <v>0</v>
      </c>
      <c r="K60" t="b">
        <v>0</v>
      </c>
      <c r="L60" t="n">
        <v>11</v>
      </c>
      <c r="M60" t="inlineStr">
        <is>
          <t>Values must be of type &lt;class 'str'&gt;</t>
        </is>
      </c>
      <c r="N60" t="inlineStr">
        <is>
          <t>00000000</t>
        </is>
      </c>
      <c r="O60" t="n">
        <v/>
      </c>
      <c r="P60" t="inlineStr">
        <is>
          <t>center</t>
        </is>
      </c>
      <c r="R60" t="b">
        <v>1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Loan calculator</t>
        </is>
      </c>
      <c r="B61" t="inlineStr">
        <is>
          <t>N6</t>
        </is>
      </c>
      <c r="C61" t="n">
        <v>6</v>
      </c>
      <c r="D61" t="n">
        <v>14</v>
      </c>
      <c r="E61" t="inlineStr">
        <is>
          <t>Input</t>
        </is>
      </c>
      <c r="F61" t="n">
        <v/>
      </c>
      <c r="G61" t="n">
        <v>110322.5508920061</v>
      </c>
      <c r="H61" t="inlineStr"/>
      <c r="I61" t="inlineStr">
        <is>
          <t>"$"#,##0</t>
        </is>
      </c>
      <c r="J61" t="b">
        <v>0</v>
      </c>
      <c r="K61" t="b">
        <v>0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n">
        <v/>
      </c>
      <c r="P61" t="inlineStr">
        <is>
          <t>center</t>
        </is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Loan calculator</t>
        </is>
      </c>
      <c r="B62" t="inlineStr">
        <is>
          <t>A7</t>
        </is>
      </c>
      <c r="C62" t="n">
        <v>7</v>
      </c>
      <c r="D62" t="n">
        <v>1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11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n">
        <v/>
      </c>
      <c r="P62" t="inlineStr">
        <is>
          <t>center</t>
        </is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Loan calculator</t>
        </is>
      </c>
      <c r="B63" t="inlineStr">
        <is>
          <t>B7</t>
        </is>
      </c>
      <c r="C63" t="n">
        <v>7</v>
      </c>
      <c r="D63" t="n">
        <v>2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10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n">
        <v/>
      </c>
      <c r="P63" t="inlineStr">
        <is>
          <t>center</t>
        </is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Loan calculator</t>
        </is>
      </c>
      <c r="B64" t="inlineStr">
        <is>
          <t>C7</t>
        </is>
      </c>
      <c r="C64" t="n">
        <v>7</v>
      </c>
      <c r="D64" t="n">
        <v>3</v>
      </c>
      <c r="E64" t="inlineStr">
        <is>
          <t>Input</t>
        </is>
      </c>
      <c r="F64" t="n">
        <v/>
      </c>
      <c r="G64" t="inlineStr">
        <is>
          <t>Loan period in years</t>
        </is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10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right</t>
        </is>
      </c>
      <c r="P64" t="inlineStr">
        <is>
          <t>center</t>
        </is>
      </c>
      <c r="R64" t="b">
        <v>1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Loan calculator</t>
        </is>
      </c>
      <c r="B65" t="inlineStr">
        <is>
          <t>D7</t>
        </is>
      </c>
      <c r="C65" t="n">
        <v>7</v>
      </c>
      <c r="D65" t="n">
        <v>4</v>
      </c>
      <c r="E65" t="inlineStr">
        <is>
          <t>Input</t>
        </is>
      </c>
      <c r="F65" t="n">
        <v/>
      </c>
      <c r="G65" t="n">
        <v>10</v>
      </c>
      <c r="H65" t="inlineStr"/>
      <c r="I65" t="inlineStr">
        <is>
          <t>#,##0</t>
        </is>
      </c>
      <c r="J65" t="b">
        <v>0</v>
      </c>
      <c r="K65" t="b">
        <v>0</v>
      </c>
      <c r="L65" t="n">
        <v>10</v>
      </c>
      <c r="M65" t="n">
        <v/>
      </c>
      <c r="N65" t="inlineStr">
        <is>
          <t>Values must be of type &lt;class 'str'&gt;</t>
        </is>
      </c>
      <c r="O65" t="inlineStr">
        <is>
          <t>left</t>
        </is>
      </c>
      <c r="P65" t="inlineStr">
        <is>
          <t>center</t>
        </is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Loan calculator</t>
        </is>
      </c>
      <c r="B66" t="inlineStr">
        <is>
          <t>E7</t>
        </is>
      </c>
      <c r="C66" t="n">
        <v>7</v>
      </c>
      <c r="D66" t="n">
        <v>5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11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n">
        <v/>
      </c>
      <c r="P66" t="inlineStr">
        <is>
          <t>center</t>
        </is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Loan calculator</t>
        </is>
      </c>
      <c r="B67" t="inlineStr">
        <is>
          <t>F7</t>
        </is>
      </c>
      <c r="C67" t="n">
        <v>7</v>
      </c>
      <c r="D67" t="n">
        <v>6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M67" t="n">
        <v/>
      </c>
      <c r="N67" t="inlineStr">
        <is>
          <t>Values must be of type &lt;class 'str'&gt;</t>
        </is>
      </c>
      <c r="O67" t="inlineStr">
        <is>
          <t>center</t>
        </is>
      </c>
      <c r="P67" t="n">
        <v/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Loan calculator</t>
        </is>
      </c>
      <c r="B68" t="inlineStr">
        <is>
          <t>G7</t>
        </is>
      </c>
      <c r="C68" t="n">
        <v>7</v>
      </c>
      <c r="D68" t="n">
        <v>7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10</v>
      </c>
      <c r="M68" t="n">
        <v/>
      </c>
      <c r="N68" t="inlineStr">
        <is>
          <t>Values must be of type &lt;class 'str'&gt;</t>
        </is>
      </c>
      <c r="O68" t="inlineStr">
        <is>
          <t>center</t>
        </is>
      </c>
      <c r="P68" t="n">
        <v/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Loan calculator</t>
        </is>
      </c>
      <c r="B69" t="inlineStr">
        <is>
          <t>H7</t>
        </is>
      </c>
      <c r="C69" t="n">
        <v>7</v>
      </c>
      <c r="D69" t="n">
        <v>8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10</v>
      </c>
      <c r="M69" t="n">
        <v/>
      </c>
      <c r="N69" t="inlineStr">
        <is>
          <t>Values must be of type &lt;class 'str'&gt;</t>
        </is>
      </c>
      <c r="O69" t="inlineStr">
        <is>
          <t>center</t>
        </is>
      </c>
      <c r="P69" t="n">
        <v/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Loan calculator</t>
        </is>
      </c>
      <c r="B70" t="inlineStr">
        <is>
          <t>I7</t>
        </is>
      </c>
      <c r="C70" t="n">
        <v>7</v>
      </c>
      <c r="D70" t="n">
        <v>9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11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n">
        <v/>
      </c>
      <c r="P70" t="inlineStr">
        <is>
          <t>center</t>
        </is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Loan calculator</t>
        </is>
      </c>
      <c r="B71" t="inlineStr">
        <is>
          <t>K7</t>
        </is>
      </c>
      <c r="C71" t="n">
        <v>7</v>
      </c>
      <c r="D71" t="n">
        <v>11</v>
      </c>
      <c r="E71" t="inlineStr">
        <is>
          <t>Input</t>
        </is>
      </c>
      <c r="F71" t="n">
        <v/>
      </c>
      <c r="G71" t="inlineStr">
        <is>
          <t>2025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11</v>
      </c>
      <c r="M71" t="inlineStr">
        <is>
          <t>Values must be of type &lt;class 'str'&gt;</t>
        </is>
      </c>
      <c r="N71" t="inlineStr">
        <is>
          <t>00000000</t>
        </is>
      </c>
      <c r="O71" t="inlineStr">
        <is>
          <t>left</t>
        </is>
      </c>
      <c r="P71" t="inlineStr">
        <is>
          <t>center</t>
        </is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Loan calculator</t>
        </is>
      </c>
      <c r="B72" t="inlineStr">
        <is>
          <t>L7</t>
        </is>
      </c>
      <c r="C72" t="n">
        <v>7</v>
      </c>
      <c r="D72" t="n">
        <v>12</v>
      </c>
      <c r="E72" t="inlineStr">
        <is>
          <t>Input</t>
        </is>
      </c>
      <c r="F72" t="n">
        <v/>
      </c>
      <c r="G72" t="n">
        <v>837.7690036578316</v>
      </c>
      <c r="H72" t="inlineStr"/>
      <c r="I72" t="inlineStr">
        <is>
          <t>"$"#,##0</t>
        </is>
      </c>
      <c r="J72" t="b">
        <v>0</v>
      </c>
      <c r="K72" t="b">
        <v>0</v>
      </c>
      <c r="L72" t="n">
        <v>11</v>
      </c>
      <c r="M72" t="inlineStr">
        <is>
          <t>Values must be of type &lt;class 'str'&gt;</t>
        </is>
      </c>
      <c r="N72" t="inlineStr">
        <is>
          <t>00000000</t>
        </is>
      </c>
      <c r="O72" t="n">
        <v/>
      </c>
      <c r="P72" t="inlineStr">
        <is>
          <t>center</t>
        </is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Loan calculator</t>
        </is>
      </c>
      <c r="B73" t="inlineStr">
        <is>
          <t>M7</t>
        </is>
      </c>
      <c r="C73" t="n">
        <v>7</v>
      </c>
      <c r="D73" t="n">
        <v>13</v>
      </c>
      <c r="E73" t="inlineStr">
        <is>
          <t>Input</t>
        </is>
      </c>
      <c r="F73" t="n">
        <v/>
      </c>
      <c r="G73" t="n">
        <v>464.5463318679371</v>
      </c>
      <c r="H73" t="inlineStr"/>
      <c r="I73" t="inlineStr">
        <is>
          <t>"$"#,##0</t>
        </is>
      </c>
      <c r="J73" t="b">
        <v>0</v>
      </c>
      <c r="K73" t="b">
        <v>0</v>
      </c>
      <c r="L73" t="n">
        <v>11</v>
      </c>
      <c r="M73" t="inlineStr">
        <is>
          <t>Values must be of type &lt;class 'str'&gt;</t>
        </is>
      </c>
      <c r="N73" t="inlineStr">
        <is>
          <t>00000000</t>
        </is>
      </c>
      <c r="O73" t="n">
        <v/>
      </c>
      <c r="P73" t="inlineStr">
        <is>
          <t>center</t>
        </is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Loan calculator</t>
        </is>
      </c>
      <c r="B74" t="inlineStr">
        <is>
          <t>N7</t>
        </is>
      </c>
      <c r="C74" t="n">
        <v>7</v>
      </c>
      <c r="D74" t="n">
        <v>14</v>
      </c>
      <c r="E74" t="inlineStr">
        <is>
          <t>Input</t>
        </is>
      </c>
      <c r="F74" t="n">
        <v/>
      </c>
      <c r="G74" t="n">
        <v>100517.794312983</v>
      </c>
      <c r="H74" t="inlineStr"/>
      <c r="I74" t="inlineStr">
        <is>
          <t>"$"#,##0</t>
        </is>
      </c>
      <c r="J74" t="b">
        <v>0</v>
      </c>
      <c r="K74" t="b">
        <v>0</v>
      </c>
      <c r="L74" t="n">
        <v>11</v>
      </c>
      <c r="M74" t="inlineStr">
        <is>
          <t>Values must be of type &lt;class 'str'&gt;</t>
        </is>
      </c>
      <c r="N74" t="inlineStr">
        <is>
          <t>00000000</t>
        </is>
      </c>
      <c r="O74" t="n">
        <v/>
      </c>
      <c r="P74" t="inlineStr">
        <is>
          <t>center</t>
        </is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Loan calculator</t>
        </is>
      </c>
      <c r="B75" t="inlineStr">
        <is>
          <t>A8</t>
        </is>
      </c>
      <c r="C75" t="n">
        <v>8</v>
      </c>
      <c r="D75" t="n">
        <v>1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11</v>
      </c>
      <c r="M75" t="inlineStr">
        <is>
          <t>Values must be of type &lt;class 'str'&gt;</t>
        </is>
      </c>
      <c r="N75" t="inlineStr">
        <is>
          <t>Values must be of type &lt;class 'str'&gt;</t>
        </is>
      </c>
      <c r="O75" t="n">
        <v/>
      </c>
      <c r="P75" t="inlineStr">
        <is>
          <t>center</t>
        </is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Loan calculator</t>
        </is>
      </c>
      <c r="B76" t="inlineStr">
        <is>
          <t>B8</t>
        </is>
      </c>
      <c r="C76" t="n">
        <v>8</v>
      </c>
      <c r="D76" t="n">
        <v>2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n">
        <v/>
      </c>
      <c r="P76" t="inlineStr">
        <is>
          <t>center</t>
        </is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Loan calculator</t>
        </is>
      </c>
      <c r="B77" t="inlineStr">
        <is>
          <t>C8</t>
        </is>
      </c>
      <c r="C77" t="n">
        <v>8</v>
      </c>
      <c r="D77" t="n">
        <v>3</v>
      </c>
      <c r="E77" t="inlineStr">
        <is>
          <t>Input</t>
        </is>
      </c>
      <c r="F77" t="n">
        <v/>
      </c>
      <c r="G77" t="inlineStr">
        <is>
          <t>Start date of loan</t>
        </is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inlineStr">
        <is>
          <t>right</t>
        </is>
      </c>
      <c r="P77" t="inlineStr">
        <is>
          <t>center</t>
        </is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Loan calculator</t>
        </is>
      </c>
      <c r="B78" t="inlineStr">
        <is>
          <t>D8</t>
        </is>
      </c>
      <c r="C78" t="n">
        <v>8</v>
      </c>
      <c r="D78" t="n">
        <v>4</v>
      </c>
      <c r="E78" t="inlineStr">
        <is>
          <t>Output</t>
        </is>
      </c>
      <c r="F78" t="inlineStr">
        <is>
          <t>'=TODAY()</t>
        </is>
      </c>
      <c r="G78" s="1" t="n">
        <v>46086</v>
      </c>
      <c r="H78" t="inlineStr"/>
      <c r="I78" t="inlineStr">
        <is>
          <t>mm-dd-yy</t>
        </is>
      </c>
      <c r="J78" t="b">
        <v>0</v>
      </c>
      <c r="K78" t="b">
        <v>0</v>
      </c>
      <c r="L78" t="n">
        <v>10</v>
      </c>
      <c r="M78" t="n">
        <v/>
      </c>
      <c r="N78" t="inlineStr">
        <is>
          <t>Values must be of type &lt;class 'str'&gt;</t>
        </is>
      </c>
      <c r="O78" t="inlineStr">
        <is>
          <t>left</t>
        </is>
      </c>
      <c r="P78" t="inlineStr">
        <is>
          <t>center</t>
        </is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>
        <f>TODAY()</f>
        <v/>
      </c>
    </row>
    <row r="79">
      <c r="A79" t="inlineStr">
        <is>
          <t>Loan calculator</t>
        </is>
      </c>
      <c r="B79" t="inlineStr">
        <is>
          <t>E8</t>
        </is>
      </c>
      <c r="C79" t="n">
        <v>8</v>
      </c>
      <c r="D79" t="n">
        <v>5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11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n">
        <v/>
      </c>
      <c r="P79" t="inlineStr">
        <is>
          <t>center</t>
        </is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Loan calculator</t>
        </is>
      </c>
      <c r="B80" t="inlineStr">
        <is>
          <t>F8</t>
        </is>
      </c>
      <c r="C80" t="n">
        <v>8</v>
      </c>
      <c r="D80" t="n">
        <v>6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M80" t="n">
        <v/>
      </c>
      <c r="N80" t="inlineStr">
        <is>
          <t>Values must be of type &lt;class 'str'&gt;</t>
        </is>
      </c>
      <c r="O80" t="inlineStr">
        <is>
          <t>center</t>
        </is>
      </c>
      <c r="P80" t="n">
        <v/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Loan calculator</t>
        </is>
      </c>
      <c r="B81" t="inlineStr">
        <is>
          <t>G8</t>
        </is>
      </c>
      <c r="C81" t="n">
        <v>8</v>
      </c>
      <c r="D81" t="n">
        <v>7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10</v>
      </c>
      <c r="M81" t="n">
        <v/>
      </c>
      <c r="N81" t="inlineStr">
        <is>
          <t>Values must be of type &lt;class 'str'&gt;</t>
        </is>
      </c>
      <c r="O81" t="inlineStr">
        <is>
          <t>center</t>
        </is>
      </c>
      <c r="P81" t="n">
        <v/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Loan calculator</t>
        </is>
      </c>
      <c r="B82" t="inlineStr">
        <is>
          <t>H8</t>
        </is>
      </c>
      <c r="C82" t="n">
        <v>8</v>
      </c>
      <c r="D82" t="n">
        <v>8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M82" t="n">
        <v/>
      </c>
      <c r="N82" t="inlineStr">
        <is>
          <t>Values must be of type &lt;class 'str'&gt;</t>
        </is>
      </c>
      <c r="O82" t="inlineStr">
        <is>
          <t>center</t>
        </is>
      </c>
      <c r="P82" t="n">
        <v/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Loan calculator</t>
        </is>
      </c>
      <c r="B83" t="inlineStr">
        <is>
          <t>I8</t>
        </is>
      </c>
      <c r="C83" t="n">
        <v>8</v>
      </c>
      <c r="D83" t="n">
        <v>9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11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n">
        <v/>
      </c>
      <c r="P83" t="inlineStr">
        <is>
          <t>center</t>
        </is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Loan calculator</t>
        </is>
      </c>
      <c r="B84" t="inlineStr">
        <is>
          <t>K8</t>
        </is>
      </c>
      <c r="C84" t="n">
        <v>8</v>
      </c>
      <c r="D84" t="n">
        <v>11</v>
      </c>
      <c r="E84" t="inlineStr">
        <is>
          <t>Input</t>
        </is>
      </c>
      <c r="F84" t="n">
        <v/>
      </c>
      <c r="G84" t="inlineStr">
        <is>
          <t>2026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11</v>
      </c>
      <c r="M84" t="inlineStr">
        <is>
          <t>Values must be of type &lt;class 'str'&gt;</t>
        </is>
      </c>
      <c r="N84" t="inlineStr">
        <is>
          <t>00000000</t>
        </is>
      </c>
      <c r="O84" t="inlineStr">
        <is>
          <t>left</t>
        </is>
      </c>
      <c r="P84" t="inlineStr">
        <is>
          <t>center</t>
        </is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Loan calculator</t>
        </is>
      </c>
      <c r="B85" t="inlineStr">
        <is>
          <t>L8</t>
        </is>
      </c>
      <c r="C85" t="n">
        <v>8</v>
      </c>
      <c r="D85" t="n">
        <v>12</v>
      </c>
      <c r="E85" t="inlineStr">
        <is>
          <t>Input</t>
        </is>
      </c>
      <c r="F85" t="n">
        <v/>
      </c>
      <c r="G85" t="n">
        <v>885.0257606514916</v>
      </c>
      <c r="H85" t="inlineStr"/>
      <c r="I85" t="inlineStr">
        <is>
          <t>"$"#,##0</t>
        </is>
      </c>
      <c r="J85" t="b">
        <v>0</v>
      </c>
      <c r="K85" t="b">
        <v>0</v>
      </c>
      <c r="L85" t="n">
        <v>11</v>
      </c>
      <c r="M85" t="inlineStr">
        <is>
          <t>Values must be of type &lt;class 'str'&gt;</t>
        </is>
      </c>
      <c r="N85" t="inlineStr">
        <is>
          <t>00000000</t>
        </is>
      </c>
      <c r="O85" t="n">
        <v/>
      </c>
      <c r="P85" t="inlineStr">
        <is>
          <t>center</t>
        </is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Loan calculator</t>
        </is>
      </c>
      <c r="B86" t="inlineStr">
        <is>
          <t>M8</t>
        </is>
      </c>
      <c r="C86" t="n">
        <v>8</v>
      </c>
      <c r="D86" t="n">
        <v>13</v>
      </c>
      <c r="E86" t="inlineStr">
        <is>
          <t>Input</t>
        </is>
      </c>
      <c r="F86" t="n">
        <v/>
      </c>
      <c r="G86" t="n">
        <v>417.289574874277</v>
      </c>
      <c r="H86" t="inlineStr"/>
      <c r="I86" t="inlineStr">
        <is>
          <t>"$"#,##0</t>
        </is>
      </c>
      <c r="J86" t="b">
        <v>0</v>
      </c>
      <c r="K86" t="b">
        <v>0</v>
      </c>
      <c r="L86" t="n">
        <v>11</v>
      </c>
      <c r="M86" t="inlineStr">
        <is>
          <t>Values must be of type &lt;class 'str'&gt;</t>
        </is>
      </c>
      <c r="N86" t="inlineStr">
        <is>
          <t>00000000</t>
        </is>
      </c>
      <c r="O86" t="n">
        <v/>
      </c>
      <c r="P86" t="inlineStr">
        <is>
          <t>center</t>
        </is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Loan calculator</t>
        </is>
      </c>
      <c r="B87" t="inlineStr">
        <is>
          <t>N8</t>
        </is>
      </c>
      <c r="C87" t="n">
        <v>8</v>
      </c>
      <c r="D87" t="n">
        <v>14</v>
      </c>
      <c r="E87" t="inlineStr">
        <is>
          <t>Input</t>
        </is>
      </c>
      <c r="F87" t="n">
        <v/>
      </c>
      <c r="G87" t="n">
        <v>90159.97239373617</v>
      </c>
      <c r="H87" t="inlineStr"/>
      <c r="I87" t="inlineStr">
        <is>
          <t>"$"#,##0</t>
        </is>
      </c>
      <c r="J87" t="b">
        <v>0</v>
      </c>
      <c r="K87" t="b">
        <v>0</v>
      </c>
      <c r="L87" t="n">
        <v>11</v>
      </c>
      <c r="M87" t="inlineStr">
        <is>
          <t>Values must be of type &lt;class 'str'&gt;</t>
        </is>
      </c>
      <c r="N87" t="inlineStr">
        <is>
          <t>00000000</t>
        </is>
      </c>
      <c r="O87" t="n">
        <v/>
      </c>
      <c r="P87" t="inlineStr">
        <is>
          <t>center</t>
        </is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Loan calculator</t>
        </is>
      </c>
      <c r="B88" t="inlineStr">
        <is>
          <t>A9</t>
        </is>
      </c>
      <c r="C88" t="n">
        <v>9</v>
      </c>
      <c r="D88" t="n">
        <v>1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11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n">
        <v/>
      </c>
      <c r="P88" t="inlineStr">
        <is>
          <t>center</t>
        </is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Loan calculator</t>
        </is>
      </c>
      <c r="B89" t="inlineStr">
        <is>
          <t>B9</t>
        </is>
      </c>
      <c r="C89" t="n">
        <v>9</v>
      </c>
      <c r="D89" t="n">
        <v>2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11</v>
      </c>
      <c r="M89" t="inlineStr">
        <is>
          <t>Values must be of type &lt;class 'str'&gt;</t>
        </is>
      </c>
      <c r="N89" t="inlineStr">
        <is>
          <t>Values must be of type &lt;class 'str'&gt;</t>
        </is>
      </c>
      <c r="O89" t="inlineStr">
        <is>
          <t>center</t>
        </is>
      </c>
      <c r="P89" t="inlineStr">
        <is>
          <t>center</t>
        </is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Loan calculator</t>
        </is>
      </c>
      <c r="B90" t="inlineStr">
        <is>
          <t>C9</t>
        </is>
      </c>
      <c r="C90" t="n">
        <v>9</v>
      </c>
      <c r="D90" t="n">
        <v>3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11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n">
        <v/>
      </c>
      <c r="P90" t="inlineStr">
        <is>
          <t>center</t>
        </is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Loan calculator</t>
        </is>
      </c>
      <c r="B91" t="inlineStr">
        <is>
          <t>D9</t>
        </is>
      </c>
      <c r="C91" t="n">
        <v>9</v>
      </c>
      <c r="D91" t="n">
        <v>4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11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n">
        <v/>
      </c>
      <c r="P91" t="inlineStr">
        <is>
          <t>center</t>
        </is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Loan calculator</t>
        </is>
      </c>
      <c r="B92" t="inlineStr">
        <is>
          <t>E9</t>
        </is>
      </c>
      <c r="C92" t="n">
        <v>9</v>
      </c>
      <c r="D92" t="n">
        <v>5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11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n">
        <v/>
      </c>
      <c r="P92" t="inlineStr">
        <is>
          <t>center</t>
        </is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Loan calculator</t>
        </is>
      </c>
      <c r="B93" t="inlineStr">
        <is>
          <t>F9</t>
        </is>
      </c>
      <c r="C93" t="n">
        <v>9</v>
      </c>
      <c r="D93" t="n">
        <v>6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11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n">
        <v/>
      </c>
      <c r="P93" t="inlineStr">
        <is>
          <t>center</t>
        </is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Loan calculator</t>
        </is>
      </c>
      <c r="B94" t="inlineStr">
        <is>
          <t>G9</t>
        </is>
      </c>
      <c r="C94" t="n">
        <v>9</v>
      </c>
      <c r="D94" t="n">
        <v>7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11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n">
        <v/>
      </c>
      <c r="P94" t="inlineStr">
        <is>
          <t>center</t>
        </is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Loan calculator</t>
        </is>
      </c>
      <c r="B95" t="inlineStr">
        <is>
          <t>H9</t>
        </is>
      </c>
      <c r="C95" t="n">
        <v>9</v>
      </c>
      <c r="D95" t="n">
        <v>8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11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n">
        <v/>
      </c>
      <c r="P95" t="inlineStr">
        <is>
          <t>center</t>
        </is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Loan calculator</t>
        </is>
      </c>
      <c r="B96" t="inlineStr">
        <is>
          <t>I9</t>
        </is>
      </c>
      <c r="C96" t="n">
        <v>9</v>
      </c>
      <c r="D96" t="n">
        <v>9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11</v>
      </c>
      <c r="M96" t="inlineStr">
        <is>
          <t>Values must be of type &lt;class 'str'&gt;</t>
        </is>
      </c>
      <c r="N96" t="inlineStr">
        <is>
          <t>Values must be of type &lt;class 'str'&gt;</t>
        </is>
      </c>
      <c r="O96" t="n">
        <v/>
      </c>
      <c r="P96" t="inlineStr">
        <is>
          <t>center</t>
        </is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Loan calculator</t>
        </is>
      </c>
      <c r="B97" t="inlineStr">
        <is>
          <t>K9</t>
        </is>
      </c>
      <c r="C97" t="n">
        <v>9</v>
      </c>
      <c r="D97" t="n">
        <v>11</v>
      </c>
      <c r="E97" t="inlineStr">
        <is>
          <t>Input</t>
        </is>
      </c>
      <c r="F97" t="n">
        <v/>
      </c>
      <c r="G97" t="inlineStr">
        <is>
          <t>2027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11</v>
      </c>
      <c r="M97" t="inlineStr">
        <is>
          <t>Values must be of type &lt;class 'str'&gt;</t>
        </is>
      </c>
      <c r="N97" t="inlineStr">
        <is>
          <t>00000000</t>
        </is>
      </c>
      <c r="O97" t="inlineStr">
        <is>
          <t>left</t>
        </is>
      </c>
      <c r="P97" t="inlineStr">
        <is>
          <t>center</t>
        </is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Loan calculator</t>
        </is>
      </c>
      <c r="B98" t="inlineStr">
        <is>
          <t>L9</t>
        </is>
      </c>
      <c r="C98" t="n">
        <v>9</v>
      </c>
      <c r="D98" t="n">
        <v>12</v>
      </c>
      <c r="E98" t="inlineStr">
        <is>
          <t>Input</t>
        </is>
      </c>
      <c r="F98" t="n">
        <v/>
      </c>
      <c r="G98" t="n">
        <v>934.9481701959232</v>
      </c>
      <c r="H98" t="inlineStr"/>
      <c r="I98" t="inlineStr">
        <is>
          <t>"$"#,##0</t>
        </is>
      </c>
      <c r="J98" t="b">
        <v>0</v>
      </c>
      <c r="K98" t="b">
        <v>0</v>
      </c>
      <c r="L98" t="n">
        <v>11</v>
      </c>
      <c r="M98" t="inlineStr">
        <is>
          <t>Values must be of type &lt;class 'str'&gt;</t>
        </is>
      </c>
      <c r="N98" t="inlineStr">
        <is>
          <t>00000000</t>
        </is>
      </c>
      <c r="O98" t="n">
        <v/>
      </c>
      <c r="P98" t="inlineStr">
        <is>
          <t>center</t>
        </is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Loan calculator</t>
        </is>
      </c>
      <c r="B99" t="inlineStr">
        <is>
          <t>M9</t>
        </is>
      </c>
      <c r="C99" t="n">
        <v>9</v>
      </c>
      <c r="D99" t="n">
        <v>13</v>
      </c>
      <c r="E99" t="inlineStr">
        <is>
          <t>Input</t>
        </is>
      </c>
      <c r="F99" t="n">
        <v/>
      </c>
      <c r="G99" t="n">
        <v>367.3671653298454</v>
      </c>
      <c r="H99" t="inlineStr"/>
      <c r="I99" t="inlineStr">
        <is>
          <t>"$"#,##0</t>
        </is>
      </c>
      <c r="J99" t="b">
        <v>0</v>
      </c>
      <c r="K99" t="b">
        <v>0</v>
      </c>
      <c r="L99" t="n">
        <v>11</v>
      </c>
      <c r="M99" t="inlineStr">
        <is>
          <t>Values must be of type &lt;class 'str'&gt;</t>
        </is>
      </c>
      <c r="N99" t="inlineStr">
        <is>
          <t>00000000</t>
        </is>
      </c>
      <c r="O99" t="n">
        <v/>
      </c>
      <c r="P99" t="inlineStr">
        <is>
          <t>center</t>
        </is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Loan calculator</t>
        </is>
      </c>
      <c r="B100" t="inlineStr">
        <is>
          <t>N9</t>
        </is>
      </c>
      <c r="C100" t="n">
        <v>9</v>
      </c>
      <c r="D100" t="n">
        <v>14</v>
      </c>
      <c r="E100" t="inlineStr">
        <is>
          <t>Input</t>
        </is>
      </c>
      <c r="F100" t="n">
        <v/>
      </c>
      <c r="G100" t="n">
        <v>79217.88790177029</v>
      </c>
      <c r="H100" t="inlineStr"/>
      <c r="I100" t="inlineStr">
        <is>
          <t>"$"#,##0</t>
        </is>
      </c>
      <c r="J100" t="b">
        <v>0</v>
      </c>
      <c r="K100" t="b">
        <v>0</v>
      </c>
      <c r="L100" t="n">
        <v>11</v>
      </c>
      <c r="M100" t="inlineStr">
        <is>
          <t>Values must be of type &lt;class 'str'&gt;</t>
        </is>
      </c>
      <c r="N100" t="inlineStr">
        <is>
          <t>00000000</t>
        </is>
      </c>
      <c r="O100" t="n">
        <v/>
      </c>
      <c r="P100" t="inlineStr">
        <is>
          <t>center</t>
        </is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Loan calculator</t>
        </is>
      </c>
      <c r="B101" t="inlineStr">
        <is>
          <t>A10</t>
        </is>
      </c>
      <c r="C101" t="n">
        <v>10</v>
      </c>
      <c r="D101" t="n">
        <v>1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11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n">
        <v/>
      </c>
      <c r="P101" t="inlineStr">
        <is>
          <t>center</t>
        </is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Loan calculator</t>
        </is>
      </c>
      <c r="B102" t="inlineStr">
        <is>
          <t>B10</t>
        </is>
      </c>
      <c r="C102" t="n">
        <v>10</v>
      </c>
      <c r="D102" t="n">
        <v>2</v>
      </c>
      <c r="E102" t="inlineStr">
        <is>
          <t>Input</t>
        </is>
      </c>
      <c r="F102" t="n">
        <v/>
      </c>
      <c r="G102" t="inlineStr">
        <is>
          <t>Loan summary</t>
        </is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10</v>
      </c>
      <c r="M102" t="n">
        <v/>
      </c>
      <c r="N102" t="inlineStr">
        <is>
          <t>Values must be of type &lt;class 'str'&gt;</t>
        </is>
      </c>
      <c r="O102" t="inlineStr">
        <is>
          <t>center</t>
        </is>
      </c>
      <c r="P102" t="inlineStr">
        <is>
          <t>center</t>
        </is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Loan calculator</t>
        </is>
      </c>
      <c r="B103" t="inlineStr">
        <is>
          <t>E10</t>
        </is>
      </c>
      <c r="C103" t="n">
        <v>10</v>
      </c>
      <c r="D103" t="n">
        <v>5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11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n">
        <v/>
      </c>
      <c r="P103" t="inlineStr">
        <is>
          <t>center</t>
        </is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Loan calculator</t>
        </is>
      </c>
      <c r="B104" t="inlineStr">
        <is>
          <t>F10</t>
        </is>
      </c>
      <c r="C104" t="n">
        <v>10</v>
      </c>
      <c r="D104" t="n">
        <v>6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11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n">
        <v/>
      </c>
      <c r="P104" t="inlineStr">
        <is>
          <t>center</t>
        </is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Loan calculator</t>
        </is>
      </c>
      <c r="B105" t="inlineStr">
        <is>
          <t>G10</t>
        </is>
      </c>
      <c r="C105" t="n">
        <v>10</v>
      </c>
      <c r="D105" t="n">
        <v>7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11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n">
        <v/>
      </c>
      <c r="P105" t="inlineStr">
        <is>
          <t>center</t>
        </is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Loan calculator</t>
        </is>
      </c>
      <c r="B106" t="inlineStr">
        <is>
          <t>H10</t>
        </is>
      </c>
      <c r="C106" t="n">
        <v>10</v>
      </c>
      <c r="D106" t="n">
        <v>8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11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n">
        <v/>
      </c>
      <c r="P106" t="inlineStr">
        <is>
          <t>center</t>
        </is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Loan calculator</t>
        </is>
      </c>
      <c r="B107" t="inlineStr">
        <is>
          <t>I10</t>
        </is>
      </c>
      <c r="C107" t="n">
        <v>10</v>
      </c>
      <c r="D107" t="n">
        <v>9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11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n">
        <v/>
      </c>
      <c r="P107" t="inlineStr">
        <is>
          <t>center</t>
        </is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Loan calculator</t>
        </is>
      </c>
      <c r="B108" t="inlineStr">
        <is>
          <t>K10</t>
        </is>
      </c>
      <c r="C108" t="n">
        <v>10</v>
      </c>
      <c r="D108" t="n">
        <v>11</v>
      </c>
      <c r="E108" t="inlineStr">
        <is>
          <t>Input</t>
        </is>
      </c>
      <c r="F108" t="n">
        <v/>
      </c>
      <c r="G108" t="inlineStr">
        <is>
          <t>2028</t>
        </is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11</v>
      </c>
      <c r="M108" t="inlineStr">
        <is>
          <t>Values must be of type &lt;class 'str'&gt;</t>
        </is>
      </c>
      <c r="N108" t="inlineStr">
        <is>
          <t>00000000</t>
        </is>
      </c>
      <c r="O108" t="inlineStr">
        <is>
          <t>left</t>
        </is>
      </c>
      <c r="P108" t="inlineStr">
        <is>
          <t>center</t>
        </is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Loan calculator</t>
        </is>
      </c>
      <c r="B109" t="inlineStr">
        <is>
          <t>L10</t>
        </is>
      </c>
      <c r="C109" t="n">
        <v>10</v>
      </c>
      <c r="D109" t="n">
        <v>12</v>
      </c>
      <c r="E109" t="inlineStr">
        <is>
          <t>Input</t>
        </is>
      </c>
      <c r="F109" t="n">
        <v/>
      </c>
      <c r="G109" t="n">
        <v>987.6865960480466</v>
      </c>
      <c r="H109" t="inlineStr"/>
      <c r="I109" t="inlineStr">
        <is>
          <t>"$"#,##0</t>
        </is>
      </c>
      <c r="J109" t="b">
        <v>0</v>
      </c>
      <c r="K109" t="b">
        <v>0</v>
      </c>
      <c r="L109" t="n">
        <v>11</v>
      </c>
      <c r="M109" t="inlineStr">
        <is>
          <t>Values must be of type &lt;class 'str'&gt;</t>
        </is>
      </c>
      <c r="N109" t="inlineStr">
        <is>
          <t>00000000</t>
        </is>
      </c>
      <c r="O109" t="n">
        <v/>
      </c>
      <c r="P109" t="inlineStr">
        <is>
          <t>center</t>
        </is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Loan calculator</t>
        </is>
      </c>
      <c r="B110" t="inlineStr">
        <is>
          <t>M10</t>
        </is>
      </c>
      <c r="C110" t="n">
        <v>10</v>
      </c>
      <c r="D110" t="n">
        <v>13</v>
      </c>
      <c r="E110" t="inlineStr">
        <is>
          <t>Input</t>
        </is>
      </c>
      <c r="F110" t="n">
        <v/>
      </c>
      <c r="G110" t="n">
        <v>314.628739477722</v>
      </c>
      <c r="H110" t="inlineStr"/>
      <c r="I110" t="inlineStr">
        <is>
          <t>"$"#,##0</t>
        </is>
      </c>
      <c r="J110" t="b">
        <v>0</v>
      </c>
      <c r="K110" t="b">
        <v>0</v>
      </c>
      <c r="L110" t="n">
        <v>11</v>
      </c>
      <c r="M110" t="inlineStr">
        <is>
          <t>Values must be of type &lt;class 'str'&gt;</t>
        </is>
      </c>
      <c r="N110" t="inlineStr">
        <is>
          <t>00000000</t>
        </is>
      </c>
      <c r="O110" t="n">
        <v/>
      </c>
      <c r="P110" t="inlineStr">
        <is>
          <t>center</t>
        </is>
      </c>
      <c r="R110" t="b">
        <v>1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Loan calculator</t>
        </is>
      </c>
      <c r="B111" t="inlineStr">
        <is>
          <t>N10</t>
        </is>
      </c>
      <c r="C111" t="n">
        <v>10</v>
      </c>
      <c r="D111" t="n">
        <v>14</v>
      </c>
      <c r="E111" t="inlineStr">
        <is>
          <t>Input</t>
        </is>
      </c>
      <c r="F111" t="n">
        <v/>
      </c>
      <c r="G111" t="n">
        <v>67658.58383545486</v>
      </c>
      <c r="H111" t="inlineStr"/>
      <c r="I111" t="inlineStr">
        <is>
          <t>"$"#,##0</t>
        </is>
      </c>
      <c r="J111" t="b">
        <v>0</v>
      </c>
      <c r="K111" t="b">
        <v>0</v>
      </c>
      <c r="L111" t="n">
        <v>11</v>
      </c>
      <c r="M111" t="inlineStr">
        <is>
          <t>Values must be of type &lt;class 'str'&gt;</t>
        </is>
      </c>
      <c r="N111" t="inlineStr">
        <is>
          <t>00000000</t>
        </is>
      </c>
      <c r="O111" t="n">
        <v/>
      </c>
      <c r="P111" t="inlineStr">
        <is>
          <t>center</t>
        </is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Loan calculator</t>
        </is>
      </c>
      <c r="B112" t="inlineStr">
        <is>
          <t>A11</t>
        </is>
      </c>
      <c r="C112" t="n">
        <v>11</v>
      </c>
      <c r="D112" t="n">
        <v>1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11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n">
        <v/>
      </c>
      <c r="P112" t="inlineStr">
        <is>
          <t>center</t>
        </is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Loan calculator</t>
        </is>
      </c>
      <c r="B113" t="inlineStr">
        <is>
          <t>B11</t>
        </is>
      </c>
      <c r="C113" t="n">
        <v>11</v>
      </c>
      <c r="D113" t="n">
        <v>2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n">
        <v/>
      </c>
      <c r="P113" t="inlineStr">
        <is>
          <t>center</t>
        </is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Loan calculator</t>
        </is>
      </c>
      <c r="B114" t="inlineStr">
        <is>
          <t>C11</t>
        </is>
      </c>
      <c r="C114" t="n">
        <v>11</v>
      </c>
      <c r="D114" t="n">
        <v>3</v>
      </c>
      <c r="E114" t="inlineStr">
        <is>
          <t>Input</t>
        </is>
      </c>
      <c r="F114" t="n">
        <v/>
      </c>
      <c r="G114" t="inlineStr">
        <is>
          <t>Monthly payment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10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right</t>
        </is>
      </c>
      <c r="P114" t="inlineStr">
        <is>
          <t>center</t>
        </is>
      </c>
      <c r="R114" t="b">
        <v>1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Loan calculator</t>
        </is>
      </c>
      <c r="B115" t="inlineStr">
        <is>
          <t>D11</t>
        </is>
      </c>
      <c r="C115" t="n">
        <v>11</v>
      </c>
      <c r="D115" t="n">
        <v>4</v>
      </c>
      <c r="E115" t="inlineStr">
        <is>
          <t>Output</t>
        </is>
      </c>
      <c r="F115" t="inlineStr">
        <is>
          <t>'=IFERROR(IF(LoanIsGood,MonthlyPayment,""), "")</t>
        </is>
      </c>
      <c r="G115" t="n">
        <v>108.5262779604807</v>
      </c>
      <c r="H115" t="inlineStr"/>
      <c r="I115" t="inlineStr">
        <is>
          <t>"$"#,##0.00</t>
        </is>
      </c>
      <c r="J115" t="b">
        <v>0</v>
      </c>
      <c r="K115" t="b">
        <v>0</v>
      </c>
      <c r="L115" t="n">
        <v>10</v>
      </c>
      <c r="M115" t="n">
        <v/>
      </c>
      <c r="N115" t="inlineStr">
        <is>
          <t>Values must be of type &lt;class 'str'&gt;</t>
        </is>
      </c>
      <c r="O115" t="inlineStr">
        <is>
          <t>left</t>
        </is>
      </c>
      <c r="P115" t="inlineStr">
        <is>
          <t>center</t>
        </is>
      </c>
      <c r="R115" t="b">
        <v>1</v>
      </c>
      <c r="S115" t="n">
        <v/>
      </c>
      <c r="T115" t="n">
        <v/>
      </c>
      <c r="U115" t="n">
        <v/>
      </c>
      <c r="V115" t="b">
        <v>0</v>
      </c>
      <c r="W115" t="inlineStr"/>
      <c r="X115">
        <f>IFERROR(IF(LoanIsGood,MonthlyPayment,""), "")</f>
        <v/>
      </c>
    </row>
    <row r="116">
      <c r="A116" t="inlineStr">
        <is>
          <t>Loan calculator</t>
        </is>
      </c>
      <c r="B116" t="inlineStr">
        <is>
          <t>E11</t>
        </is>
      </c>
      <c r="C116" t="n">
        <v>11</v>
      </c>
      <c r="D116" t="n">
        <v>5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11</v>
      </c>
      <c r="M116" t="inlineStr">
        <is>
          <t>Values must be of type &lt;class 'str'&gt;</t>
        </is>
      </c>
      <c r="N116" t="inlineStr">
        <is>
          <t>Values must be of type &lt;class 'str'&gt;</t>
        </is>
      </c>
      <c r="O116" t="n">
        <v/>
      </c>
      <c r="P116" t="inlineStr">
        <is>
          <t>center</t>
        </is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Loan calculator</t>
        </is>
      </c>
      <c r="B117" t="inlineStr">
        <is>
          <t>F11</t>
        </is>
      </c>
      <c r="C117" t="n">
        <v>11</v>
      </c>
      <c r="D117" t="n">
        <v>6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11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n">
        <v/>
      </c>
      <c r="P117" t="inlineStr">
        <is>
          <t>center</t>
        </is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Loan calculator</t>
        </is>
      </c>
      <c r="B118" t="inlineStr">
        <is>
          <t>G11</t>
        </is>
      </c>
      <c r="C118" t="n">
        <v>11</v>
      </c>
      <c r="D118" t="n">
        <v>7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11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n">
        <v/>
      </c>
      <c r="P118" t="inlineStr">
        <is>
          <t>center</t>
        </is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Loan calculator</t>
        </is>
      </c>
      <c r="B119" t="inlineStr">
        <is>
          <t>H11</t>
        </is>
      </c>
      <c r="C119" t="n">
        <v>11</v>
      </c>
      <c r="D119" t="n">
        <v>8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11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n">
        <v/>
      </c>
      <c r="P119" t="inlineStr">
        <is>
          <t>center</t>
        </is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Loan calculator</t>
        </is>
      </c>
      <c r="B120" t="inlineStr">
        <is>
          <t>I11</t>
        </is>
      </c>
      <c r="C120" t="n">
        <v>11</v>
      </c>
      <c r="D120" t="n">
        <v>9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11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n">
        <v/>
      </c>
      <c r="P120" t="inlineStr">
        <is>
          <t>center</t>
        </is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Loan calculator</t>
        </is>
      </c>
      <c r="B121" t="inlineStr">
        <is>
          <t>K11</t>
        </is>
      </c>
      <c r="C121" t="n">
        <v>11</v>
      </c>
      <c r="D121" t="n">
        <v>11</v>
      </c>
      <c r="E121" t="inlineStr">
        <is>
          <t>Input</t>
        </is>
      </c>
      <c r="F121" t="n">
        <v/>
      </c>
      <c r="G121" t="inlineStr">
        <is>
          <t>2029</t>
        </is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11</v>
      </c>
      <c r="M121" t="inlineStr">
        <is>
          <t>Values must be of type &lt;class 'str'&gt;</t>
        </is>
      </c>
      <c r="N121" t="inlineStr">
        <is>
          <t>00000000</t>
        </is>
      </c>
      <c r="O121" t="inlineStr">
        <is>
          <t>left</t>
        </is>
      </c>
      <c r="P121" t="inlineStr">
        <is>
          <t>center</t>
        </is>
      </c>
      <c r="R121" t="b">
        <v>1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Loan calculator</t>
        </is>
      </c>
      <c r="B122" t="inlineStr">
        <is>
          <t>L11</t>
        </is>
      </c>
      <c r="C122" t="n">
        <v>11</v>
      </c>
      <c r="D122" t="n">
        <v>12</v>
      </c>
      <c r="E122" t="inlineStr">
        <is>
          <t>Input</t>
        </is>
      </c>
      <c r="F122" t="n">
        <v/>
      </c>
      <c r="G122" t="n">
        <v>1043.399883662589</v>
      </c>
      <c r="H122" t="inlineStr"/>
      <c r="I122" t="inlineStr">
        <is>
          <t>"$"#,##0</t>
        </is>
      </c>
      <c r="J122" t="b">
        <v>0</v>
      </c>
      <c r="K122" t="b">
        <v>0</v>
      </c>
      <c r="L122" t="n">
        <v>11</v>
      </c>
      <c r="M122" t="inlineStr">
        <is>
          <t>Values must be of type &lt;class 'str'&gt;</t>
        </is>
      </c>
      <c r="N122" t="inlineStr">
        <is>
          <t>00000000</t>
        </is>
      </c>
      <c r="O122" t="n">
        <v/>
      </c>
      <c r="P122" t="inlineStr">
        <is>
          <t>center</t>
        </is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Loan calculator</t>
        </is>
      </c>
      <c r="B123" t="inlineStr">
        <is>
          <t>M11</t>
        </is>
      </c>
      <c r="C123" t="n">
        <v>11</v>
      </c>
      <c r="D123" t="n">
        <v>13</v>
      </c>
      <c r="E123" t="inlineStr">
        <is>
          <t>Input</t>
        </is>
      </c>
      <c r="F123" t="n">
        <v/>
      </c>
      <c r="G123" t="n">
        <v>258.9154518631792</v>
      </c>
      <c r="H123" t="inlineStr"/>
      <c r="I123" t="inlineStr">
        <is>
          <t>"$"#,##0</t>
        </is>
      </c>
      <c r="J123" t="b">
        <v>0</v>
      </c>
      <c r="K123" t="b">
        <v>0</v>
      </c>
      <c r="L123" t="n">
        <v>11</v>
      </c>
      <c r="M123" t="inlineStr">
        <is>
          <t>Values must be of type &lt;class 'str'&gt;</t>
        </is>
      </c>
      <c r="N123" t="inlineStr">
        <is>
          <t>00000000</t>
        </is>
      </c>
      <c r="O123" t="n">
        <v/>
      </c>
      <c r="P123" t="inlineStr">
        <is>
          <t>center</t>
        </is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Loan calculator</t>
        </is>
      </c>
      <c r="B124" t="inlineStr">
        <is>
          <t>N11</t>
        </is>
      </c>
      <c r="C124" t="n">
        <v>11</v>
      </c>
      <c r="D124" t="n">
        <v>14</v>
      </c>
      <c r="E124" t="inlineStr">
        <is>
          <t>Input</t>
        </is>
      </c>
      <c r="F124" t="n">
        <v/>
      </c>
      <c r="G124" t="n">
        <v>55447.24415921272</v>
      </c>
      <c r="H124" t="inlineStr"/>
      <c r="I124" t="inlineStr">
        <is>
          <t>"$"#,##0</t>
        </is>
      </c>
      <c r="J124" t="b">
        <v>0</v>
      </c>
      <c r="K124" t="b">
        <v>0</v>
      </c>
      <c r="L124" t="n">
        <v>11</v>
      </c>
      <c r="M124" t="inlineStr">
        <is>
          <t>Values must be of type &lt;class 'str'&gt;</t>
        </is>
      </c>
      <c r="N124" t="inlineStr">
        <is>
          <t>00000000</t>
        </is>
      </c>
      <c r="O124" t="n">
        <v/>
      </c>
      <c r="P124" t="inlineStr">
        <is>
          <t>center</t>
        </is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Loan calculator</t>
        </is>
      </c>
      <c r="B125" t="inlineStr">
        <is>
          <t>A12</t>
        </is>
      </c>
      <c r="C125" t="n">
        <v>12</v>
      </c>
      <c r="D125" t="n">
        <v>1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11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n">
        <v/>
      </c>
      <c r="P125" t="inlineStr">
        <is>
          <t>center</t>
        </is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Loan calculator</t>
        </is>
      </c>
      <c r="B126" t="inlineStr">
        <is>
          <t>B12</t>
        </is>
      </c>
      <c r="C126" t="n">
        <v>12</v>
      </c>
      <c r="D126" t="n">
        <v>2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10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n">
        <v/>
      </c>
      <c r="P126" t="inlineStr">
        <is>
          <t>center</t>
        </is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Loan calculator</t>
        </is>
      </c>
      <c r="B127" t="inlineStr">
        <is>
          <t>C12</t>
        </is>
      </c>
      <c r="C127" t="n">
        <v>12</v>
      </c>
      <c r="D127" t="n">
        <v>3</v>
      </c>
      <c r="E127" t="inlineStr">
        <is>
          <t>Input</t>
        </is>
      </c>
      <c r="F127" t="n">
        <v/>
      </c>
      <c r="G127" t="inlineStr">
        <is>
          <t>Number of payments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10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right</t>
        </is>
      </c>
      <c r="P127" t="inlineStr">
        <is>
          <t>center</t>
        </is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Loan calculator</t>
        </is>
      </c>
      <c r="B128" t="inlineStr">
        <is>
          <t>D12</t>
        </is>
      </c>
      <c r="C128" t="n">
        <v>12</v>
      </c>
      <c r="D128" t="n">
        <v>4</v>
      </c>
      <c r="E128" t="inlineStr">
        <is>
          <t>Output</t>
        </is>
      </c>
      <c r="F128" t="inlineStr">
        <is>
          <t>'=IFERROR(IF(LoanIsGood,LoanYears*12,""), "")</t>
        </is>
      </c>
      <c r="G128" t="n">
        <v>120</v>
      </c>
      <c r="H128" t="inlineStr"/>
      <c r="I128" t="inlineStr">
        <is>
          <t>#,##0</t>
        </is>
      </c>
      <c r="J128" t="b">
        <v>0</v>
      </c>
      <c r="K128" t="b">
        <v>0</v>
      </c>
      <c r="L128" t="n">
        <v>10</v>
      </c>
      <c r="M128" t="n">
        <v/>
      </c>
      <c r="N128" t="inlineStr">
        <is>
          <t>Values must be of type &lt;class 'str'&gt;</t>
        </is>
      </c>
      <c r="O128" t="inlineStr">
        <is>
          <t>left</t>
        </is>
      </c>
      <c r="P128" t="inlineStr">
        <is>
          <t>center</t>
        </is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>
        <f>IFERROR(IF(LoanIsGood,LoanYears*12,""), "")</f>
        <v/>
      </c>
    </row>
    <row r="129">
      <c r="A129" t="inlineStr">
        <is>
          <t>Loan calculator</t>
        </is>
      </c>
      <c r="B129" t="inlineStr">
        <is>
          <t>E12</t>
        </is>
      </c>
      <c r="C129" t="n">
        <v>12</v>
      </c>
      <c r="D129" t="n">
        <v>5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11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n">
        <v/>
      </c>
      <c r="P129" t="inlineStr">
        <is>
          <t>center</t>
        </is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Loan calculator</t>
        </is>
      </c>
      <c r="B130" t="inlineStr">
        <is>
          <t>F12</t>
        </is>
      </c>
      <c r="C130" t="n">
        <v>12</v>
      </c>
      <c r="D130" t="n">
        <v>6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11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n">
        <v/>
      </c>
      <c r="P130" t="inlineStr">
        <is>
          <t>center</t>
        </is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Loan calculator</t>
        </is>
      </c>
      <c r="B131" t="inlineStr">
        <is>
          <t>G12</t>
        </is>
      </c>
      <c r="C131" t="n">
        <v>12</v>
      </c>
      <c r="D131" t="n">
        <v>7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11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n">
        <v/>
      </c>
      <c r="P131" t="inlineStr">
        <is>
          <t>center</t>
        </is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Loan calculator</t>
        </is>
      </c>
      <c r="B132" t="inlineStr">
        <is>
          <t>H12</t>
        </is>
      </c>
      <c r="C132" t="n">
        <v>12</v>
      </c>
      <c r="D132" t="n">
        <v>8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11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n">
        <v/>
      </c>
      <c r="P132" t="inlineStr">
        <is>
          <t>center</t>
        </is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Loan calculator</t>
        </is>
      </c>
      <c r="B133" t="inlineStr">
        <is>
          <t>I12</t>
        </is>
      </c>
      <c r="C133" t="n">
        <v>12</v>
      </c>
      <c r="D133" t="n">
        <v>9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11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n">
        <v/>
      </c>
      <c r="P133" t="inlineStr">
        <is>
          <t>center</t>
        </is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Loan calculator</t>
        </is>
      </c>
      <c r="B134" t="inlineStr">
        <is>
          <t>K12</t>
        </is>
      </c>
      <c r="C134" t="n">
        <v>12</v>
      </c>
      <c r="D134" t="n">
        <v>11</v>
      </c>
      <c r="E134" t="inlineStr">
        <is>
          <t>Input</t>
        </is>
      </c>
      <c r="F134" t="n">
        <v/>
      </c>
      <c r="G134" t="inlineStr">
        <is>
          <t>2030</t>
        </is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11</v>
      </c>
      <c r="M134" t="inlineStr">
        <is>
          <t>Values must be of type &lt;class 'str'&gt;</t>
        </is>
      </c>
      <c r="N134" t="inlineStr">
        <is>
          <t>00000000</t>
        </is>
      </c>
      <c r="O134" t="inlineStr">
        <is>
          <t>left</t>
        </is>
      </c>
      <c r="P134" t="inlineStr">
        <is>
          <t>center</t>
        </is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Loan calculator</t>
        </is>
      </c>
      <c r="B135" t="inlineStr">
        <is>
          <t>L12</t>
        </is>
      </c>
      <c r="C135" t="n">
        <v>12</v>
      </c>
      <c r="D135" t="n">
        <v>12</v>
      </c>
      <c r="E135" t="inlineStr">
        <is>
          <t>Input</t>
        </is>
      </c>
      <c r="F135" t="n">
        <v/>
      </c>
      <c r="G135" t="n">
        <v>1102.255838626513</v>
      </c>
      <c r="H135" t="inlineStr"/>
      <c r="I135" t="inlineStr">
        <is>
          <t>"$"#,##0</t>
        </is>
      </c>
      <c r="J135" t="b">
        <v>0</v>
      </c>
      <c r="K135" t="b">
        <v>0</v>
      </c>
      <c r="L135" t="n">
        <v>11</v>
      </c>
      <c r="M135" t="inlineStr">
        <is>
          <t>Values must be of type &lt;class 'str'&gt;</t>
        </is>
      </c>
      <c r="N135" t="inlineStr">
        <is>
          <t>00000000</t>
        </is>
      </c>
      <c r="O135" t="n">
        <v/>
      </c>
      <c r="P135" t="inlineStr">
        <is>
          <t>center</t>
        </is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Loan calculator</t>
        </is>
      </c>
      <c r="B136" t="inlineStr">
        <is>
          <t>M12</t>
        </is>
      </c>
      <c r="C136" t="n">
        <v>12</v>
      </c>
      <c r="D136" t="n">
        <v>13</v>
      </c>
      <c r="E136" t="inlineStr">
        <is>
          <t>Input</t>
        </is>
      </c>
      <c r="F136" t="n">
        <v/>
      </c>
      <c r="G136" t="n">
        <v>200.059496899256</v>
      </c>
      <c r="H136" t="inlineStr"/>
      <c r="I136" t="inlineStr">
        <is>
          <t>"$"#,##0</t>
        </is>
      </c>
      <c r="J136" t="b">
        <v>0</v>
      </c>
      <c r="K136" t="b">
        <v>0</v>
      </c>
      <c r="L136" t="n">
        <v>11</v>
      </c>
      <c r="M136" t="inlineStr">
        <is>
          <t>Values must be of type &lt;class 'str'&gt;</t>
        </is>
      </c>
      <c r="N136" t="inlineStr">
        <is>
          <t>00000000</t>
        </is>
      </c>
      <c r="O136" t="n">
        <v/>
      </c>
      <c r="P136" t="inlineStr">
        <is>
          <t>center</t>
        </is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Loan calculator</t>
        </is>
      </c>
      <c r="B137" t="inlineStr">
        <is>
          <t>N12</t>
        </is>
      </c>
      <c r="C137" t="n">
        <v>12</v>
      </c>
      <c r="D137" t="n">
        <v>14</v>
      </c>
      <c r="E137" t="inlineStr">
        <is>
          <t>Input</t>
        </is>
      </c>
      <c r="F137" t="n">
        <v/>
      </c>
      <c r="G137" t="n">
        <v>42547.08893939281</v>
      </c>
      <c r="H137" t="inlineStr"/>
      <c r="I137" t="inlineStr">
        <is>
          <t>"$"#,##0</t>
        </is>
      </c>
      <c r="J137" t="b">
        <v>0</v>
      </c>
      <c r="K137" t="b">
        <v>0</v>
      </c>
      <c r="L137" t="n">
        <v>11</v>
      </c>
      <c r="M137" t="inlineStr">
        <is>
          <t>Values must be of type &lt;class 'str'&gt;</t>
        </is>
      </c>
      <c r="N137" t="inlineStr">
        <is>
          <t>00000000</t>
        </is>
      </c>
      <c r="O137" t="n">
        <v/>
      </c>
      <c r="P137" t="inlineStr">
        <is>
          <t>center</t>
        </is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Loan calculator</t>
        </is>
      </c>
      <c r="B138" t="inlineStr">
        <is>
          <t>A13</t>
        </is>
      </c>
      <c r="C138" t="n">
        <v>13</v>
      </c>
      <c r="D138" t="n">
        <v>1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11</v>
      </c>
      <c r="M138" t="inlineStr">
        <is>
          <t>Values must be of type &lt;class 'str'&gt;</t>
        </is>
      </c>
      <c r="N138" t="inlineStr">
        <is>
          <t>Values must be of type &lt;class 'str'&gt;</t>
        </is>
      </c>
      <c r="O138" t="n">
        <v/>
      </c>
      <c r="P138" t="inlineStr">
        <is>
          <t>center</t>
        </is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Loan calculator</t>
        </is>
      </c>
      <c r="B139" t="inlineStr">
        <is>
          <t>B13</t>
        </is>
      </c>
      <c r="C139" t="n">
        <v>13</v>
      </c>
      <c r="D139" t="n">
        <v>2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10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n">
        <v/>
      </c>
      <c r="P139" t="inlineStr">
        <is>
          <t>center</t>
        </is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Loan calculator</t>
        </is>
      </c>
      <c r="B140" t="inlineStr">
        <is>
          <t>C13</t>
        </is>
      </c>
      <c r="C140" t="n">
        <v>13</v>
      </c>
      <c r="D140" t="n">
        <v>3</v>
      </c>
      <c r="E140" t="inlineStr">
        <is>
          <t>Input</t>
        </is>
      </c>
      <c r="F140" t="n">
        <v/>
      </c>
      <c r="G140" t="inlineStr">
        <is>
          <t>Total interest</t>
        </is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10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right</t>
        </is>
      </c>
      <c r="P140" t="inlineStr">
        <is>
          <t>center</t>
        </is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Loan calculator</t>
        </is>
      </c>
      <c r="B141" t="inlineStr">
        <is>
          <t>D13</t>
        </is>
      </c>
      <c r="C141" t="n">
        <v>13</v>
      </c>
      <c r="D141" t="n">
        <v>4</v>
      </c>
      <c r="E141" t="inlineStr">
        <is>
          <t>Output</t>
        </is>
      </c>
      <c r="F141" t="inlineStr">
        <is>
          <t>'=IFERROR(IF(LoanIsGood,TotalLoanCost-LoanAmount,""), "")</t>
        </is>
      </c>
      <c r="G141" t="n">
        <v>3023.153355257688</v>
      </c>
      <c r="H141" t="inlineStr"/>
      <c r="I141" t="inlineStr">
        <is>
          <t>"$"#,##0.00</t>
        </is>
      </c>
      <c r="J141" t="b">
        <v>0</v>
      </c>
      <c r="K141" t="b">
        <v>0</v>
      </c>
      <c r="L141" t="n">
        <v>10</v>
      </c>
      <c r="M141" t="n">
        <v/>
      </c>
      <c r="N141" t="inlineStr">
        <is>
          <t>Values must be of type &lt;class 'str'&gt;</t>
        </is>
      </c>
      <c r="O141" t="inlineStr">
        <is>
          <t>left</t>
        </is>
      </c>
      <c r="P141" t="inlineStr">
        <is>
          <t>center</t>
        </is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>
        <f>IFERROR(IF(LoanIsGood,TotalLoanCost-LoanAmount,""), "")</f>
        <v/>
      </c>
    </row>
    <row r="142">
      <c r="A142" t="inlineStr">
        <is>
          <t>Loan calculator</t>
        </is>
      </c>
      <c r="B142" t="inlineStr">
        <is>
          <t>E13</t>
        </is>
      </c>
      <c r="C142" t="n">
        <v>13</v>
      </c>
      <c r="D142" t="n">
        <v>5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11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n">
        <v/>
      </c>
      <c r="P142" t="inlineStr">
        <is>
          <t>center</t>
        </is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Loan calculator</t>
        </is>
      </c>
      <c r="B143" t="inlineStr">
        <is>
          <t>F13</t>
        </is>
      </c>
      <c r="C143" t="n">
        <v>13</v>
      </c>
      <c r="D143" t="n">
        <v>6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11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n">
        <v/>
      </c>
      <c r="P143" t="inlineStr">
        <is>
          <t>center</t>
        </is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Loan calculator</t>
        </is>
      </c>
      <c r="B144" t="inlineStr">
        <is>
          <t>G13</t>
        </is>
      </c>
      <c r="C144" t="n">
        <v>13</v>
      </c>
      <c r="D144" t="n">
        <v>7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11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n">
        <v/>
      </c>
      <c r="P144" t="inlineStr">
        <is>
          <t>center</t>
        </is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Loan calculator</t>
        </is>
      </c>
      <c r="B145" t="inlineStr">
        <is>
          <t>H13</t>
        </is>
      </c>
      <c r="C145" t="n">
        <v>13</v>
      </c>
      <c r="D145" t="n">
        <v>8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11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n">
        <v/>
      </c>
      <c r="P145" t="inlineStr">
        <is>
          <t>center</t>
        </is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Loan calculator</t>
        </is>
      </c>
      <c r="B146" t="inlineStr">
        <is>
          <t>I13</t>
        </is>
      </c>
      <c r="C146" t="n">
        <v>13</v>
      </c>
      <c r="D146" t="n">
        <v>9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11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n">
        <v/>
      </c>
      <c r="P146" t="inlineStr">
        <is>
          <t>center</t>
        </is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Loan calculator</t>
        </is>
      </c>
      <c r="B147" t="inlineStr">
        <is>
          <t>K13</t>
        </is>
      </c>
      <c r="C147" t="n">
        <v>13</v>
      </c>
      <c r="D147" t="n">
        <v>11</v>
      </c>
      <c r="E147" t="inlineStr">
        <is>
          <t>Input</t>
        </is>
      </c>
      <c r="F147" t="n">
        <v/>
      </c>
      <c r="G147" t="inlineStr">
        <is>
          <t>2031</t>
        </is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11</v>
      </c>
      <c r="M147" t="inlineStr">
        <is>
          <t>Values must be of type &lt;class 'str'&gt;</t>
        </is>
      </c>
      <c r="N147" t="inlineStr">
        <is>
          <t>00000000</t>
        </is>
      </c>
      <c r="O147" t="inlineStr">
        <is>
          <t>left</t>
        </is>
      </c>
      <c r="P147" t="inlineStr">
        <is>
          <t>center</t>
        </is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Loan calculator</t>
        </is>
      </c>
      <c r="B148" t="inlineStr">
        <is>
          <t>L13</t>
        </is>
      </c>
      <c r="C148" t="n">
        <v>13</v>
      </c>
      <c r="D148" t="n">
        <v>12</v>
      </c>
      <c r="E148" t="inlineStr">
        <is>
          <t>Input</t>
        </is>
      </c>
      <c r="F148" t="n">
        <v/>
      </c>
      <c r="G148" t="n">
        <v>1164.431732080898</v>
      </c>
      <c r="H148" t="inlineStr"/>
      <c r="I148" t="inlineStr">
        <is>
          <t>"$"#,##0</t>
        </is>
      </c>
      <c r="J148" t="b">
        <v>0</v>
      </c>
      <c r="K148" t="b">
        <v>0</v>
      </c>
      <c r="L148" t="n">
        <v>11</v>
      </c>
      <c r="M148" t="inlineStr">
        <is>
          <t>Values must be of type &lt;class 'str'&gt;</t>
        </is>
      </c>
      <c r="N148" t="inlineStr">
        <is>
          <t>00000000</t>
        </is>
      </c>
      <c r="O148" t="n">
        <v/>
      </c>
      <c r="P148" t="inlineStr">
        <is>
          <t>center</t>
        </is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Loan calculator</t>
        </is>
      </c>
      <c r="B149" t="inlineStr">
        <is>
          <t>M13</t>
        </is>
      </c>
      <c r="C149" t="n">
        <v>13</v>
      </c>
      <c r="D149" t="n">
        <v>13</v>
      </c>
      <c r="E149" t="inlineStr">
        <is>
          <t>Input</t>
        </is>
      </c>
      <c r="F149" t="n">
        <v/>
      </c>
      <c r="G149" t="n">
        <v>137.8836034448705</v>
      </c>
      <c r="H149" t="inlineStr"/>
      <c r="I149" t="inlineStr">
        <is>
          <t>"$"#,##0</t>
        </is>
      </c>
      <c r="J149" t="b">
        <v>0</v>
      </c>
      <c r="K149" t="b">
        <v>0</v>
      </c>
      <c r="L149" t="n">
        <v>11</v>
      </c>
      <c r="M149" t="inlineStr">
        <is>
          <t>Values must be of type &lt;class 'str'&gt;</t>
        </is>
      </c>
      <c r="N149" t="inlineStr">
        <is>
          <t>00000000</t>
        </is>
      </c>
      <c r="O149" t="n">
        <v/>
      </c>
      <c r="P149" t="inlineStr">
        <is>
          <t>center</t>
        </is>
      </c>
      <c r="R149" t="b">
        <v>1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Loan calculator</t>
        </is>
      </c>
      <c r="B150" t="inlineStr">
        <is>
          <t>N13</t>
        </is>
      </c>
      <c r="C150" t="n">
        <v>13</v>
      </c>
      <c r="D150" t="n">
        <v>14</v>
      </c>
      <c r="E150" t="inlineStr">
        <is>
          <t>Input</t>
        </is>
      </c>
      <c r="F150" t="n">
        <v/>
      </c>
      <c r="G150" t="n">
        <v>28919.26356498154</v>
      </c>
      <c r="H150" t="inlineStr"/>
      <c r="I150" t="inlineStr">
        <is>
          <t>"$"#,##0</t>
        </is>
      </c>
      <c r="J150" t="b">
        <v>0</v>
      </c>
      <c r="K150" t="b">
        <v>0</v>
      </c>
      <c r="L150" t="n">
        <v>11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P150" t="inlineStr">
        <is>
          <t>center</t>
        </is>
      </c>
      <c r="R150" t="b">
        <v>1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Loan calculator</t>
        </is>
      </c>
      <c r="B151" t="inlineStr">
        <is>
          <t>A14</t>
        </is>
      </c>
      <c r="C151" t="n">
        <v>14</v>
      </c>
      <c r="D151" t="n">
        <v>1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11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n">
        <v/>
      </c>
      <c r="P151" t="inlineStr">
        <is>
          <t>center</t>
        </is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Loan calculator</t>
        </is>
      </c>
      <c r="B152" t="inlineStr">
        <is>
          <t>B14</t>
        </is>
      </c>
      <c r="C152" t="n">
        <v>14</v>
      </c>
      <c r="D152" t="n">
        <v>2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10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n">
        <v/>
      </c>
      <c r="P152" t="inlineStr">
        <is>
          <t>center</t>
        </is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Loan calculator</t>
        </is>
      </c>
      <c r="B153" t="inlineStr">
        <is>
          <t>C14</t>
        </is>
      </c>
      <c r="C153" t="n">
        <v>14</v>
      </c>
      <c r="D153" t="n">
        <v>3</v>
      </c>
      <c r="E153" t="inlineStr">
        <is>
          <t>Input</t>
        </is>
      </c>
      <c r="F153" t="n">
        <v/>
      </c>
      <c r="G153" t="inlineStr">
        <is>
          <t>Total cost of loan</t>
        </is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inlineStr">
        <is>
          <t>right</t>
        </is>
      </c>
      <c r="P153" t="inlineStr">
        <is>
          <t>center</t>
        </is>
      </c>
      <c r="R153" t="b">
        <v>1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Loan calculator</t>
        </is>
      </c>
      <c r="B154" t="inlineStr">
        <is>
          <t>D14</t>
        </is>
      </c>
      <c r="C154" t="n">
        <v>14</v>
      </c>
      <c r="D154" t="n">
        <v>4</v>
      </c>
      <c r="E154" t="inlineStr">
        <is>
          <t>Output</t>
        </is>
      </c>
      <c r="F154" t="inlineStr">
        <is>
          <t>'=IFERROR(IF(LoanIsGood,MonthlyPayment*NumberOfPayments,""), "")</t>
        </is>
      </c>
      <c r="G154" t="n">
        <v>13023.15335525769</v>
      </c>
      <c r="H154" t="inlineStr"/>
      <c r="I154" t="inlineStr">
        <is>
          <t>"$"#,##0.00</t>
        </is>
      </c>
      <c r="J154" t="b">
        <v>0</v>
      </c>
      <c r="K154" t="b">
        <v>0</v>
      </c>
      <c r="L154" t="n">
        <v>10</v>
      </c>
      <c r="M154" t="n">
        <v/>
      </c>
      <c r="N154" t="inlineStr">
        <is>
          <t>Values must be of type &lt;class 'str'&gt;</t>
        </is>
      </c>
      <c r="O154" t="inlineStr">
        <is>
          <t>left</t>
        </is>
      </c>
      <c r="P154" t="inlineStr">
        <is>
          <t>center</t>
        </is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>
        <f>IFERROR(IF(LoanIsGood,MonthlyPayment*NumberOfPayments,""), "")</f>
        <v/>
      </c>
    </row>
    <row r="155">
      <c r="A155" t="inlineStr">
        <is>
          <t>Loan calculator</t>
        </is>
      </c>
      <c r="B155" t="inlineStr">
        <is>
          <t>E14</t>
        </is>
      </c>
      <c r="C155" t="n">
        <v>14</v>
      </c>
      <c r="D155" t="n">
        <v>5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11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n">
        <v/>
      </c>
      <c r="P155" t="inlineStr">
        <is>
          <t>center</t>
        </is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Loan calculator</t>
        </is>
      </c>
      <c r="B156" t="inlineStr">
        <is>
          <t>F14</t>
        </is>
      </c>
      <c r="C156" t="n">
        <v>14</v>
      </c>
      <c r="D156" t="n">
        <v>6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11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n">
        <v/>
      </c>
      <c r="P156" t="inlineStr">
        <is>
          <t>center</t>
        </is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Loan calculator</t>
        </is>
      </c>
      <c r="B157" t="inlineStr">
        <is>
          <t>G14</t>
        </is>
      </c>
      <c r="C157" t="n">
        <v>14</v>
      </c>
      <c r="D157" t="n">
        <v>7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11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n">
        <v/>
      </c>
      <c r="P157" t="inlineStr">
        <is>
          <t>center</t>
        </is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Loan calculator</t>
        </is>
      </c>
      <c r="B158" t="inlineStr">
        <is>
          <t>H14</t>
        </is>
      </c>
      <c r="C158" t="n">
        <v>14</v>
      </c>
      <c r="D158" t="n">
        <v>8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11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n">
        <v/>
      </c>
      <c r="P158" t="inlineStr">
        <is>
          <t>center</t>
        </is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Loan calculator</t>
        </is>
      </c>
      <c r="B159" t="inlineStr">
        <is>
          <t>I14</t>
        </is>
      </c>
      <c r="C159" t="n">
        <v>14</v>
      </c>
      <c r="D159" t="n">
        <v>9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11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n">
        <v/>
      </c>
      <c r="P159" t="inlineStr">
        <is>
          <t>center</t>
        </is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Loan calculator</t>
        </is>
      </c>
      <c r="B160" t="inlineStr">
        <is>
          <t>K14</t>
        </is>
      </c>
      <c r="C160" t="n">
        <v>14</v>
      </c>
      <c r="D160" t="n">
        <v>11</v>
      </c>
      <c r="E160" t="inlineStr">
        <is>
          <t>Input</t>
        </is>
      </c>
      <c r="F160" t="n">
        <v/>
      </c>
      <c r="G160" t="inlineStr">
        <is>
          <t>2032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11</v>
      </c>
      <c r="M160" t="inlineStr">
        <is>
          <t>Values must be of type &lt;class 'str'&gt;</t>
        </is>
      </c>
      <c r="N160" t="inlineStr">
        <is>
          <t>00000000</t>
        </is>
      </c>
      <c r="O160" t="inlineStr">
        <is>
          <t>left</t>
        </is>
      </c>
      <c r="P160" t="inlineStr">
        <is>
          <t>center</t>
        </is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Loan calculator</t>
        </is>
      </c>
      <c r="B161" t="inlineStr">
        <is>
          <t>L14</t>
        </is>
      </c>
      <c r="C161" t="n">
        <v>14</v>
      </c>
      <c r="D161" t="n">
        <v>12</v>
      </c>
      <c r="E161" t="inlineStr">
        <is>
          <t>Input</t>
        </is>
      </c>
      <c r="F161" t="n">
        <v/>
      </c>
      <c r="G161" t="n">
        <v>1230.114834652605</v>
      </c>
      <c r="H161" t="inlineStr"/>
      <c r="I161" t="inlineStr">
        <is>
          <t>"$"#,##0</t>
        </is>
      </c>
      <c r="J161" t="b">
        <v>0</v>
      </c>
      <c r="K161" t="b">
        <v>0</v>
      </c>
      <c r="L161" t="n">
        <v>11</v>
      </c>
      <c r="M161" t="inlineStr">
        <is>
          <t>Values must be of type &lt;class 'str'&gt;</t>
        </is>
      </c>
      <c r="N161" t="inlineStr">
        <is>
          <t>00000000</t>
        </is>
      </c>
      <c r="O161" t="n">
        <v/>
      </c>
      <c r="P161" t="inlineStr">
        <is>
          <t>center</t>
        </is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Loan calculator</t>
        </is>
      </c>
      <c r="B162" t="inlineStr">
        <is>
          <t>M14</t>
        </is>
      </c>
      <c r="C162" t="n">
        <v>14</v>
      </c>
      <c r="D162" t="n">
        <v>13</v>
      </c>
      <c r="E162" t="inlineStr">
        <is>
          <t>Input</t>
        </is>
      </c>
      <c r="F162" t="n">
        <v/>
      </c>
      <c r="G162" t="n">
        <v>72.20050087316406</v>
      </c>
      <c r="H162" t="inlineStr"/>
      <c r="I162" t="inlineStr">
        <is>
          <t>"$"#,##0</t>
        </is>
      </c>
      <c r="J162" t="b">
        <v>0</v>
      </c>
      <c r="K162" t="b">
        <v>0</v>
      </c>
      <c r="L162" t="n">
        <v>11</v>
      </c>
      <c r="M162" t="inlineStr">
        <is>
          <t>Values must be of type &lt;class 'str'&gt;</t>
        </is>
      </c>
      <c r="N162" t="inlineStr">
        <is>
          <t>00000000</t>
        </is>
      </c>
      <c r="O162" t="n">
        <v/>
      </c>
      <c r="P162" t="inlineStr">
        <is>
          <t>center</t>
        </is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Loan calculator</t>
        </is>
      </c>
      <c r="B163" t="inlineStr">
        <is>
          <t>N14</t>
        </is>
      </c>
      <c r="C163" t="n">
        <v>14</v>
      </c>
      <c r="D163" t="n">
        <v>14</v>
      </c>
      <c r="E163" t="inlineStr">
        <is>
          <t>Input</t>
        </is>
      </c>
      <c r="F163" t="n">
        <v/>
      </c>
      <c r="G163" t="n">
        <v>14522.72171949204</v>
      </c>
      <c r="H163" t="inlineStr"/>
      <c r="I163" t="inlineStr">
        <is>
          <t>"$"#,##0</t>
        </is>
      </c>
      <c r="J163" t="b">
        <v>0</v>
      </c>
      <c r="K163" t="b">
        <v>0</v>
      </c>
      <c r="L163" t="n">
        <v>11</v>
      </c>
      <c r="M163" t="inlineStr">
        <is>
          <t>Values must be of type &lt;class 'str'&gt;</t>
        </is>
      </c>
      <c r="N163" t="inlineStr">
        <is>
          <t>00000000</t>
        </is>
      </c>
      <c r="O163" t="n">
        <v/>
      </c>
      <c r="P163" t="inlineStr">
        <is>
          <t>center</t>
        </is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Loan calculator</t>
        </is>
      </c>
      <c r="B164" t="inlineStr">
        <is>
          <t>A15</t>
        </is>
      </c>
      <c r="C164" t="n">
        <v>15</v>
      </c>
      <c r="D164" t="n">
        <v>1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11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n">
        <v/>
      </c>
      <c r="P164" t="inlineStr">
        <is>
          <t>center</t>
        </is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Loan calculator</t>
        </is>
      </c>
      <c r="B165" t="inlineStr">
        <is>
          <t>B15</t>
        </is>
      </c>
      <c r="C165" t="n">
        <v>15</v>
      </c>
      <c r="D165" t="n">
        <v>2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11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inlineStr">
        <is>
          <t>center</t>
        </is>
      </c>
      <c r="P165" t="inlineStr">
        <is>
          <t>center</t>
        </is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Loan calculator</t>
        </is>
      </c>
      <c r="B166" t="inlineStr">
        <is>
          <t>C15</t>
        </is>
      </c>
      <c r="C166" t="n">
        <v>15</v>
      </c>
      <c r="D166" t="n">
        <v>3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11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n">
        <v/>
      </c>
      <c r="P166" t="inlineStr">
        <is>
          <t>center</t>
        </is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Loan calculator</t>
        </is>
      </c>
      <c r="B167" t="inlineStr">
        <is>
          <t>D15</t>
        </is>
      </c>
      <c r="C167" t="n">
        <v>15</v>
      </c>
      <c r="D167" t="n">
        <v>4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11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n">
        <v/>
      </c>
      <c r="P167" t="inlineStr">
        <is>
          <t>center</t>
        </is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Loan calculator</t>
        </is>
      </c>
      <c r="B168" t="inlineStr">
        <is>
          <t>E15</t>
        </is>
      </c>
      <c r="C168" t="n">
        <v>15</v>
      </c>
      <c r="D168" t="n">
        <v>5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11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n">
        <v/>
      </c>
      <c r="P168" t="inlineStr">
        <is>
          <t>center</t>
        </is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Loan calculator</t>
        </is>
      </c>
      <c r="B169" t="inlineStr">
        <is>
          <t>F15</t>
        </is>
      </c>
      <c r="C169" t="n">
        <v>15</v>
      </c>
      <c r="D169" t="n">
        <v>6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11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n">
        <v/>
      </c>
      <c r="P169" t="inlineStr">
        <is>
          <t>center</t>
        </is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Loan calculator</t>
        </is>
      </c>
      <c r="B170" t="inlineStr">
        <is>
          <t>G15</t>
        </is>
      </c>
      <c r="C170" t="n">
        <v>15</v>
      </c>
      <c r="D170" t="n">
        <v>7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11</v>
      </c>
      <c r="M170" t="inlineStr">
        <is>
          <t>Values must be of type &lt;class 'str'&gt;</t>
        </is>
      </c>
      <c r="N170" t="inlineStr">
        <is>
          <t>Values must be of type &lt;class 'str'&gt;</t>
        </is>
      </c>
      <c r="O170" t="n">
        <v/>
      </c>
      <c r="P170" t="inlineStr">
        <is>
          <t>center</t>
        </is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Loan calculator</t>
        </is>
      </c>
      <c r="B171" t="inlineStr">
        <is>
          <t>H15</t>
        </is>
      </c>
      <c r="C171" t="n">
        <v>15</v>
      </c>
      <c r="D171" t="n">
        <v>8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11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n">
        <v/>
      </c>
      <c r="P171" t="inlineStr">
        <is>
          <t>center</t>
        </is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Loan calculator</t>
        </is>
      </c>
      <c r="B172" t="inlineStr">
        <is>
          <t>I15</t>
        </is>
      </c>
      <c r="C172" t="n">
        <v>15</v>
      </c>
      <c r="D172" t="n">
        <v>9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11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n">
        <v/>
      </c>
      <c r="P172" t="inlineStr">
        <is>
          <t>center</t>
        </is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Loan calculator</t>
        </is>
      </c>
      <c r="B173" t="inlineStr">
        <is>
          <t>K15</t>
        </is>
      </c>
      <c r="C173" t="n">
        <v>15</v>
      </c>
      <c r="D173" t="n">
        <v>11</v>
      </c>
      <c r="E173" t="inlineStr">
        <is>
          <t>Input</t>
        </is>
      </c>
      <c r="F173" t="n">
        <v/>
      </c>
      <c r="G173" t="inlineStr">
        <is>
          <t>2033</t>
        </is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11</v>
      </c>
      <c r="M173" t="inlineStr">
        <is>
          <t>Values must be of type &lt;class 'str'&gt;</t>
        </is>
      </c>
      <c r="N173" t="inlineStr">
        <is>
          <t>00000000</t>
        </is>
      </c>
      <c r="O173" t="inlineStr">
        <is>
          <t>left</t>
        </is>
      </c>
      <c r="P173" t="inlineStr">
        <is>
          <t>center</t>
        </is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Loan calculator</t>
        </is>
      </c>
      <c r="B174" t="inlineStr">
        <is>
          <t>L15</t>
        </is>
      </c>
      <c r="C174" t="n">
        <v>15</v>
      </c>
      <c r="D174" t="n">
        <v>12</v>
      </c>
      <c r="E174" t="inlineStr">
        <is>
          <t>Input</t>
        </is>
      </c>
      <c r="F174" t="n">
        <v/>
      </c>
      <c r="G174" t="n">
        <v>640.8383779971622</v>
      </c>
      <c r="H174" t="inlineStr"/>
      <c r="I174" t="inlineStr">
        <is>
          <t>"$"#,##0</t>
        </is>
      </c>
      <c r="J174" t="b">
        <v>0</v>
      </c>
      <c r="K174" t="b">
        <v>0</v>
      </c>
      <c r="L174" t="n">
        <v>11</v>
      </c>
      <c r="M174" t="inlineStr">
        <is>
          <t>Values must be of type &lt;class 'str'&gt;</t>
        </is>
      </c>
      <c r="N174" t="inlineStr">
        <is>
          <t>00000000</t>
        </is>
      </c>
      <c r="O174" t="n">
        <v/>
      </c>
      <c r="P174" t="inlineStr">
        <is>
          <t>center</t>
        </is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Loan calculator</t>
        </is>
      </c>
      <c r="B175" t="inlineStr">
        <is>
          <t>M15</t>
        </is>
      </c>
      <c r="C175" t="n">
        <v>15</v>
      </c>
      <c r="D175" t="n">
        <v>13</v>
      </c>
      <c r="E175" t="inlineStr">
        <is>
          <t>Input</t>
        </is>
      </c>
      <c r="F175" t="n">
        <v/>
      </c>
      <c r="G175" t="n">
        <v>10.3192897657222</v>
      </c>
      <c r="H175" t="inlineStr"/>
      <c r="I175" t="inlineStr">
        <is>
          <t>"$"#,##0</t>
        </is>
      </c>
      <c r="J175" t="b">
        <v>0</v>
      </c>
      <c r="K175" t="b">
        <v>0</v>
      </c>
      <c r="L175" t="n">
        <v>11</v>
      </c>
      <c r="M175" t="inlineStr">
        <is>
          <t>Values must be of type &lt;class 'str'&gt;</t>
        </is>
      </c>
      <c r="N175" t="inlineStr">
        <is>
          <t>00000000</t>
        </is>
      </c>
      <c r="O175" t="n">
        <v/>
      </c>
      <c r="P175" t="inlineStr">
        <is>
          <t>center</t>
        </is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Loan calculator</t>
        </is>
      </c>
      <c r="B176" t="inlineStr">
        <is>
          <t>N15</t>
        </is>
      </c>
      <c r="C176" t="n">
        <v>15</v>
      </c>
      <c r="D176" t="n">
        <v>14</v>
      </c>
      <c r="E176" t="inlineStr">
        <is>
          <t>Input</t>
        </is>
      </c>
      <c r="F176" t="n">
        <v/>
      </c>
      <c r="G176" t="n">
        <v>1610.64302543299</v>
      </c>
      <c r="H176" t="inlineStr"/>
      <c r="I176" t="inlineStr">
        <is>
          <t>"$"#,##0</t>
        </is>
      </c>
      <c r="J176" t="b">
        <v>0</v>
      </c>
      <c r="K176" t="b">
        <v>0</v>
      </c>
      <c r="L176" t="n">
        <v>11</v>
      </c>
      <c r="M176" t="inlineStr">
        <is>
          <t>Values must be of type &lt;class 'str'&gt;</t>
        </is>
      </c>
      <c r="N176" t="inlineStr">
        <is>
          <t>00000000</t>
        </is>
      </c>
      <c r="O176" t="n">
        <v/>
      </c>
      <c r="P176" t="inlineStr">
        <is>
          <t>center</t>
        </is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Loan calculator</t>
        </is>
      </c>
      <c r="B177" t="inlineStr">
        <is>
          <t>A16</t>
        </is>
      </c>
      <c r="C177" t="n">
        <v>16</v>
      </c>
      <c r="D177" t="n">
        <v>1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11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n">
        <v/>
      </c>
      <c r="P177" t="inlineStr">
        <is>
          <t>center</t>
        </is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Loan calculator</t>
        </is>
      </c>
      <c r="B178" t="inlineStr">
        <is>
          <t>B16</t>
        </is>
      </c>
      <c r="C178" t="n">
        <v>16</v>
      </c>
      <c r="D178" t="n">
        <v>2</v>
      </c>
      <c r="E178" t="inlineStr">
        <is>
          <t>Input</t>
        </is>
      </c>
      <c r="F178" t="n">
        <v/>
      </c>
      <c r="G178" t="inlineStr">
        <is>
          <t>Pmt no.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9</v>
      </c>
      <c r="M178" t="inlineStr">
        <is>
          <t>Values must be of type &lt;class 'str'&gt;</t>
        </is>
      </c>
      <c r="N178" t="inlineStr">
        <is>
          <t>00000000</t>
        </is>
      </c>
      <c r="O178" t="inlineStr">
        <is>
          <t>center</t>
        </is>
      </c>
      <c r="P178" t="inlineStr">
        <is>
          <t>center</t>
        </is>
      </c>
      <c r="Q178" t="b">
        <v>1</v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Loan calculator</t>
        </is>
      </c>
      <c r="B179" t="inlineStr">
        <is>
          <t>C16</t>
        </is>
      </c>
      <c r="C179" t="n">
        <v>16</v>
      </c>
      <c r="D179" t="n">
        <v>3</v>
      </c>
      <c r="E179" t="inlineStr">
        <is>
          <t>Input</t>
        </is>
      </c>
      <c r="F179" t="n">
        <v/>
      </c>
      <c r="G179" t="inlineStr">
        <is>
          <t>Payment
date</t>
        </is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9</v>
      </c>
      <c r="M179" t="inlineStr">
        <is>
          <t>Values must be of type &lt;class 'str'&gt;</t>
        </is>
      </c>
      <c r="N179" t="inlineStr">
        <is>
          <t>00000000</t>
        </is>
      </c>
      <c r="O179" t="inlineStr">
        <is>
          <t>center</t>
        </is>
      </c>
      <c r="P179" t="inlineStr">
        <is>
          <t>center</t>
        </is>
      </c>
      <c r="Q179" t="b">
        <v>1</v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Loan calculator</t>
        </is>
      </c>
      <c r="B180" t="inlineStr">
        <is>
          <t>D16</t>
        </is>
      </c>
      <c r="C180" t="n">
        <v>16</v>
      </c>
      <c r="D180" t="n">
        <v>4</v>
      </c>
      <c r="E180" t="inlineStr">
        <is>
          <t>Input</t>
        </is>
      </c>
      <c r="F180" t="n">
        <v/>
      </c>
      <c r="G180" t="inlineStr">
        <is>
          <t>Beginning 
balance</t>
        </is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9</v>
      </c>
      <c r="M180" t="inlineStr">
        <is>
          <t>Values must be of type &lt;class 'str'&gt;</t>
        </is>
      </c>
      <c r="N180" t="inlineStr">
        <is>
          <t>00000000</t>
        </is>
      </c>
      <c r="O180" t="inlineStr">
        <is>
          <t>center</t>
        </is>
      </c>
      <c r="P180" t="inlineStr">
        <is>
          <t>center</t>
        </is>
      </c>
      <c r="Q180" t="b">
        <v>1</v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Loan calculator</t>
        </is>
      </c>
      <c r="B181" t="inlineStr">
        <is>
          <t>E16</t>
        </is>
      </c>
      <c r="C181" t="n">
        <v>16</v>
      </c>
      <c r="D181" t="n">
        <v>5</v>
      </c>
      <c r="E181" t="inlineStr">
        <is>
          <t>Input</t>
        </is>
      </c>
      <c r="F181" t="n">
        <v/>
      </c>
      <c r="G181" t="inlineStr">
        <is>
          <t>Payment</t>
        </is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9</v>
      </c>
      <c r="M181" t="inlineStr">
        <is>
          <t>Values must be of type &lt;class 'str'&gt;</t>
        </is>
      </c>
      <c r="N181" t="inlineStr">
        <is>
          <t>00000000</t>
        </is>
      </c>
      <c r="O181" t="inlineStr">
        <is>
          <t>center</t>
        </is>
      </c>
      <c r="P181" t="inlineStr">
        <is>
          <t>center</t>
        </is>
      </c>
      <c r="Q181" t="b">
        <v>1</v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Loan calculator</t>
        </is>
      </c>
      <c r="B182" t="inlineStr">
        <is>
          <t>F16</t>
        </is>
      </c>
      <c r="C182" t="n">
        <v>16</v>
      </c>
      <c r="D182" t="n">
        <v>6</v>
      </c>
      <c r="E182" t="inlineStr">
        <is>
          <t>Input</t>
        </is>
      </c>
      <c r="F182" t="n">
        <v/>
      </c>
      <c r="G182" t="inlineStr">
        <is>
          <t>Principal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9</v>
      </c>
      <c r="M182" t="inlineStr">
        <is>
          <t>Values must be of type &lt;class 'str'&gt;</t>
        </is>
      </c>
      <c r="N182" t="inlineStr">
        <is>
          <t>00000000</t>
        </is>
      </c>
      <c r="O182" t="inlineStr">
        <is>
          <t>center</t>
        </is>
      </c>
      <c r="P182" t="inlineStr">
        <is>
          <t>center</t>
        </is>
      </c>
      <c r="Q182" t="b">
        <v>1</v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Loan calculator</t>
        </is>
      </c>
      <c r="B183" t="inlineStr">
        <is>
          <t>G16</t>
        </is>
      </c>
      <c r="C183" t="n">
        <v>16</v>
      </c>
      <c r="D183" t="n">
        <v>7</v>
      </c>
      <c r="E183" t="inlineStr">
        <is>
          <t>Input</t>
        </is>
      </c>
      <c r="F183" t="n">
        <v/>
      </c>
      <c r="G183" t="inlineStr">
        <is>
          <t>Interest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9</v>
      </c>
      <c r="M183" t="inlineStr">
        <is>
          <t>Values must be of type &lt;class 'str'&gt;</t>
        </is>
      </c>
      <c r="N183" t="inlineStr">
        <is>
          <t>00000000</t>
        </is>
      </c>
      <c r="O183" t="inlineStr">
        <is>
          <t>center</t>
        </is>
      </c>
      <c r="P183" t="inlineStr">
        <is>
          <t>center</t>
        </is>
      </c>
      <c r="Q183" t="b">
        <v>1</v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Loan calculator</t>
        </is>
      </c>
      <c r="B184" t="inlineStr">
        <is>
          <t>H16</t>
        </is>
      </c>
      <c r="C184" t="n">
        <v>16</v>
      </c>
      <c r="D184" t="n">
        <v>8</v>
      </c>
      <c r="E184" t="inlineStr">
        <is>
          <t>Input</t>
        </is>
      </c>
      <c r="F184" t="n">
        <v/>
      </c>
      <c r="G184" t="inlineStr">
        <is>
          <t>Ending 
balance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9</v>
      </c>
      <c r="M184" t="inlineStr">
        <is>
          <t>Values must be of type &lt;class 'str'&gt;</t>
        </is>
      </c>
      <c r="N184" t="inlineStr">
        <is>
          <t>00000000</t>
        </is>
      </c>
      <c r="O184" t="inlineStr">
        <is>
          <t>center</t>
        </is>
      </c>
      <c r="P184" t="inlineStr">
        <is>
          <t>center</t>
        </is>
      </c>
      <c r="Q184" t="b">
        <v>1</v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Loan calculator</t>
        </is>
      </c>
      <c r="B185" t="inlineStr">
        <is>
          <t>I16</t>
        </is>
      </c>
      <c r="C185" t="n">
        <v>16</v>
      </c>
      <c r="D185" t="n">
        <v>9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11</v>
      </c>
      <c r="M185" t="inlineStr">
        <is>
          <t>Values must be of type &lt;class 'str'&gt;</t>
        </is>
      </c>
      <c r="N185" t="inlineStr">
        <is>
          <t>Values must be of type &lt;class 'str'&gt;</t>
        </is>
      </c>
      <c r="O185" t="n">
        <v/>
      </c>
      <c r="P185" t="inlineStr">
        <is>
          <t>center</t>
        </is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Loan calculator</t>
        </is>
      </c>
      <c r="B186" t="inlineStr">
        <is>
          <t>K16</t>
        </is>
      </c>
      <c r="C186" t="n">
        <v>16</v>
      </c>
      <c r="D186" t="n">
        <v>11</v>
      </c>
      <c r="E186" t="inlineStr">
        <is>
          <t>Input</t>
        </is>
      </c>
      <c r="F186" t="n">
        <v/>
      </c>
      <c r="G186" t="inlineStr">
        <is>
          <t>Grand Total</t>
        </is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11</v>
      </c>
      <c r="M186" t="inlineStr">
        <is>
          <t>Values must be of type &lt;class 'str'&gt;</t>
        </is>
      </c>
      <c r="N186" t="inlineStr">
        <is>
          <t>00000000</t>
        </is>
      </c>
      <c r="O186" t="inlineStr">
        <is>
          <t>left</t>
        </is>
      </c>
      <c r="P186" t="inlineStr">
        <is>
          <t>center</t>
        </is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Loan calculator</t>
        </is>
      </c>
      <c r="B187" t="inlineStr">
        <is>
          <t>L16</t>
        </is>
      </c>
      <c r="C187" t="n">
        <v>16</v>
      </c>
      <c r="D187" t="n">
        <v>12</v>
      </c>
      <c r="E187" t="inlineStr">
        <is>
          <t>Input</t>
        </is>
      </c>
      <c r="F187" t="n">
        <v/>
      </c>
      <c r="G187" t="n">
        <v>9999.999999999996</v>
      </c>
      <c r="H187" t="inlineStr"/>
      <c r="I187" t="inlineStr">
        <is>
          <t>"$"#,##0</t>
        </is>
      </c>
      <c r="J187" t="b">
        <v>0</v>
      </c>
      <c r="K187" t="b">
        <v>0</v>
      </c>
      <c r="L187" t="n">
        <v>11</v>
      </c>
      <c r="M187" t="inlineStr">
        <is>
          <t>Values must be of type &lt;class 'str'&gt;</t>
        </is>
      </c>
      <c r="N187" t="inlineStr">
        <is>
          <t>00000000</t>
        </is>
      </c>
      <c r="O187" t="n">
        <v/>
      </c>
      <c r="P187" t="inlineStr">
        <is>
          <t>center</t>
        </is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Loan calculator</t>
        </is>
      </c>
      <c r="B188" t="inlineStr">
        <is>
          <t>M16</t>
        </is>
      </c>
      <c r="C188" t="n">
        <v>16</v>
      </c>
      <c r="D188" t="n">
        <v>13</v>
      </c>
      <c r="E188" t="inlineStr">
        <is>
          <t>Input</t>
        </is>
      </c>
      <c r="F188" t="n">
        <v/>
      </c>
      <c r="G188" t="n">
        <v>3023.153355257689</v>
      </c>
      <c r="H188" t="inlineStr"/>
      <c r="I188" t="inlineStr">
        <is>
          <t>"$"#,##0</t>
        </is>
      </c>
      <c r="J188" t="b">
        <v>0</v>
      </c>
      <c r="K188" t="b">
        <v>0</v>
      </c>
      <c r="L188" t="n">
        <v>11</v>
      </c>
      <c r="M188" t="inlineStr">
        <is>
          <t>Values must be of type &lt;class 'str'&gt;</t>
        </is>
      </c>
      <c r="N188" t="inlineStr">
        <is>
          <t>00000000</t>
        </is>
      </c>
      <c r="O188" t="n">
        <v/>
      </c>
      <c r="P188" t="inlineStr">
        <is>
          <t>center</t>
        </is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Loan calculator</t>
        </is>
      </c>
      <c r="B189" t="inlineStr">
        <is>
          <t>N16</t>
        </is>
      </c>
      <c r="C189" t="n">
        <v>16</v>
      </c>
      <c r="D189" t="n">
        <v>14</v>
      </c>
      <c r="E189" t="inlineStr">
        <is>
          <t>Input</t>
        </is>
      </c>
      <c r="F189" t="n">
        <v/>
      </c>
      <c r="G189" t="n">
        <v>649597.0956925856</v>
      </c>
      <c r="H189" t="inlineStr"/>
      <c r="I189" t="inlineStr">
        <is>
          <t>"$"#,##0</t>
        </is>
      </c>
      <c r="J189" t="b">
        <v>0</v>
      </c>
      <c r="K189" t="b">
        <v>0</v>
      </c>
      <c r="L189" t="n">
        <v>11</v>
      </c>
      <c r="M189" t="inlineStr">
        <is>
          <t>Values must be of type &lt;class 'str'&gt;</t>
        </is>
      </c>
      <c r="N189" t="inlineStr">
        <is>
          <t>00000000</t>
        </is>
      </c>
      <c r="O189" t="n">
        <v/>
      </c>
      <c r="P189" t="inlineStr">
        <is>
          <t>center</t>
        </is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Loan calculator</t>
        </is>
      </c>
      <c r="B190" t="inlineStr">
        <is>
          <t>A17</t>
        </is>
      </c>
      <c r="C190" t="n">
        <v>17</v>
      </c>
      <c r="D190" t="n">
        <v>1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11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n">
        <v/>
      </c>
      <c r="P190" t="inlineStr">
        <is>
          <t>center</t>
        </is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Loan calculator</t>
        </is>
      </c>
      <c r="B191" t="inlineStr">
        <is>
          <t>B17</t>
        </is>
      </c>
      <c r="C191" t="n">
        <v>17</v>
      </c>
      <c r="D191" t="n">
        <v>2</v>
      </c>
      <c r="E191" t="inlineStr">
        <is>
          <t>Output</t>
        </is>
      </c>
      <c r="F191" t="inlineStr">
        <is>
          <t>'=IFERROR(IF(LoanIsNotPaid*LoanIsGood,PaymentNumber,""), "")</t>
        </is>
      </c>
      <c r="G191" t="n">
        <v>1</v>
      </c>
      <c r="H191" t="inlineStr"/>
      <c r="I191" t="inlineStr">
        <is>
          <t>#,##0</t>
        </is>
      </c>
      <c r="J191" t="b">
        <v>0</v>
      </c>
      <c r="K191" t="b">
        <v>0</v>
      </c>
      <c r="L191" t="n">
        <v>9</v>
      </c>
      <c r="M191" t="inlineStr">
        <is>
          <t>Values must be of type &lt;class 'str'&gt;</t>
        </is>
      </c>
      <c r="N191" t="inlineStr">
        <is>
          <t>00000000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S191" t="inlineStr">
        <is>
          <t>G000001</t>
        </is>
      </c>
      <c r="T191" t="inlineStr">
        <is>
          <t>Vertical</t>
        </is>
      </c>
      <c r="U191" t="n">
        <v>120</v>
      </c>
      <c r="V191" t="b">
        <v>1</v>
      </c>
      <c r="W191" t="inlineStr">
        <is>
          <t>Loan calculator!B17:B136</t>
        </is>
      </c>
      <c r="X191">
        <f>IFERROR(IF(LoanIsNotPaid*LoanIsGood,PaymentNumber,""), "")</f>
        <v/>
      </c>
    </row>
    <row r="192">
      <c r="A192" t="inlineStr">
        <is>
          <t>Loan calculator</t>
        </is>
      </c>
      <c r="B192" t="inlineStr">
        <is>
          <t>C17</t>
        </is>
      </c>
      <c r="C192" t="n">
        <v>17</v>
      </c>
      <c r="D192" t="n">
        <v>3</v>
      </c>
      <c r="E192" t="inlineStr">
        <is>
          <t>Output</t>
        </is>
      </c>
      <c r="F192" t="inlineStr">
        <is>
          <t>'=IFERROR(IF(LoanIsNotPaid*LoanIsGood,PaymentDate,LoanStartDate), LoanStartDate)</t>
        </is>
      </c>
      <c r="G192" s="1" t="n">
        <v>46117</v>
      </c>
      <c r="H192" t="inlineStr"/>
      <c r="I192" t="inlineStr">
        <is>
          <t>mm-dd-yy</t>
        </is>
      </c>
      <c r="J192" t="b">
        <v>0</v>
      </c>
      <c r="K192" t="b">
        <v>0</v>
      </c>
      <c r="L192" t="n">
        <v>9</v>
      </c>
      <c r="M192" t="inlineStr">
        <is>
          <t>Values must be of type &lt;class 'str'&gt;</t>
        </is>
      </c>
      <c r="N192" t="inlineStr">
        <is>
          <t>00000000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inlineStr">
        <is>
          <t>G000002</t>
        </is>
      </c>
      <c r="T192" t="inlineStr">
        <is>
          <t>Vertical</t>
        </is>
      </c>
      <c r="U192" t="n">
        <v>120</v>
      </c>
      <c r="V192" t="b">
        <v>1</v>
      </c>
      <c r="W192" t="inlineStr">
        <is>
          <t>Loan calculator!C17:C136</t>
        </is>
      </c>
      <c r="X192">
        <f>IFERROR(IF(LoanIsNotPaid*LoanIsGood,PaymentDate,LoanStartDate), LoanStartDate)</f>
        <v/>
      </c>
    </row>
    <row r="193">
      <c r="A193" t="inlineStr">
        <is>
          <t>Loan calculator</t>
        </is>
      </c>
      <c r="B193" t="inlineStr">
        <is>
          <t>D17</t>
        </is>
      </c>
      <c r="C193" t="n">
        <v>17</v>
      </c>
      <c r="D193" t="n">
        <v>4</v>
      </c>
      <c r="E193" t="inlineStr">
        <is>
          <t>Output</t>
        </is>
      </c>
      <c r="F193" t="inlineStr">
        <is>
          <t>'=IFERROR(IF(LoanIsNotPaid*LoanIsGood,LoanValue,""), "")</t>
        </is>
      </c>
      <c r="G193" t="n">
        <v>10000</v>
      </c>
      <c r="H193" t="inlineStr"/>
      <c r="I193" t="inlineStr">
        <is>
          <t>"$"#,##0.00</t>
        </is>
      </c>
      <c r="J193" t="b">
        <v>0</v>
      </c>
      <c r="K193" t="b">
        <v>0</v>
      </c>
      <c r="L193" t="n">
        <v>9</v>
      </c>
      <c r="M193" t="inlineStr">
        <is>
          <t>Values must be of type &lt;class 'str'&gt;</t>
        </is>
      </c>
      <c r="N193" t="inlineStr">
        <is>
          <t>00000000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inlineStr">
        <is>
          <t>G000003</t>
        </is>
      </c>
      <c r="T193" t="inlineStr">
        <is>
          <t>Vertical</t>
        </is>
      </c>
      <c r="U193" t="n">
        <v>120</v>
      </c>
      <c r="V193" t="b">
        <v>1</v>
      </c>
      <c r="W193" t="inlineStr">
        <is>
          <t>Loan calculator!D17:D136</t>
        </is>
      </c>
      <c r="X193">
        <f>IFERROR(IF(LoanIsNotPaid*LoanIsGood,LoanValue,""), "")</f>
        <v/>
      </c>
    </row>
    <row r="194">
      <c r="A194" t="inlineStr">
        <is>
          <t>Loan calculator</t>
        </is>
      </c>
      <c r="B194" t="inlineStr">
        <is>
          <t>E17</t>
        </is>
      </c>
      <c r="C194" t="n">
        <v>17</v>
      </c>
      <c r="D194" t="n">
        <v>5</v>
      </c>
      <c r="E194" t="inlineStr">
        <is>
          <t>Output</t>
        </is>
      </c>
      <c r="F194" t="inlineStr">
        <is>
          <t>'=IFERROR(IF(LoanIsNotPaid*LoanIsGood,MonthlyPayment,0), 0)</t>
        </is>
      </c>
      <c r="G194" t="n">
        <v>108.5262779604807</v>
      </c>
      <c r="H194" t="inlineStr"/>
      <c r="I194" t="inlineStr">
        <is>
          <t>"$"#,##0.00</t>
        </is>
      </c>
      <c r="J194" t="b">
        <v>0</v>
      </c>
      <c r="K194" t="b">
        <v>0</v>
      </c>
      <c r="L194" t="n">
        <v>9</v>
      </c>
      <c r="M194" t="inlineStr">
        <is>
          <t>Values must be of type &lt;class 'str'&gt;</t>
        </is>
      </c>
      <c r="N194" t="inlineStr">
        <is>
          <t>00000000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inlineStr">
        <is>
          <t>G000004</t>
        </is>
      </c>
      <c r="T194" t="inlineStr">
        <is>
          <t>Vertical</t>
        </is>
      </c>
      <c r="U194" t="n">
        <v>120</v>
      </c>
      <c r="V194" t="b">
        <v>1</v>
      </c>
      <c r="W194" t="inlineStr">
        <is>
          <t>Loan calculator!E17:E136</t>
        </is>
      </c>
      <c r="X194">
        <f>IFERROR(IF(LoanIsNotPaid*LoanIsGood,MonthlyPayment,0), 0)</f>
        <v/>
      </c>
    </row>
    <row r="195">
      <c r="A195" t="inlineStr">
        <is>
          <t>Loan calculator</t>
        </is>
      </c>
      <c r="B195" t="inlineStr">
        <is>
          <t>F17</t>
        </is>
      </c>
      <c r="C195" t="n">
        <v>17</v>
      </c>
      <c r="D195" t="n">
        <v>6</v>
      </c>
      <c r="E195" t="inlineStr">
        <is>
          <t>Output</t>
        </is>
      </c>
      <c r="F195" t="inlineStr">
        <is>
          <t>'=IFERROR(IF(LoanIsNotPaid*LoanIsGood,Principal,0), 0)</t>
        </is>
      </c>
      <c r="G195" t="n">
        <v>62.69294462714739</v>
      </c>
      <c r="H195" t="inlineStr"/>
      <c r="I195" t="inlineStr">
        <is>
          <t>"$"#,##0.00</t>
        </is>
      </c>
      <c r="J195" t="b">
        <v>0</v>
      </c>
      <c r="K195" t="b">
        <v>0</v>
      </c>
      <c r="L195" t="n">
        <v>9</v>
      </c>
      <c r="M195" t="inlineStr">
        <is>
          <t>Values must be of type &lt;class 'str'&gt;</t>
        </is>
      </c>
      <c r="N195" t="inlineStr">
        <is>
          <t>00000000</t>
        </is>
      </c>
      <c r="O195" t="inlineStr">
        <is>
          <t>center</t>
        </is>
      </c>
      <c r="P195" t="inlineStr">
        <is>
          <t>center</t>
        </is>
      </c>
      <c r="R195" t="b">
        <v>1</v>
      </c>
      <c r="S195" t="inlineStr">
        <is>
          <t>G000005</t>
        </is>
      </c>
      <c r="T195" t="inlineStr">
        <is>
          <t>Vertical</t>
        </is>
      </c>
      <c r="U195" t="n">
        <v>120</v>
      </c>
      <c r="V195" t="b">
        <v>1</v>
      </c>
      <c r="W195" t="inlineStr">
        <is>
          <t>Loan calculator!F17:F136</t>
        </is>
      </c>
      <c r="X195">
        <f>IFERROR(IF(LoanIsNotPaid*LoanIsGood,Principal,0), 0)</f>
        <v/>
      </c>
    </row>
    <row r="196">
      <c r="A196" t="inlineStr">
        <is>
          <t>Loan calculator</t>
        </is>
      </c>
      <c r="B196" t="inlineStr">
        <is>
          <t>G17</t>
        </is>
      </c>
      <c r="C196" t="n">
        <v>17</v>
      </c>
      <c r="D196" t="n">
        <v>7</v>
      </c>
      <c r="E196" t="inlineStr">
        <is>
          <t>Output</t>
        </is>
      </c>
      <c r="F196" t="inlineStr">
        <is>
          <t>'=IFERROR(IF(LoanIsNotPaid*LoanIsGood,InterestAmt,0), 0)</t>
        </is>
      </c>
      <c r="G196" t="n">
        <v>45.83333333333334</v>
      </c>
      <c r="H196" t="inlineStr"/>
      <c r="I196" t="inlineStr">
        <is>
          <t>"$"#,##0.00</t>
        </is>
      </c>
      <c r="J196" t="b">
        <v>0</v>
      </c>
      <c r="K196" t="b">
        <v>0</v>
      </c>
      <c r="L196" t="n">
        <v>9</v>
      </c>
      <c r="M196" t="inlineStr">
        <is>
          <t>Values must be of type &lt;class 'str'&gt;</t>
        </is>
      </c>
      <c r="N196" t="inlineStr">
        <is>
          <t>00000000</t>
        </is>
      </c>
      <c r="O196" t="inlineStr">
        <is>
          <t>center</t>
        </is>
      </c>
      <c r="P196" t="inlineStr">
        <is>
          <t>center</t>
        </is>
      </c>
      <c r="R196" t="b">
        <v>1</v>
      </c>
      <c r="S196" t="inlineStr">
        <is>
          <t>G000006</t>
        </is>
      </c>
      <c r="T196" t="inlineStr">
        <is>
          <t>Vertical</t>
        </is>
      </c>
      <c r="U196" t="n">
        <v>120</v>
      </c>
      <c r="V196" t="b">
        <v>1</v>
      </c>
      <c r="W196" t="inlineStr">
        <is>
          <t>Loan calculator!G17:G136</t>
        </is>
      </c>
      <c r="X196">
        <f>IFERROR(IF(LoanIsNotPaid*LoanIsGood,InterestAmt,0), 0)</f>
        <v/>
      </c>
    </row>
    <row r="197">
      <c r="A197" t="inlineStr">
        <is>
          <t>Loan calculator</t>
        </is>
      </c>
      <c r="B197" t="inlineStr">
        <is>
          <t>H17</t>
        </is>
      </c>
      <c r="C197" t="n">
        <v>17</v>
      </c>
      <c r="D197" t="n">
        <v>8</v>
      </c>
      <c r="E197" t="inlineStr">
        <is>
          <t>Output</t>
        </is>
      </c>
      <c r="F197" t="inlineStr">
        <is>
          <t>'=IFERROR(IF(LoanIsNotPaid*LoanIsGood,EndingBalance,0), 0)</t>
        </is>
      </c>
      <c r="G197" t="n">
        <v>9937.307055372852</v>
      </c>
      <c r="H197" t="inlineStr"/>
      <c r="I197" t="inlineStr">
        <is>
          <t>"$"#,##0.00</t>
        </is>
      </c>
      <c r="J197" t="b">
        <v>0</v>
      </c>
      <c r="K197" t="b">
        <v>0</v>
      </c>
      <c r="L197" t="n">
        <v>9</v>
      </c>
      <c r="M197" t="inlineStr">
        <is>
          <t>Values must be of type &lt;class 'str'&gt;</t>
        </is>
      </c>
      <c r="N197" t="inlineStr">
        <is>
          <t>00000000</t>
        </is>
      </c>
      <c r="O197" t="inlineStr">
        <is>
          <t>center</t>
        </is>
      </c>
      <c r="P197" t="inlineStr">
        <is>
          <t>center</t>
        </is>
      </c>
      <c r="R197" t="b">
        <v>1</v>
      </c>
      <c r="S197" t="inlineStr">
        <is>
          <t>G000007</t>
        </is>
      </c>
      <c r="T197" t="inlineStr">
        <is>
          <t>Vertical</t>
        </is>
      </c>
      <c r="U197" t="n">
        <v>120</v>
      </c>
      <c r="V197" t="b">
        <v>1</v>
      </c>
      <c r="W197" t="inlineStr">
        <is>
          <t>Loan calculator!H17:H136</t>
        </is>
      </c>
      <c r="X197">
        <f>IFERROR(IF(LoanIsNotPaid*LoanIsGood,EndingBalance,0), 0)</f>
        <v/>
      </c>
    </row>
    <row r="198">
      <c r="A198" t="inlineStr">
        <is>
          <t>Loan calculator</t>
        </is>
      </c>
      <c r="B198" t="inlineStr">
        <is>
          <t>I17</t>
        </is>
      </c>
      <c r="C198" t="n">
        <v>17</v>
      </c>
      <c r="D198" t="n">
        <v>9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11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n">
        <v/>
      </c>
      <c r="P198" t="inlineStr">
        <is>
          <t>center</t>
        </is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Loan calculator</t>
        </is>
      </c>
      <c r="B199" t="inlineStr">
        <is>
          <t>A18</t>
        </is>
      </c>
      <c r="C199" t="n">
        <v>18</v>
      </c>
      <c r="D199" t="n">
        <v>1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11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n">
        <v/>
      </c>
      <c r="P199" t="inlineStr">
        <is>
          <t>center</t>
        </is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Loan calculator</t>
        </is>
      </c>
      <c r="B200" t="inlineStr">
        <is>
          <t>B18</t>
        </is>
      </c>
      <c r="C200" t="n">
        <v>18</v>
      </c>
      <c r="D200" t="n">
        <v>2</v>
      </c>
      <c r="E200" t="inlineStr">
        <is>
          <t>Output</t>
        </is>
      </c>
      <c r="F200" t="inlineStr">
        <is>
          <t>'=IFERROR(IF(LoanIsNotPaid*LoanIsGood,PaymentNumber,""), "")</t>
        </is>
      </c>
      <c r="G200" t="n">
        <v>2</v>
      </c>
      <c r="H200" t="inlineStr"/>
      <c r="I200" t="inlineStr">
        <is>
          <t>#,##0</t>
        </is>
      </c>
      <c r="J200" t="b">
        <v>0</v>
      </c>
      <c r="K200" t="b">
        <v>0</v>
      </c>
      <c r="L200" t="n">
        <v>9</v>
      </c>
      <c r="M200" t="inlineStr">
        <is>
          <t>Values must be of type &lt;class 'str'&gt;</t>
        </is>
      </c>
      <c r="N200" t="inlineStr">
        <is>
          <t>00000000</t>
        </is>
      </c>
      <c r="O200" t="inlineStr">
        <is>
          <t>center</t>
        </is>
      </c>
      <c r="P200" t="inlineStr">
        <is>
          <t>center</t>
        </is>
      </c>
      <c r="R200" t="b">
        <v>1</v>
      </c>
      <c r="S200" t="inlineStr">
        <is>
          <t>G000001</t>
        </is>
      </c>
      <c r="T200" t="inlineStr">
        <is>
          <t>Vertical</t>
        </is>
      </c>
      <c r="U200" t="n">
        <v>120</v>
      </c>
      <c r="V200" t="b">
        <v>1</v>
      </c>
      <c r="W200" t="inlineStr">
        <is>
          <t>Loan calculator!B17:B136</t>
        </is>
      </c>
      <c r="X200">
        <f>IFERROR(IF(LoanIsNotPaid*LoanIsGood,PaymentNumber,""), "")</f>
        <v/>
      </c>
    </row>
    <row r="201">
      <c r="A201" t="inlineStr">
        <is>
          <t>Loan calculator</t>
        </is>
      </c>
      <c r="B201" t="inlineStr">
        <is>
          <t>C18</t>
        </is>
      </c>
      <c r="C201" t="n">
        <v>18</v>
      </c>
      <c r="D201" t="n">
        <v>3</v>
      </c>
      <c r="E201" t="inlineStr">
        <is>
          <t>Output</t>
        </is>
      </c>
      <c r="F201" t="inlineStr">
        <is>
          <t>'=IFERROR(IF(LoanIsNotPaid*LoanIsGood,PaymentDate,LoanStartDate), LoanStartDate)</t>
        </is>
      </c>
      <c r="G201" s="1" t="n">
        <v>46147</v>
      </c>
      <c r="H201" t="inlineStr"/>
      <c r="I201" t="inlineStr">
        <is>
          <t>mm-dd-yy</t>
        </is>
      </c>
      <c r="J201" t="b">
        <v>0</v>
      </c>
      <c r="K201" t="b">
        <v>0</v>
      </c>
      <c r="L201" t="n">
        <v>9</v>
      </c>
      <c r="M201" t="inlineStr">
        <is>
          <t>Values must be of type &lt;class 'str'&gt;</t>
        </is>
      </c>
      <c r="N201" t="inlineStr">
        <is>
          <t>00000000</t>
        </is>
      </c>
      <c r="O201" t="inlineStr">
        <is>
          <t>center</t>
        </is>
      </c>
      <c r="P201" t="inlineStr">
        <is>
          <t>center</t>
        </is>
      </c>
      <c r="R201" t="b">
        <v>1</v>
      </c>
      <c r="S201" t="inlineStr">
        <is>
          <t>G000002</t>
        </is>
      </c>
      <c r="T201" t="inlineStr">
        <is>
          <t>Vertical</t>
        </is>
      </c>
      <c r="U201" t="n">
        <v>120</v>
      </c>
      <c r="V201" t="b">
        <v>1</v>
      </c>
      <c r="W201" t="inlineStr">
        <is>
          <t>Loan calculator!C17:C136</t>
        </is>
      </c>
      <c r="X201">
        <f>IFERROR(IF(LoanIsNotPaid*LoanIsGood,PaymentDate,LoanStartDate), LoanStartDate)</f>
        <v/>
      </c>
    </row>
    <row r="202">
      <c r="A202" t="inlineStr">
        <is>
          <t>Loan calculator</t>
        </is>
      </c>
      <c r="B202" t="inlineStr">
        <is>
          <t>D18</t>
        </is>
      </c>
      <c r="C202" t="n">
        <v>18</v>
      </c>
      <c r="D202" t="n">
        <v>4</v>
      </c>
      <c r="E202" t="inlineStr">
        <is>
          <t>Output</t>
        </is>
      </c>
      <c r="F202" t="inlineStr">
        <is>
          <t>'=IFERROR(IF(LoanIsNotPaid*LoanIsGood,LoanValue,""), "")</t>
        </is>
      </c>
      <c r="G202" t="n">
        <v>9937.307055372852</v>
      </c>
      <c r="H202" t="inlineStr"/>
      <c r="I202" t="inlineStr">
        <is>
          <t>"$"#,##0.00</t>
        </is>
      </c>
      <c r="J202" t="b">
        <v>0</v>
      </c>
      <c r="K202" t="b">
        <v>0</v>
      </c>
      <c r="L202" t="n">
        <v>9</v>
      </c>
      <c r="M202" t="inlineStr">
        <is>
          <t>Values must be of type &lt;class 'str'&gt;</t>
        </is>
      </c>
      <c r="N202" t="inlineStr">
        <is>
          <t>00000000</t>
        </is>
      </c>
      <c r="O202" t="inlineStr">
        <is>
          <t>center</t>
        </is>
      </c>
      <c r="P202" t="inlineStr">
        <is>
          <t>center</t>
        </is>
      </c>
      <c r="R202" t="b">
        <v>1</v>
      </c>
      <c r="S202" t="inlineStr">
        <is>
          <t>G000003</t>
        </is>
      </c>
      <c r="T202" t="inlineStr">
        <is>
          <t>Vertical</t>
        </is>
      </c>
      <c r="U202" t="n">
        <v>120</v>
      </c>
      <c r="V202" t="b">
        <v>1</v>
      </c>
      <c r="W202" t="inlineStr">
        <is>
          <t>Loan calculator!D17:D136</t>
        </is>
      </c>
      <c r="X202">
        <f>IFERROR(IF(LoanIsNotPaid*LoanIsGood,LoanValue,""), "")</f>
        <v/>
      </c>
    </row>
    <row r="203">
      <c r="A203" t="inlineStr">
        <is>
          <t>Loan calculator</t>
        </is>
      </c>
      <c r="B203" t="inlineStr">
        <is>
          <t>E18</t>
        </is>
      </c>
      <c r="C203" t="n">
        <v>18</v>
      </c>
      <c r="D203" t="n">
        <v>5</v>
      </c>
      <c r="E203" t="inlineStr">
        <is>
          <t>Output</t>
        </is>
      </c>
      <c r="F203" t="inlineStr">
        <is>
          <t>'=IFERROR(IF(LoanIsNotPaid*LoanIsGood,MonthlyPayment,0), 0)</t>
        </is>
      </c>
      <c r="G203" t="n">
        <v>108.5262779604807</v>
      </c>
      <c r="H203" t="inlineStr"/>
      <c r="I203" t="inlineStr">
        <is>
          <t>"$"#,##0.00</t>
        </is>
      </c>
      <c r="J203" t="b">
        <v>0</v>
      </c>
      <c r="K203" t="b">
        <v>0</v>
      </c>
      <c r="L203" t="n">
        <v>9</v>
      </c>
      <c r="M203" t="inlineStr">
        <is>
          <t>Values must be of type &lt;class 'str'&gt;</t>
        </is>
      </c>
      <c r="N203" t="inlineStr">
        <is>
          <t>00000000</t>
        </is>
      </c>
      <c r="O203" t="inlineStr">
        <is>
          <t>center</t>
        </is>
      </c>
      <c r="P203" t="inlineStr">
        <is>
          <t>center</t>
        </is>
      </c>
      <c r="R203" t="b">
        <v>1</v>
      </c>
      <c r="S203" t="inlineStr">
        <is>
          <t>G000004</t>
        </is>
      </c>
      <c r="T203" t="inlineStr">
        <is>
          <t>Vertical</t>
        </is>
      </c>
      <c r="U203" t="n">
        <v>120</v>
      </c>
      <c r="V203" t="b">
        <v>1</v>
      </c>
      <c r="W203" t="inlineStr">
        <is>
          <t>Loan calculator!E17:E136</t>
        </is>
      </c>
      <c r="X203">
        <f>IFERROR(IF(LoanIsNotPaid*LoanIsGood,MonthlyPayment,0), 0)</f>
        <v/>
      </c>
    </row>
    <row r="204">
      <c r="A204" t="inlineStr">
        <is>
          <t>Loan calculator</t>
        </is>
      </c>
      <c r="B204" t="inlineStr">
        <is>
          <t>F18</t>
        </is>
      </c>
      <c r="C204" t="n">
        <v>18</v>
      </c>
      <c r="D204" t="n">
        <v>6</v>
      </c>
      <c r="E204" t="inlineStr">
        <is>
          <t>Output</t>
        </is>
      </c>
      <c r="F204" t="inlineStr">
        <is>
          <t>'=IFERROR(IF(LoanIsNotPaid*LoanIsGood,Principal,0), 0)</t>
        </is>
      </c>
      <c r="G204" t="n">
        <v>62.98028729002182</v>
      </c>
      <c r="H204" t="inlineStr"/>
      <c r="I204" t="inlineStr">
        <is>
          <t>"$"#,##0.00</t>
        </is>
      </c>
      <c r="J204" t="b">
        <v>0</v>
      </c>
      <c r="K204" t="b">
        <v>0</v>
      </c>
      <c r="L204" t="n">
        <v>9</v>
      </c>
      <c r="M204" t="inlineStr">
        <is>
          <t>Values must be of type &lt;class 'str'&gt;</t>
        </is>
      </c>
      <c r="N204" t="inlineStr">
        <is>
          <t>00000000</t>
        </is>
      </c>
      <c r="O204" t="inlineStr">
        <is>
          <t>center</t>
        </is>
      </c>
      <c r="P204" t="inlineStr">
        <is>
          <t>center</t>
        </is>
      </c>
      <c r="R204" t="b">
        <v>1</v>
      </c>
      <c r="S204" t="inlineStr">
        <is>
          <t>G000005</t>
        </is>
      </c>
      <c r="T204" t="inlineStr">
        <is>
          <t>Vertical</t>
        </is>
      </c>
      <c r="U204" t="n">
        <v>120</v>
      </c>
      <c r="V204" t="b">
        <v>1</v>
      </c>
      <c r="W204" t="inlineStr">
        <is>
          <t>Loan calculator!F17:F136</t>
        </is>
      </c>
      <c r="X204">
        <f>IFERROR(IF(LoanIsNotPaid*LoanIsGood,Principal,0), 0)</f>
        <v/>
      </c>
    </row>
    <row r="205">
      <c r="A205" t="inlineStr">
        <is>
          <t>Loan calculator</t>
        </is>
      </c>
      <c r="B205" t="inlineStr">
        <is>
          <t>G18</t>
        </is>
      </c>
      <c r="C205" t="n">
        <v>18</v>
      </c>
      <c r="D205" t="n">
        <v>7</v>
      </c>
      <c r="E205" t="inlineStr">
        <is>
          <t>Output</t>
        </is>
      </c>
      <c r="F205" t="inlineStr">
        <is>
          <t>'=IFERROR(IF(LoanIsNotPaid*LoanIsGood,InterestAmt,0), 0)</t>
        </is>
      </c>
      <c r="G205" t="n">
        <v>45.54599067045891</v>
      </c>
      <c r="H205" t="inlineStr"/>
      <c r="I205" t="inlineStr">
        <is>
          <t>"$"#,##0.00</t>
        </is>
      </c>
      <c r="J205" t="b">
        <v>0</v>
      </c>
      <c r="K205" t="b">
        <v>0</v>
      </c>
      <c r="L205" t="n">
        <v>9</v>
      </c>
      <c r="M205" t="inlineStr">
        <is>
          <t>Values must be of type &lt;class 'str'&gt;</t>
        </is>
      </c>
      <c r="N205" t="inlineStr">
        <is>
          <t>00000000</t>
        </is>
      </c>
      <c r="O205" t="inlineStr">
        <is>
          <t>center</t>
        </is>
      </c>
      <c r="P205" t="inlineStr">
        <is>
          <t>center</t>
        </is>
      </c>
      <c r="R205" t="b">
        <v>1</v>
      </c>
      <c r="S205" t="inlineStr">
        <is>
          <t>G000006</t>
        </is>
      </c>
      <c r="T205" t="inlineStr">
        <is>
          <t>Vertical</t>
        </is>
      </c>
      <c r="U205" t="n">
        <v>120</v>
      </c>
      <c r="V205" t="b">
        <v>1</v>
      </c>
      <c r="W205" t="inlineStr">
        <is>
          <t>Loan calculator!G17:G136</t>
        </is>
      </c>
      <c r="X205">
        <f>IFERROR(IF(LoanIsNotPaid*LoanIsGood,InterestAmt,0), 0)</f>
        <v/>
      </c>
    </row>
    <row r="206">
      <c r="A206" t="inlineStr">
        <is>
          <t>Loan calculator</t>
        </is>
      </c>
      <c r="B206" t="inlineStr">
        <is>
          <t>H18</t>
        </is>
      </c>
      <c r="C206" t="n">
        <v>18</v>
      </c>
      <c r="D206" t="n">
        <v>8</v>
      </c>
      <c r="E206" t="inlineStr">
        <is>
          <t>Output</t>
        </is>
      </c>
      <c r="F206" t="inlineStr">
        <is>
          <t>'=IFERROR(IF(LoanIsNotPaid*LoanIsGood,EndingBalance,0), 0)</t>
        </is>
      </c>
      <c r="G206" t="n">
        <v>9874.32676808283</v>
      </c>
      <c r="H206" t="inlineStr"/>
      <c r="I206" t="inlineStr">
        <is>
          <t>"$"#,##0.00</t>
        </is>
      </c>
      <c r="J206" t="b">
        <v>0</v>
      </c>
      <c r="K206" t="b">
        <v>0</v>
      </c>
      <c r="L206" t="n">
        <v>9</v>
      </c>
      <c r="M206" t="inlineStr">
        <is>
          <t>Values must be of type &lt;class 'str'&gt;</t>
        </is>
      </c>
      <c r="N206" t="inlineStr">
        <is>
          <t>00000000</t>
        </is>
      </c>
      <c r="O206" t="inlineStr">
        <is>
          <t>center</t>
        </is>
      </c>
      <c r="P206" t="inlineStr">
        <is>
          <t>center</t>
        </is>
      </c>
      <c r="R206" t="b">
        <v>1</v>
      </c>
      <c r="S206" t="inlineStr">
        <is>
          <t>G000007</t>
        </is>
      </c>
      <c r="T206" t="inlineStr">
        <is>
          <t>Vertical</t>
        </is>
      </c>
      <c r="U206" t="n">
        <v>120</v>
      </c>
      <c r="V206" t="b">
        <v>1</v>
      </c>
      <c r="W206" t="inlineStr">
        <is>
          <t>Loan calculator!H17:H136</t>
        </is>
      </c>
      <c r="X206">
        <f>IFERROR(IF(LoanIsNotPaid*LoanIsGood,EndingBalance,0), 0)</f>
        <v/>
      </c>
    </row>
    <row r="207">
      <c r="A207" t="inlineStr">
        <is>
          <t>Loan calculator</t>
        </is>
      </c>
      <c r="B207" t="inlineStr">
        <is>
          <t>I18</t>
        </is>
      </c>
      <c r="C207" t="n">
        <v>18</v>
      </c>
      <c r="D207" t="n">
        <v>9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11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n">
        <v/>
      </c>
      <c r="P207" t="inlineStr">
        <is>
          <t>center</t>
        </is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Loan calculator</t>
        </is>
      </c>
      <c r="B208" t="inlineStr">
        <is>
          <t>A19</t>
        </is>
      </c>
      <c r="C208" t="n">
        <v>19</v>
      </c>
      <c r="D208" t="n">
        <v>1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11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n">
        <v/>
      </c>
      <c r="P208" t="inlineStr">
        <is>
          <t>center</t>
        </is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Loan calculator</t>
        </is>
      </c>
      <c r="B209" t="inlineStr">
        <is>
          <t>B19</t>
        </is>
      </c>
      <c r="C209" t="n">
        <v>19</v>
      </c>
      <c r="D209" t="n">
        <v>2</v>
      </c>
      <c r="E209" t="inlineStr">
        <is>
          <t>Output</t>
        </is>
      </c>
      <c r="F209" t="inlineStr">
        <is>
          <t>'=IFERROR(IF(LoanIsNotPaid*LoanIsGood,PaymentNumber,""), "")</t>
        </is>
      </c>
      <c r="G209" t="n">
        <v>3</v>
      </c>
      <c r="H209" t="inlineStr"/>
      <c r="I209" t="inlineStr">
        <is>
          <t>#,##0</t>
        </is>
      </c>
      <c r="J209" t="b">
        <v>0</v>
      </c>
      <c r="K209" t="b">
        <v>0</v>
      </c>
      <c r="L209" t="n">
        <v>9</v>
      </c>
      <c r="M209" t="inlineStr">
        <is>
          <t>Values must be of type &lt;class 'str'&gt;</t>
        </is>
      </c>
      <c r="N209" t="inlineStr">
        <is>
          <t>00000000</t>
        </is>
      </c>
      <c r="O209" t="inlineStr">
        <is>
          <t>center</t>
        </is>
      </c>
      <c r="P209" t="inlineStr">
        <is>
          <t>center</t>
        </is>
      </c>
      <c r="R209" t="b">
        <v>1</v>
      </c>
      <c r="S209" t="inlineStr">
        <is>
          <t>G000001</t>
        </is>
      </c>
      <c r="T209" t="inlineStr">
        <is>
          <t>Vertical</t>
        </is>
      </c>
      <c r="U209" t="n">
        <v>120</v>
      </c>
      <c r="V209" t="b">
        <v>1</v>
      </c>
      <c r="W209" t="inlineStr">
        <is>
          <t>Loan calculator!B17:B136</t>
        </is>
      </c>
      <c r="X209">
        <f>IFERROR(IF(LoanIsNotPaid*LoanIsGood,PaymentNumber,""), "")</f>
        <v/>
      </c>
    </row>
    <row r="210">
      <c r="A210" t="inlineStr">
        <is>
          <t>Loan calculator</t>
        </is>
      </c>
      <c r="B210" t="inlineStr">
        <is>
          <t>C19</t>
        </is>
      </c>
      <c r="C210" t="n">
        <v>19</v>
      </c>
      <c r="D210" t="n">
        <v>3</v>
      </c>
      <c r="E210" t="inlineStr">
        <is>
          <t>Output</t>
        </is>
      </c>
      <c r="F210" t="inlineStr">
        <is>
          <t>'=IFERROR(IF(LoanIsNotPaid*LoanIsGood,PaymentDate,LoanStartDate), LoanStartDate)</t>
        </is>
      </c>
      <c r="G210" s="1" t="n">
        <v>46178</v>
      </c>
      <c r="H210" t="inlineStr"/>
      <c r="I210" t="inlineStr">
        <is>
          <t>mm-dd-yy</t>
        </is>
      </c>
      <c r="J210" t="b">
        <v>0</v>
      </c>
      <c r="K210" t="b">
        <v>0</v>
      </c>
      <c r="L210" t="n">
        <v>9</v>
      </c>
      <c r="M210" t="inlineStr">
        <is>
          <t>Values must be of type &lt;class 'str'&gt;</t>
        </is>
      </c>
      <c r="N210" t="inlineStr">
        <is>
          <t>00000000</t>
        </is>
      </c>
      <c r="O210" t="inlineStr">
        <is>
          <t>center</t>
        </is>
      </c>
      <c r="P210" t="inlineStr">
        <is>
          <t>center</t>
        </is>
      </c>
      <c r="R210" t="b">
        <v>1</v>
      </c>
      <c r="S210" t="inlineStr">
        <is>
          <t>G000002</t>
        </is>
      </c>
      <c r="T210" t="inlineStr">
        <is>
          <t>Vertical</t>
        </is>
      </c>
      <c r="U210" t="n">
        <v>120</v>
      </c>
      <c r="V210" t="b">
        <v>1</v>
      </c>
      <c r="W210" t="inlineStr">
        <is>
          <t>Loan calculator!C17:C136</t>
        </is>
      </c>
      <c r="X210">
        <f>IFERROR(IF(LoanIsNotPaid*LoanIsGood,PaymentDate,LoanStartDate), LoanStartDate)</f>
        <v/>
      </c>
    </row>
    <row r="211">
      <c r="A211" t="inlineStr">
        <is>
          <t>Loan calculator</t>
        </is>
      </c>
      <c r="B211" t="inlineStr">
        <is>
          <t>D19</t>
        </is>
      </c>
      <c r="C211" t="n">
        <v>19</v>
      </c>
      <c r="D211" t="n">
        <v>4</v>
      </c>
      <c r="E211" t="inlineStr">
        <is>
          <t>Output</t>
        </is>
      </c>
      <c r="F211" t="inlineStr">
        <is>
          <t>'=IFERROR(IF(LoanIsNotPaid*LoanIsGood,LoanValue,""), "")</t>
        </is>
      </c>
      <c r="G211" t="n">
        <v>9874.32676808283</v>
      </c>
      <c r="H211" t="inlineStr"/>
      <c r="I211" t="inlineStr">
        <is>
          <t>"$"#,##0.00</t>
        </is>
      </c>
      <c r="J211" t="b">
        <v>0</v>
      </c>
      <c r="K211" t="b">
        <v>0</v>
      </c>
      <c r="L211" t="n">
        <v>9</v>
      </c>
      <c r="M211" t="inlineStr">
        <is>
          <t>Values must be of type &lt;class 'str'&gt;</t>
        </is>
      </c>
      <c r="N211" t="inlineStr">
        <is>
          <t>00000000</t>
        </is>
      </c>
      <c r="O211" t="inlineStr">
        <is>
          <t>center</t>
        </is>
      </c>
      <c r="P211" t="inlineStr">
        <is>
          <t>center</t>
        </is>
      </c>
      <c r="R211" t="b">
        <v>1</v>
      </c>
      <c r="S211" t="inlineStr">
        <is>
          <t>G000003</t>
        </is>
      </c>
      <c r="T211" t="inlineStr">
        <is>
          <t>Vertical</t>
        </is>
      </c>
      <c r="U211" t="n">
        <v>120</v>
      </c>
      <c r="V211" t="b">
        <v>1</v>
      </c>
      <c r="W211" t="inlineStr">
        <is>
          <t>Loan calculator!D17:D136</t>
        </is>
      </c>
      <c r="X211">
        <f>IFERROR(IF(LoanIsNotPaid*LoanIsGood,LoanValue,""), "")</f>
        <v/>
      </c>
    </row>
    <row r="212">
      <c r="A212" t="inlineStr">
        <is>
          <t>Loan calculator</t>
        </is>
      </c>
      <c r="B212" t="inlineStr">
        <is>
          <t>E19</t>
        </is>
      </c>
      <c r="C212" t="n">
        <v>19</v>
      </c>
      <c r="D212" t="n">
        <v>5</v>
      </c>
      <c r="E212" t="inlineStr">
        <is>
          <t>Output</t>
        </is>
      </c>
      <c r="F212" t="inlineStr">
        <is>
          <t>'=IFERROR(IF(LoanIsNotPaid*LoanIsGood,MonthlyPayment,0), 0)</t>
        </is>
      </c>
      <c r="G212" t="n">
        <v>108.5262779604807</v>
      </c>
      <c r="H212" t="inlineStr"/>
      <c r="I212" t="inlineStr">
        <is>
          <t>"$"#,##0.00</t>
        </is>
      </c>
      <c r="J212" t="b">
        <v>0</v>
      </c>
      <c r="K212" t="b">
        <v>0</v>
      </c>
      <c r="L212" t="n">
        <v>9</v>
      </c>
      <c r="M212" t="inlineStr">
        <is>
          <t>Values must be of type &lt;class 'str'&gt;</t>
        </is>
      </c>
      <c r="N212" t="inlineStr">
        <is>
          <t>00000000</t>
        </is>
      </c>
      <c r="O212" t="inlineStr">
        <is>
          <t>center</t>
        </is>
      </c>
      <c r="P212" t="inlineStr">
        <is>
          <t>center</t>
        </is>
      </c>
      <c r="R212" t="b">
        <v>1</v>
      </c>
      <c r="S212" t="inlineStr">
        <is>
          <t>G000004</t>
        </is>
      </c>
      <c r="T212" t="inlineStr">
        <is>
          <t>Vertical</t>
        </is>
      </c>
      <c r="U212" t="n">
        <v>120</v>
      </c>
      <c r="V212" t="b">
        <v>1</v>
      </c>
      <c r="W212" t="inlineStr">
        <is>
          <t>Loan calculator!E17:E136</t>
        </is>
      </c>
      <c r="X212">
        <f>IFERROR(IF(LoanIsNotPaid*LoanIsGood,MonthlyPayment,0), 0)</f>
        <v/>
      </c>
    </row>
    <row r="213">
      <c r="A213" t="inlineStr">
        <is>
          <t>Loan calculator</t>
        </is>
      </c>
      <c r="B213" t="inlineStr">
        <is>
          <t>F19</t>
        </is>
      </c>
      <c r="C213" t="n">
        <v>19</v>
      </c>
      <c r="D213" t="n">
        <v>6</v>
      </c>
      <c r="E213" t="inlineStr">
        <is>
          <t>Output</t>
        </is>
      </c>
      <c r="F213" t="inlineStr">
        <is>
          <t>'=IFERROR(IF(LoanIsNotPaid*LoanIsGood,Principal,0), 0)</t>
        </is>
      </c>
      <c r="G213" t="n">
        <v>63.2689469401011</v>
      </c>
      <c r="H213" t="inlineStr"/>
      <c r="I213" t="inlineStr">
        <is>
          <t>"$"#,##0.00</t>
        </is>
      </c>
      <c r="J213" t="b">
        <v>0</v>
      </c>
      <c r="K213" t="b">
        <v>0</v>
      </c>
      <c r="L213" t="n">
        <v>9</v>
      </c>
      <c r="M213" t="inlineStr">
        <is>
          <t>Values must be of type &lt;class 'str'&gt;</t>
        </is>
      </c>
      <c r="N213" t="inlineStr">
        <is>
          <t>00000000</t>
        </is>
      </c>
      <c r="O213" t="inlineStr">
        <is>
          <t>center</t>
        </is>
      </c>
      <c r="P213" t="inlineStr">
        <is>
          <t>center</t>
        </is>
      </c>
      <c r="R213" t="b">
        <v>1</v>
      </c>
      <c r="S213" t="inlineStr">
        <is>
          <t>G000005</t>
        </is>
      </c>
      <c r="T213" t="inlineStr">
        <is>
          <t>Vertical</t>
        </is>
      </c>
      <c r="U213" t="n">
        <v>120</v>
      </c>
      <c r="V213" t="b">
        <v>1</v>
      </c>
      <c r="W213" t="inlineStr">
        <is>
          <t>Loan calculator!F17:F136</t>
        </is>
      </c>
      <c r="X213">
        <f>IFERROR(IF(LoanIsNotPaid*LoanIsGood,Principal,0), 0)</f>
        <v/>
      </c>
    </row>
    <row r="214">
      <c r="A214" t="inlineStr">
        <is>
          <t>Loan calculator</t>
        </is>
      </c>
      <c r="B214" t="inlineStr">
        <is>
          <t>G19</t>
        </is>
      </c>
      <c r="C214" t="n">
        <v>19</v>
      </c>
      <c r="D214" t="n">
        <v>7</v>
      </c>
      <c r="E214" t="inlineStr">
        <is>
          <t>Output</t>
        </is>
      </c>
      <c r="F214" t="inlineStr">
        <is>
          <t>'=IFERROR(IF(LoanIsNotPaid*LoanIsGood,InterestAmt,0), 0)</t>
        </is>
      </c>
      <c r="G214" t="n">
        <v>45.25733102037965</v>
      </c>
      <c r="H214" t="inlineStr"/>
      <c r="I214" t="inlineStr">
        <is>
          <t>"$"#,##0.00</t>
        </is>
      </c>
      <c r="J214" t="b">
        <v>0</v>
      </c>
      <c r="K214" t="b">
        <v>0</v>
      </c>
      <c r="L214" t="n">
        <v>9</v>
      </c>
      <c r="M214" t="inlineStr">
        <is>
          <t>Values must be of type &lt;class 'str'&gt;</t>
        </is>
      </c>
      <c r="N214" t="inlineStr">
        <is>
          <t>00000000</t>
        </is>
      </c>
      <c r="O214" t="inlineStr">
        <is>
          <t>center</t>
        </is>
      </c>
      <c r="P214" t="inlineStr">
        <is>
          <t>center</t>
        </is>
      </c>
      <c r="R214" t="b">
        <v>1</v>
      </c>
      <c r="S214" t="inlineStr">
        <is>
          <t>G000006</t>
        </is>
      </c>
      <c r="T214" t="inlineStr">
        <is>
          <t>Vertical</t>
        </is>
      </c>
      <c r="U214" t="n">
        <v>120</v>
      </c>
      <c r="V214" t="b">
        <v>1</v>
      </c>
      <c r="W214" t="inlineStr">
        <is>
          <t>Loan calculator!G17:G136</t>
        </is>
      </c>
      <c r="X214">
        <f>IFERROR(IF(LoanIsNotPaid*LoanIsGood,InterestAmt,0), 0)</f>
        <v/>
      </c>
    </row>
    <row r="215">
      <c r="A215" t="inlineStr">
        <is>
          <t>Loan calculator</t>
        </is>
      </c>
      <c r="B215" t="inlineStr">
        <is>
          <t>H19</t>
        </is>
      </c>
      <c r="C215" t="n">
        <v>19</v>
      </c>
      <c r="D215" t="n">
        <v>8</v>
      </c>
      <c r="E215" t="inlineStr">
        <is>
          <t>Output</t>
        </is>
      </c>
      <c r="F215" t="inlineStr">
        <is>
          <t>'=IFERROR(IF(LoanIsNotPaid*LoanIsGood,EndingBalance,0), 0)</t>
        </is>
      </c>
      <c r="G215" t="n">
        <v>9811.057821142729</v>
      </c>
      <c r="H215" t="inlineStr"/>
      <c r="I215" t="inlineStr">
        <is>
          <t>"$"#,##0.00</t>
        </is>
      </c>
      <c r="J215" t="b">
        <v>0</v>
      </c>
      <c r="K215" t="b">
        <v>0</v>
      </c>
      <c r="L215" t="n">
        <v>9</v>
      </c>
      <c r="M215" t="inlineStr">
        <is>
          <t>Values must be of type &lt;class 'str'&gt;</t>
        </is>
      </c>
      <c r="N215" t="inlineStr">
        <is>
          <t>00000000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inlineStr">
        <is>
          <t>G000007</t>
        </is>
      </c>
      <c r="T215" t="inlineStr">
        <is>
          <t>Vertical</t>
        </is>
      </c>
      <c r="U215" t="n">
        <v>120</v>
      </c>
      <c r="V215" t="b">
        <v>1</v>
      </c>
      <c r="W215" t="inlineStr">
        <is>
          <t>Loan calculator!H17:H136</t>
        </is>
      </c>
      <c r="X215">
        <f>IFERROR(IF(LoanIsNotPaid*LoanIsGood,EndingBalance,0), 0)</f>
        <v/>
      </c>
    </row>
    <row r="216">
      <c r="A216" t="inlineStr">
        <is>
          <t>Loan calculator</t>
        </is>
      </c>
      <c r="B216" t="inlineStr">
        <is>
          <t>I19</t>
        </is>
      </c>
      <c r="C216" t="n">
        <v>19</v>
      </c>
      <c r="D216" t="n">
        <v>9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11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n">
        <v/>
      </c>
      <c r="P216" t="inlineStr">
        <is>
          <t>center</t>
        </is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Loan calculator</t>
        </is>
      </c>
      <c r="B217" t="inlineStr">
        <is>
          <t>A20</t>
        </is>
      </c>
      <c r="C217" t="n">
        <v>20</v>
      </c>
      <c r="D217" t="n">
        <v>1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11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n">
        <v/>
      </c>
      <c r="P217" t="inlineStr">
        <is>
          <t>center</t>
        </is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Loan calculator</t>
        </is>
      </c>
      <c r="B218" t="inlineStr">
        <is>
          <t>B20</t>
        </is>
      </c>
      <c r="C218" t="n">
        <v>20</v>
      </c>
      <c r="D218" t="n">
        <v>2</v>
      </c>
      <c r="E218" t="inlineStr">
        <is>
          <t>Output</t>
        </is>
      </c>
      <c r="F218" t="inlineStr">
        <is>
          <t>'=IFERROR(IF(LoanIsNotPaid*LoanIsGood,PaymentNumber,""), "")</t>
        </is>
      </c>
      <c r="G218" t="n">
        <v>4</v>
      </c>
      <c r="H218" t="inlineStr"/>
      <c r="I218" t="inlineStr">
        <is>
          <t>#,##0</t>
        </is>
      </c>
      <c r="J218" t="b">
        <v>0</v>
      </c>
      <c r="K218" t="b">
        <v>0</v>
      </c>
      <c r="L218" t="n">
        <v>9</v>
      </c>
      <c r="M218" t="inlineStr">
        <is>
          <t>Values must be of type &lt;class 'str'&gt;</t>
        </is>
      </c>
      <c r="N218" t="inlineStr">
        <is>
          <t>00000000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inlineStr">
        <is>
          <t>G000001</t>
        </is>
      </c>
      <c r="T218" t="inlineStr">
        <is>
          <t>Vertical</t>
        </is>
      </c>
      <c r="U218" t="n">
        <v>120</v>
      </c>
      <c r="V218" t="b">
        <v>1</v>
      </c>
      <c r="W218" t="inlineStr">
        <is>
          <t>Loan calculator!B17:B136</t>
        </is>
      </c>
      <c r="X218">
        <f>IFERROR(IF(LoanIsNotPaid*LoanIsGood,PaymentNumber,""), "")</f>
        <v/>
      </c>
    </row>
    <row r="219">
      <c r="A219" t="inlineStr">
        <is>
          <t>Loan calculator</t>
        </is>
      </c>
      <c r="B219" t="inlineStr">
        <is>
          <t>C20</t>
        </is>
      </c>
      <c r="C219" t="n">
        <v>20</v>
      </c>
      <c r="D219" t="n">
        <v>3</v>
      </c>
      <c r="E219" t="inlineStr">
        <is>
          <t>Output</t>
        </is>
      </c>
      <c r="F219" t="inlineStr">
        <is>
          <t>'=IFERROR(IF(LoanIsNotPaid*LoanIsGood,PaymentDate,LoanStartDate), LoanStartDate)</t>
        </is>
      </c>
      <c r="G219" s="1" t="n">
        <v>46208</v>
      </c>
      <c r="H219" t="inlineStr"/>
      <c r="I219" t="inlineStr">
        <is>
          <t>mm-dd-yy</t>
        </is>
      </c>
      <c r="J219" t="b">
        <v>0</v>
      </c>
      <c r="K219" t="b">
        <v>0</v>
      </c>
      <c r="L219" t="n">
        <v>9</v>
      </c>
      <c r="M219" t="inlineStr">
        <is>
          <t>Values must be of type &lt;class 'str'&gt;</t>
        </is>
      </c>
      <c r="N219" t="inlineStr">
        <is>
          <t>00000000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inlineStr">
        <is>
          <t>G000002</t>
        </is>
      </c>
      <c r="T219" t="inlineStr">
        <is>
          <t>Vertical</t>
        </is>
      </c>
      <c r="U219" t="n">
        <v>120</v>
      </c>
      <c r="V219" t="b">
        <v>1</v>
      </c>
      <c r="W219" t="inlineStr">
        <is>
          <t>Loan calculator!C17:C136</t>
        </is>
      </c>
      <c r="X219">
        <f>IFERROR(IF(LoanIsNotPaid*LoanIsGood,PaymentDate,LoanStartDate), LoanStartDate)</f>
        <v/>
      </c>
    </row>
    <row r="220">
      <c r="A220" t="inlineStr">
        <is>
          <t>Loan calculator</t>
        </is>
      </c>
      <c r="B220" t="inlineStr">
        <is>
          <t>D20</t>
        </is>
      </c>
      <c r="C220" t="n">
        <v>20</v>
      </c>
      <c r="D220" t="n">
        <v>4</v>
      </c>
      <c r="E220" t="inlineStr">
        <is>
          <t>Output</t>
        </is>
      </c>
      <c r="F220" t="inlineStr">
        <is>
          <t>'=IFERROR(IF(LoanIsNotPaid*LoanIsGood,LoanValue,""), "")</t>
        </is>
      </c>
      <c r="G220" t="n">
        <v>9811.057821142729</v>
      </c>
      <c r="H220" t="inlineStr"/>
      <c r="I220" t="inlineStr">
        <is>
          <t>"$"#,##0.00</t>
        </is>
      </c>
      <c r="J220" t="b">
        <v>0</v>
      </c>
      <c r="K220" t="b">
        <v>0</v>
      </c>
      <c r="L220" t="n">
        <v>9</v>
      </c>
      <c r="M220" t="inlineStr">
        <is>
          <t>Values must be of type &lt;class 'str'&gt;</t>
        </is>
      </c>
      <c r="N220" t="inlineStr">
        <is>
          <t>00000000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inlineStr">
        <is>
          <t>G000003</t>
        </is>
      </c>
      <c r="T220" t="inlineStr">
        <is>
          <t>Vertical</t>
        </is>
      </c>
      <c r="U220" t="n">
        <v>120</v>
      </c>
      <c r="V220" t="b">
        <v>1</v>
      </c>
      <c r="W220" t="inlineStr">
        <is>
          <t>Loan calculator!D17:D136</t>
        </is>
      </c>
      <c r="X220">
        <f>IFERROR(IF(LoanIsNotPaid*LoanIsGood,LoanValue,""), "")</f>
        <v/>
      </c>
    </row>
    <row r="221">
      <c r="A221" t="inlineStr">
        <is>
          <t>Loan calculator</t>
        </is>
      </c>
      <c r="B221" t="inlineStr">
        <is>
          <t>E20</t>
        </is>
      </c>
      <c r="C221" t="n">
        <v>20</v>
      </c>
      <c r="D221" t="n">
        <v>5</v>
      </c>
      <c r="E221" t="inlineStr">
        <is>
          <t>Output</t>
        </is>
      </c>
      <c r="F221" t="inlineStr">
        <is>
          <t>'=IFERROR(IF(LoanIsNotPaid*LoanIsGood,MonthlyPayment,0), 0)</t>
        </is>
      </c>
      <c r="G221" t="n">
        <v>108.5262779604807</v>
      </c>
      <c r="H221" t="inlineStr"/>
      <c r="I221" t="inlineStr">
        <is>
          <t>"$"#,##0.00</t>
        </is>
      </c>
      <c r="J221" t="b">
        <v>0</v>
      </c>
      <c r="K221" t="b">
        <v>0</v>
      </c>
      <c r="L221" t="n">
        <v>9</v>
      </c>
      <c r="M221" t="inlineStr">
        <is>
          <t>Values must be of type &lt;class 'str'&gt;</t>
        </is>
      </c>
      <c r="N221" t="inlineStr">
        <is>
          <t>00000000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inlineStr">
        <is>
          <t>G000004</t>
        </is>
      </c>
      <c r="T221" t="inlineStr">
        <is>
          <t>Vertical</t>
        </is>
      </c>
      <c r="U221" t="n">
        <v>120</v>
      </c>
      <c r="V221" t="b">
        <v>1</v>
      </c>
      <c r="W221" t="inlineStr">
        <is>
          <t>Loan calculator!E17:E136</t>
        </is>
      </c>
      <c r="X221">
        <f>IFERROR(IF(LoanIsNotPaid*LoanIsGood,MonthlyPayment,0), 0)</f>
        <v/>
      </c>
    </row>
    <row r="222">
      <c r="A222" t="inlineStr">
        <is>
          <t>Loan calculator</t>
        </is>
      </c>
      <c r="B222" t="inlineStr">
        <is>
          <t>F20</t>
        </is>
      </c>
      <c r="C222" t="n">
        <v>20</v>
      </c>
      <c r="D222" t="n">
        <v>6</v>
      </c>
      <c r="E222" t="inlineStr">
        <is>
          <t>Output</t>
        </is>
      </c>
      <c r="F222" t="inlineStr">
        <is>
          <t>'=IFERROR(IF(LoanIsNotPaid*LoanIsGood,Principal,0), 0)</t>
        </is>
      </c>
      <c r="G222" t="n">
        <v>63.55892961357656</v>
      </c>
      <c r="H222" t="inlineStr"/>
      <c r="I222" t="inlineStr">
        <is>
          <t>"$"#,##0.00</t>
        </is>
      </c>
      <c r="J222" t="b">
        <v>0</v>
      </c>
      <c r="K222" t="b">
        <v>0</v>
      </c>
      <c r="L222" t="n">
        <v>9</v>
      </c>
      <c r="M222" t="inlineStr">
        <is>
          <t>Values must be of type &lt;class 'str'&gt;</t>
        </is>
      </c>
      <c r="N222" t="inlineStr">
        <is>
          <t>00000000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S222" t="inlineStr">
        <is>
          <t>G000005</t>
        </is>
      </c>
      <c r="T222" t="inlineStr">
        <is>
          <t>Vertical</t>
        </is>
      </c>
      <c r="U222" t="n">
        <v>120</v>
      </c>
      <c r="V222" t="b">
        <v>1</v>
      </c>
      <c r="W222" t="inlineStr">
        <is>
          <t>Loan calculator!F17:F136</t>
        </is>
      </c>
      <c r="X222">
        <f>IFERROR(IF(LoanIsNotPaid*LoanIsGood,Principal,0), 0)</f>
        <v/>
      </c>
    </row>
    <row r="223">
      <c r="A223" t="inlineStr">
        <is>
          <t>Loan calculator</t>
        </is>
      </c>
      <c r="B223" t="inlineStr">
        <is>
          <t>G20</t>
        </is>
      </c>
      <c r="C223" t="n">
        <v>20</v>
      </c>
      <c r="D223" t="n">
        <v>7</v>
      </c>
      <c r="E223" t="inlineStr">
        <is>
          <t>Output</t>
        </is>
      </c>
      <c r="F223" t="inlineStr">
        <is>
          <t>'=IFERROR(IF(LoanIsNotPaid*LoanIsGood,InterestAmt,0), 0)</t>
        </is>
      </c>
      <c r="G223" t="n">
        <v>44.96734834690417</v>
      </c>
      <c r="H223" t="inlineStr"/>
      <c r="I223" t="inlineStr">
        <is>
          <t>"$"#,##0.00</t>
        </is>
      </c>
      <c r="J223" t="b">
        <v>0</v>
      </c>
      <c r="K223" t="b">
        <v>0</v>
      </c>
      <c r="L223" t="n">
        <v>9</v>
      </c>
      <c r="M223" t="inlineStr">
        <is>
          <t>Values must be of type &lt;class 'str'&gt;</t>
        </is>
      </c>
      <c r="N223" t="inlineStr">
        <is>
          <t>00000000</t>
        </is>
      </c>
      <c r="O223" t="inlineStr">
        <is>
          <t>center</t>
        </is>
      </c>
      <c r="P223" t="inlineStr">
        <is>
          <t>center</t>
        </is>
      </c>
      <c r="R223" t="b">
        <v>1</v>
      </c>
      <c r="S223" t="inlineStr">
        <is>
          <t>G000006</t>
        </is>
      </c>
      <c r="T223" t="inlineStr">
        <is>
          <t>Vertical</t>
        </is>
      </c>
      <c r="U223" t="n">
        <v>120</v>
      </c>
      <c r="V223" t="b">
        <v>1</v>
      </c>
      <c r="W223" t="inlineStr">
        <is>
          <t>Loan calculator!G17:G136</t>
        </is>
      </c>
      <c r="X223">
        <f>IFERROR(IF(LoanIsNotPaid*LoanIsGood,InterestAmt,0), 0)</f>
        <v/>
      </c>
    </row>
    <row r="224">
      <c r="A224" t="inlineStr">
        <is>
          <t>Loan calculator</t>
        </is>
      </c>
      <c r="B224" t="inlineStr">
        <is>
          <t>H20</t>
        </is>
      </c>
      <c r="C224" t="n">
        <v>20</v>
      </c>
      <c r="D224" t="n">
        <v>8</v>
      </c>
      <c r="E224" t="inlineStr">
        <is>
          <t>Output</t>
        </is>
      </c>
      <c r="F224" t="inlineStr">
        <is>
          <t>'=IFERROR(IF(LoanIsNotPaid*LoanIsGood,EndingBalance,0), 0)</t>
        </is>
      </c>
      <c r="G224" t="n">
        <v>9747.498891529152</v>
      </c>
      <c r="H224" t="inlineStr"/>
      <c r="I224" t="inlineStr">
        <is>
          <t>"$"#,##0.00</t>
        </is>
      </c>
      <c r="J224" t="b">
        <v>0</v>
      </c>
      <c r="K224" t="b">
        <v>0</v>
      </c>
      <c r="L224" t="n">
        <v>9</v>
      </c>
      <c r="M224" t="inlineStr">
        <is>
          <t>Values must be of type &lt;class 'str'&gt;</t>
        </is>
      </c>
      <c r="N224" t="inlineStr">
        <is>
          <t>00000000</t>
        </is>
      </c>
      <c r="O224" t="inlineStr">
        <is>
          <t>center</t>
        </is>
      </c>
      <c r="P224" t="inlineStr">
        <is>
          <t>center</t>
        </is>
      </c>
      <c r="R224" t="b">
        <v>1</v>
      </c>
      <c r="S224" t="inlineStr">
        <is>
          <t>G000007</t>
        </is>
      </c>
      <c r="T224" t="inlineStr">
        <is>
          <t>Vertical</t>
        </is>
      </c>
      <c r="U224" t="n">
        <v>120</v>
      </c>
      <c r="V224" t="b">
        <v>1</v>
      </c>
      <c r="W224" t="inlineStr">
        <is>
          <t>Loan calculator!H17:H136</t>
        </is>
      </c>
      <c r="X224">
        <f>IFERROR(IF(LoanIsNotPaid*LoanIsGood,EndingBalance,0), 0)</f>
        <v/>
      </c>
    </row>
    <row r="225">
      <c r="A225" t="inlineStr">
        <is>
          <t>Loan calculator</t>
        </is>
      </c>
      <c r="B225" t="inlineStr">
        <is>
          <t>I20</t>
        </is>
      </c>
      <c r="C225" t="n">
        <v>20</v>
      </c>
      <c r="D225" t="n">
        <v>9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11</v>
      </c>
      <c r="M225" t="inlineStr">
        <is>
          <t>Values must be of type &lt;class 'str'&gt;</t>
        </is>
      </c>
      <c r="N225" t="inlineStr">
        <is>
          <t>Values must be of type &lt;class 'str'&gt;</t>
        </is>
      </c>
      <c r="O225" t="n">
        <v/>
      </c>
      <c r="P225" t="inlineStr">
        <is>
          <t>center</t>
        </is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Loan calculator</t>
        </is>
      </c>
      <c r="B226" t="inlineStr">
        <is>
          <t>A21</t>
        </is>
      </c>
      <c r="C226" t="n">
        <v>21</v>
      </c>
      <c r="D226" t="n">
        <v>1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11</v>
      </c>
      <c r="M226" t="inlineStr">
        <is>
          <t>Values must be of type &lt;class 'str'&gt;</t>
        </is>
      </c>
      <c r="N226" t="inlineStr">
        <is>
          <t>Values must be of type &lt;class 'str'&gt;</t>
        </is>
      </c>
      <c r="O226" t="n">
        <v/>
      </c>
      <c r="P226" t="inlineStr">
        <is>
          <t>center</t>
        </is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Loan calculator</t>
        </is>
      </c>
      <c r="B227" t="inlineStr">
        <is>
          <t>B21</t>
        </is>
      </c>
      <c r="C227" t="n">
        <v>21</v>
      </c>
      <c r="D227" t="n">
        <v>2</v>
      </c>
      <c r="E227" t="inlineStr">
        <is>
          <t>Output</t>
        </is>
      </c>
      <c r="F227" t="inlineStr">
        <is>
          <t>'=IFERROR(IF(LoanIsNotPaid*LoanIsGood,PaymentNumber,""), "")</t>
        </is>
      </c>
      <c r="G227" t="n">
        <v>5</v>
      </c>
      <c r="H227" t="inlineStr"/>
      <c r="I227" t="inlineStr">
        <is>
          <t>#,##0</t>
        </is>
      </c>
      <c r="J227" t="b">
        <v>0</v>
      </c>
      <c r="K227" t="b">
        <v>0</v>
      </c>
      <c r="L227" t="n">
        <v>9</v>
      </c>
      <c r="M227" t="inlineStr">
        <is>
          <t>Values must be of type &lt;class 'str'&gt;</t>
        </is>
      </c>
      <c r="N227" t="inlineStr">
        <is>
          <t>00000000</t>
        </is>
      </c>
      <c r="O227" t="inlineStr">
        <is>
          <t>center</t>
        </is>
      </c>
      <c r="P227" t="inlineStr">
        <is>
          <t>center</t>
        </is>
      </c>
      <c r="R227" t="b">
        <v>1</v>
      </c>
      <c r="S227" t="inlineStr">
        <is>
          <t>G000001</t>
        </is>
      </c>
      <c r="T227" t="inlineStr">
        <is>
          <t>Vertical</t>
        </is>
      </c>
      <c r="U227" t="n">
        <v>120</v>
      </c>
      <c r="V227" t="b">
        <v>1</v>
      </c>
      <c r="W227" t="inlineStr">
        <is>
          <t>Loan calculator!B17:B136</t>
        </is>
      </c>
      <c r="X227">
        <f>IFERROR(IF(LoanIsNotPaid*LoanIsGood,PaymentNumber,""), "")</f>
        <v/>
      </c>
    </row>
    <row r="228">
      <c r="A228" t="inlineStr">
        <is>
          <t>Loan calculator</t>
        </is>
      </c>
      <c r="B228" t="inlineStr">
        <is>
          <t>C21</t>
        </is>
      </c>
      <c r="C228" t="n">
        <v>21</v>
      </c>
      <c r="D228" t="n">
        <v>3</v>
      </c>
      <c r="E228" t="inlineStr">
        <is>
          <t>Output</t>
        </is>
      </c>
      <c r="F228" t="inlineStr">
        <is>
          <t>'=IFERROR(IF(LoanIsNotPaid*LoanIsGood,PaymentDate,LoanStartDate), LoanStartDate)</t>
        </is>
      </c>
      <c r="G228" s="1" t="n">
        <v>46239</v>
      </c>
      <c r="H228" t="inlineStr"/>
      <c r="I228" t="inlineStr">
        <is>
          <t>mm-dd-yy</t>
        </is>
      </c>
      <c r="J228" t="b">
        <v>0</v>
      </c>
      <c r="K228" t="b">
        <v>0</v>
      </c>
      <c r="L228" t="n">
        <v>9</v>
      </c>
      <c r="M228" t="inlineStr">
        <is>
          <t>Values must be of type &lt;class 'str'&gt;</t>
        </is>
      </c>
      <c r="N228" t="inlineStr">
        <is>
          <t>00000000</t>
        </is>
      </c>
      <c r="O228" t="inlineStr">
        <is>
          <t>center</t>
        </is>
      </c>
      <c r="P228" t="inlineStr">
        <is>
          <t>center</t>
        </is>
      </c>
      <c r="R228" t="b">
        <v>1</v>
      </c>
      <c r="S228" t="inlineStr">
        <is>
          <t>G000002</t>
        </is>
      </c>
      <c r="T228" t="inlineStr">
        <is>
          <t>Vertical</t>
        </is>
      </c>
      <c r="U228" t="n">
        <v>120</v>
      </c>
      <c r="V228" t="b">
        <v>1</v>
      </c>
      <c r="W228" t="inlineStr">
        <is>
          <t>Loan calculator!C17:C136</t>
        </is>
      </c>
      <c r="X228">
        <f>IFERROR(IF(LoanIsNotPaid*LoanIsGood,PaymentDate,LoanStartDate), LoanStartDate)</f>
        <v/>
      </c>
    </row>
    <row r="229">
      <c r="A229" t="inlineStr">
        <is>
          <t>Loan calculator</t>
        </is>
      </c>
      <c r="B229" t="inlineStr">
        <is>
          <t>D21</t>
        </is>
      </c>
      <c r="C229" t="n">
        <v>21</v>
      </c>
      <c r="D229" t="n">
        <v>4</v>
      </c>
      <c r="E229" t="inlineStr">
        <is>
          <t>Output</t>
        </is>
      </c>
      <c r="F229" t="inlineStr">
        <is>
          <t>'=IFERROR(IF(LoanIsNotPaid*LoanIsGood,LoanValue,""), "")</t>
        </is>
      </c>
      <c r="G229" t="n">
        <v>9747.498891529152</v>
      </c>
      <c r="H229" t="inlineStr"/>
      <c r="I229" t="inlineStr">
        <is>
          <t>"$"#,##0.00</t>
        </is>
      </c>
      <c r="J229" t="b">
        <v>0</v>
      </c>
      <c r="K229" t="b">
        <v>0</v>
      </c>
      <c r="L229" t="n">
        <v>9</v>
      </c>
      <c r="M229" t="inlineStr">
        <is>
          <t>Values must be of type &lt;class 'str'&gt;</t>
        </is>
      </c>
      <c r="N229" t="inlineStr">
        <is>
          <t>00000000</t>
        </is>
      </c>
      <c r="O229" t="inlineStr">
        <is>
          <t>center</t>
        </is>
      </c>
      <c r="P229" t="inlineStr">
        <is>
          <t>center</t>
        </is>
      </c>
      <c r="R229" t="b">
        <v>1</v>
      </c>
      <c r="S229" t="inlineStr">
        <is>
          <t>G000003</t>
        </is>
      </c>
      <c r="T229" t="inlineStr">
        <is>
          <t>Vertical</t>
        </is>
      </c>
      <c r="U229" t="n">
        <v>120</v>
      </c>
      <c r="V229" t="b">
        <v>1</v>
      </c>
      <c r="W229" t="inlineStr">
        <is>
          <t>Loan calculator!D17:D136</t>
        </is>
      </c>
      <c r="X229">
        <f>IFERROR(IF(LoanIsNotPaid*LoanIsGood,LoanValue,""), "")</f>
        <v/>
      </c>
    </row>
    <row r="230">
      <c r="A230" t="inlineStr">
        <is>
          <t>Loan calculator</t>
        </is>
      </c>
      <c r="B230" t="inlineStr">
        <is>
          <t>E21</t>
        </is>
      </c>
      <c r="C230" t="n">
        <v>21</v>
      </c>
      <c r="D230" t="n">
        <v>5</v>
      </c>
      <c r="E230" t="inlineStr">
        <is>
          <t>Output</t>
        </is>
      </c>
      <c r="F230" t="inlineStr">
        <is>
          <t>'=IFERROR(IF(LoanIsNotPaid*LoanIsGood,MonthlyPayment,0), 0)</t>
        </is>
      </c>
      <c r="G230" t="n">
        <v>108.5262779604807</v>
      </c>
      <c r="H230" t="inlineStr"/>
      <c r="I230" t="inlineStr">
        <is>
          <t>"$"#,##0.00</t>
        </is>
      </c>
      <c r="J230" t="b">
        <v>0</v>
      </c>
      <c r="K230" t="b">
        <v>0</v>
      </c>
      <c r="L230" t="n">
        <v>9</v>
      </c>
      <c r="M230" t="inlineStr">
        <is>
          <t>Values must be of type &lt;class 'str'&gt;</t>
        </is>
      </c>
      <c r="N230" t="inlineStr">
        <is>
          <t>00000000</t>
        </is>
      </c>
      <c r="O230" t="inlineStr">
        <is>
          <t>center</t>
        </is>
      </c>
      <c r="P230" t="inlineStr">
        <is>
          <t>center</t>
        </is>
      </c>
      <c r="R230" t="b">
        <v>1</v>
      </c>
      <c r="S230" t="inlineStr">
        <is>
          <t>G000004</t>
        </is>
      </c>
      <c r="T230" t="inlineStr">
        <is>
          <t>Vertical</t>
        </is>
      </c>
      <c r="U230" t="n">
        <v>120</v>
      </c>
      <c r="V230" t="b">
        <v>1</v>
      </c>
      <c r="W230" t="inlineStr">
        <is>
          <t>Loan calculator!E17:E136</t>
        </is>
      </c>
      <c r="X230">
        <f>IFERROR(IF(LoanIsNotPaid*LoanIsGood,MonthlyPayment,0), 0)</f>
        <v/>
      </c>
    </row>
    <row r="231">
      <c r="A231" t="inlineStr">
        <is>
          <t>Loan calculator</t>
        </is>
      </c>
      <c r="B231" t="inlineStr">
        <is>
          <t>F21</t>
        </is>
      </c>
      <c r="C231" t="n">
        <v>21</v>
      </c>
      <c r="D231" t="n">
        <v>6</v>
      </c>
      <c r="E231" t="inlineStr">
        <is>
          <t>Output</t>
        </is>
      </c>
      <c r="F231" t="inlineStr">
        <is>
          <t>'=IFERROR(IF(LoanIsNotPaid*LoanIsGood,Principal,0), 0)</t>
        </is>
      </c>
      <c r="G231" t="n">
        <v>63.85024137430545</v>
      </c>
      <c r="H231" t="inlineStr"/>
      <c r="I231" t="inlineStr">
        <is>
          <t>"$"#,##0.00</t>
        </is>
      </c>
      <c r="J231" t="b">
        <v>0</v>
      </c>
      <c r="K231" t="b">
        <v>0</v>
      </c>
      <c r="L231" t="n">
        <v>9</v>
      </c>
      <c r="M231" t="inlineStr">
        <is>
          <t>Values must be of type &lt;class 'str'&gt;</t>
        </is>
      </c>
      <c r="N231" t="inlineStr">
        <is>
          <t>00000000</t>
        </is>
      </c>
      <c r="O231" t="inlineStr">
        <is>
          <t>center</t>
        </is>
      </c>
      <c r="P231" t="inlineStr">
        <is>
          <t>center</t>
        </is>
      </c>
      <c r="R231" t="b">
        <v>1</v>
      </c>
      <c r="S231" t="inlineStr">
        <is>
          <t>G000005</t>
        </is>
      </c>
      <c r="T231" t="inlineStr">
        <is>
          <t>Vertical</t>
        </is>
      </c>
      <c r="U231" t="n">
        <v>120</v>
      </c>
      <c r="V231" t="b">
        <v>1</v>
      </c>
      <c r="W231" t="inlineStr">
        <is>
          <t>Loan calculator!F17:F136</t>
        </is>
      </c>
      <c r="X231">
        <f>IFERROR(IF(LoanIsNotPaid*LoanIsGood,Principal,0), 0)</f>
        <v/>
      </c>
    </row>
    <row r="232">
      <c r="A232" t="inlineStr">
        <is>
          <t>Loan calculator</t>
        </is>
      </c>
      <c r="B232" t="inlineStr">
        <is>
          <t>G21</t>
        </is>
      </c>
      <c r="C232" t="n">
        <v>21</v>
      </c>
      <c r="D232" t="n">
        <v>7</v>
      </c>
      <c r="E232" t="inlineStr">
        <is>
          <t>Output</t>
        </is>
      </c>
      <c r="F232" t="inlineStr">
        <is>
          <t>'=IFERROR(IF(LoanIsNotPaid*LoanIsGood,InterestAmt,0), 0)</t>
        </is>
      </c>
      <c r="G232" t="n">
        <v>44.67603658617527</v>
      </c>
      <c r="H232" t="inlineStr"/>
      <c r="I232" t="inlineStr">
        <is>
          <t>"$"#,##0.00</t>
        </is>
      </c>
      <c r="J232" t="b">
        <v>0</v>
      </c>
      <c r="K232" t="b">
        <v>0</v>
      </c>
      <c r="L232" t="n">
        <v>9</v>
      </c>
      <c r="M232" t="inlineStr">
        <is>
          <t>Values must be of type &lt;class 'str'&gt;</t>
        </is>
      </c>
      <c r="N232" t="inlineStr">
        <is>
          <t>00000000</t>
        </is>
      </c>
      <c r="O232" t="inlineStr">
        <is>
          <t>center</t>
        </is>
      </c>
      <c r="P232" t="inlineStr">
        <is>
          <t>center</t>
        </is>
      </c>
      <c r="R232" t="b">
        <v>1</v>
      </c>
      <c r="S232" t="inlineStr">
        <is>
          <t>G000006</t>
        </is>
      </c>
      <c r="T232" t="inlineStr">
        <is>
          <t>Vertical</t>
        </is>
      </c>
      <c r="U232" t="n">
        <v>120</v>
      </c>
      <c r="V232" t="b">
        <v>1</v>
      </c>
      <c r="W232" t="inlineStr">
        <is>
          <t>Loan calculator!G17:G136</t>
        </is>
      </c>
      <c r="X232">
        <f>IFERROR(IF(LoanIsNotPaid*LoanIsGood,InterestAmt,0), 0)</f>
        <v/>
      </c>
    </row>
    <row r="233">
      <c r="A233" t="inlineStr">
        <is>
          <t>Loan calculator</t>
        </is>
      </c>
      <c r="B233" t="inlineStr">
        <is>
          <t>H21</t>
        </is>
      </c>
      <c r="C233" t="n">
        <v>21</v>
      </c>
      <c r="D233" t="n">
        <v>8</v>
      </c>
      <c r="E233" t="inlineStr">
        <is>
          <t>Output</t>
        </is>
      </c>
      <c r="F233" t="inlineStr">
        <is>
          <t>'=IFERROR(IF(LoanIsNotPaid*LoanIsGood,EndingBalance,0), 0)</t>
        </is>
      </c>
      <c r="G233" t="n">
        <v>9683.648650154846</v>
      </c>
      <c r="H233" t="inlineStr"/>
      <c r="I233" t="inlineStr">
        <is>
          <t>"$"#,##0.00</t>
        </is>
      </c>
      <c r="J233" t="b">
        <v>0</v>
      </c>
      <c r="K233" t="b">
        <v>0</v>
      </c>
      <c r="L233" t="n">
        <v>9</v>
      </c>
      <c r="M233" t="inlineStr">
        <is>
          <t>Values must be of type &lt;class 'str'&gt;</t>
        </is>
      </c>
      <c r="N233" t="inlineStr">
        <is>
          <t>00000000</t>
        </is>
      </c>
      <c r="O233" t="inlineStr">
        <is>
          <t>center</t>
        </is>
      </c>
      <c r="P233" t="inlineStr">
        <is>
          <t>center</t>
        </is>
      </c>
      <c r="R233" t="b">
        <v>1</v>
      </c>
      <c r="S233" t="inlineStr">
        <is>
          <t>G000007</t>
        </is>
      </c>
      <c r="T233" t="inlineStr">
        <is>
          <t>Vertical</t>
        </is>
      </c>
      <c r="U233" t="n">
        <v>120</v>
      </c>
      <c r="V233" t="b">
        <v>1</v>
      </c>
      <c r="W233" t="inlineStr">
        <is>
          <t>Loan calculator!H17:H136</t>
        </is>
      </c>
      <c r="X233">
        <f>IFERROR(IF(LoanIsNotPaid*LoanIsGood,EndingBalance,0), 0)</f>
        <v/>
      </c>
    </row>
    <row r="234">
      <c r="A234" t="inlineStr">
        <is>
          <t>Loan calculator</t>
        </is>
      </c>
      <c r="B234" t="inlineStr">
        <is>
          <t>I21</t>
        </is>
      </c>
      <c r="C234" t="n">
        <v>21</v>
      </c>
      <c r="D234" t="n">
        <v>9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11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n">
        <v/>
      </c>
      <c r="P234" t="inlineStr">
        <is>
          <t>center</t>
        </is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Loan calculator</t>
        </is>
      </c>
      <c r="B235" t="inlineStr">
        <is>
          <t>A22</t>
        </is>
      </c>
      <c r="C235" t="n">
        <v>22</v>
      </c>
      <c r="D235" t="n">
        <v>1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11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n">
        <v/>
      </c>
      <c r="P235" t="inlineStr">
        <is>
          <t>center</t>
        </is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Loan calculator</t>
        </is>
      </c>
      <c r="B236" t="inlineStr">
        <is>
          <t>B22</t>
        </is>
      </c>
      <c r="C236" t="n">
        <v>22</v>
      </c>
      <c r="D236" t="n">
        <v>2</v>
      </c>
      <c r="E236" t="inlineStr">
        <is>
          <t>Output</t>
        </is>
      </c>
      <c r="F236" t="inlineStr">
        <is>
          <t>'=IFERROR(IF(LoanIsNotPaid*LoanIsGood,PaymentNumber,""), "")</t>
        </is>
      </c>
      <c r="G236" t="n">
        <v>6</v>
      </c>
      <c r="H236" t="inlineStr"/>
      <c r="I236" t="inlineStr">
        <is>
          <t>#,##0</t>
        </is>
      </c>
      <c r="J236" t="b">
        <v>0</v>
      </c>
      <c r="K236" t="b">
        <v>0</v>
      </c>
      <c r="L236" t="n">
        <v>9</v>
      </c>
      <c r="M236" t="inlineStr">
        <is>
          <t>Values must be of type &lt;class 'str'&gt;</t>
        </is>
      </c>
      <c r="N236" t="inlineStr">
        <is>
          <t>00000000</t>
        </is>
      </c>
      <c r="O236" t="inlineStr">
        <is>
          <t>center</t>
        </is>
      </c>
      <c r="P236" t="inlineStr">
        <is>
          <t>center</t>
        </is>
      </c>
      <c r="R236" t="b">
        <v>1</v>
      </c>
      <c r="S236" t="inlineStr">
        <is>
          <t>G000001</t>
        </is>
      </c>
      <c r="T236" t="inlineStr">
        <is>
          <t>Vertical</t>
        </is>
      </c>
      <c r="U236" t="n">
        <v>120</v>
      </c>
      <c r="V236" t="b">
        <v>1</v>
      </c>
      <c r="W236" t="inlineStr">
        <is>
          <t>Loan calculator!B17:B136</t>
        </is>
      </c>
      <c r="X236">
        <f>IFERROR(IF(LoanIsNotPaid*LoanIsGood,PaymentNumber,""), "")</f>
        <v/>
      </c>
    </row>
    <row r="237">
      <c r="A237" t="inlineStr">
        <is>
          <t>Loan calculator</t>
        </is>
      </c>
      <c r="B237" t="inlineStr">
        <is>
          <t>C22</t>
        </is>
      </c>
      <c r="C237" t="n">
        <v>22</v>
      </c>
      <c r="D237" t="n">
        <v>3</v>
      </c>
      <c r="E237" t="inlineStr">
        <is>
          <t>Output</t>
        </is>
      </c>
      <c r="F237" t="inlineStr">
        <is>
          <t>'=IFERROR(IF(LoanIsNotPaid*LoanIsGood,PaymentDate,LoanStartDate), LoanStartDate)</t>
        </is>
      </c>
      <c r="G237" s="1" t="n">
        <v>46270</v>
      </c>
      <c r="H237" t="inlineStr"/>
      <c r="I237" t="inlineStr">
        <is>
          <t>mm-dd-yy</t>
        </is>
      </c>
      <c r="J237" t="b">
        <v>0</v>
      </c>
      <c r="K237" t="b">
        <v>0</v>
      </c>
      <c r="L237" t="n">
        <v>9</v>
      </c>
      <c r="M237" t="inlineStr">
        <is>
          <t>Values must be of type &lt;class 'str'&gt;</t>
        </is>
      </c>
      <c r="N237" t="inlineStr">
        <is>
          <t>00000000</t>
        </is>
      </c>
      <c r="O237" t="inlineStr">
        <is>
          <t>center</t>
        </is>
      </c>
      <c r="P237" t="inlineStr">
        <is>
          <t>center</t>
        </is>
      </c>
      <c r="R237" t="b">
        <v>1</v>
      </c>
      <c r="S237" t="inlineStr">
        <is>
          <t>G000002</t>
        </is>
      </c>
      <c r="T237" t="inlineStr">
        <is>
          <t>Vertical</t>
        </is>
      </c>
      <c r="U237" t="n">
        <v>120</v>
      </c>
      <c r="V237" t="b">
        <v>1</v>
      </c>
      <c r="W237" t="inlineStr">
        <is>
          <t>Loan calculator!C17:C136</t>
        </is>
      </c>
      <c r="X237">
        <f>IFERROR(IF(LoanIsNotPaid*LoanIsGood,PaymentDate,LoanStartDate), LoanStartDate)</f>
        <v/>
      </c>
    </row>
    <row r="238">
      <c r="A238" t="inlineStr">
        <is>
          <t>Loan calculator</t>
        </is>
      </c>
      <c r="B238" t="inlineStr">
        <is>
          <t>D22</t>
        </is>
      </c>
      <c r="C238" t="n">
        <v>22</v>
      </c>
      <c r="D238" t="n">
        <v>4</v>
      </c>
      <c r="E238" t="inlineStr">
        <is>
          <t>Output</t>
        </is>
      </c>
      <c r="F238" t="inlineStr">
        <is>
          <t>'=IFERROR(IF(LoanIsNotPaid*LoanIsGood,LoanValue,""), "")</t>
        </is>
      </c>
      <c r="G238" t="n">
        <v>9683.648650154846</v>
      </c>
      <c r="H238" t="inlineStr"/>
      <c r="I238" t="inlineStr">
        <is>
          <t>"$"#,##0.00</t>
        </is>
      </c>
      <c r="J238" t="b">
        <v>0</v>
      </c>
      <c r="K238" t="b">
        <v>0</v>
      </c>
      <c r="L238" t="n">
        <v>9</v>
      </c>
      <c r="M238" t="inlineStr">
        <is>
          <t>Values must be of type &lt;class 'str'&gt;</t>
        </is>
      </c>
      <c r="N238" t="inlineStr">
        <is>
          <t>00000000</t>
        </is>
      </c>
      <c r="O238" t="inlineStr">
        <is>
          <t>center</t>
        </is>
      </c>
      <c r="P238" t="inlineStr">
        <is>
          <t>center</t>
        </is>
      </c>
      <c r="R238" t="b">
        <v>1</v>
      </c>
      <c r="S238" t="inlineStr">
        <is>
          <t>G000003</t>
        </is>
      </c>
      <c r="T238" t="inlineStr">
        <is>
          <t>Vertical</t>
        </is>
      </c>
      <c r="U238" t="n">
        <v>120</v>
      </c>
      <c r="V238" t="b">
        <v>1</v>
      </c>
      <c r="W238" t="inlineStr">
        <is>
          <t>Loan calculator!D17:D136</t>
        </is>
      </c>
      <c r="X238">
        <f>IFERROR(IF(LoanIsNotPaid*LoanIsGood,LoanValue,""), "")</f>
        <v/>
      </c>
    </row>
    <row r="239">
      <c r="A239" t="inlineStr">
        <is>
          <t>Loan calculator</t>
        </is>
      </c>
      <c r="B239" t="inlineStr">
        <is>
          <t>E22</t>
        </is>
      </c>
      <c r="C239" t="n">
        <v>22</v>
      </c>
      <c r="D239" t="n">
        <v>5</v>
      </c>
      <c r="E239" t="inlineStr">
        <is>
          <t>Output</t>
        </is>
      </c>
      <c r="F239" t="inlineStr">
        <is>
          <t>'=IFERROR(IF(LoanIsNotPaid*LoanIsGood,MonthlyPayment,0), 0)</t>
        </is>
      </c>
      <c r="G239" t="n">
        <v>108.5262779604807</v>
      </c>
      <c r="H239" t="inlineStr"/>
      <c r="I239" t="inlineStr">
        <is>
          <t>"$"#,##0.00</t>
        </is>
      </c>
      <c r="J239" t="b">
        <v>0</v>
      </c>
      <c r="K239" t="b">
        <v>0</v>
      </c>
      <c r="L239" t="n">
        <v>9</v>
      </c>
      <c r="M239" t="inlineStr">
        <is>
          <t>Values must be of type &lt;class 'str'&gt;</t>
        </is>
      </c>
      <c r="N239" t="inlineStr">
        <is>
          <t>00000000</t>
        </is>
      </c>
      <c r="O239" t="inlineStr">
        <is>
          <t>center</t>
        </is>
      </c>
      <c r="P239" t="inlineStr">
        <is>
          <t>center</t>
        </is>
      </c>
      <c r="R239" t="b">
        <v>1</v>
      </c>
      <c r="S239" t="inlineStr">
        <is>
          <t>G000004</t>
        </is>
      </c>
      <c r="T239" t="inlineStr">
        <is>
          <t>Vertical</t>
        </is>
      </c>
      <c r="U239" t="n">
        <v>120</v>
      </c>
      <c r="V239" t="b">
        <v>1</v>
      </c>
      <c r="W239" t="inlineStr">
        <is>
          <t>Loan calculator!E17:E136</t>
        </is>
      </c>
      <c r="X239">
        <f>IFERROR(IF(LoanIsNotPaid*LoanIsGood,MonthlyPayment,0), 0)</f>
        <v/>
      </c>
    </row>
    <row r="240">
      <c r="A240" t="inlineStr">
        <is>
          <t>Loan calculator</t>
        </is>
      </c>
      <c r="B240" t="inlineStr">
        <is>
          <t>F22</t>
        </is>
      </c>
      <c r="C240" t="n">
        <v>22</v>
      </c>
      <c r="D240" t="n">
        <v>6</v>
      </c>
      <c r="E240" t="inlineStr">
        <is>
          <t>Output</t>
        </is>
      </c>
      <c r="F240" t="inlineStr">
        <is>
          <t>'=IFERROR(IF(LoanIsNotPaid*LoanIsGood,Principal,0), 0)</t>
        </is>
      </c>
      <c r="G240" t="n">
        <v>64.14288831393768</v>
      </c>
      <c r="H240" t="inlineStr"/>
      <c r="I240" t="inlineStr">
        <is>
          <t>"$"#,##0.00</t>
        </is>
      </c>
      <c r="J240" t="b">
        <v>0</v>
      </c>
      <c r="K240" t="b">
        <v>0</v>
      </c>
      <c r="L240" t="n">
        <v>9</v>
      </c>
      <c r="M240" t="inlineStr">
        <is>
          <t>Values must be of type &lt;class 'str'&gt;</t>
        </is>
      </c>
      <c r="N240" t="inlineStr">
        <is>
          <t>00000000</t>
        </is>
      </c>
      <c r="O240" t="inlineStr">
        <is>
          <t>center</t>
        </is>
      </c>
      <c r="P240" t="inlineStr">
        <is>
          <t>center</t>
        </is>
      </c>
      <c r="R240" t="b">
        <v>1</v>
      </c>
      <c r="S240" t="inlineStr">
        <is>
          <t>G000005</t>
        </is>
      </c>
      <c r="T240" t="inlineStr">
        <is>
          <t>Vertical</t>
        </is>
      </c>
      <c r="U240" t="n">
        <v>120</v>
      </c>
      <c r="V240" t="b">
        <v>1</v>
      </c>
      <c r="W240" t="inlineStr">
        <is>
          <t>Loan calculator!F17:F136</t>
        </is>
      </c>
      <c r="X240">
        <f>IFERROR(IF(LoanIsNotPaid*LoanIsGood,Principal,0), 0)</f>
        <v/>
      </c>
    </row>
    <row r="241">
      <c r="A241" t="inlineStr">
        <is>
          <t>Loan calculator</t>
        </is>
      </c>
      <c r="B241" t="inlineStr">
        <is>
          <t>G22</t>
        </is>
      </c>
      <c r="C241" t="n">
        <v>22</v>
      </c>
      <c r="D241" t="n">
        <v>7</v>
      </c>
      <c r="E241" t="inlineStr">
        <is>
          <t>Output</t>
        </is>
      </c>
      <c r="F241" t="inlineStr">
        <is>
          <t>'=IFERROR(IF(LoanIsNotPaid*LoanIsGood,InterestAmt,0), 0)</t>
        </is>
      </c>
      <c r="G241" t="n">
        <v>44.38338964654304</v>
      </c>
      <c r="H241" t="inlineStr"/>
      <c r="I241" t="inlineStr">
        <is>
          <t>"$"#,##0.00</t>
        </is>
      </c>
      <c r="J241" t="b">
        <v>0</v>
      </c>
      <c r="K241" t="b">
        <v>0</v>
      </c>
      <c r="L241" t="n">
        <v>9</v>
      </c>
      <c r="M241" t="inlineStr">
        <is>
          <t>Values must be of type &lt;class 'str'&gt;</t>
        </is>
      </c>
      <c r="N241" t="inlineStr">
        <is>
          <t>00000000</t>
        </is>
      </c>
      <c r="O241" t="inlineStr">
        <is>
          <t>center</t>
        </is>
      </c>
      <c r="P241" t="inlineStr">
        <is>
          <t>center</t>
        </is>
      </c>
      <c r="R241" t="b">
        <v>1</v>
      </c>
      <c r="S241" t="inlineStr">
        <is>
          <t>G000006</t>
        </is>
      </c>
      <c r="T241" t="inlineStr">
        <is>
          <t>Vertical</t>
        </is>
      </c>
      <c r="U241" t="n">
        <v>120</v>
      </c>
      <c r="V241" t="b">
        <v>1</v>
      </c>
      <c r="W241" t="inlineStr">
        <is>
          <t>Loan calculator!G17:G136</t>
        </is>
      </c>
      <c r="X241">
        <f>IFERROR(IF(LoanIsNotPaid*LoanIsGood,InterestAmt,0), 0)</f>
        <v/>
      </c>
    </row>
    <row r="242">
      <c r="A242" t="inlineStr">
        <is>
          <t>Loan calculator</t>
        </is>
      </c>
      <c r="B242" t="inlineStr">
        <is>
          <t>H22</t>
        </is>
      </c>
      <c r="C242" t="n">
        <v>22</v>
      </c>
      <c r="D242" t="n">
        <v>8</v>
      </c>
      <c r="E242" t="inlineStr">
        <is>
          <t>Output</t>
        </is>
      </c>
      <c r="F242" t="inlineStr">
        <is>
          <t>'=IFERROR(IF(LoanIsNotPaid*LoanIsGood,EndingBalance,0), 0)</t>
        </is>
      </c>
      <c r="G242" t="n">
        <v>9619.505761840908</v>
      </c>
      <c r="H242" t="inlineStr"/>
      <c r="I242" t="inlineStr">
        <is>
          <t>"$"#,##0.00</t>
        </is>
      </c>
      <c r="J242" t="b">
        <v>0</v>
      </c>
      <c r="K242" t="b">
        <v>0</v>
      </c>
      <c r="L242" t="n">
        <v>9</v>
      </c>
      <c r="M242" t="inlineStr">
        <is>
          <t>Values must be of type &lt;class 'str'&gt;</t>
        </is>
      </c>
      <c r="N242" t="inlineStr">
        <is>
          <t>00000000</t>
        </is>
      </c>
      <c r="O242" t="inlineStr">
        <is>
          <t>center</t>
        </is>
      </c>
      <c r="P242" t="inlineStr">
        <is>
          <t>center</t>
        </is>
      </c>
      <c r="R242" t="b">
        <v>1</v>
      </c>
      <c r="S242" t="inlineStr">
        <is>
          <t>G000007</t>
        </is>
      </c>
      <c r="T242" t="inlineStr">
        <is>
          <t>Vertical</t>
        </is>
      </c>
      <c r="U242" t="n">
        <v>120</v>
      </c>
      <c r="V242" t="b">
        <v>1</v>
      </c>
      <c r="W242" t="inlineStr">
        <is>
          <t>Loan calculator!H17:H136</t>
        </is>
      </c>
      <c r="X242">
        <f>IFERROR(IF(LoanIsNotPaid*LoanIsGood,EndingBalance,0), 0)</f>
        <v/>
      </c>
    </row>
    <row r="243">
      <c r="A243" t="inlineStr">
        <is>
          <t>Loan calculator</t>
        </is>
      </c>
      <c r="B243" t="inlineStr">
        <is>
          <t>I22</t>
        </is>
      </c>
      <c r="C243" t="n">
        <v>22</v>
      </c>
      <c r="D243" t="n">
        <v>9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11</v>
      </c>
      <c r="M243" t="inlineStr">
        <is>
          <t>Values must be of type &lt;class 'str'&gt;</t>
        </is>
      </c>
      <c r="N243" t="inlineStr">
        <is>
          <t>Values must be of type &lt;class 'str'&gt;</t>
        </is>
      </c>
      <c r="O243" t="n">
        <v/>
      </c>
      <c r="P243" t="inlineStr">
        <is>
          <t>center</t>
        </is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Loan calculator</t>
        </is>
      </c>
      <c r="B244" t="inlineStr">
        <is>
          <t>A23</t>
        </is>
      </c>
      <c r="C244" t="n">
        <v>23</v>
      </c>
      <c r="D244" t="n">
        <v>1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11</v>
      </c>
      <c r="M244" t="inlineStr">
        <is>
          <t>Values must be of type &lt;class 'str'&gt;</t>
        </is>
      </c>
      <c r="N244" t="inlineStr">
        <is>
          <t>Values must be of type &lt;class 'str'&gt;</t>
        </is>
      </c>
      <c r="O244" t="n">
        <v/>
      </c>
      <c r="P244" t="inlineStr">
        <is>
          <t>center</t>
        </is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Loan calculator</t>
        </is>
      </c>
      <c r="B245" t="inlineStr">
        <is>
          <t>B23</t>
        </is>
      </c>
      <c r="C245" t="n">
        <v>23</v>
      </c>
      <c r="D245" t="n">
        <v>2</v>
      </c>
      <c r="E245" t="inlineStr">
        <is>
          <t>Output</t>
        </is>
      </c>
      <c r="F245" t="inlineStr">
        <is>
          <t>'=IFERROR(IF(LoanIsNotPaid*LoanIsGood,PaymentNumber,""), "")</t>
        </is>
      </c>
      <c r="G245" t="n">
        <v>7</v>
      </c>
      <c r="H245" t="inlineStr"/>
      <c r="I245" t="inlineStr">
        <is>
          <t>#,##0</t>
        </is>
      </c>
      <c r="J245" t="b">
        <v>0</v>
      </c>
      <c r="K245" t="b">
        <v>0</v>
      </c>
      <c r="L245" t="n">
        <v>9</v>
      </c>
      <c r="M245" t="inlineStr">
        <is>
          <t>Values must be of type &lt;class 'str'&gt;</t>
        </is>
      </c>
      <c r="N245" t="inlineStr">
        <is>
          <t>00000000</t>
        </is>
      </c>
      <c r="O245" t="inlineStr">
        <is>
          <t>center</t>
        </is>
      </c>
      <c r="P245" t="inlineStr">
        <is>
          <t>center</t>
        </is>
      </c>
      <c r="R245" t="b">
        <v>1</v>
      </c>
      <c r="S245" t="inlineStr">
        <is>
          <t>G000001</t>
        </is>
      </c>
      <c r="T245" t="inlineStr">
        <is>
          <t>Vertical</t>
        </is>
      </c>
      <c r="U245" t="n">
        <v>120</v>
      </c>
      <c r="V245" t="b">
        <v>1</v>
      </c>
      <c r="W245" t="inlineStr">
        <is>
          <t>Loan calculator!B17:B136</t>
        </is>
      </c>
      <c r="X245">
        <f>IFERROR(IF(LoanIsNotPaid*LoanIsGood,PaymentNumber,""), "")</f>
        <v/>
      </c>
    </row>
    <row r="246">
      <c r="A246" t="inlineStr">
        <is>
          <t>Loan calculator</t>
        </is>
      </c>
      <c r="B246" t="inlineStr">
        <is>
          <t>C23</t>
        </is>
      </c>
      <c r="C246" t="n">
        <v>23</v>
      </c>
      <c r="D246" t="n">
        <v>3</v>
      </c>
      <c r="E246" t="inlineStr">
        <is>
          <t>Output</t>
        </is>
      </c>
      <c r="F246" t="inlineStr">
        <is>
          <t>'=IFERROR(IF(LoanIsNotPaid*LoanIsGood,PaymentDate,LoanStartDate), LoanStartDate)</t>
        </is>
      </c>
      <c r="G246" s="1" t="n">
        <v>46300</v>
      </c>
      <c r="H246" t="inlineStr"/>
      <c r="I246" t="inlineStr">
        <is>
          <t>mm-dd-yy</t>
        </is>
      </c>
      <c r="J246" t="b">
        <v>0</v>
      </c>
      <c r="K246" t="b">
        <v>0</v>
      </c>
      <c r="L246" t="n">
        <v>9</v>
      </c>
      <c r="M246" t="inlineStr">
        <is>
          <t>Values must be of type &lt;class 'str'&gt;</t>
        </is>
      </c>
      <c r="N246" t="inlineStr">
        <is>
          <t>00000000</t>
        </is>
      </c>
      <c r="O246" t="inlineStr">
        <is>
          <t>center</t>
        </is>
      </c>
      <c r="P246" t="inlineStr">
        <is>
          <t>center</t>
        </is>
      </c>
      <c r="R246" t="b">
        <v>1</v>
      </c>
      <c r="S246" t="inlineStr">
        <is>
          <t>G000002</t>
        </is>
      </c>
      <c r="T246" t="inlineStr">
        <is>
          <t>Vertical</t>
        </is>
      </c>
      <c r="U246" t="n">
        <v>120</v>
      </c>
      <c r="V246" t="b">
        <v>1</v>
      </c>
      <c r="W246" t="inlineStr">
        <is>
          <t>Loan calculator!C17:C136</t>
        </is>
      </c>
      <c r="X246">
        <f>IFERROR(IF(LoanIsNotPaid*LoanIsGood,PaymentDate,LoanStartDate), LoanStartDate)</f>
        <v/>
      </c>
    </row>
    <row r="247">
      <c r="A247" t="inlineStr">
        <is>
          <t>Loan calculator</t>
        </is>
      </c>
      <c r="B247" t="inlineStr">
        <is>
          <t>D23</t>
        </is>
      </c>
      <c r="C247" t="n">
        <v>23</v>
      </c>
      <c r="D247" t="n">
        <v>4</v>
      </c>
      <c r="E247" t="inlineStr">
        <is>
          <t>Output</t>
        </is>
      </c>
      <c r="F247" t="inlineStr">
        <is>
          <t>'=IFERROR(IF(LoanIsNotPaid*LoanIsGood,LoanValue,""), "")</t>
        </is>
      </c>
      <c r="G247" t="n">
        <v>9619.505761840908</v>
      </c>
      <c r="H247" t="inlineStr"/>
      <c r="I247" t="inlineStr">
        <is>
          <t>"$"#,##0.00</t>
        </is>
      </c>
      <c r="J247" t="b">
        <v>0</v>
      </c>
      <c r="K247" t="b">
        <v>0</v>
      </c>
      <c r="L247" t="n">
        <v>9</v>
      </c>
      <c r="M247" t="inlineStr">
        <is>
          <t>Values must be of type &lt;class 'str'&gt;</t>
        </is>
      </c>
      <c r="N247" t="inlineStr">
        <is>
          <t>00000000</t>
        </is>
      </c>
      <c r="O247" t="inlineStr">
        <is>
          <t>center</t>
        </is>
      </c>
      <c r="P247" t="inlineStr">
        <is>
          <t>center</t>
        </is>
      </c>
      <c r="R247" t="b">
        <v>1</v>
      </c>
      <c r="S247" t="inlineStr">
        <is>
          <t>G000003</t>
        </is>
      </c>
      <c r="T247" t="inlineStr">
        <is>
          <t>Vertical</t>
        </is>
      </c>
      <c r="U247" t="n">
        <v>120</v>
      </c>
      <c r="V247" t="b">
        <v>1</v>
      </c>
      <c r="W247" t="inlineStr">
        <is>
          <t>Loan calculator!D17:D136</t>
        </is>
      </c>
      <c r="X247">
        <f>IFERROR(IF(LoanIsNotPaid*LoanIsGood,LoanValue,""), "")</f>
        <v/>
      </c>
    </row>
    <row r="248">
      <c r="A248" t="inlineStr">
        <is>
          <t>Loan calculator</t>
        </is>
      </c>
      <c r="B248" t="inlineStr">
        <is>
          <t>E23</t>
        </is>
      </c>
      <c r="C248" t="n">
        <v>23</v>
      </c>
      <c r="D248" t="n">
        <v>5</v>
      </c>
      <c r="E248" t="inlineStr">
        <is>
          <t>Output</t>
        </is>
      </c>
      <c r="F248" t="inlineStr">
        <is>
          <t>'=IFERROR(IF(LoanIsNotPaid*LoanIsGood,MonthlyPayment,0), 0)</t>
        </is>
      </c>
      <c r="G248" t="n">
        <v>108.5262779604807</v>
      </c>
      <c r="H248" t="inlineStr"/>
      <c r="I248" t="inlineStr">
        <is>
          <t>"$"#,##0.00</t>
        </is>
      </c>
      <c r="J248" t="b">
        <v>0</v>
      </c>
      <c r="K248" t="b">
        <v>0</v>
      </c>
      <c r="L248" t="n">
        <v>9</v>
      </c>
      <c r="M248" t="inlineStr">
        <is>
          <t>Values must be of type &lt;class 'str'&gt;</t>
        </is>
      </c>
      <c r="N248" t="inlineStr">
        <is>
          <t>00000000</t>
        </is>
      </c>
      <c r="O248" t="inlineStr">
        <is>
          <t>center</t>
        </is>
      </c>
      <c r="P248" t="inlineStr">
        <is>
          <t>center</t>
        </is>
      </c>
      <c r="R248" t="b">
        <v>1</v>
      </c>
      <c r="S248" t="inlineStr">
        <is>
          <t>G000004</t>
        </is>
      </c>
      <c r="T248" t="inlineStr">
        <is>
          <t>Vertical</t>
        </is>
      </c>
      <c r="U248" t="n">
        <v>120</v>
      </c>
      <c r="V248" t="b">
        <v>1</v>
      </c>
      <c r="W248" t="inlineStr">
        <is>
          <t>Loan calculator!E17:E136</t>
        </is>
      </c>
      <c r="X248">
        <f>IFERROR(IF(LoanIsNotPaid*LoanIsGood,MonthlyPayment,0), 0)</f>
        <v/>
      </c>
    </row>
    <row r="249">
      <c r="A249" t="inlineStr">
        <is>
          <t>Loan calculator</t>
        </is>
      </c>
      <c r="B249" t="inlineStr">
        <is>
          <t>F23</t>
        </is>
      </c>
      <c r="C249" t="n">
        <v>23</v>
      </c>
      <c r="D249" t="n">
        <v>6</v>
      </c>
      <c r="E249" t="inlineStr">
        <is>
          <t>Output</t>
        </is>
      </c>
      <c r="F249" t="inlineStr">
        <is>
          <t>'=IFERROR(IF(LoanIsNotPaid*LoanIsGood,Principal,0), 0)</t>
        </is>
      </c>
      <c r="G249" t="n">
        <v>64.43687655204323</v>
      </c>
      <c r="H249" t="inlineStr"/>
      <c r="I249" t="inlineStr">
        <is>
          <t>"$"#,##0.00</t>
        </is>
      </c>
      <c r="J249" t="b">
        <v>0</v>
      </c>
      <c r="K249" t="b">
        <v>0</v>
      </c>
      <c r="L249" t="n">
        <v>9</v>
      </c>
      <c r="M249" t="inlineStr">
        <is>
          <t>Values must be of type &lt;class 'str'&gt;</t>
        </is>
      </c>
      <c r="N249" t="inlineStr">
        <is>
          <t>00000000</t>
        </is>
      </c>
      <c r="O249" t="inlineStr">
        <is>
          <t>center</t>
        </is>
      </c>
      <c r="P249" t="inlineStr">
        <is>
          <t>center</t>
        </is>
      </c>
      <c r="R249" t="b">
        <v>1</v>
      </c>
      <c r="S249" t="inlineStr">
        <is>
          <t>G000005</t>
        </is>
      </c>
      <c r="T249" t="inlineStr">
        <is>
          <t>Vertical</t>
        </is>
      </c>
      <c r="U249" t="n">
        <v>120</v>
      </c>
      <c r="V249" t="b">
        <v>1</v>
      </c>
      <c r="W249" t="inlineStr">
        <is>
          <t>Loan calculator!F17:F136</t>
        </is>
      </c>
      <c r="X249">
        <f>IFERROR(IF(LoanIsNotPaid*LoanIsGood,Principal,0), 0)</f>
        <v/>
      </c>
    </row>
    <row r="250">
      <c r="A250" t="inlineStr">
        <is>
          <t>Loan calculator</t>
        </is>
      </c>
      <c r="B250" t="inlineStr">
        <is>
          <t>G23</t>
        </is>
      </c>
      <c r="C250" t="n">
        <v>23</v>
      </c>
      <c r="D250" t="n">
        <v>7</v>
      </c>
      <c r="E250" t="inlineStr">
        <is>
          <t>Output</t>
        </is>
      </c>
      <c r="F250" t="inlineStr">
        <is>
          <t>'=IFERROR(IF(LoanIsNotPaid*LoanIsGood,InterestAmt,0), 0)</t>
        </is>
      </c>
      <c r="G250" t="n">
        <v>44.0894014084375</v>
      </c>
      <c r="H250" t="inlineStr"/>
      <c r="I250" t="inlineStr">
        <is>
          <t>"$"#,##0.00</t>
        </is>
      </c>
      <c r="J250" t="b">
        <v>0</v>
      </c>
      <c r="K250" t="b">
        <v>0</v>
      </c>
      <c r="L250" t="n">
        <v>9</v>
      </c>
      <c r="M250" t="inlineStr">
        <is>
          <t>Values must be of type &lt;class 'str'&gt;</t>
        </is>
      </c>
      <c r="N250" t="inlineStr">
        <is>
          <t>00000000</t>
        </is>
      </c>
      <c r="O250" t="inlineStr">
        <is>
          <t>center</t>
        </is>
      </c>
      <c r="P250" t="inlineStr">
        <is>
          <t>center</t>
        </is>
      </c>
      <c r="R250" t="b">
        <v>1</v>
      </c>
      <c r="S250" t="inlineStr">
        <is>
          <t>G000006</t>
        </is>
      </c>
      <c r="T250" t="inlineStr">
        <is>
          <t>Vertical</t>
        </is>
      </c>
      <c r="U250" t="n">
        <v>120</v>
      </c>
      <c r="V250" t="b">
        <v>1</v>
      </c>
      <c r="W250" t="inlineStr">
        <is>
          <t>Loan calculator!G17:G136</t>
        </is>
      </c>
      <c r="X250">
        <f>IFERROR(IF(LoanIsNotPaid*LoanIsGood,InterestAmt,0), 0)</f>
        <v/>
      </c>
    </row>
    <row r="251">
      <c r="A251" t="inlineStr">
        <is>
          <t>Loan calculator</t>
        </is>
      </c>
      <c r="B251" t="inlineStr">
        <is>
          <t>H23</t>
        </is>
      </c>
      <c r="C251" t="n">
        <v>23</v>
      </c>
      <c r="D251" t="n">
        <v>8</v>
      </c>
      <c r="E251" t="inlineStr">
        <is>
          <t>Output</t>
        </is>
      </c>
      <c r="F251" t="inlineStr">
        <is>
          <t>'=IFERROR(IF(LoanIsNotPaid*LoanIsGood,EndingBalance,0), 0)</t>
        </is>
      </c>
      <c r="G251" t="n">
        <v>9555.068885288867</v>
      </c>
      <c r="H251" t="inlineStr"/>
      <c r="I251" t="inlineStr">
        <is>
          <t>"$"#,##0.00</t>
        </is>
      </c>
      <c r="J251" t="b">
        <v>0</v>
      </c>
      <c r="K251" t="b">
        <v>0</v>
      </c>
      <c r="L251" t="n">
        <v>9</v>
      </c>
      <c r="M251" t="inlineStr">
        <is>
          <t>Values must be of type &lt;class 'str'&gt;</t>
        </is>
      </c>
      <c r="N251" t="inlineStr">
        <is>
          <t>00000000</t>
        </is>
      </c>
      <c r="O251" t="inlineStr">
        <is>
          <t>center</t>
        </is>
      </c>
      <c r="P251" t="inlineStr">
        <is>
          <t>center</t>
        </is>
      </c>
      <c r="R251" t="b">
        <v>1</v>
      </c>
      <c r="S251" t="inlineStr">
        <is>
          <t>G000007</t>
        </is>
      </c>
      <c r="T251" t="inlineStr">
        <is>
          <t>Vertical</t>
        </is>
      </c>
      <c r="U251" t="n">
        <v>120</v>
      </c>
      <c r="V251" t="b">
        <v>1</v>
      </c>
      <c r="W251" t="inlineStr">
        <is>
          <t>Loan calculator!H17:H136</t>
        </is>
      </c>
      <c r="X251">
        <f>IFERROR(IF(LoanIsNotPaid*LoanIsGood,EndingBalance,0), 0)</f>
        <v/>
      </c>
    </row>
    <row r="252">
      <c r="A252" t="inlineStr">
        <is>
          <t>Loan calculator</t>
        </is>
      </c>
      <c r="B252" t="inlineStr">
        <is>
          <t>I23</t>
        </is>
      </c>
      <c r="C252" t="n">
        <v>23</v>
      </c>
      <c r="D252" t="n">
        <v>9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11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n">
        <v/>
      </c>
      <c r="P252" t="inlineStr">
        <is>
          <t>center</t>
        </is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Loan calculator</t>
        </is>
      </c>
      <c r="B253" t="inlineStr">
        <is>
          <t>A24</t>
        </is>
      </c>
      <c r="C253" t="n">
        <v>24</v>
      </c>
      <c r="D253" t="n">
        <v>1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11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n">
        <v/>
      </c>
      <c r="P253" t="inlineStr">
        <is>
          <t>center</t>
        </is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Loan calculator</t>
        </is>
      </c>
      <c r="B254" t="inlineStr">
        <is>
          <t>B24</t>
        </is>
      </c>
      <c r="C254" t="n">
        <v>24</v>
      </c>
      <c r="D254" t="n">
        <v>2</v>
      </c>
      <c r="E254" t="inlineStr">
        <is>
          <t>Output</t>
        </is>
      </c>
      <c r="F254" t="inlineStr">
        <is>
          <t>'=IFERROR(IF(LoanIsNotPaid*LoanIsGood,PaymentNumber,""), "")</t>
        </is>
      </c>
      <c r="G254" t="n">
        <v>8</v>
      </c>
      <c r="H254" t="inlineStr"/>
      <c r="I254" t="inlineStr">
        <is>
          <t>#,##0</t>
        </is>
      </c>
      <c r="J254" t="b">
        <v>0</v>
      </c>
      <c r="K254" t="b">
        <v>0</v>
      </c>
      <c r="L254" t="n">
        <v>9</v>
      </c>
      <c r="M254" t="inlineStr">
        <is>
          <t>Values must be of type &lt;class 'str'&gt;</t>
        </is>
      </c>
      <c r="N254" t="inlineStr">
        <is>
          <t>00000000</t>
        </is>
      </c>
      <c r="O254" t="inlineStr">
        <is>
          <t>center</t>
        </is>
      </c>
      <c r="P254" t="inlineStr">
        <is>
          <t>center</t>
        </is>
      </c>
      <c r="R254" t="b">
        <v>1</v>
      </c>
      <c r="S254" t="inlineStr">
        <is>
          <t>G000001</t>
        </is>
      </c>
      <c r="T254" t="inlineStr">
        <is>
          <t>Vertical</t>
        </is>
      </c>
      <c r="U254" t="n">
        <v>120</v>
      </c>
      <c r="V254" t="b">
        <v>1</v>
      </c>
      <c r="W254" t="inlineStr">
        <is>
          <t>Loan calculator!B17:B136</t>
        </is>
      </c>
      <c r="X254">
        <f>IFERROR(IF(LoanIsNotPaid*LoanIsGood,PaymentNumber,""), "")</f>
        <v/>
      </c>
    </row>
    <row r="255">
      <c r="A255" t="inlineStr">
        <is>
          <t>Loan calculator</t>
        </is>
      </c>
      <c r="B255" t="inlineStr">
        <is>
          <t>C24</t>
        </is>
      </c>
      <c r="C255" t="n">
        <v>24</v>
      </c>
      <c r="D255" t="n">
        <v>3</v>
      </c>
      <c r="E255" t="inlineStr">
        <is>
          <t>Output</t>
        </is>
      </c>
      <c r="F255" t="inlineStr">
        <is>
          <t>'=IFERROR(IF(LoanIsNotPaid*LoanIsGood,PaymentDate,LoanStartDate), LoanStartDate)</t>
        </is>
      </c>
      <c r="G255" s="1" t="n">
        <v>46331</v>
      </c>
      <c r="H255" t="inlineStr"/>
      <c r="I255" t="inlineStr">
        <is>
          <t>mm-dd-yy</t>
        </is>
      </c>
      <c r="J255" t="b">
        <v>0</v>
      </c>
      <c r="K255" t="b">
        <v>0</v>
      </c>
      <c r="L255" t="n">
        <v>9</v>
      </c>
      <c r="M255" t="inlineStr">
        <is>
          <t>Values must be of type &lt;class 'str'&gt;</t>
        </is>
      </c>
      <c r="N255" t="inlineStr">
        <is>
          <t>00000000</t>
        </is>
      </c>
      <c r="O255" t="inlineStr">
        <is>
          <t>center</t>
        </is>
      </c>
      <c r="P255" t="inlineStr">
        <is>
          <t>center</t>
        </is>
      </c>
      <c r="R255" t="b">
        <v>1</v>
      </c>
      <c r="S255" t="inlineStr">
        <is>
          <t>G000002</t>
        </is>
      </c>
      <c r="T255" t="inlineStr">
        <is>
          <t>Vertical</t>
        </is>
      </c>
      <c r="U255" t="n">
        <v>120</v>
      </c>
      <c r="V255" t="b">
        <v>1</v>
      </c>
      <c r="W255" t="inlineStr">
        <is>
          <t>Loan calculator!C17:C136</t>
        </is>
      </c>
      <c r="X255">
        <f>IFERROR(IF(LoanIsNotPaid*LoanIsGood,PaymentDate,LoanStartDate), LoanStartDate)</f>
        <v/>
      </c>
    </row>
    <row r="256">
      <c r="A256" t="inlineStr">
        <is>
          <t>Loan calculator</t>
        </is>
      </c>
      <c r="B256" t="inlineStr">
        <is>
          <t>D24</t>
        </is>
      </c>
      <c r="C256" t="n">
        <v>24</v>
      </c>
      <c r="D256" t="n">
        <v>4</v>
      </c>
      <c r="E256" t="inlineStr">
        <is>
          <t>Output</t>
        </is>
      </c>
      <c r="F256" t="inlineStr">
        <is>
          <t>'=IFERROR(IF(LoanIsNotPaid*LoanIsGood,LoanValue,""), "")</t>
        </is>
      </c>
      <c r="G256" t="n">
        <v>9555.068885288867</v>
      </c>
      <c r="H256" t="inlineStr"/>
      <c r="I256" t="inlineStr">
        <is>
          <t>"$"#,##0.00</t>
        </is>
      </c>
      <c r="J256" t="b">
        <v>0</v>
      </c>
      <c r="K256" t="b">
        <v>0</v>
      </c>
      <c r="L256" t="n">
        <v>9</v>
      </c>
      <c r="M256" t="inlineStr">
        <is>
          <t>Values must be of type &lt;class 'str'&gt;</t>
        </is>
      </c>
      <c r="N256" t="inlineStr">
        <is>
          <t>00000000</t>
        </is>
      </c>
      <c r="O256" t="inlineStr">
        <is>
          <t>center</t>
        </is>
      </c>
      <c r="P256" t="inlineStr">
        <is>
          <t>center</t>
        </is>
      </c>
      <c r="R256" t="b">
        <v>1</v>
      </c>
      <c r="S256" t="inlineStr">
        <is>
          <t>G000003</t>
        </is>
      </c>
      <c r="T256" t="inlineStr">
        <is>
          <t>Vertical</t>
        </is>
      </c>
      <c r="U256" t="n">
        <v>120</v>
      </c>
      <c r="V256" t="b">
        <v>1</v>
      </c>
      <c r="W256" t="inlineStr">
        <is>
          <t>Loan calculator!D17:D136</t>
        </is>
      </c>
      <c r="X256">
        <f>IFERROR(IF(LoanIsNotPaid*LoanIsGood,LoanValue,""), "")</f>
        <v/>
      </c>
    </row>
    <row r="257">
      <c r="A257" t="inlineStr">
        <is>
          <t>Loan calculator</t>
        </is>
      </c>
      <c r="B257" t="inlineStr">
        <is>
          <t>E24</t>
        </is>
      </c>
      <c r="C257" t="n">
        <v>24</v>
      </c>
      <c r="D257" t="n">
        <v>5</v>
      </c>
      <c r="E257" t="inlineStr">
        <is>
          <t>Output</t>
        </is>
      </c>
      <c r="F257" t="inlineStr">
        <is>
          <t>'=IFERROR(IF(LoanIsNotPaid*LoanIsGood,MonthlyPayment,0), 0)</t>
        </is>
      </c>
      <c r="G257" t="n">
        <v>108.5262779604807</v>
      </c>
      <c r="H257" t="inlineStr"/>
      <c r="I257" t="inlineStr">
        <is>
          <t>"$"#,##0.00</t>
        </is>
      </c>
      <c r="J257" t="b">
        <v>0</v>
      </c>
      <c r="K257" t="b">
        <v>0</v>
      </c>
      <c r="L257" t="n">
        <v>9</v>
      </c>
      <c r="M257" t="inlineStr">
        <is>
          <t>Values must be of type &lt;class 'str'&gt;</t>
        </is>
      </c>
      <c r="N257" t="inlineStr">
        <is>
          <t>00000000</t>
        </is>
      </c>
      <c r="O257" t="inlineStr">
        <is>
          <t>center</t>
        </is>
      </c>
      <c r="P257" t="inlineStr">
        <is>
          <t>center</t>
        </is>
      </c>
      <c r="R257" t="b">
        <v>1</v>
      </c>
      <c r="S257" t="inlineStr">
        <is>
          <t>G000004</t>
        </is>
      </c>
      <c r="T257" t="inlineStr">
        <is>
          <t>Vertical</t>
        </is>
      </c>
      <c r="U257" t="n">
        <v>120</v>
      </c>
      <c r="V257" t="b">
        <v>1</v>
      </c>
      <c r="W257" t="inlineStr">
        <is>
          <t>Loan calculator!E17:E136</t>
        </is>
      </c>
      <c r="X257">
        <f>IFERROR(IF(LoanIsNotPaid*LoanIsGood,MonthlyPayment,0), 0)</f>
        <v/>
      </c>
    </row>
    <row r="258">
      <c r="A258" t="inlineStr">
        <is>
          <t>Loan calculator</t>
        </is>
      </c>
      <c r="B258" t="inlineStr">
        <is>
          <t>F24</t>
        </is>
      </c>
      <c r="C258" t="n">
        <v>24</v>
      </c>
      <c r="D258" t="n">
        <v>6</v>
      </c>
      <c r="E258" t="inlineStr">
        <is>
          <t>Output</t>
        </is>
      </c>
      <c r="F258" t="inlineStr">
        <is>
          <t>'=IFERROR(IF(LoanIsNotPaid*LoanIsGood,Principal,0), 0)</t>
        </is>
      </c>
      <c r="G258" t="n">
        <v>64.73221223624009</v>
      </c>
      <c r="H258" t="inlineStr"/>
      <c r="I258" t="inlineStr">
        <is>
          <t>"$"#,##0.00</t>
        </is>
      </c>
      <c r="J258" t="b">
        <v>0</v>
      </c>
      <c r="K258" t="b">
        <v>0</v>
      </c>
      <c r="L258" t="n">
        <v>9</v>
      </c>
      <c r="M258" t="inlineStr">
        <is>
          <t>Values must be of type &lt;class 'str'&gt;</t>
        </is>
      </c>
      <c r="N258" t="inlineStr">
        <is>
          <t>00000000</t>
        </is>
      </c>
      <c r="O258" t="inlineStr">
        <is>
          <t>center</t>
        </is>
      </c>
      <c r="P258" t="inlineStr">
        <is>
          <t>center</t>
        </is>
      </c>
      <c r="R258" t="b">
        <v>1</v>
      </c>
      <c r="S258" t="inlineStr">
        <is>
          <t>G000005</t>
        </is>
      </c>
      <c r="T258" t="inlineStr">
        <is>
          <t>Vertical</t>
        </is>
      </c>
      <c r="U258" t="n">
        <v>120</v>
      </c>
      <c r="V258" t="b">
        <v>1</v>
      </c>
      <c r="W258" t="inlineStr">
        <is>
          <t>Loan calculator!F17:F136</t>
        </is>
      </c>
      <c r="X258">
        <f>IFERROR(IF(LoanIsNotPaid*LoanIsGood,Principal,0), 0)</f>
        <v/>
      </c>
    </row>
    <row r="259">
      <c r="A259" t="inlineStr">
        <is>
          <t>Loan calculator</t>
        </is>
      </c>
      <c r="B259" t="inlineStr">
        <is>
          <t>G24</t>
        </is>
      </c>
      <c r="C259" t="n">
        <v>24</v>
      </c>
      <c r="D259" t="n">
        <v>7</v>
      </c>
      <c r="E259" t="inlineStr">
        <is>
          <t>Output</t>
        </is>
      </c>
      <c r="F259" t="inlineStr">
        <is>
          <t>'=IFERROR(IF(LoanIsNotPaid*LoanIsGood,InterestAmt,0), 0)</t>
        </is>
      </c>
      <c r="G259" t="n">
        <v>43.79406572424063</v>
      </c>
      <c r="H259" t="inlineStr"/>
      <c r="I259" t="inlineStr">
        <is>
          <t>"$"#,##0.00</t>
        </is>
      </c>
      <c r="J259" t="b">
        <v>0</v>
      </c>
      <c r="K259" t="b">
        <v>0</v>
      </c>
      <c r="L259" t="n">
        <v>9</v>
      </c>
      <c r="M259" t="inlineStr">
        <is>
          <t>Values must be of type &lt;class 'str'&gt;</t>
        </is>
      </c>
      <c r="N259" t="inlineStr">
        <is>
          <t>00000000</t>
        </is>
      </c>
      <c r="O259" t="inlineStr">
        <is>
          <t>center</t>
        </is>
      </c>
      <c r="P259" t="inlineStr">
        <is>
          <t>center</t>
        </is>
      </c>
      <c r="R259" t="b">
        <v>1</v>
      </c>
      <c r="S259" t="inlineStr">
        <is>
          <t>G000006</t>
        </is>
      </c>
      <c r="T259" t="inlineStr">
        <is>
          <t>Vertical</t>
        </is>
      </c>
      <c r="U259" t="n">
        <v>120</v>
      </c>
      <c r="V259" t="b">
        <v>1</v>
      </c>
      <c r="W259" t="inlineStr">
        <is>
          <t>Loan calculator!G17:G136</t>
        </is>
      </c>
      <c r="X259">
        <f>IFERROR(IF(LoanIsNotPaid*LoanIsGood,InterestAmt,0), 0)</f>
        <v/>
      </c>
    </row>
    <row r="260">
      <c r="A260" t="inlineStr">
        <is>
          <t>Loan calculator</t>
        </is>
      </c>
      <c r="B260" t="inlineStr">
        <is>
          <t>H24</t>
        </is>
      </c>
      <c r="C260" t="n">
        <v>24</v>
      </c>
      <c r="D260" t="n">
        <v>8</v>
      </c>
      <c r="E260" t="inlineStr">
        <is>
          <t>Output</t>
        </is>
      </c>
      <c r="F260" t="inlineStr">
        <is>
          <t>'=IFERROR(IF(LoanIsNotPaid*LoanIsGood,EndingBalance,0), 0)</t>
        </is>
      </c>
      <c r="G260" t="n">
        <v>9490.336673052625</v>
      </c>
      <c r="H260" t="inlineStr"/>
      <c r="I260" t="inlineStr">
        <is>
          <t>"$"#,##0.00</t>
        </is>
      </c>
      <c r="J260" t="b">
        <v>0</v>
      </c>
      <c r="K260" t="b">
        <v>0</v>
      </c>
      <c r="L260" t="n">
        <v>9</v>
      </c>
      <c r="M260" t="inlineStr">
        <is>
          <t>Values must be of type &lt;class 'str'&gt;</t>
        </is>
      </c>
      <c r="N260" t="inlineStr">
        <is>
          <t>00000000</t>
        </is>
      </c>
      <c r="O260" t="inlineStr">
        <is>
          <t>center</t>
        </is>
      </c>
      <c r="P260" t="inlineStr">
        <is>
          <t>center</t>
        </is>
      </c>
      <c r="R260" t="b">
        <v>1</v>
      </c>
      <c r="S260" t="inlineStr">
        <is>
          <t>G000007</t>
        </is>
      </c>
      <c r="T260" t="inlineStr">
        <is>
          <t>Vertical</t>
        </is>
      </c>
      <c r="U260" t="n">
        <v>120</v>
      </c>
      <c r="V260" t="b">
        <v>1</v>
      </c>
      <c r="W260" t="inlineStr">
        <is>
          <t>Loan calculator!H17:H136</t>
        </is>
      </c>
      <c r="X260">
        <f>IFERROR(IF(LoanIsNotPaid*LoanIsGood,EndingBalance,0), 0)</f>
        <v/>
      </c>
    </row>
    <row r="261">
      <c r="A261" t="inlineStr">
        <is>
          <t>Loan calculator</t>
        </is>
      </c>
      <c r="B261" t="inlineStr">
        <is>
          <t>I24</t>
        </is>
      </c>
      <c r="C261" t="n">
        <v>24</v>
      </c>
      <c r="D261" t="n">
        <v>9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11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n">
        <v/>
      </c>
      <c r="P261" t="inlineStr">
        <is>
          <t>center</t>
        </is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Loan calculator</t>
        </is>
      </c>
      <c r="B262" t="inlineStr">
        <is>
          <t>A25</t>
        </is>
      </c>
      <c r="C262" t="n">
        <v>25</v>
      </c>
      <c r="D262" t="n">
        <v>1</v>
      </c>
      <c r="E262" t="inlineStr">
        <is>
          <t>Input</t>
        </is>
      </c>
      <c r="F262" t="n">
        <v/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11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n">
        <v/>
      </c>
      <c r="P262" t="inlineStr">
        <is>
          <t>center</t>
        </is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Loan calculator</t>
        </is>
      </c>
      <c r="B263" t="inlineStr">
        <is>
          <t>B25</t>
        </is>
      </c>
      <c r="C263" t="n">
        <v>25</v>
      </c>
      <c r="D263" t="n">
        <v>2</v>
      </c>
      <c r="E263" t="inlineStr">
        <is>
          <t>Output</t>
        </is>
      </c>
      <c r="F263" t="inlineStr">
        <is>
          <t>'=IFERROR(IF(LoanIsNotPaid*LoanIsGood,PaymentNumber,""), "")</t>
        </is>
      </c>
      <c r="G263" t="n">
        <v>9</v>
      </c>
      <c r="H263" t="inlineStr"/>
      <c r="I263" t="inlineStr">
        <is>
          <t>#,##0</t>
        </is>
      </c>
      <c r="J263" t="b">
        <v>0</v>
      </c>
      <c r="K263" t="b">
        <v>0</v>
      </c>
      <c r="L263" t="n">
        <v>9</v>
      </c>
      <c r="M263" t="inlineStr">
        <is>
          <t>Values must be of type &lt;class 'str'&gt;</t>
        </is>
      </c>
      <c r="N263" t="inlineStr">
        <is>
          <t>00000000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inlineStr">
        <is>
          <t>G000001</t>
        </is>
      </c>
      <c r="T263" t="inlineStr">
        <is>
          <t>Vertical</t>
        </is>
      </c>
      <c r="U263" t="n">
        <v>120</v>
      </c>
      <c r="V263" t="b">
        <v>1</v>
      </c>
      <c r="W263" t="inlineStr">
        <is>
          <t>Loan calculator!B17:B136</t>
        </is>
      </c>
      <c r="X263">
        <f>IFERROR(IF(LoanIsNotPaid*LoanIsGood,PaymentNumber,""), "")</f>
        <v/>
      </c>
    </row>
    <row r="264">
      <c r="A264" t="inlineStr">
        <is>
          <t>Loan calculator</t>
        </is>
      </c>
      <c r="B264" t="inlineStr">
        <is>
          <t>C25</t>
        </is>
      </c>
      <c r="C264" t="n">
        <v>25</v>
      </c>
      <c r="D264" t="n">
        <v>3</v>
      </c>
      <c r="E264" t="inlineStr">
        <is>
          <t>Output</t>
        </is>
      </c>
      <c r="F264" t="inlineStr">
        <is>
          <t>'=IFERROR(IF(LoanIsNotPaid*LoanIsGood,PaymentDate,LoanStartDate), LoanStartDate)</t>
        </is>
      </c>
      <c r="G264" s="1" t="n">
        <v>46361</v>
      </c>
      <c r="H264" t="inlineStr"/>
      <c r="I264" t="inlineStr">
        <is>
          <t>mm-dd-yy</t>
        </is>
      </c>
      <c r="J264" t="b">
        <v>0</v>
      </c>
      <c r="K264" t="b">
        <v>0</v>
      </c>
      <c r="L264" t="n">
        <v>9</v>
      </c>
      <c r="M264" t="inlineStr">
        <is>
          <t>Values must be of type &lt;class 'str'&gt;</t>
        </is>
      </c>
      <c r="N264" t="inlineStr">
        <is>
          <t>00000000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inlineStr">
        <is>
          <t>G000002</t>
        </is>
      </c>
      <c r="T264" t="inlineStr">
        <is>
          <t>Vertical</t>
        </is>
      </c>
      <c r="U264" t="n">
        <v>120</v>
      </c>
      <c r="V264" t="b">
        <v>1</v>
      </c>
      <c r="W264" t="inlineStr">
        <is>
          <t>Loan calculator!C17:C136</t>
        </is>
      </c>
      <c r="X264">
        <f>IFERROR(IF(LoanIsNotPaid*LoanIsGood,PaymentDate,LoanStartDate), LoanStartDate)</f>
        <v/>
      </c>
    </row>
    <row r="265">
      <c r="A265" t="inlineStr">
        <is>
          <t>Loan calculator</t>
        </is>
      </c>
      <c r="B265" t="inlineStr">
        <is>
          <t>D25</t>
        </is>
      </c>
      <c r="C265" t="n">
        <v>25</v>
      </c>
      <c r="D265" t="n">
        <v>4</v>
      </c>
      <c r="E265" t="inlineStr">
        <is>
          <t>Output</t>
        </is>
      </c>
      <c r="F265" t="inlineStr">
        <is>
          <t>'=IFERROR(IF(LoanIsNotPaid*LoanIsGood,LoanValue,""), "")</t>
        </is>
      </c>
      <c r="G265" t="n">
        <v>9490.336673052625</v>
      </c>
      <c r="H265" t="inlineStr"/>
      <c r="I265" t="inlineStr">
        <is>
          <t>"$"#,##0.00</t>
        </is>
      </c>
      <c r="J265" t="b">
        <v>0</v>
      </c>
      <c r="K265" t="b">
        <v>0</v>
      </c>
      <c r="L265" t="n">
        <v>9</v>
      </c>
      <c r="M265" t="inlineStr">
        <is>
          <t>Values must be of type &lt;class 'str'&gt;</t>
        </is>
      </c>
      <c r="N265" t="inlineStr">
        <is>
          <t>00000000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inlineStr">
        <is>
          <t>G000003</t>
        </is>
      </c>
      <c r="T265" t="inlineStr">
        <is>
          <t>Vertical</t>
        </is>
      </c>
      <c r="U265" t="n">
        <v>120</v>
      </c>
      <c r="V265" t="b">
        <v>1</v>
      </c>
      <c r="W265" t="inlineStr">
        <is>
          <t>Loan calculator!D17:D136</t>
        </is>
      </c>
      <c r="X265">
        <f>IFERROR(IF(LoanIsNotPaid*LoanIsGood,LoanValue,""), "")</f>
        <v/>
      </c>
    </row>
    <row r="266">
      <c r="A266" t="inlineStr">
        <is>
          <t>Loan calculator</t>
        </is>
      </c>
      <c r="B266" t="inlineStr">
        <is>
          <t>E25</t>
        </is>
      </c>
      <c r="C266" t="n">
        <v>25</v>
      </c>
      <c r="D266" t="n">
        <v>5</v>
      </c>
      <c r="E266" t="inlineStr">
        <is>
          <t>Output</t>
        </is>
      </c>
      <c r="F266" t="inlineStr">
        <is>
          <t>'=IFERROR(IF(LoanIsNotPaid*LoanIsGood,MonthlyPayment,0), 0)</t>
        </is>
      </c>
      <c r="G266" t="n">
        <v>108.5262779604807</v>
      </c>
      <c r="H266" t="inlineStr"/>
      <c r="I266" t="inlineStr">
        <is>
          <t>"$"#,##0.00</t>
        </is>
      </c>
      <c r="J266" t="b">
        <v>0</v>
      </c>
      <c r="K266" t="b">
        <v>0</v>
      </c>
      <c r="L266" t="n">
        <v>9</v>
      </c>
      <c r="M266" t="inlineStr">
        <is>
          <t>Values must be of type &lt;class 'str'&gt;</t>
        </is>
      </c>
      <c r="N266" t="inlineStr">
        <is>
          <t>00000000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inlineStr">
        <is>
          <t>G000004</t>
        </is>
      </c>
      <c r="T266" t="inlineStr">
        <is>
          <t>Vertical</t>
        </is>
      </c>
      <c r="U266" t="n">
        <v>120</v>
      </c>
      <c r="V266" t="b">
        <v>1</v>
      </c>
      <c r="W266" t="inlineStr">
        <is>
          <t>Loan calculator!E17:E136</t>
        </is>
      </c>
      <c r="X266">
        <f>IFERROR(IF(LoanIsNotPaid*LoanIsGood,MonthlyPayment,0), 0)</f>
        <v/>
      </c>
    </row>
    <row r="267">
      <c r="A267" t="inlineStr">
        <is>
          <t>Loan calculator</t>
        </is>
      </c>
      <c r="B267" t="inlineStr">
        <is>
          <t>F25</t>
        </is>
      </c>
      <c r="C267" t="n">
        <v>25</v>
      </c>
      <c r="D267" t="n">
        <v>6</v>
      </c>
      <c r="E267" t="inlineStr">
        <is>
          <t>Output</t>
        </is>
      </c>
      <c r="F267" t="inlineStr">
        <is>
          <t>'=IFERROR(IF(LoanIsNotPaid*LoanIsGood,Principal,0), 0)</t>
        </is>
      </c>
      <c r="G267" t="n">
        <v>65.02890154232287</v>
      </c>
      <c r="H267" t="inlineStr"/>
      <c r="I267" t="inlineStr">
        <is>
          <t>"$"#,##0.00</t>
        </is>
      </c>
      <c r="J267" t="b">
        <v>0</v>
      </c>
      <c r="K267" t="b">
        <v>0</v>
      </c>
      <c r="L267" t="n">
        <v>9</v>
      </c>
      <c r="M267" t="inlineStr">
        <is>
          <t>Values must be of type &lt;class 'str'&gt;</t>
        </is>
      </c>
      <c r="N267" t="inlineStr">
        <is>
          <t>00000000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inlineStr">
        <is>
          <t>G000005</t>
        </is>
      </c>
      <c r="T267" t="inlineStr">
        <is>
          <t>Vertical</t>
        </is>
      </c>
      <c r="U267" t="n">
        <v>120</v>
      </c>
      <c r="V267" t="b">
        <v>1</v>
      </c>
      <c r="W267" t="inlineStr">
        <is>
          <t>Loan calculator!F17:F136</t>
        </is>
      </c>
      <c r="X267">
        <f>IFERROR(IF(LoanIsNotPaid*LoanIsGood,Principal,0), 0)</f>
        <v/>
      </c>
    </row>
    <row r="268">
      <c r="A268" t="inlineStr">
        <is>
          <t>Loan calculator</t>
        </is>
      </c>
      <c r="B268" t="inlineStr">
        <is>
          <t>G25</t>
        </is>
      </c>
      <c r="C268" t="n">
        <v>25</v>
      </c>
      <c r="D268" t="n">
        <v>7</v>
      </c>
      <c r="E268" t="inlineStr">
        <is>
          <t>Output</t>
        </is>
      </c>
      <c r="F268" t="inlineStr">
        <is>
          <t>'=IFERROR(IF(LoanIsNotPaid*LoanIsGood,InterestAmt,0), 0)</t>
        </is>
      </c>
      <c r="G268" t="n">
        <v>43.49737641815786</v>
      </c>
      <c r="H268" t="inlineStr"/>
      <c r="I268" t="inlineStr">
        <is>
          <t>"$"#,##0.00</t>
        </is>
      </c>
      <c r="J268" t="b">
        <v>0</v>
      </c>
      <c r="K268" t="b">
        <v>0</v>
      </c>
      <c r="L268" t="n">
        <v>9</v>
      </c>
      <c r="M268" t="inlineStr">
        <is>
          <t>Values must be of type &lt;class 'str'&gt;</t>
        </is>
      </c>
      <c r="N268" t="inlineStr">
        <is>
          <t>00000000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inlineStr">
        <is>
          <t>G000006</t>
        </is>
      </c>
      <c r="T268" t="inlineStr">
        <is>
          <t>Vertical</t>
        </is>
      </c>
      <c r="U268" t="n">
        <v>120</v>
      </c>
      <c r="V268" t="b">
        <v>1</v>
      </c>
      <c r="W268" t="inlineStr">
        <is>
          <t>Loan calculator!G17:G136</t>
        </is>
      </c>
      <c r="X268">
        <f>IFERROR(IF(LoanIsNotPaid*LoanIsGood,InterestAmt,0), 0)</f>
        <v/>
      </c>
    </row>
    <row r="269">
      <c r="A269" t="inlineStr">
        <is>
          <t>Loan calculator</t>
        </is>
      </c>
      <c r="B269" t="inlineStr">
        <is>
          <t>H25</t>
        </is>
      </c>
      <c r="C269" t="n">
        <v>25</v>
      </c>
      <c r="D269" t="n">
        <v>8</v>
      </c>
      <c r="E269" t="inlineStr">
        <is>
          <t>Output</t>
        </is>
      </c>
      <c r="F269" t="inlineStr">
        <is>
          <t>'=IFERROR(IF(LoanIsNotPaid*LoanIsGood,EndingBalance,0), 0)</t>
        </is>
      </c>
      <c r="G269" t="n">
        <v>9425.307771510303</v>
      </c>
      <c r="H269" t="inlineStr"/>
      <c r="I269" t="inlineStr">
        <is>
          <t>"$"#,##0.00</t>
        </is>
      </c>
      <c r="J269" t="b">
        <v>0</v>
      </c>
      <c r="K269" t="b">
        <v>0</v>
      </c>
      <c r="L269" t="n">
        <v>9</v>
      </c>
      <c r="M269" t="inlineStr">
        <is>
          <t>Values must be of type &lt;class 'str'&gt;</t>
        </is>
      </c>
      <c r="N269" t="inlineStr">
        <is>
          <t>00000000</t>
        </is>
      </c>
      <c r="O269" t="inlineStr">
        <is>
          <t>center</t>
        </is>
      </c>
      <c r="P269" t="inlineStr">
        <is>
          <t>center</t>
        </is>
      </c>
      <c r="R269" t="b">
        <v>1</v>
      </c>
      <c r="S269" t="inlineStr">
        <is>
          <t>G000007</t>
        </is>
      </c>
      <c r="T269" t="inlineStr">
        <is>
          <t>Vertical</t>
        </is>
      </c>
      <c r="U269" t="n">
        <v>120</v>
      </c>
      <c r="V269" t="b">
        <v>1</v>
      </c>
      <c r="W269" t="inlineStr">
        <is>
          <t>Loan calculator!H17:H136</t>
        </is>
      </c>
      <c r="X269">
        <f>IFERROR(IF(LoanIsNotPaid*LoanIsGood,EndingBalance,0), 0)</f>
        <v/>
      </c>
    </row>
    <row r="270">
      <c r="A270" t="inlineStr">
        <is>
          <t>Loan calculator</t>
        </is>
      </c>
      <c r="B270" t="inlineStr">
        <is>
          <t>I25</t>
        </is>
      </c>
      <c r="C270" t="n">
        <v>25</v>
      </c>
      <c r="D270" t="n">
        <v>9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11</v>
      </c>
      <c r="M270" t="inlineStr">
        <is>
          <t>Values must be of type &lt;class 'str'&gt;</t>
        </is>
      </c>
      <c r="N270" t="inlineStr">
        <is>
          <t>Values must be of type &lt;class 'str'&gt;</t>
        </is>
      </c>
      <c r="O270" t="n">
        <v/>
      </c>
      <c r="P270" t="inlineStr">
        <is>
          <t>center</t>
        </is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Loan calculator</t>
        </is>
      </c>
      <c r="B271" t="inlineStr">
        <is>
          <t>A26</t>
        </is>
      </c>
      <c r="C271" t="n">
        <v>26</v>
      </c>
      <c r="D271" t="n">
        <v>1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11</v>
      </c>
      <c r="M271" t="inlineStr">
        <is>
          <t>Values must be of type &lt;class 'str'&gt;</t>
        </is>
      </c>
      <c r="N271" t="inlineStr">
        <is>
          <t>Values must be of type &lt;class 'str'&gt;</t>
        </is>
      </c>
      <c r="O271" t="n">
        <v/>
      </c>
      <c r="P271" t="inlineStr">
        <is>
          <t>center</t>
        </is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Loan calculator</t>
        </is>
      </c>
      <c r="B272" t="inlineStr">
        <is>
          <t>B26</t>
        </is>
      </c>
      <c r="C272" t="n">
        <v>26</v>
      </c>
      <c r="D272" t="n">
        <v>2</v>
      </c>
      <c r="E272" t="inlineStr">
        <is>
          <t>Output</t>
        </is>
      </c>
      <c r="F272" t="inlineStr">
        <is>
          <t>'=IFERROR(IF(LoanIsNotPaid*LoanIsGood,PaymentNumber,""), "")</t>
        </is>
      </c>
      <c r="G272" t="n">
        <v>10</v>
      </c>
      <c r="H272" t="inlineStr"/>
      <c r="I272" t="inlineStr">
        <is>
          <t>#,##0</t>
        </is>
      </c>
      <c r="J272" t="b">
        <v>0</v>
      </c>
      <c r="K272" t="b">
        <v>0</v>
      </c>
      <c r="L272" t="n">
        <v>9</v>
      </c>
      <c r="M272" t="inlineStr">
        <is>
          <t>Values must be of type &lt;class 'str'&gt;</t>
        </is>
      </c>
      <c r="N272" t="inlineStr">
        <is>
          <t>00000000</t>
        </is>
      </c>
      <c r="O272" t="inlineStr">
        <is>
          <t>center</t>
        </is>
      </c>
      <c r="P272" t="inlineStr">
        <is>
          <t>center</t>
        </is>
      </c>
      <c r="R272" t="b">
        <v>1</v>
      </c>
      <c r="S272" t="inlineStr">
        <is>
          <t>G000001</t>
        </is>
      </c>
      <c r="T272" t="inlineStr">
        <is>
          <t>Vertical</t>
        </is>
      </c>
      <c r="U272" t="n">
        <v>120</v>
      </c>
      <c r="V272" t="b">
        <v>1</v>
      </c>
      <c r="W272" t="inlineStr">
        <is>
          <t>Loan calculator!B17:B136</t>
        </is>
      </c>
      <c r="X272">
        <f>IFERROR(IF(LoanIsNotPaid*LoanIsGood,PaymentNumber,""), "")</f>
        <v/>
      </c>
    </row>
    <row r="273">
      <c r="A273" t="inlineStr">
        <is>
          <t>Loan calculator</t>
        </is>
      </c>
      <c r="B273" t="inlineStr">
        <is>
          <t>C26</t>
        </is>
      </c>
      <c r="C273" t="n">
        <v>26</v>
      </c>
      <c r="D273" t="n">
        <v>3</v>
      </c>
      <c r="E273" t="inlineStr">
        <is>
          <t>Output</t>
        </is>
      </c>
      <c r="F273" t="inlineStr">
        <is>
          <t>'=IFERROR(IF(LoanIsNotPaid*LoanIsGood,PaymentDate,LoanStartDate), LoanStartDate)</t>
        </is>
      </c>
      <c r="G273" s="1" t="n">
        <v>46392</v>
      </c>
      <c r="H273" t="inlineStr"/>
      <c r="I273" t="inlineStr">
        <is>
          <t>mm-dd-yy</t>
        </is>
      </c>
      <c r="J273" t="b">
        <v>0</v>
      </c>
      <c r="K273" t="b">
        <v>0</v>
      </c>
      <c r="L273" t="n">
        <v>9</v>
      </c>
      <c r="M273" t="inlineStr">
        <is>
          <t>Values must be of type &lt;class 'str'&gt;</t>
        </is>
      </c>
      <c r="N273" t="inlineStr">
        <is>
          <t>00000000</t>
        </is>
      </c>
      <c r="O273" t="inlineStr">
        <is>
          <t>center</t>
        </is>
      </c>
      <c r="P273" t="inlineStr">
        <is>
          <t>center</t>
        </is>
      </c>
      <c r="R273" t="b">
        <v>1</v>
      </c>
      <c r="S273" t="inlineStr">
        <is>
          <t>G000002</t>
        </is>
      </c>
      <c r="T273" t="inlineStr">
        <is>
          <t>Vertical</t>
        </is>
      </c>
      <c r="U273" t="n">
        <v>120</v>
      </c>
      <c r="V273" t="b">
        <v>1</v>
      </c>
      <c r="W273" t="inlineStr">
        <is>
          <t>Loan calculator!C17:C136</t>
        </is>
      </c>
      <c r="X273">
        <f>IFERROR(IF(LoanIsNotPaid*LoanIsGood,PaymentDate,LoanStartDate), LoanStartDate)</f>
        <v/>
      </c>
    </row>
    <row r="274">
      <c r="A274" t="inlineStr">
        <is>
          <t>Loan calculator</t>
        </is>
      </c>
      <c r="B274" t="inlineStr">
        <is>
          <t>D26</t>
        </is>
      </c>
      <c r="C274" t="n">
        <v>26</v>
      </c>
      <c r="D274" t="n">
        <v>4</v>
      </c>
      <c r="E274" t="inlineStr">
        <is>
          <t>Output</t>
        </is>
      </c>
      <c r="F274" t="inlineStr">
        <is>
          <t>'=IFERROR(IF(LoanIsNotPaid*LoanIsGood,LoanValue,""), "")</t>
        </is>
      </c>
      <c r="G274" t="n">
        <v>9425.307771510303</v>
      </c>
      <c r="H274" t="inlineStr"/>
      <c r="I274" t="inlineStr">
        <is>
          <t>"$"#,##0.00</t>
        </is>
      </c>
      <c r="J274" t="b">
        <v>0</v>
      </c>
      <c r="K274" t="b">
        <v>0</v>
      </c>
      <c r="L274" t="n">
        <v>9</v>
      </c>
      <c r="M274" t="inlineStr">
        <is>
          <t>Values must be of type &lt;class 'str'&gt;</t>
        </is>
      </c>
      <c r="N274" t="inlineStr">
        <is>
          <t>00000000</t>
        </is>
      </c>
      <c r="O274" t="inlineStr">
        <is>
          <t>center</t>
        </is>
      </c>
      <c r="P274" t="inlineStr">
        <is>
          <t>center</t>
        </is>
      </c>
      <c r="R274" t="b">
        <v>1</v>
      </c>
      <c r="S274" t="inlineStr">
        <is>
          <t>G000003</t>
        </is>
      </c>
      <c r="T274" t="inlineStr">
        <is>
          <t>Vertical</t>
        </is>
      </c>
      <c r="U274" t="n">
        <v>120</v>
      </c>
      <c r="V274" t="b">
        <v>1</v>
      </c>
      <c r="W274" t="inlineStr">
        <is>
          <t>Loan calculator!D17:D136</t>
        </is>
      </c>
      <c r="X274">
        <f>IFERROR(IF(LoanIsNotPaid*LoanIsGood,LoanValue,""), "")</f>
        <v/>
      </c>
    </row>
    <row r="275">
      <c r="A275" t="inlineStr">
        <is>
          <t>Loan calculator</t>
        </is>
      </c>
      <c r="B275" t="inlineStr">
        <is>
          <t>E26</t>
        </is>
      </c>
      <c r="C275" t="n">
        <v>26</v>
      </c>
      <c r="D275" t="n">
        <v>5</v>
      </c>
      <c r="E275" t="inlineStr">
        <is>
          <t>Output</t>
        </is>
      </c>
      <c r="F275" t="inlineStr">
        <is>
          <t>'=IFERROR(IF(LoanIsNotPaid*LoanIsGood,MonthlyPayment,0), 0)</t>
        </is>
      </c>
      <c r="G275" t="n">
        <v>108.5262779604807</v>
      </c>
      <c r="H275" t="inlineStr"/>
      <c r="I275" t="inlineStr">
        <is>
          <t>"$"#,##0.00</t>
        </is>
      </c>
      <c r="J275" t="b">
        <v>0</v>
      </c>
      <c r="K275" t="b">
        <v>0</v>
      </c>
      <c r="L275" t="n">
        <v>9</v>
      </c>
      <c r="M275" t="inlineStr">
        <is>
          <t>Values must be of type &lt;class 'str'&gt;</t>
        </is>
      </c>
      <c r="N275" t="inlineStr">
        <is>
          <t>00000000</t>
        </is>
      </c>
      <c r="O275" t="inlineStr">
        <is>
          <t>center</t>
        </is>
      </c>
      <c r="P275" t="inlineStr">
        <is>
          <t>center</t>
        </is>
      </c>
      <c r="R275" t="b">
        <v>1</v>
      </c>
      <c r="S275" t="inlineStr">
        <is>
          <t>G000004</t>
        </is>
      </c>
      <c r="T275" t="inlineStr">
        <is>
          <t>Vertical</t>
        </is>
      </c>
      <c r="U275" t="n">
        <v>120</v>
      </c>
      <c r="V275" t="b">
        <v>1</v>
      </c>
      <c r="W275" t="inlineStr">
        <is>
          <t>Loan calculator!E17:E136</t>
        </is>
      </c>
      <c r="X275">
        <f>IFERROR(IF(LoanIsNotPaid*LoanIsGood,MonthlyPayment,0), 0)</f>
        <v/>
      </c>
    </row>
    <row r="276">
      <c r="A276" t="inlineStr">
        <is>
          <t>Loan calculator</t>
        </is>
      </c>
      <c r="B276" t="inlineStr">
        <is>
          <t>F26</t>
        </is>
      </c>
      <c r="C276" t="n">
        <v>26</v>
      </c>
      <c r="D276" t="n">
        <v>6</v>
      </c>
      <c r="E276" t="inlineStr">
        <is>
          <t>Output</t>
        </is>
      </c>
      <c r="F276" t="inlineStr">
        <is>
          <t>'=IFERROR(IF(LoanIsNotPaid*LoanIsGood,Principal,0), 0)</t>
        </is>
      </c>
      <c r="G276" t="n">
        <v>65.32695067439184</v>
      </c>
      <c r="H276" t="inlineStr"/>
      <c r="I276" t="inlineStr">
        <is>
          <t>"$"#,##0.00</t>
        </is>
      </c>
      <c r="J276" t="b">
        <v>0</v>
      </c>
      <c r="K276" t="b">
        <v>0</v>
      </c>
      <c r="L276" t="n">
        <v>9</v>
      </c>
      <c r="M276" t="inlineStr">
        <is>
          <t>Values must be of type &lt;class 'str'&gt;</t>
        </is>
      </c>
      <c r="N276" t="inlineStr">
        <is>
          <t>00000000</t>
        </is>
      </c>
      <c r="O276" t="inlineStr">
        <is>
          <t>center</t>
        </is>
      </c>
      <c r="P276" t="inlineStr">
        <is>
          <t>center</t>
        </is>
      </c>
      <c r="R276" t="b">
        <v>1</v>
      </c>
      <c r="S276" t="inlineStr">
        <is>
          <t>G000005</t>
        </is>
      </c>
      <c r="T276" t="inlineStr">
        <is>
          <t>Vertical</t>
        </is>
      </c>
      <c r="U276" t="n">
        <v>120</v>
      </c>
      <c r="V276" t="b">
        <v>1</v>
      </c>
      <c r="W276" t="inlineStr">
        <is>
          <t>Loan calculator!F17:F136</t>
        </is>
      </c>
      <c r="X276">
        <f>IFERROR(IF(LoanIsNotPaid*LoanIsGood,Principal,0), 0)</f>
        <v/>
      </c>
    </row>
    <row r="277">
      <c r="A277" t="inlineStr">
        <is>
          <t>Loan calculator</t>
        </is>
      </c>
      <c r="B277" t="inlineStr">
        <is>
          <t>G26</t>
        </is>
      </c>
      <c r="C277" t="n">
        <v>26</v>
      </c>
      <c r="D277" t="n">
        <v>7</v>
      </c>
      <c r="E277" t="inlineStr">
        <is>
          <t>Output</t>
        </is>
      </c>
      <c r="F277" t="inlineStr">
        <is>
          <t>'=IFERROR(IF(LoanIsNotPaid*LoanIsGood,InterestAmt,0), 0)</t>
        </is>
      </c>
      <c r="G277" t="n">
        <v>43.19932728608889</v>
      </c>
      <c r="H277" t="inlineStr"/>
      <c r="I277" t="inlineStr">
        <is>
          <t>"$"#,##0.00</t>
        </is>
      </c>
      <c r="J277" t="b">
        <v>0</v>
      </c>
      <c r="K277" t="b">
        <v>0</v>
      </c>
      <c r="L277" t="n">
        <v>9</v>
      </c>
      <c r="M277" t="inlineStr">
        <is>
          <t>Values must be of type &lt;class 'str'&gt;</t>
        </is>
      </c>
      <c r="N277" t="inlineStr">
        <is>
          <t>00000000</t>
        </is>
      </c>
      <c r="O277" t="inlineStr">
        <is>
          <t>center</t>
        </is>
      </c>
      <c r="P277" t="inlineStr">
        <is>
          <t>center</t>
        </is>
      </c>
      <c r="R277" t="b">
        <v>1</v>
      </c>
      <c r="S277" t="inlineStr">
        <is>
          <t>G000006</t>
        </is>
      </c>
      <c r="T277" t="inlineStr">
        <is>
          <t>Vertical</t>
        </is>
      </c>
      <c r="U277" t="n">
        <v>120</v>
      </c>
      <c r="V277" t="b">
        <v>1</v>
      </c>
      <c r="W277" t="inlineStr">
        <is>
          <t>Loan calculator!G17:G136</t>
        </is>
      </c>
      <c r="X277">
        <f>IFERROR(IF(LoanIsNotPaid*LoanIsGood,InterestAmt,0), 0)</f>
        <v/>
      </c>
    </row>
    <row r="278">
      <c r="A278" t="inlineStr">
        <is>
          <t>Loan calculator</t>
        </is>
      </c>
      <c r="B278" t="inlineStr">
        <is>
          <t>H26</t>
        </is>
      </c>
      <c r="C278" t="n">
        <v>26</v>
      </c>
      <c r="D278" t="n">
        <v>8</v>
      </c>
      <c r="E278" t="inlineStr">
        <is>
          <t>Output</t>
        </is>
      </c>
      <c r="F278" t="inlineStr">
        <is>
          <t>'=IFERROR(IF(LoanIsNotPaid*LoanIsGood,EndingBalance,0), 0)</t>
        </is>
      </c>
      <c r="G278" t="n">
        <v>9359.98082083591</v>
      </c>
      <c r="H278" t="inlineStr"/>
      <c r="I278" t="inlineStr">
        <is>
          <t>"$"#,##0.00</t>
        </is>
      </c>
      <c r="J278" t="b">
        <v>0</v>
      </c>
      <c r="K278" t="b">
        <v>0</v>
      </c>
      <c r="L278" t="n">
        <v>9</v>
      </c>
      <c r="M278" t="inlineStr">
        <is>
          <t>Values must be of type &lt;class 'str'&gt;</t>
        </is>
      </c>
      <c r="N278" t="inlineStr">
        <is>
          <t>00000000</t>
        </is>
      </c>
      <c r="O278" t="inlineStr">
        <is>
          <t>center</t>
        </is>
      </c>
      <c r="P278" t="inlineStr">
        <is>
          <t>center</t>
        </is>
      </c>
      <c r="R278" t="b">
        <v>1</v>
      </c>
      <c r="S278" t="inlineStr">
        <is>
          <t>G000007</t>
        </is>
      </c>
      <c r="T278" t="inlineStr">
        <is>
          <t>Vertical</t>
        </is>
      </c>
      <c r="U278" t="n">
        <v>120</v>
      </c>
      <c r="V278" t="b">
        <v>1</v>
      </c>
      <c r="W278" t="inlineStr">
        <is>
          <t>Loan calculator!H17:H136</t>
        </is>
      </c>
      <c r="X278">
        <f>IFERROR(IF(LoanIsNotPaid*LoanIsGood,EndingBalance,0), 0)</f>
        <v/>
      </c>
    </row>
    <row r="279">
      <c r="A279" t="inlineStr">
        <is>
          <t>Loan calculator</t>
        </is>
      </c>
      <c r="B279" t="inlineStr">
        <is>
          <t>I26</t>
        </is>
      </c>
      <c r="C279" t="n">
        <v>26</v>
      </c>
      <c r="D279" t="n">
        <v>9</v>
      </c>
      <c r="E279" t="inlineStr">
        <is>
          <t>Input</t>
        </is>
      </c>
      <c r="F279" t="n">
        <v/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11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n">
        <v/>
      </c>
      <c r="P279" t="inlineStr">
        <is>
          <t>center</t>
        </is>
      </c>
      <c r="R279" t="b">
        <v>0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</row>
    <row r="280">
      <c r="A280" t="inlineStr">
        <is>
          <t>Loan calculator</t>
        </is>
      </c>
      <c r="B280" t="inlineStr">
        <is>
          <t>A27</t>
        </is>
      </c>
      <c r="C280" t="n">
        <v>27</v>
      </c>
      <c r="D280" t="n">
        <v>1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11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n">
        <v/>
      </c>
      <c r="P280" t="inlineStr">
        <is>
          <t>center</t>
        </is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Loan calculator</t>
        </is>
      </c>
      <c r="B281" t="inlineStr">
        <is>
          <t>B27</t>
        </is>
      </c>
      <c r="C281" t="n">
        <v>27</v>
      </c>
      <c r="D281" t="n">
        <v>2</v>
      </c>
      <c r="E281" t="inlineStr">
        <is>
          <t>Output</t>
        </is>
      </c>
      <c r="F281" t="inlineStr">
        <is>
          <t>'=IFERROR(IF(LoanIsNotPaid*LoanIsGood,PaymentNumber,""), "")</t>
        </is>
      </c>
      <c r="G281" t="n">
        <v>11</v>
      </c>
      <c r="H281" t="inlineStr"/>
      <c r="I281" t="inlineStr">
        <is>
          <t>#,##0</t>
        </is>
      </c>
      <c r="J281" t="b">
        <v>0</v>
      </c>
      <c r="K281" t="b">
        <v>0</v>
      </c>
      <c r="L281" t="n">
        <v>9</v>
      </c>
      <c r="M281" t="inlineStr">
        <is>
          <t>Values must be of type &lt;class 'str'&gt;</t>
        </is>
      </c>
      <c r="N281" t="inlineStr">
        <is>
          <t>00000000</t>
        </is>
      </c>
      <c r="O281" t="inlineStr">
        <is>
          <t>center</t>
        </is>
      </c>
      <c r="P281" t="inlineStr">
        <is>
          <t>center</t>
        </is>
      </c>
      <c r="R281" t="b">
        <v>1</v>
      </c>
      <c r="S281" t="inlineStr">
        <is>
          <t>G000001</t>
        </is>
      </c>
      <c r="T281" t="inlineStr">
        <is>
          <t>Vertical</t>
        </is>
      </c>
      <c r="U281" t="n">
        <v>120</v>
      </c>
      <c r="V281" t="b">
        <v>1</v>
      </c>
      <c r="W281" t="inlineStr">
        <is>
          <t>Loan calculator!B17:B136</t>
        </is>
      </c>
      <c r="X281">
        <f>IFERROR(IF(LoanIsNotPaid*LoanIsGood,PaymentNumber,""), "")</f>
        <v/>
      </c>
    </row>
    <row r="282">
      <c r="A282" t="inlineStr">
        <is>
          <t>Loan calculator</t>
        </is>
      </c>
      <c r="B282" t="inlineStr">
        <is>
          <t>C27</t>
        </is>
      </c>
      <c r="C282" t="n">
        <v>27</v>
      </c>
      <c r="D282" t="n">
        <v>3</v>
      </c>
      <c r="E282" t="inlineStr">
        <is>
          <t>Output</t>
        </is>
      </c>
      <c r="F282" t="inlineStr">
        <is>
          <t>'=IFERROR(IF(LoanIsNotPaid*LoanIsGood,PaymentDate,LoanStartDate), LoanStartDate)</t>
        </is>
      </c>
      <c r="G282" s="1" t="n">
        <v>46423</v>
      </c>
      <c r="H282" t="inlineStr"/>
      <c r="I282" t="inlineStr">
        <is>
          <t>mm-dd-yy</t>
        </is>
      </c>
      <c r="J282" t="b">
        <v>0</v>
      </c>
      <c r="K282" t="b">
        <v>0</v>
      </c>
      <c r="L282" t="n">
        <v>9</v>
      </c>
      <c r="M282" t="inlineStr">
        <is>
          <t>Values must be of type &lt;class 'str'&gt;</t>
        </is>
      </c>
      <c r="N282" t="inlineStr">
        <is>
          <t>00000000</t>
        </is>
      </c>
      <c r="O282" t="inlineStr">
        <is>
          <t>center</t>
        </is>
      </c>
      <c r="P282" t="inlineStr">
        <is>
          <t>center</t>
        </is>
      </c>
      <c r="R282" t="b">
        <v>1</v>
      </c>
      <c r="S282" t="inlineStr">
        <is>
          <t>G000002</t>
        </is>
      </c>
      <c r="T282" t="inlineStr">
        <is>
          <t>Vertical</t>
        </is>
      </c>
      <c r="U282" t="n">
        <v>120</v>
      </c>
      <c r="V282" t="b">
        <v>1</v>
      </c>
      <c r="W282" t="inlineStr">
        <is>
          <t>Loan calculator!C17:C136</t>
        </is>
      </c>
      <c r="X282">
        <f>IFERROR(IF(LoanIsNotPaid*LoanIsGood,PaymentDate,LoanStartDate), LoanStartDate)</f>
        <v/>
      </c>
    </row>
    <row r="283">
      <c r="A283" t="inlineStr">
        <is>
          <t>Loan calculator</t>
        </is>
      </c>
      <c r="B283" t="inlineStr">
        <is>
          <t>D27</t>
        </is>
      </c>
      <c r="C283" t="n">
        <v>27</v>
      </c>
      <c r="D283" t="n">
        <v>4</v>
      </c>
      <c r="E283" t="inlineStr">
        <is>
          <t>Output</t>
        </is>
      </c>
      <c r="F283" t="inlineStr">
        <is>
          <t>'=IFERROR(IF(LoanIsNotPaid*LoanIsGood,LoanValue,""), "")</t>
        </is>
      </c>
      <c r="G283" t="n">
        <v>9359.98082083591</v>
      </c>
      <c r="H283" t="inlineStr"/>
      <c r="I283" t="inlineStr">
        <is>
          <t>"$"#,##0.00</t>
        </is>
      </c>
      <c r="J283" t="b">
        <v>0</v>
      </c>
      <c r="K283" t="b">
        <v>0</v>
      </c>
      <c r="L283" t="n">
        <v>9</v>
      </c>
      <c r="M283" t="inlineStr">
        <is>
          <t>Values must be of type &lt;class 'str'&gt;</t>
        </is>
      </c>
      <c r="N283" t="inlineStr">
        <is>
          <t>00000000</t>
        </is>
      </c>
      <c r="O283" t="inlineStr">
        <is>
          <t>center</t>
        </is>
      </c>
      <c r="P283" t="inlineStr">
        <is>
          <t>center</t>
        </is>
      </c>
      <c r="R283" t="b">
        <v>1</v>
      </c>
      <c r="S283" t="inlineStr">
        <is>
          <t>G000003</t>
        </is>
      </c>
      <c r="T283" t="inlineStr">
        <is>
          <t>Vertical</t>
        </is>
      </c>
      <c r="U283" t="n">
        <v>120</v>
      </c>
      <c r="V283" t="b">
        <v>1</v>
      </c>
      <c r="W283" t="inlineStr">
        <is>
          <t>Loan calculator!D17:D136</t>
        </is>
      </c>
      <c r="X283">
        <f>IFERROR(IF(LoanIsNotPaid*LoanIsGood,LoanValue,""), "")</f>
        <v/>
      </c>
    </row>
    <row r="284">
      <c r="A284" t="inlineStr">
        <is>
          <t>Loan calculator</t>
        </is>
      </c>
      <c r="B284" t="inlineStr">
        <is>
          <t>E27</t>
        </is>
      </c>
      <c r="C284" t="n">
        <v>27</v>
      </c>
      <c r="D284" t="n">
        <v>5</v>
      </c>
      <c r="E284" t="inlineStr">
        <is>
          <t>Output</t>
        </is>
      </c>
      <c r="F284" t="inlineStr">
        <is>
          <t>'=IFERROR(IF(LoanIsNotPaid*LoanIsGood,MonthlyPayment,0), 0)</t>
        </is>
      </c>
      <c r="G284" t="n">
        <v>108.5262779604807</v>
      </c>
      <c r="H284" t="inlineStr"/>
      <c r="I284" t="inlineStr">
        <is>
          <t>"$"#,##0.00</t>
        </is>
      </c>
      <c r="J284" t="b">
        <v>0</v>
      </c>
      <c r="K284" t="b">
        <v>0</v>
      </c>
      <c r="L284" t="n">
        <v>9</v>
      </c>
      <c r="M284" t="inlineStr">
        <is>
          <t>Values must be of type &lt;class 'str'&gt;</t>
        </is>
      </c>
      <c r="N284" t="inlineStr">
        <is>
          <t>00000000</t>
        </is>
      </c>
      <c r="O284" t="inlineStr">
        <is>
          <t>center</t>
        </is>
      </c>
      <c r="P284" t="inlineStr">
        <is>
          <t>center</t>
        </is>
      </c>
      <c r="R284" t="b">
        <v>1</v>
      </c>
      <c r="S284" t="inlineStr">
        <is>
          <t>G000004</t>
        </is>
      </c>
      <c r="T284" t="inlineStr">
        <is>
          <t>Vertical</t>
        </is>
      </c>
      <c r="U284" t="n">
        <v>120</v>
      </c>
      <c r="V284" t="b">
        <v>1</v>
      </c>
      <c r="W284" t="inlineStr">
        <is>
          <t>Loan calculator!E17:E136</t>
        </is>
      </c>
      <c r="X284">
        <f>IFERROR(IF(LoanIsNotPaid*LoanIsGood,MonthlyPayment,0), 0)</f>
        <v/>
      </c>
    </row>
    <row r="285">
      <c r="A285" t="inlineStr">
        <is>
          <t>Loan calculator</t>
        </is>
      </c>
      <c r="B285" t="inlineStr">
        <is>
          <t>F27</t>
        </is>
      </c>
      <c r="C285" t="n">
        <v>27</v>
      </c>
      <c r="D285" t="n">
        <v>6</v>
      </c>
      <c r="E285" t="inlineStr">
        <is>
          <t>Output</t>
        </is>
      </c>
      <c r="F285" t="inlineStr">
        <is>
          <t>'=IFERROR(IF(LoanIsNotPaid*LoanIsGood,Principal,0), 0)</t>
        </is>
      </c>
      <c r="G285" t="n">
        <v>65.6263658649828</v>
      </c>
      <c r="H285" t="inlineStr"/>
      <c r="I285" t="inlineStr">
        <is>
          <t>"$"#,##0.00</t>
        </is>
      </c>
      <c r="J285" t="b">
        <v>0</v>
      </c>
      <c r="K285" t="b">
        <v>0</v>
      </c>
      <c r="L285" t="n">
        <v>9</v>
      </c>
      <c r="M285" t="inlineStr">
        <is>
          <t>Values must be of type &lt;class 'str'&gt;</t>
        </is>
      </c>
      <c r="N285" t="inlineStr">
        <is>
          <t>00000000</t>
        </is>
      </c>
      <c r="O285" t="inlineStr">
        <is>
          <t>center</t>
        </is>
      </c>
      <c r="P285" t="inlineStr">
        <is>
          <t>center</t>
        </is>
      </c>
      <c r="R285" t="b">
        <v>1</v>
      </c>
      <c r="S285" t="inlineStr">
        <is>
          <t>G000005</t>
        </is>
      </c>
      <c r="T285" t="inlineStr">
        <is>
          <t>Vertical</t>
        </is>
      </c>
      <c r="U285" t="n">
        <v>120</v>
      </c>
      <c r="V285" t="b">
        <v>1</v>
      </c>
      <c r="W285" t="inlineStr">
        <is>
          <t>Loan calculator!F17:F136</t>
        </is>
      </c>
      <c r="X285">
        <f>IFERROR(IF(LoanIsNotPaid*LoanIsGood,Principal,0), 0)</f>
        <v/>
      </c>
    </row>
    <row r="286">
      <c r="A286" t="inlineStr">
        <is>
          <t>Loan calculator</t>
        </is>
      </c>
      <c r="B286" t="inlineStr">
        <is>
          <t>G27</t>
        </is>
      </c>
      <c r="C286" t="n">
        <v>27</v>
      </c>
      <c r="D286" t="n">
        <v>7</v>
      </c>
      <c r="E286" t="inlineStr">
        <is>
          <t>Output</t>
        </is>
      </c>
      <c r="F286" t="inlineStr">
        <is>
          <t>'=IFERROR(IF(LoanIsNotPaid*LoanIsGood,InterestAmt,0), 0)</t>
        </is>
      </c>
      <c r="G286" t="n">
        <v>42.89991209549792</v>
      </c>
      <c r="H286" t="inlineStr"/>
      <c r="I286" t="inlineStr">
        <is>
          <t>"$"#,##0.00</t>
        </is>
      </c>
      <c r="J286" t="b">
        <v>0</v>
      </c>
      <c r="K286" t="b">
        <v>0</v>
      </c>
      <c r="L286" t="n">
        <v>9</v>
      </c>
      <c r="M286" t="inlineStr">
        <is>
          <t>Values must be of type &lt;class 'str'&gt;</t>
        </is>
      </c>
      <c r="N286" t="inlineStr">
        <is>
          <t>00000000</t>
        </is>
      </c>
      <c r="O286" t="inlineStr">
        <is>
          <t>center</t>
        </is>
      </c>
      <c r="P286" t="inlineStr">
        <is>
          <t>center</t>
        </is>
      </c>
      <c r="R286" t="b">
        <v>1</v>
      </c>
      <c r="S286" t="inlineStr">
        <is>
          <t>G000006</t>
        </is>
      </c>
      <c r="T286" t="inlineStr">
        <is>
          <t>Vertical</t>
        </is>
      </c>
      <c r="U286" t="n">
        <v>120</v>
      </c>
      <c r="V286" t="b">
        <v>1</v>
      </c>
      <c r="W286" t="inlineStr">
        <is>
          <t>Loan calculator!G17:G136</t>
        </is>
      </c>
      <c r="X286">
        <f>IFERROR(IF(LoanIsNotPaid*LoanIsGood,InterestAmt,0), 0)</f>
        <v/>
      </c>
    </row>
    <row r="287">
      <c r="A287" t="inlineStr">
        <is>
          <t>Loan calculator</t>
        </is>
      </c>
      <c r="B287" t="inlineStr">
        <is>
          <t>H27</t>
        </is>
      </c>
      <c r="C287" t="n">
        <v>27</v>
      </c>
      <c r="D287" t="n">
        <v>8</v>
      </c>
      <c r="E287" t="inlineStr">
        <is>
          <t>Output</t>
        </is>
      </c>
      <c r="F287" t="inlineStr">
        <is>
          <t>'=IFERROR(IF(LoanIsNotPaid*LoanIsGood,EndingBalance,0), 0)</t>
        </is>
      </c>
      <c r="G287" t="n">
        <v>9294.354454970928</v>
      </c>
      <c r="H287" t="inlineStr"/>
      <c r="I287" t="inlineStr">
        <is>
          <t>"$"#,##0.00</t>
        </is>
      </c>
      <c r="J287" t="b">
        <v>0</v>
      </c>
      <c r="K287" t="b">
        <v>0</v>
      </c>
      <c r="L287" t="n">
        <v>9</v>
      </c>
      <c r="M287" t="inlineStr">
        <is>
          <t>Values must be of type &lt;class 'str'&gt;</t>
        </is>
      </c>
      <c r="N287" t="inlineStr">
        <is>
          <t>00000000</t>
        </is>
      </c>
      <c r="O287" t="inlineStr">
        <is>
          <t>center</t>
        </is>
      </c>
      <c r="P287" t="inlineStr">
        <is>
          <t>center</t>
        </is>
      </c>
      <c r="R287" t="b">
        <v>1</v>
      </c>
      <c r="S287" t="inlineStr">
        <is>
          <t>G000007</t>
        </is>
      </c>
      <c r="T287" t="inlineStr">
        <is>
          <t>Vertical</t>
        </is>
      </c>
      <c r="U287" t="n">
        <v>120</v>
      </c>
      <c r="V287" t="b">
        <v>1</v>
      </c>
      <c r="W287" t="inlineStr">
        <is>
          <t>Loan calculator!H17:H136</t>
        </is>
      </c>
      <c r="X287">
        <f>IFERROR(IF(LoanIsNotPaid*LoanIsGood,EndingBalance,0), 0)</f>
        <v/>
      </c>
    </row>
    <row r="288">
      <c r="A288" t="inlineStr">
        <is>
          <t>Loan calculator</t>
        </is>
      </c>
      <c r="B288" t="inlineStr">
        <is>
          <t>I27</t>
        </is>
      </c>
      <c r="C288" t="n">
        <v>27</v>
      </c>
      <c r="D288" t="n">
        <v>9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11</v>
      </c>
      <c r="M288" t="inlineStr">
        <is>
          <t>Values must be of type &lt;class 'str'&gt;</t>
        </is>
      </c>
      <c r="N288" t="inlineStr">
        <is>
          <t>Values must be of type &lt;class 'str'&gt;</t>
        </is>
      </c>
      <c r="O288" t="n">
        <v/>
      </c>
      <c r="P288" t="inlineStr">
        <is>
          <t>center</t>
        </is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</row>
    <row r="289">
      <c r="A289" t="inlineStr">
        <is>
          <t>Loan calculator</t>
        </is>
      </c>
      <c r="B289" t="inlineStr">
        <is>
          <t>A28</t>
        </is>
      </c>
      <c r="C289" t="n">
        <v>28</v>
      </c>
      <c r="D289" t="n">
        <v>1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11</v>
      </c>
      <c r="M289" t="inlineStr">
        <is>
          <t>Values must be of type &lt;class 'str'&gt;</t>
        </is>
      </c>
      <c r="N289" t="inlineStr">
        <is>
          <t>Values must be of type &lt;class 'str'&gt;</t>
        </is>
      </c>
      <c r="O289" t="n">
        <v/>
      </c>
      <c r="P289" t="inlineStr">
        <is>
          <t>center</t>
        </is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Loan calculator</t>
        </is>
      </c>
      <c r="B290" t="inlineStr">
        <is>
          <t>B28</t>
        </is>
      </c>
      <c r="C290" t="n">
        <v>28</v>
      </c>
      <c r="D290" t="n">
        <v>2</v>
      </c>
      <c r="E290" t="inlineStr">
        <is>
          <t>Output</t>
        </is>
      </c>
      <c r="F290" t="inlineStr">
        <is>
          <t>'=IFERROR(IF(LoanIsNotPaid*LoanIsGood,PaymentNumber,""), "")</t>
        </is>
      </c>
      <c r="G290" t="n">
        <v>12</v>
      </c>
      <c r="H290" t="inlineStr"/>
      <c r="I290" t="inlineStr">
        <is>
          <t>#,##0</t>
        </is>
      </c>
      <c r="J290" t="b">
        <v>0</v>
      </c>
      <c r="K290" t="b">
        <v>0</v>
      </c>
      <c r="L290" t="n">
        <v>9</v>
      </c>
      <c r="M290" t="inlineStr">
        <is>
          <t>Values must be of type &lt;class 'str'&gt;</t>
        </is>
      </c>
      <c r="N290" t="inlineStr">
        <is>
          <t>00000000</t>
        </is>
      </c>
      <c r="O290" t="inlineStr">
        <is>
          <t>center</t>
        </is>
      </c>
      <c r="P290" t="inlineStr">
        <is>
          <t>center</t>
        </is>
      </c>
      <c r="R290" t="b">
        <v>1</v>
      </c>
      <c r="S290" t="inlineStr">
        <is>
          <t>G000001</t>
        </is>
      </c>
      <c r="T290" t="inlineStr">
        <is>
          <t>Vertical</t>
        </is>
      </c>
      <c r="U290" t="n">
        <v>120</v>
      </c>
      <c r="V290" t="b">
        <v>1</v>
      </c>
      <c r="W290" t="inlineStr">
        <is>
          <t>Loan calculator!B17:B136</t>
        </is>
      </c>
      <c r="X290">
        <f>IFERROR(IF(LoanIsNotPaid*LoanIsGood,PaymentNumber,""), "")</f>
        <v/>
      </c>
    </row>
    <row r="291">
      <c r="A291" t="inlineStr">
        <is>
          <t>Loan calculator</t>
        </is>
      </c>
      <c r="B291" t="inlineStr">
        <is>
          <t>C28</t>
        </is>
      </c>
      <c r="C291" t="n">
        <v>28</v>
      </c>
      <c r="D291" t="n">
        <v>3</v>
      </c>
      <c r="E291" t="inlineStr">
        <is>
          <t>Output</t>
        </is>
      </c>
      <c r="F291" t="inlineStr">
        <is>
          <t>'=IFERROR(IF(LoanIsNotPaid*LoanIsGood,PaymentDate,LoanStartDate), LoanStartDate)</t>
        </is>
      </c>
      <c r="G291" s="1" t="n">
        <v>46451</v>
      </c>
      <c r="H291" t="inlineStr"/>
      <c r="I291" t="inlineStr">
        <is>
          <t>mm-dd-yy</t>
        </is>
      </c>
      <c r="J291" t="b">
        <v>0</v>
      </c>
      <c r="K291" t="b">
        <v>0</v>
      </c>
      <c r="L291" t="n">
        <v>9</v>
      </c>
      <c r="M291" t="inlineStr">
        <is>
          <t>Values must be of type &lt;class 'str'&gt;</t>
        </is>
      </c>
      <c r="N291" t="inlineStr">
        <is>
          <t>00000000</t>
        </is>
      </c>
      <c r="O291" t="inlineStr">
        <is>
          <t>center</t>
        </is>
      </c>
      <c r="P291" t="inlineStr">
        <is>
          <t>center</t>
        </is>
      </c>
      <c r="R291" t="b">
        <v>1</v>
      </c>
      <c r="S291" t="inlineStr">
        <is>
          <t>G000002</t>
        </is>
      </c>
      <c r="T291" t="inlineStr">
        <is>
          <t>Vertical</t>
        </is>
      </c>
      <c r="U291" t="n">
        <v>120</v>
      </c>
      <c r="V291" t="b">
        <v>1</v>
      </c>
      <c r="W291" t="inlineStr">
        <is>
          <t>Loan calculator!C17:C136</t>
        </is>
      </c>
      <c r="X291">
        <f>IFERROR(IF(LoanIsNotPaid*LoanIsGood,PaymentDate,LoanStartDate), LoanStartDate)</f>
        <v/>
      </c>
    </row>
    <row r="292">
      <c r="A292" t="inlineStr">
        <is>
          <t>Loan calculator</t>
        </is>
      </c>
      <c r="B292" t="inlineStr">
        <is>
          <t>D28</t>
        </is>
      </c>
      <c r="C292" t="n">
        <v>28</v>
      </c>
      <c r="D292" t="n">
        <v>4</v>
      </c>
      <c r="E292" t="inlineStr">
        <is>
          <t>Output</t>
        </is>
      </c>
      <c r="F292" t="inlineStr">
        <is>
          <t>'=IFERROR(IF(LoanIsNotPaid*LoanIsGood,LoanValue,""), "")</t>
        </is>
      </c>
      <c r="G292" t="n">
        <v>9294.354454970928</v>
      </c>
      <c r="H292" t="inlineStr"/>
      <c r="I292" t="inlineStr">
        <is>
          <t>"$"#,##0.00</t>
        </is>
      </c>
      <c r="J292" t="b">
        <v>0</v>
      </c>
      <c r="K292" t="b">
        <v>0</v>
      </c>
      <c r="L292" t="n">
        <v>9</v>
      </c>
      <c r="M292" t="inlineStr">
        <is>
          <t>Values must be of type &lt;class 'str'&gt;</t>
        </is>
      </c>
      <c r="N292" t="inlineStr">
        <is>
          <t>00000000</t>
        </is>
      </c>
      <c r="O292" t="inlineStr">
        <is>
          <t>center</t>
        </is>
      </c>
      <c r="P292" t="inlineStr">
        <is>
          <t>center</t>
        </is>
      </c>
      <c r="R292" t="b">
        <v>1</v>
      </c>
      <c r="S292" t="inlineStr">
        <is>
          <t>G000003</t>
        </is>
      </c>
      <c r="T292" t="inlineStr">
        <is>
          <t>Vertical</t>
        </is>
      </c>
      <c r="U292" t="n">
        <v>120</v>
      </c>
      <c r="V292" t="b">
        <v>1</v>
      </c>
      <c r="W292" t="inlineStr">
        <is>
          <t>Loan calculator!D17:D136</t>
        </is>
      </c>
      <c r="X292">
        <f>IFERROR(IF(LoanIsNotPaid*LoanIsGood,LoanValue,""), "")</f>
        <v/>
      </c>
    </row>
    <row r="293">
      <c r="A293" t="inlineStr">
        <is>
          <t>Loan calculator</t>
        </is>
      </c>
      <c r="B293" t="inlineStr">
        <is>
          <t>E28</t>
        </is>
      </c>
      <c r="C293" t="n">
        <v>28</v>
      </c>
      <c r="D293" t="n">
        <v>5</v>
      </c>
      <c r="E293" t="inlineStr">
        <is>
          <t>Output</t>
        </is>
      </c>
      <c r="F293" t="inlineStr">
        <is>
          <t>'=IFERROR(IF(LoanIsNotPaid*LoanIsGood,MonthlyPayment,0), 0)</t>
        </is>
      </c>
      <c r="G293" t="n">
        <v>108.5262779604807</v>
      </c>
      <c r="H293" t="inlineStr"/>
      <c r="I293" t="inlineStr">
        <is>
          <t>"$"#,##0.00</t>
        </is>
      </c>
      <c r="J293" t="b">
        <v>0</v>
      </c>
      <c r="K293" t="b">
        <v>0</v>
      </c>
      <c r="L293" t="n">
        <v>9</v>
      </c>
      <c r="M293" t="inlineStr">
        <is>
          <t>Values must be of type &lt;class 'str'&gt;</t>
        </is>
      </c>
      <c r="N293" t="inlineStr">
        <is>
          <t>00000000</t>
        </is>
      </c>
      <c r="O293" t="inlineStr">
        <is>
          <t>center</t>
        </is>
      </c>
      <c r="P293" t="inlineStr">
        <is>
          <t>center</t>
        </is>
      </c>
      <c r="R293" t="b">
        <v>1</v>
      </c>
      <c r="S293" t="inlineStr">
        <is>
          <t>G000004</t>
        </is>
      </c>
      <c r="T293" t="inlineStr">
        <is>
          <t>Vertical</t>
        </is>
      </c>
      <c r="U293" t="n">
        <v>120</v>
      </c>
      <c r="V293" t="b">
        <v>1</v>
      </c>
      <c r="W293" t="inlineStr">
        <is>
          <t>Loan calculator!E17:E136</t>
        </is>
      </c>
      <c r="X293">
        <f>IFERROR(IF(LoanIsNotPaid*LoanIsGood,MonthlyPayment,0), 0)</f>
        <v/>
      </c>
    </row>
    <row r="294">
      <c r="A294" t="inlineStr">
        <is>
          <t>Loan calculator</t>
        </is>
      </c>
      <c r="B294" t="inlineStr">
        <is>
          <t>F28</t>
        </is>
      </c>
      <c r="C294" t="n">
        <v>28</v>
      </c>
      <c r="D294" t="n">
        <v>6</v>
      </c>
      <c r="E294" t="inlineStr">
        <is>
          <t>Output</t>
        </is>
      </c>
      <c r="F294" t="inlineStr">
        <is>
          <t>'=IFERROR(IF(LoanIsNotPaid*LoanIsGood,Principal,0), 0)</t>
        </is>
      </c>
      <c r="G294" t="n">
        <v>65.92715337519732</v>
      </c>
      <c r="H294" t="inlineStr"/>
      <c r="I294" t="inlineStr">
        <is>
          <t>"$"#,##0.00</t>
        </is>
      </c>
      <c r="J294" t="b">
        <v>0</v>
      </c>
      <c r="K294" t="b">
        <v>0</v>
      </c>
      <c r="L294" t="n">
        <v>9</v>
      </c>
      <c r="M294" t="inlineStr">
        <is>
          <t>Values must be of type &lt;class 'str'&gt;</t>
        </is>
      </c>
      <c r="N294" t="inlineStr">
        <is>
          <t>00000000</t>
        </is>
      </c>
      <c r="O294" t="inlineStr">
        <is>
          <t>center</t>
        </is>
      </c>
      <c r="P294" t="inlineStr">
        <is>
          <t>center</t>
        </is>
      </c>
      <c r="R294" t="b">
        <v>1</v>
      </c>
      <c r="S294" t="inlineStr">
        <is>
          <t>G000005</t>
        </is>
      </c>
      <c r="T294" t="inlineStr">
        <is>
          <t>Vertical</t>
        </is>
      </c>
      <c r="U294" t="n">
        <v>120</v>
      </c>
      <c r="V294" t="b">
        <v>1</v>
      </c>
      <c r="W294" t="inlineStr">
        <is>
          <t>Loan calculator!F17:F136</t>
        </is>
      </c>
      <c r="X294">
        <f>IFERROR(IF(LoanIsNotPaid*LoanIsGood,Principal,0), 0)</f>
        <v/>
      </c>
    </row>
    <row r="295">
      <c r="A295" t="inlineStr">
        <is>
          <t>Loan calculator</t>
        </is>
      </c>
      <c r="B295" t="inlineStr">
        <is>
          <t>G28</t>
        </is>
      </c>
      <c r="C295" t="n">
        <v>28</v>
      </c>
      <c r="D295" t="n">
        <v>7</v>
      </c>
      <c r="E295" t="inlineStr">
        <is>
          <t>Output</t>
        </is>
      </c>
      <c r="F295" t="inlineStr">
        <is>
          <t>'=IFERROR(IF(LoanIsNotPaid*LoanIsGood,InterestAmt,0), 0)</t>
        </is>
      </c>
      <c r="G295" t="n">
        <v>42.59912458528342</v>
      </c>
      <c r="H295" t="inlineStr"/>
      <c r="I295" t="inlineStr">
        <is>
          <t>"$"#,##0.00</t>
        </is>
      </c>
      <c r="J295" t="b">
        <v>0</v>
      </c>
      <c r="K295" t="b">
        <v>0</v>
      </c>
      <c r="L295" t="n">
        <v>9</v>
      </c>
      <c r="M295" t="inlineStr">
        <is>
          <t>Values must be of type &lt;class 'str'&gt;</t>
        </is>
      </c>
      <c r="N295" t="inlineStr">
        <is>
          <t>00000000</t>
        </is>
      </c>
      <c r="O295" t="inlineStr">
        <is>
          <t>center</t>
        </is>
      </c>
      <c r="P295" t="inlineStr">
        <is>
          <t>center</t>
        </is>
      </c>
      <c r="R295" t="b">
        <v>1</v>
      </c>
      <c r="S295" t="inlineStr">
        <is>
          <t>G000006</t>
        </is>
      </c>
      <c r="T295" t="inlineStr">
        <is>
          <t>Vertical</t>
        </is>
      </c>
      <c r="U295" t="n">
        <v>120</v>
      </c>
      <c r="V295" t="b">
        <v>1</v>
      </c>
      <c r="W295" t="inlineStr">
        <is>
          <t>Loan calculator!G17:G136</t>
        </is>
      </c>
      <c r="X295">
        <f>IFERROR(IF(LoanIsNotPaid*LoanIsGood,InterestAmt,0), 0)</f>
        <v/>
      </c>
    </row>
    <row r="296">
      <c r="A296" t="inlineStr">
        <is>
          <t>Loan calculator</t>
        </is>
      </c>
      <c r="B296" t="inlineStr">
        <is>
          <t>H28</t>
        </is>
      </c>
      <c r="C296" t="n">
        <v>28</v>
      </c>
      <c r="D296" t="n">
        <v>8</v>
      </c>
      <c r="E296" t="inlineStr">
        <is>
          <t>Output</t>
        </is>
      </c>
      <c r="F296" t="inlineStr">
        <is>
          <t>'=IFERROR(IF(LoanIsNotPaid*LoanIsGood,EndingBalance,0), 0)</t>
        </is>
      </c>
      <c r="G296" t="n">
        <v>9228.427301595733</v>
      </c>
      <c r="H296" t="inlineStr"/>
      <c r="I296" t="inlineStr">
        <is>
          <t>"$"#,##0.00</t>
        </is>
      </c>
      <c r="J296" t="b">
        <v>0</v>
      </c>
      <c r="K296" t="b">
        <v>0</v>
      </c>
      <c r="L296" t="n">
        <v>9</v>
      </c>
      <c r="M296" t="inlineStr">
        <is>
          <t>Values must be of type &lt;class 'str'&gt;</t>
        </is>
      </c>
      <c r="N296" t="inlineStr">
        <is>
          <t>00000000</t>
        </is>
      </c>
      <c r="O296" t="inlineStr">
        <is>
          <t>center</t>
        </is>
      </c>
      <c r="P296" t="inlineStr">
        <is>
          <t>center</t>
        </is>
      </c>
      <c r="R296" t="b">
        <v>1</v>
      </c>
      <c r="S296" t="inlineStr">
        <is>
          <t>G000007</t>
        </is>
      </c>
      <c r="T296" t="inlineStr">
        <is>
          <t>Vertical</t>
        </is>
      </c>
      <c r="U296" t="n">
        <v>120</v>
      </c>
      <c r="V296" t="b">
        <v>1</v>
      </c>
      <c r="W296" t="inlineStr">
        <is>
          <t>Loan calculator!H17:H136</t>
        </is>
      </c>
      <c r="X296">
        <f>IFERROR(IF(LoanIsNotPaid*LoanIsGood,EndingBalance,0), 0)</f>
        <v/>
      </c>
    </row>
    <row r="297">
      <c r="A297" t="inlineStr">
        <is>
          <t>Loan calculator</t>
        </is>
      </c>
      <c r="B297" t="inlineStr">
        <is>
          <t>I28</t>
        </is>
      </c>
      <c r="C297" t="n">
        <v>28</v>
      </c>
      <c r="D297" t="n">
        <v>9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11</v>
      </c>
      <c r="M297" t="inlineStr">
        <is>
          <t>Values must be of type &lt;class 'str'&gt;</t>
        </is>
      </c>
      <c r="N297" t="inlineStr">
        <is>
          <t>Values must be of type &lt;class 'str'&gt;</t>
        </is>
      </c>
      <c r="O297" t="n">
        <v/>
      </c>
      <c r="P297" t="inlineStr">
        <is>
          <t>center</t>
        </is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</row>
    <row r="298">
      <c r="A298" t="inlineStr">
        <is>
          <t>Loan calculator</t>
        </is>
      </c>
      <c r="B298" t="inlineStr">
        <is>
          <t>A29</t>
        </is>
      </c>
      <c r="C298" t="n">
        <v>29</v>
      </c>
      <c r="D298" t="n">
        <v>1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11</v>
      </c>
      <c r="M298" t="inlineStr">
        <is>
          <t>Values must be of type &lt;class 'str'&gt;</t>
        </is>
      </c>
      <c r="N298" t="inlineStr">
        <is>
          <t>Values must be of type &lt;class 'str'&gt;</t>
        </is>
      </c>
      <c r="O298" t="n">
        <v/>
      </c>
      <c r="P298" t="inlineStr">
        <is>
          <t>center</t>
        </is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Loan calculator</t>
        </is>
      </c>
      <c r="B299" t="inlineStr">
        <is>
          <t>B29</t>
        </is>
      </c>
      <c r="C299" t="n">
        <v>29</v>
      </c>
      <c r="D299" t="n">
        <v>2</v>
      </c>
      <c r="E299" t="inlineStr">
        <is>
          <t>Output</t>
        </is>
      </c>
      <c r="F299" t="inlineStr">
        <is>
          <t>'=IFERROR(IF(LoanIsNotPaid*LoanIsGood,PaymentNumber,""), "")</t>
        </is>
      </c>
      <c r="G299" t="n">
        <v>13</v>
      </c>
      <c r="H299" t="inlineStr"/>
      <c r="I299" t="inlineStr">
        <is>
          <t>#,##0</t>
        </is>
      </c>
      <c r="J299" t="b">
        <v>0</v>
      </c>
      <c r="K299" t="b">
        <v>0</v>
      </c>
      <c r="L299" t="n">
        <v>9</v>
      </c>
      <c r="M299" t="inlineStr">
        <is>
          <t>Values must be of type &lt;class 'str'&gt;</t>
        </is>
      </c>
      <c r="N299" t="inlineStr">
        <is>
          <t>00000000</t>
        </is>
      </c>
      <c r="O299" t="inlineStr">
        <is>
          <t>center</t>
        </is>
      </c>
      <c r="P299" t="inlineStr">
        <is>
          <t>center</t>
        </is>
      </c>
      <c r="R299" t="b">
        <v>1</v>
      </c>
      <c r="S299" t="inlineStr">
        <is>
          <t>G000001</t>
        </is>
      </c>
      <c r="T299" t="inlineStr">
        <is>
          <t>Vertical</t>
        </is>
      </c>
      <c r="U299" t="n">
        <v>120</v>
      </c>
      <c r="V299" t="b">
        <v>1</v>
      </c>
      <c r="W299" t="inlineStr">
        <is>
          <t>Loan calculator!B17:B136</t>
        </is>
      </c>
      <c r="X299">
        <f>IFERROR(IF(LoanIsNotPaid*LoanIsGood,PaymentNumber,""), "")</f>
        <v/>
      </c>
    </row>
    <row r="300">
      <c r="A300" t="inlineStr">
        <is>
          <t>Loan calculator</t>
        </is>
      </c>
      <c r="B300" t="inlineStr">
        <is>
          <t>C29</t>
        </is>
      </c>
      <c r="C300" t="n">
        <v>29</v>
      </c>
      <c r="D300" t="n">
        <v>3</v>
      </c>
      <c r="E300" t="inlineStr">
        <is>
          <t>Output</t>
        </is>
      </c>
      <c r="F300" t="inlineStr">
        <is>
          <t>'=IFERROR(IF(LoanIsNotPaid*LoanIsGood,PaymentDate,LoanStartDate), LoanStartDate)</t>
        </is>
      </c>
      <c r="G300" s="1" t="n">
        <v>46482</v>
      </c>
      <c r="H300" t="inlineStr"/>
      <c r="I300" t="inlineStr">
        <is>
          <t>mm-dd-yy</t>
        </is>
      </c>
      <c r="J300" t="b">
        <v>0</v>
      </c>
      <c r="K300" t="b">
        <v>0</v>
      </c>
      <c r="L300" t="n">
        <v>9</v>
      </c>
      <c r="M300" t="inlineStr">
        <is>
          <t>Values must be of type &lt;class 'str'&gt;</t>
        </is>
      </c>
      <c r="N300" t="inlineStr">
        <is>
          <t>00000000</t>
        </is>
      </c>
      <c r="O300" t="inlineStr">
        <is>
          <t>center</t>
        </is>
      </c>
      <c r="P300" t="inlineStr">
        <is>
          <t>center</t>
        </is>
      </c>
      <c r="R300" t="b">
        <v>1</v>
      </c>
      <c r="S300" t="inlineStr">
        <is>
          <t>G000002</t>
        </is>
      </c>
      <c r="T300" t="inlineStr">
        <is>
          <t>Vertical</t>
        </is>
      </c>
      <c r="U300" t="n">
        <v>120</v>
      </c>
      <c r="V300" t="b">
        <v>1</v>
      </c>
      <c r="W300" t="inlineStr">
        <is>
          <t>Loan calculator!C17:C136</t>
        </is>
      </c>
      <c r="X300">
        <f>IFERROR(IF(LoanIsNotPaid*LoanIsGood,PaymentDate,LoanStartDate), LoanStartDate)</f>
        <v/>
      </c>
    </row>
    <row r="301">
      <c r="A301" t="inlineStr">
        <is>
          <t>Loan calculator</t>
        </is>
      </c>
      <c r="B301" t="inlineStr">
        <is>
          <t>D29</t>
        </is>
      </c>
      <c r="C301" t="n">
        <v>29</v>
      </c>
      <c r="D301" t="n">
        <v>4</v>
      </c>
      <c r="E301" t="inlineStr">
        <is>
          <t>Output</t>
        </is>
      </c>
      <c r="F301" t="inlineStr">
        <is>
          <t>'=IFERROR(IF(LoanIsNotPaid*LoanIsGood,LoanValue,""), "")</t>
        </is>
      </c>
      <c r="G301" t="n">
        <v>9228.427301595733</v>
      </c>
      <c r="H301" t="inlineStr"/>
      <c r="I301" t="inlineStr">
        <is>
          <t>"$"#,##0.00</t>
        </is>
      </c>
      <c r="J301" t="b">
        <v>0</v>
      </c>
      <c r="K301" t="b">
        <v>0</v>
      </c>
      <c r="L301" t="n">
        <v>9</v>
      </c>
      <c r="M301" t="inlineStr">
        <is>
          <t>Values must be of type &lt;class 'str'&gt;</t>
        </is>
      </c>
      <c r="N301" t="inlineStr">
        <is>
          <t>00000000</t>
        </is>
      </c>
      <c r="O301" t="inlineStr">
        <is>
          <t>center</t>
        </is>
      </c>
      <c r="P301" t="inlineStr">
        <is>
          <t>center</t>
        </is>
      </c>
      <c r="R301" t="b">
        <v>1</v>
      </c>
      <c r="S301" t="inlineStr">
        <is>
          <t>G000003</t>
        </is>
      </c>
      <c r="T301" t="inlineStr">
        <is>
          <t>Vertical</t>
        </is>
      </c>
      <c r="U301" t="n">
        <v>120</v>
      </c>
      <c r="V301" t="b">
        <v>1</v>
      </c>
      <c r="W301" t="inlineStr">
        <is>
          <t>Loan calculator!D17:D136</t>
        </is>
      </c>
      <c r="X301">
        <f>IFERROR(IF(LoanIsNotPaid*LoanIsGood,LoanValue,""), "")</f>
        <v/>
      </c>
    </row>
    <row r="302">
      <c r="A302" t="inlineStr">
        <is>
          <t>Loan calculator</t>
        </is>
      </c>
      <c r="B302" t="inlineStr">
        <is>
          <t>E29</t>
        </is>
      </c>
      <c r="C302" t="n">
        <v>29</v>
      </c>
      <c r="D302" t="n">
        <v>5</v>
      </c>
      <c r="E302" t="inlineStr">
        <is>
          <t>Output</t>
        </is>
      </c>
      <c r="F302" t="inlineStr">
        <is>
          <t>'=IFERROR(IF(LoanIsNotPaid*LoanIsGood,MonthlyPayment,0), 0)</t>
        </is>
      </c>
      <c r="G302" t="n">
        <v>108.5262779604807</v>
      </c>
      <c r="H302" t="inlineStr"/>
      <c r="I302" t="inlineStr">
        <is>
          <t>"$"#,##0.00</t>
        </is>
      </c>
      <c r="J302" t="b">
        <v>0</v>
      </c>
      <c r="K302" t="b">
        <v>0</v>
      </c>
      <c r="L302" t="n">
        <v>9</v>
      </c>
      <c r="M302" t="inlineStr">
        <is>
          <t>Values must be of type &lt;class 'str'&gt;</t>
        </is>
      </c>
      <c r="N302" t="inlineStr">
        <is>
          <t>00000000</t>
        </is>
      </c>
      <c r="O302" t="inlineStr">
        <is>
          <t>center</t>
        </is>
      </c>
      <c r="P302" t="inlineStr">
        <is>
          <t>center</t>
        </is>
      </c>
      <c r="R302" t="b">
        <v>1</v>
      </c>
      <c r="S302" t="inlineStr">
        <is>
          <t>G000004</t>
        </is>
      </c>
      <c r="T302" t="inlineStr">
        <is>
          <t>Vertical</t>
        </is>
      </c>
      <c r="U302" t="n">
        <v>120</v>
      </c>
      <c r="V302" t="b">
        <v>1</v>
      </c>
      <c r="W302" t="inlineStr">
        <is>
          <t>Loan calculator!E17:E136</t>
        </is>
      </c>
      <c r="X302">
        <f>IFERROR(IF(LoanIsNotPaid*LoanIsGood,MonthlyPayment,0), 0)</f>
        <v/>
      </c>
    </row>
    <row r="303">
      <c r="A303" t="inlineStr">
        <is>
          <t>Loan calculator</t>
        </is>
      </c>
      <c r="B303" t="inlineStr">
        <is>
          <t>F29</t>
        </is>
      </c>
      <c r="C303" t="n">
        <v>29</v>
      </c>
      <c r="D303" t="n">
        <v>6</v>
      </c>
      <c r="E303" t="inlineStr">
        <is>
          <t>Output</t>
        </is>
      </c>
      <c r="F303" t="inlineStr">
        <is>
          <t>'=IFERROR(IF(LoanIsNotPaid*LoanIsGood,Principal,0), 0)</t>
        </is>
      </c>
      <c r="G303" t="n">
        <v>66.22931949483362</v>
      </c>
      <c r="H303" t="inlineStr"/>
      <c r="I303" t="inlineStr">
        <is>
          <t>"$"#,##0.00</t>
        </is>
      </c>
      <c r="J303" t="b">
        <v>0</v>
      </c>
      <c r="K303" t="b">
        <v>0</v>
      </c>
      <c r="L303" t="n">
        <v>9</v>
      </c>
      <c r="M303" t="inlineStr">
        <is>
          <t>Values must be of type &lt;class 'str'&gt;</t>
        </is>
      </c>
      <c r="N303" t="inlineStr">
        <is>
          <t>00000000</t>
        </is>
      </c>
      <c r="O303" t="inlineStr">
        <is>
          <t>center</t>
        </is>
      </c>
      <c r="P303" t="inlineStr">
        <is>
          <t>center</t>
        </is>
      </c>
      <c r="R303" t="b">
        <v>1</v>
      </c>
      <c r="S303" t="inlineStr">
        <is>
          <t>G000005</t>
        </is>
      </c>
      <c r="T303" t="inlineStr">
        <is>
          <t>Vertical</t>
        </is>
      </c>
      <c r="U303" t="n">
        <v>120</v>
      </c>
      <c r="V303" t="b">
        <v>1</v>
      </c>
      <c r="W303" t="inlineStr">
        <is>
          <t>Loan calculator!F17:F136</t>
        </is>
      </c>
      <c r="X303">
        <f>IFERROR(IF(LoanIsNotPaid*LoanIsGood,Principal,0), 0)</f>
        <v/>
      </c>
    </row>
    <row r="304">
      <c r="A304" t="inlineStr">
        <is>
          <t>Loan calculator</t>
        </is>
      </c>
      <c r="B304" t="inlineStr">
        <is>
          <t>G29</t>
        </is>
      </c>
      <c r="C304" t="n">
        <v>29</v>
      </c>
      <c r="D304" t="n">
        <v>7</v>
      </c>
      <c r="E304" t="inlineStr">
        <is>
          <t>Output</t>
        </is>
      </c>
      <c r="F304" t="inlineStr">
        <is>
          <t>'=IFERROR(IF(LoanIsNotPaid*LoanIsGood,InterestAmt,0), 0)</t>
        </is>
      </c>
      <c r="G304" t="n">
        <v>42.29695846564709</v>
      </c>
      <c r="H304" t="inlineStr"/>
      <c r="I304" t="inlineStr">
        <is>
          <t>"$"#,##0.00</t>
        </is>
      </c>
      <c r="J304" t="b">
        <v>0</v>
      </c>
      <c r="K304" t="b">
        <v>0</v>
      </c>
      <c r="L304" t="n">
        <v>9</v>
      </c>
      <c r="M304" t="inlineStr">
        <is>
          <t>Values must be of type &lt;class 'str'&gt;</t>
        </is>
      </c>
      <c r="N304" t="inlineStr">
        <is>
          <t>00000000</t>
        </is>
      </c>
      <c r="O304" t="inlineStr">
        <is>
          <t>center</t>
        </is>
      </c>
      <c r="P304" t="inlineStr">
        <is>
          <t>center</t>
        </is>
      </c>
      <c r="R304" t="b">
        <v>1</v>
      </c>
      <c r="S304" t="inlineStr">
        <is>
          <t>G000006</t>
        </is>
      </c>
      <c r="T304" t="inlineStr">
        <is>
          <t>Vertical</t>
        </is>
      </c>
      <c r="U304" t="n">
        <v>120</v>
      </c>
      <c r="V304" t="b">
        <v>1</v>
      </c>
      <c r="W304" t="inlineStr">
        <is>
          <t>Loan calculator!G17:G136</t>
        </is>
      </c>
      <c r="X304">
        <f>IFERROR(IF(LoanIsNotPaid*LoanIsGood,InterestAmt,0), 0)</f>
        <v/>
      </c>
    </row>
    <row r="305">
      <c r="A305" t="inlineStr">
        <is>
          <t>Loan calculator</t>
        </is>
      </c>
      <c r="B305" t="inlineStr">
        <is>
          <t>H29</t>
        </is>
      </c>
      <c r="C305" t="n">
        <v>29</v>
      </c>
      <c r="D305" t="n">
        <v>8</v>
      </c>
      <c r="E305" t="inlineStr">
        <is>
          <t>Output</t>
        </is>
      </c>
      <c r="F305" t="inlineStr">
        <is>
          <t>'=IFERROR(IF(LoanIsNotPaid*LoanIsGood,EndingBalance,0), 0)</t>
        </is>
      </c>
      <c r="G305" t="n">
        <v>9162.197982100897</v>
      </c>
      <c r="H305" t="inlineStr"/>
      <c r="I305" t="inlineStr">
        <is>
          <t>"$"#,##0.00</t>
        </is>
      </c>
      <c r="J305" t="b">
        <v>0</v>
      </c>
      <c r="K305" t="b">
        <v>0</v>
      </c>
      <c r="L305" t="n">
        <v>9</v>
      </c>
      <c r="M305" t="inlineStr">
        <is>
          <t>Values must be of type &lt;class 'str'&gt;</t>
        </is>
      </c>
      <c r="N305" t="inlineStr">
        <is>
          <t>00000000</t>
        </is>
      </c>
      <c r="O305" t="inlineStr">
        <is>
          <t>center</t>
        </is>
      </c>
      <c r="P305" t="inlineStr">
        <is>
          <t>center</t>
        </is>
      </c>
      <c r="R305" t="b">
        <v>1</v>
      </c>
      <c r="S305" t="inlineStr">
        <is>
          <t>G000007</t>
        </is>
      </c>
      <c r="T305" t="inlineStr">
        <is>
          <t>Vertical</t>
        </is>
      </c>
      <c r="U305" t="n">
        <v>120</v>
      </c>
      <c r="V305" t="b">
        <v>1</v>
      </c>
      <c r="W305" t="inlineStr">
        <is>
          <t>Loan calculator!H17:H136</t>
        </is>
      </c>
      <c r="X305">
        <f>IFERROR(IF(LoanIsNotPaid*LoanIsGood,EndingBalance,0), 0)</f>
        <v/>
      </c>
    </row>
    <row r="306">
      <c r="A306" t="inlineStr">
        <is>
          <t>Loan calculator</t>
        </is>
      </c>
      <c r="B306" t="inlineStr">
        <is>
          <t>I29</t>
        </is>
      </c>
      <c r="C306" t="n">
        <v>29</v>
      </c>
      <c r="D306" t="n">
        <v>9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11</v>
      </c>
      <c r="M306" t="inlineStr">
        <is>
          <t>Values must be of type &lt;class 'str'&gt;</t>
        </is>
      </c>
      <c r="N306" t="inlineStr">
        <is>
          <t>Values must be of type &lt;class 'str'&gt;</t>
        </is>
      </c>
      <c r="O306" t="n">
        <v/>
      </c>
      <c r="P306" t="inlineStr">
        <is>
          <t>center</t>
        </is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Loan calculator</t>
        </is>
      </c>
      <c r="B307" t="inlineStr">
        <is>
          <t>A30</t>
        </is>
      </c>
      <c r="C307" t="n">
        <v>30</v>
      </c>
      <c r="D307" t="n">
        <v>1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11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n">
        <v/>
      </c>
      <c r="P307" t="inlineStr">
        <is>
          <t>center</t>
        </is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</row>
    <row r="308">
      <c r="A308" t="inlineStr">
        <is>
          <t>Loan calculator</t>
        </is>
      </c>
      <c r="B308" t="inlineStr">
        <is>
          <t>B30</t>
        </is>
      </c>
      <c r="C308" t="n">
        <v>30</v>
      </c>
      <c r="D308" t="n">
        <v>2</v>
      </c>
      <c r="E308" t="inlineStr">
        <is>
          <t>Output</t>
        </is>
      </c>
      <c r="F308" t="inlineStr">
        <is>
          <t>'=IFERROR(IF(LoanIsNotPaid*LoanIsGood,PaymentNumber,""), "")</t>
        </is>
      </c>
      <c r="G308" t="n">
        <v>14</v>
      </c>
      <c r="H308" t="inlineStr"/>
      <c r="I308" t="inlineStr">
        <is>
          <t>#,##0</t>
        </is>
      </c>
      <c r="J308" t="b">
        <v>0</v>
      </c>
      <c r="K308" t="b">
        <v>0</v>
      </c>
      <c r="L308" t="n">
        <v>9</v>
      </c>
      <c r="M308" t="inlineStr">
        <is>
          <t>Values must be of type &lt;class 'str'&gt;</t>
        </is>
      </c>
      <c r="N308" t="inlineStr">
        <is>
          <t>00000000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inlineStr">
        <is>
          <t>G000001</t>
        </is>
      </c>
      <c r="T308" t="inlineStr">
        <is>
          <t>Vertical</t>
        </is>
      </c>
      <c r="U308" t="n">
        <v>120</v>
      </c>
      <c r="V308" t="b">
        <v>1</v>
      </c>
      <c r="W308" t="inlineStr">
        <is>
          <t>Loan calculator!B17:B136</t>
        </is>
      </c>
      <c r="X308">
        <f>IFERROR(IF(LoanIsNotPaid*LoanIsGood,PaymentNumber,""), "")</f>
        <v/>
      </c>
    </row>
    <row r="309">
      <c r="A309" t="inlineStr">
        <is>
          <t>Loan calculator</t>
        </is>
      </c>
      <c r="B309" t="inlineStr">
        <is>
          <t>C30</t>
        </is>
      </c>
      <c r="C309" t="n">
        <v>30</v>
      </c>
      <c r="D309" t="n">
        <v>3</v>
      </c>
      <c r="E309" t="inlineStr">
        <is>
          <t>Output</t>
        </is>
      </c>
      <c r="F309" t="inlineStr">
        <is>
          <t>'=IFERROR(IF(LoanIsNotPaid*LoanIsGood,PaymentDate,LoanStartDate), LoanStartDate)</t>
        </is>
      </c>
      <c r="G309" s="1" t="n">
        <v>46512</v>
      </c>
      <c r="H309" t="inlineStr"/>
      <c r="I309" t="inlineStr">
        <is>
          <t>mm-dd-yy</t>
        </is>
      </c>
      <c r="J309" t="b">
        <v>0</v>
      </c>
      <c r="K309" t="b">
        <v>0</v>
      </c>
      <c r="L309" t="n">
        <v>9</v>
      </c>
      <c r="M309" t="inlineStr">
        <is>
          <t>Values must be of type &lt;class 'str'&gt;</t>
        </is>
      </c>
      <c r="N309" t="inlineStr">
        <is>
          <t>00000000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inlineStr">
        <is>
          <t>G000002</t>
        </is>
      </c>
      <c r="T309" t="inlineStr">
        <is>
          <t>Vertical</t>
        </is>
      </c>
      <c r="U309" t="n">
        <v>120</v>
      </c>
      <c r="V309" t="b">
        <v>1</v>
      </c>
      <c r="W309" t="inlineStr">
        <is>
          <t>Loan calculator!C17:C136</t>
        </is>
      </c>
      <c r="X309">
        <f>IFERROR(IF(LoanIsNotPaid*LoanIsGood,PaymentDate,LoanStartDate), LoanStartDate)</f>
        <v/>
      </c>
    </row>
    <row r="310">
      <c r="A310" t="inlineStr">
        <is>
          <t>Loan calculator</t>
        </is>
      </c>
      <c r="B310" t="inlineStr">
        <is>
          <t>D30</t>
        </is>
      </c>
      <c r="C310" t="n">
        <v>30</v>
      </c>
      <c r="D310" t="n">
        <v>4</v>
      </c>
      <c r="E310" t="inlineStr">
        <is>
          <t>Output</t>
        </is>
      </c>
      <c r="F310" t="inlineStr">
        <is>
          <t>'=IFERROR(IF(LoanIsNotPaid*LoanIsGood,LoanValue,""), "")</t>
        </is>
      </c>
      <c r="G310" t="n">
        <v>9162.197982100897</v>
      </c>
      <c r="H310" t="inlineStr"/>
      <c r="I310" t="inlineStr">
        <is>
          <t>"$"#,##0.00</t>
        </is>
      </c>
      <c r="J310" t="b">
        <v>0</v>
      </c>
      <c r="K310" t="b">
        <v>0</v>
      </c>
      <c r="L310" t="n">
        <v>9</v>
      </c>
      <c r="M310" t="inlineStr">
        <is>
          <t>Values must be of type &lt;class 'str'&gt;</t>
        </is>
      </c>
      <c r="N310" t="inlineStr">
        <is>
          <t>00000000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inlineStr">
        <is>
          <t>G000003</t>
        </is>
      </c>
      <c r="T310" t="inlineStr">
        <is>
          <t>Vertical</t>
        </is>
      </c>
      <c r="U310" t="n">
        <v>120</v>
      </c>
      <c r="V310" t="b">
        <v>1</v>
      </c>
      <c r="W310" t="inlineStr">
        <is>
          <t>Loan calculator!D17:D136</t>
        </is>
      </c>
      <c r="X310">
        <f>IFERROR(IF(LoanIsNotPaid*LoanIsGood,LoanValue,""), "")</f>
        <v/>
      </c>
    </row>
    <row r="311">
      <c r="A311" t="inlineStr">
        <is>
          <t>Loan calculator</t>
        </is>
      </c>
      <c r="B311" t="inlineStr">
        <is>
          <t>E30</t>
        </is>
      </c>
      <c r="C311" t="n">
        <v>30</v>
      </c>
      <c r="D311" t="n">
        <v>5</v>
      </c>
      <c r="E311" t="inlineStr">
        <is>
          <t>Output</t>
        </is>
      </c>
      <c r="F311" t="inlineStr">
        <is>
          <t>'=IFERROR(IF(LoanIsNotPaid*LoanIsGood,MonthlyPayment,0), 0)</t>
        </is>
      </c>
      <c r="G311" t="n">
        <v>108.5262779604807</v>
      </c>
      <c r="H311" t="inlineStr"/>
      <c r="I311" t="inlineStr">
        <is>
          <t>"$"#,##0.00</t>
        </is>
      </c>
      <c r="J311" t="b">
        <v>0</v>
      </c>
      <c r="K311" t="b">
        <v>0</v>
      </c>
      <c r="L311" t="n">
        <v>9</v>
      </c>
      <c r="M311" t="inlineStr">
        <is>
          <t>Values must be of type &lt;class 'str'&gt;</t>
        </is>
      </c>
      <c r="N311" t="inlineStr">
        <is>
          <t>00000000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inlineStr">
        <is>
          <t>G000004</t>
        </is>
      </c>
      <c r="T311" t="inlineStr">
        <is>
          <t>Vertical</t>
        </is>
      </c>
      <c r="U311" t="n">
        <v>120</v>
      </c>
      <c r="V311" t="b">
        <v>1</v>
      </c>
      <c r="W311" t="inlineStr">
        <is>
          <t>Loan calculator!E17:E136</t>
        </is>
      </c>
      <c r="X311">
        <f>IFERROR(IF(LoanIsNotPaid*LoanIsGood,MonthlyPayment,0), 0)</f>
        <v/>
      </c>
    </row>
    <row r="312">
      <c r="A312" t="inlineStr">
        <is>
          <t>Loan calculator</t>
        </is>
      </c>
      <c r="B312" t="inlineStr">
        <is>
          <t>F30</t>
        </is>
      </c>
      <c r="C312" t="n">
        <v>30</v>
      </c>
      <c r="D312" t="n">
        <v>6</v>
      </c>
      <c r="E312" t="inlineStr">
        <is>
          <t>Output</t>
        </is>
      </c>
      <c r="F312" t="inlineStr">
        <is>
          <t>'=IFERROR(IF(LoanIsNotPaid*LoanIsGood,Principal,0), 0)</t>
        </is>
      </c>
      <c r="G312" t="n">
        <v>66.53287054251828</v>
      </c>
      <c r="H312" t="inlineStr"/>
      <c r="I312" t="inlineStr">
        <is>
          <t>"$"#,##0.00</t>
        </is>
      </c>
      <c r="J312" t="b">
        <v>0</v>
      </c>
      <c r="K312" t="b">
        <v>0</v>
      </c>
      <c r="L312" t="n">
        <v>9</v>
      </c>
      <c r="M312" t="inlineStr">
        <is>
          <t>Values must be of type &lt;class 'str'&gt;</t>
        </is>
      </c>
      <c r="N312" t="inlineStr">
        <is>
          <t>00000000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inlineStr">
        <is>
          <t>G000005</t>
        </is>
      </c>
      <c r="T312" t="inlineStr">
        <is>
          <t>Vertical</t>
        </is>
      </c>
      <c r="U312" t="n">
        <v>120</v>
      </c>
      <c r="V312" t="b">
        <v>1</v>
      </c>
      <c r="W312" t="inlineStr">
        <is>
          <t>Loan calculator!F17:F136</t>
        </is>
      </c>
      <c r="X312">
        <f>IFERROR(IF(LoanIsNotPaid*LoanIsGood,Principal,0), 0)</f>
        <v/>
      </c>
    </row>
    <row r="313">
      <c r="A313" t="inlineStr">
        <is>
          <t>Loan calculator</t>
        </is>
      </c>
      <c r="B313" t="inlineStr">
        <is>
          <t>G30</t>
        </is>
      </c>
      <c r="C313" t="n">
        <v>30</v>
      </c>
      <c r="D313" t="n">
        <v>7</v>
      </c>
      <c r="E313" t="inlineStr">
        <is>
          <t>Output</t>
        </is>
      </c>
      <c r="F313" t="inlineStr">
        <is>
          <t>'=IFERROR(IF(LoanIsNotPaid*LoanIsGood,InterestAmt,0), 0)</t>
        </is>
      </c>
      <c r="G313" t="n">
        <v>41.99340741796244</v>
      </c>
      <c r="H313" t="inlineStr"/>
      <c r="I313" t="inlineStr">
        <is>
          <t>"$"#,##0.00</t>
        </is>
      </c>
      <c r="J313" t="b">
        <v>0</v>
      </c>
      <c r="K313" t="b">
        <v>0</v>
      </c>
      <c r="L313" t="n">
        <v>9</v>
      </c>
      <c r="M313" t="inlineStr">
        <is>
          <t>Values must be of type &lt;class 'str'&gt;</t>
        </is>
      </c>
      <c r="N313" t="inlineStr">
        <is>
          <t>00000000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inlineStr">
        <is>
          <t>G000006</t>
        </is>
      </c>
      <c r="T313" t="inlineStr">
        <is>
          <t>Vertical</t>
        </is>
      </c>
      <c r="U313" t="n">
        <v>120</v>
      </c>
      <c r="V313" t="b">
        <v>1</v>
      </c>
      <c r="W313" t="inlineStr">
        <is>
          <t>Loan calculator!G17:G136</t>
        </is>
      </c>
      <c r="X313">
        <f>IFERROR(IF(LoanIsNotPaid*LoanIsGood,InterestAmt,0), 0)</f>
        <v/>
      </c>
    </row>
    <row r="314">
      <c r="A314" t="inlineStr">
        <is>
          <t>Loan calculator</t>
        </is>
      </c>
      <c r="B314" t="inlineStr">
        <is>
          <t>H30</t>
        </is>
      </c>
      <c r="C314" t="n">
        <v>30</v>
      </c>
      <c r="D314" t="n">
        <v>8</v>
      </c>
      <c r="E314" t="inlineStr">
        <is>
          <t>Output</t>
        </is>
      </c>
      <c r="F314" t="inlineStr">
        <is>
          <t>'=IFERROR(IF(LoanIsNotPaid*LoanIsGood,EndingBalance,0), 0)</t>
        </is>
      </c>
      <c r="G314" t="n">
        <v>9095.665111558377</v>
      </c>
      <c r="H314" t="inlineStr"/>
      <c r="I314" t="inlineStr">
        <is>
          <t>"$"#,##0.00</t>
        </is>
      </c>
      <c r="J314" t="b">
        <v>0</v>
      </c>
      <c r="K314" t="b">
        <v>0</v>
      </c>
      <c r="L314" t="n">
        <v>9</v>
      </c>
      <c r="M314" t="inlineStr">
        <is>
          <t>Values must be of type &lt;class 'str'&gt;</t>
        </is>
      </c>
      <c r="N314" t="inlineStr">
        <is>
          <t>00000000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inlineStr">
        <is>
          <t>G000007</t>
        </is>
      </c>
      <c r="T314" t="inlineStr">
        <is>
          <t>Vertical</t>
        </is>
      </c>
      <c r="U314" t="n">
        <v>120</v>
      </c>
      <c r="V314" t="b">
        <v>1</v>
      </c>
      <c r="W314" t="inlineStr">
        <is>
          <t>Loan calculator!H17:H136</t>
        </is>
      </c>
      <c r="X314">
        <f>IFERROR(IF(LoanIsNotPaid*LoanIsGood,EndingBalance,0), 0)</f>
        <v/>
      </c>
    </row>
    <row r="315">
      <c r="A315" t="inlineStr">
        <is>
          <t>Loan calculator</t>
        </is>
      </c>
      <c r="B315" t="inlineStr">
        <is>
          <t>I30</t>
        </is>
      </c>
      <c r="C315" t="n">
        <v>30</v>
      </c>
      <c r="D315" t="n">
        <v>9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11</v>
      </c>
      <c r="M315" t="inlineStr">
        <is>
          <t>Values must be of type &lt;class 'str'&gt;</t>
        </is>
      </c>
      <c r="N315" t="inlineStr">
        <is>
          <t>Values must be of type &lt;class 'str'&gt;</t>
        </is>
      </c>
      <c r="O315" t="n">
        <v/>
      </c>
      <c r="P315" t="inlineStr">
        <is>
          <t>center</t>
        </is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</row>
    <row r="316">
      <c r="A316" t="inlineStr">
        <is>
          <t>Loan calculator</t>
        </is>
      </c>
      <c r="B316" t="inlineStr">
        <is>
          <t>A31</t>
        </is>
      </c>
      <c r="C316" t="n">
        <v>31</v>
      </c>
      <c r="D316" t="n">
        <v>1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11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n">
        <v/>
      </c>
      <c r="P316" t="inlineStr">
        <is>
          <t>center</t>
        </is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</row>
    <row r="317">
      <c r="A317" t="inlineStr">
        <is>
          <t>Loan calculator</t>
        </is>
      </c>
      <c r="B317" t="inlineStr">
        <is>
          <t>B31</t>
        </is>
      </c>
      <c r="C317" t="n">
        <v>31</v>
      </c>
      <c r="D317" t="n">
        <v>2</v>
      </c>
      <c r="E317" t="inlineStr">
        <is>
          <t>Output</t>
        </is>
      </c>
      <c r="F317" t="inlineStr">
        <is>
          <t>'=IFERROR(IF(LoanIsNotPaid*LoanIsGood,PaymentNumber,""), "")</t>
        </is>
      </c>
      <c r="G317" t="n">
        <v>15</v>
      </c>
      <c r="H317" t="inlineStr"/>
      <c r="I317" t="inlineStr">
        <is>
          <t>#,##0</t>
        </is>
      </c>
      <c r="J317" t="b">
        <v>0</v>
      </c>
      <c r="K317" t="b">
        <v>0</v>
      </c>
      <c r="L317" t="n">
        <v>9</v>
      </c>
      <c r="M317" t="inlineStr">
        <is>
          <t>Values must be of type &lt;class 'str'&gt;</t>
        </is>
      </c>
      <c r="N317" t="inlineStr">
        <is>
          <t>00000000</t>
        </is>
      </c>
      <c r="O317" t="inlineStr">
        <is>
          <t>center</t>
        </is>
      </c>
      <c r="P317" t="inlineStr">
        <is>
          <t>center</t>
        </is>
      </c>
      <c r="R317" t="b">
        <v>1</v>
      </c>
      <c r="S317" t="inlineStr">
        <is>
          <t>G000001</t>
        </is>
      </c>
      <c r="T317" t="inlineStr">
        <is>
          <t>Vertical</t>
        </is>
      </c>
      <c r="U317" t="n">
        <v>120</v>
      </c>
      <c r="V317" t="b">
        <v>1</v>
      </c>
      <c r="W317" t="inlineStr">
        <is>
          <t>Loan calculator!B17:B136</t>
        </is>
      </c>
      <c r="X317">
        <f>IFERROR(IF(LoanIsNotPaid*LoanIsGood,PaymentNumber,""), "")</f>
        <v/>
      </c>
    </row>
    <row r="318">
      <c r="A318" t="inlineStr">
        <is>
          <t>Loan calculator</t>
        </is>
      </c>
      <c r="B318" t="inlineStr">
        <is>
          <t>C31</t>
        </is>
      </c>
      <c r="C318" t="n">
        <v>31</v>
      </c>
      <c r="D318" t="n">
        <v>3</v>
      </c>
      <c r="E318" t="inlineStr">
        <is>
          <t>Output</t>
        </is>
      </c>
      <c r="F318" t="inlineStr">
        <is>
          <t>'=IFERROR(IF(LoanIsNotPaid*LoanIsGood,PaymentDate,LoanStartDate), LoanStartDate)</t>
        </is>
      </c>
      <c r="G318" s="1" t="n">
        <v>46543</v>
      </c>
      <c r="H318" t="inlineStr"/>
      <c r="I318" t="inlineStr">
        <is>
          <t>mm-dd-yy</t>
        </is>
      </c>
      <c r="J318" t="b">
        <v>0</v>
      </c>
      <c r="K318" t="b">
        <v>0</v>
      </c>
      <c r="L318" t="n">
        <v>9</v>
      </c>
      <c r="M318" t="inlineStr">
        <is>
          <t>Values must be of type &lt;class 'str'&gt;</t>
        </is>
      </c>
      <c r="N318" t="inlineStr">
        <is>
          <t>00000000</t>
        </is>
      </c>
      <c r="O318" t="inlineStr">
        <is>
          <t>center</t>
        </is>
      </c>
      <c r="P318" t="inlineStr">
        <is>
          <t>center</t>
        </is>
      </c>
      <c r="R318" t="b">
        <v>1</v>
      </c>
      <c r="S318" t="inlineStr">
        <is>
          <t>G000002</t>
        </is>
      </c>
      <c r="T318" t="inlineStr">
        <is>
          <t>Vertical</t>
        </is>
      </c>
      <c r="U318" t="n">
        <v>120</v>
      </c>
      <c r="V318" t="b">
        <v>1</v>
      </c>
      <c r="W318" t="inlineStr">
        <is>
          <t>Loan calculator!C17:C136</t>
        </is>
      </c>
      <c r="X318">
        <f>IFERROR(IF(LoanIsNotPaid*LoanIsGood,PaymentDate,LoanStartDate), LoanStartDate)</f>
        <v/>
      </c>
    </row>
    <row r="319">
      <c r="A319" t="inlineStr">
        <is>
          <t>Loan calculator</t>
        </is>
      </c>
      <c r="B319" t="inlineStr">
        <is>
          <t>D31</t>
        </is>
      </c>
      <c r="C319" t="n">
        <v>31</v>
      </c>
      <c r="D319" t="n">
        <v>4</v>
      </c>
      <c r="E319" t="inlineStr">
        <is>
          <t>Output</t>
        </is>
      </c>
      <c r="F319" t="inlineStr">
        <is>
          <t>'=IFERROR(IF(LoanIsNotPaid*LoanIsGood,LoanValue,""), "")</t>
        </is>
      </c>
      <c r="G319" t="n">
        <v>9095.665111558377</v>
      </c>
      <c r="H319" t="inlineStr"/>
      <c r="I319" t="inlineStr">
        <is>
          <t>"$"#,##0.00</t>
        </is>
      </c>
      <c r="J319" t="b">
        <v>0</v>
      </c>
      <c r="K319" t="b">
        <v>0</v>
      </c>
      <c r="L319" t="n">
        <v>9</v>
      </c>
      <c r="M319" t="inlineStr">
        <is>
          <t>Values must be of type &lt;class 'str'&gt;</t>
        </is>
      </c>
      <c r="N319" t="inlineStr">
        <is>
          <t>00000000</t>
        </is>
      </c>
      <c r="O319" t="inlineStr">
        <is>
          <t>center</t>
        </is>
      </c>
      <c r="P319" t="inlineStr">
        <is>
          <t>center</t>
        </is>
      </c>
      <c r="R319" t="b">
        <v>1</v>
      </c>
      <c r="S319" t="inlineStr">
        <is>
          <t>G000003</t>
        </is>
      </c>
      <c r="T319" t="inlineStr">
        <is>
          <t>Vertical</t>
        </is>
      </c>
      <c r="U319" t="n">
        <v>120</v>
      </c>
      <c r="V319" t="b">
        <v>1</v>
      </c>
      <c r="W319" t="inlineStr">
        <is>
          <t>Loan calculator!D17:D136</t>
        </is>
      </c>
      <c r="X319">
        <f>IFERROR(IF(LoanIsNotPaid*LoanIsGood,LoanValue,""), "")</f>
        <v/>
      </c>
    </row>
    <row r="320">
      <c r="A320" t="inlineStr">
        <is>
          <t>Loan calculator</t>
        </is>
      </c>
      <c r="B320" t="inlineStr">
        <is>
          <t>E31</t>
        </is>
      </c>
      <c r="C320" t="n">
        <v>31</v>
      </c>
      <c r="D320" t="n">
        <v>5</v>
      </c>
      <c r="E320" t="inlineStr">
        <is>
          <t>Output</t>
        </is>
      </c>
      <c r="F320" t="inlineStr">
        <is>
          <t>'=IFERROR(IF(LoanIsNotPaid*LoanIsGood,MonthlyPayment,0), 0)</t>
        </is>
      </c>
      <c r="G320" t="n">
        <v>108.5262779604807</v>
      </c>
      <c r="H320" t="inlineStr"/>
      <c r="I320" t="inlineStr">
        <is>
          <t>"$"#,##0.00</t>
        </is>
      </c>
      <c r="J320" t="b">
        <v>0</v>
      </c>
      <c r="K320" t="b">
        <v>0</v>
      </c>
      <c r="L320" t="n">
        <v>9</v>
      </c>
      <c r="M320" t="inlineStr">
        <is>
          <t>Values must be of type &lt;class 'str'&gt;</t>
        </is>
      </c>
      <c r="N320" t="inlineStr">
        <is>
          <t>00000000</t>
        </is>
      </c>
      <c r="O320" t="inlineStr">
        <is>
          <t>center</t>
        </is>
      </c>
      <c r="P320" t="inlineStr">
        <is>
          <t>center</t>
        </is>
      </c>
      <c r="R320" t="b">
        <v>1</v>
      </c>
      <c r="S320" t="inlineStr">
        <is>
          <t>G000004</t>
        </is>
      </c>
      <c r="T320" t="inlineStr">
        <is>
          <t>Vertical</t>
        </is>
      </c>
      <c r="U320" t="n">
        <v>120</v>
      </c>
      <c r="V320" t="b">
        <v>1</v>
      </c>
      <c r="W320" t="inlineStr">
        <is>
          <t>Loan calculator!E17:E136</t>
        </is>
      </c>
      <c r="X320">
        <f>IFERROR(IF(LoanIsNotPaid*LoanIsGood,MonthlyPayment,0), 0)</f>
        <v/>
      </c>
    </row>
    <row r="321">
      <c r="A321" t="inlineStr">
        <is>
          <t>Loan calculator</t>
        </is>
      </c>
      <c r="B321" t="inlineStr">
        <is>
          <t>F31</t>
        </is>
      </c>
      <c r="C321" t="n">
        <v>31</v>
      </c>
      <c r="D321" t="n">
        <v>6</v>
      </c>
      <c r="E321" t="inlineStr">
        <is>
          <t>Output</t>
        </is>
      </c>
      <c r="F321" t="inlineStr">
        <is>
          <t>'=IFERROR(IF(LoanIsNotPaid*LoanIsGood,Principal,0), 0)</t>
        </is>
      </c>
      <c r="G321" t="n">
        <v>66.83781286583816</v>
      </c>
      <c r="H321" t="inlineStr"/>
      <c r="I321" t="inlineStr">
        <is>
          <t>"$"#,##0.00</t>
        </is>
      </c>
      <c r="J321" t="b">
        <v>0</v>
      </c>
      <c r="K321" t="b">
        <v>0</v>
      </c>
      <c r="L321" t="n">
        <v>9</v>
      </c>
      <c r="M321" t="inlineStr">
        <is>
          <t>Values must be of type &lt;class 'str'&gt;</t>
        </is>
      </c>
      <c r="N321" t="inlineStr">
        <is>
          <t>00000000</t>
        </is>
      </c>
      <c r="O321" t="inlineStr">
        <is>
          <t>center</t>
        </is>
      </c>
      <c r="P321" t="inlineStr">
        <is>
          <t>center</t>
        </is>
      </c>
      <c r="R321" t="b">
        <v>1</v>
      </c>
      <c r="S321" t="inlineStr">
        <is>
          <t>G000005</t>
        </is>
      </c>
      <c r="T321" t="inlineStr">
        <is>
          <t>Vertical</t>
        </is>
      </c>
      <c r="U321" t="n">
        <v>120</v>
      </c>
      <c r="V321" t="b">
        <v>1</v>
      </c>
      <c r="W321" t="inlineStr">
        <is>
          <t>Loan calculator!F17:F136</t>
        </is>
      </c>
      <c r="X321">
        <f>IFERROR(IF(LoanIsNotPaid*LoanIsGood,Principal,0), 0)</f>
        <v/>
      </c>
    </row>
    <row r="322">
      <c r="A322" t="inlineStr">
        <is>
          <t>Loan calculator</t>
        </is>
      </c>
      <c r="B322" t="inlineStr">
        <is>
          <t>G31</t>
        </is>
      </c>
      <c r="C322" t="n">
        <v>31</v>
      </c>
      <c r="D322" t="n">
        <v>7</v>
      </c>
      <c r="E322" t="inlineStr">
        <is>
          <t>Output</t>
        </is>
      </c>
      <c r="F322" t="inlineStr">
        <is>
          <t>'=IFERROR(IF(LoanIsNotPaid*LoanIsGood,InterestAmt,0), 0)</t>
        </is>
      </c>
      <c r="G322" t="n">
        <v>41.68846509464256</v>
      </c>
      <c r="H322" t="inlineStr"/>
      <c r="I322" t="inlineStr">
        <is>
          <t>"$"#,##0.00</t>
        </is>
      </c>
      <c r="J322" t="b">
        <v>0</v>
      </c>
      <c r="K322" t="b">
        <v>0</v>
      </c>
      <c r="L322" t="n">
        <v>9</v>
      </c>
      <c r="M322" t="inlineStr">
        <is>
          <t>Values must be of type &lt;class 'str'&gt;</t>
        </is>
      </c>
      <c r="N322" t="inlineStr">
        <is>
          <t>00000000</t>
        </is>
      </c>
      <c r="O322" t="inlineStr">
        <is>
          <t>center</t>
        </is>
      </c>
      <c r="P322" t="inlineStr">
        <is>
          <t>center</t>
        </is>
      </c>
      <c r="R322" t="b">
        <v>1</v>
      </c>
      <c r="S322" t="inlineStr">
        <is>
          <t>G000006</t>
        </is>
      </c>
      <c r="T322" t="inlineStr">
        <is>
          <t>Vertical</t>
        </is>
      </c>
      <c r="U322" t="n">
        <v>120</v>
      </c>
      <c r="V322" t="b">
        <v>1</v>
      </c>
      <c r="W322" t="inlineStr">
        <is>
          <t>Loan calculator!G17:G136</t>
        </is>
      </c>
      <c r="X322">
        <f>IFERROR(IF(LoanIsNotPaid*LoanIsGood,InterestAmt,0), 0)</f>
        <v/>
      </c>
    </row>
    <row r="323">
      <c r="A323" t="inlineStr">
        <is>
          <t>Loan calculator</t>
        </is>
      </c>
      <c r="B323" t="inlineStr">
        <is>
          <t>H31</t>
        </is>
      </c>
      <c r="C323" t="n">
        <v>31</v>
      </c>
      <c r="D323" t="n">
        <v>8</v>
      </c>
      <c r="E323" t="inlineStr">
        <is>
          <t>Output</t>
        </is>
      </c>
      <c r="F323" t="inlineStr">
        <is>
          <t>'=IFERROR(IF(LoanIsNotPaid*LoanIsGood,EndingBalance,0), 0)</t>
        </is>
      </c>
      <c r="G323" t="n">
        <v>9028.82729869254</v>
      </c>
      <c r="H323" t="inlineStr"/>
      <c r="I323" t="inlineStr">
        <is>
          <t>"$"#,##0.00</t>
        </is>
      </c>
      <c r="J323" t="b">
        <v>0</v>
      </c>
      <c r="K323" t="b">
        <v>0</v>
      </c>
      <c r="L323" t="n">
        <v>9</v>
      </c>
      <c r="M323" t="inlineStr">
        <is>
          <t>Values must be of type &lt;class 'str'&gt;</t>
        </is>
      </c>
      <c r="N323" t="inlineStr">
        <is>
          <t>00000000</t>
        </is>
      </c>
      <c r="O323" t="inlineStr">
        <is>
          <t>center</t>
        </is>
      </c>
      <c r="P323" t="inlineStr">
        <is>
          <t>center</t>
        </is>
      </c>
      <c r="R323" t="b">
        <v>1</v>
      </c>
      <c r="S323" t="inlineStr">
        <is>
          <t>G000007</t>
        </is>
      </c>
      <c r="T323" t="inlineStr">
        <is>
          <t>Vertical</t>
        </is>
      </c>
      <c r="U323" t="n">
        <v>120</v>
      </c>
      <c r="V323" t="b">
        <v>1</v>
      </c>
      <c r="W323" t="inlineStr">
        <is>
          <t>Loan calculator!H17:H136</t>
        </is>
      </c>
      <c r="X323">
        <f>IFERROR(IF(LoanIsNotPaid*LoanIsGood,EndingBalance,0), 0)</f>
        <v/>
      </c>
    </row>
    <row r="324">
      <c r="A324" t="inlineStr">
        <is>
          <t>Loan calculator</t>
        </is>
      </c>
      <c r="B324" t="inlineStr">
        <is>
          <t>I31</t>
        </is>
      </c>
      <c r="C324" t="n">
        <v>31</v>
      </c>
      <c r="D324" t="n">
        <v>9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11</v>
      </c>
      <c r="M324" t="inlineStr">
        <is>
          <t>Values must be of type &lt;class 'str'&gt;</t>
        </is>
      </c>
      <c r="N324" t="inlineStr">
        <is>
          <t>Values must be of type &lt;class 'str'&gt;</t>
        </is>
      </c>
      <c r="O324" t="n">
        <v/>
      </c>
      <c r="P324" t="inlineStr">
        <is>
          <t>center</t>
        </is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Loan calculator</t>
        </is>
      </c>
      <c r="B325" t="inlineStr">
        <is>
          <t>A32</t>
        </is>
      </c>
      <c r="C325" t="n">
        <v>32</v>
      </c>
      <c r="D325" t="n">
        <v>1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11</v>
      </c>
      <c r="M325" t="inlineStr">
        <is>
          <t>Values must be of type &lt;class 'str'&gt;</t>
        </is>
      </c>
      <c r="N325" t="inlineStr">
        <is>
          <t>Values must be of type &lt;class 'str'&gt;</t>
        </is>
      </c>
      <c r="O325" t="n">
        <v/>
      </c>
      <c r="P325" t="inlineStr">
        <is>
          <t>center</t>
        </is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Loan calculator</t>
        </is>
      </c>
      <c r="B326" t="inlineStr">
        <is>
          <t>B32</t>
        </is>
      </c>
      <c r="C326" t="n">
        <v>32</v>
      </c>
      <c r="D326" t="n">
        <v>2</v>
      </c>
      <c r="E326" t="inlineStr">
        <is>
          <t>Output</t>
        </is>
      </c>
      <c r="F326" t="inlineStr">
        <is>
          <t>'=IFERROR(IF(LoanIsNotPaid*LoanIsGood,PaymentNumber,""), "")</t>
        </is>
      </c>
      <c r="G326" t="n">
        <v>16</v>
      </c>
      <c r="H326" t="inlineStr"/>
      <c r="I326" t="inlineStr">
        <is>
          <t>#,##0</t>
        </is>
      </c>
      <c r="J326" t="b">
        <v>0</v>
      </c>
      <c r="K326" t="b">
        <v>0</v>
      </c>
      <c r="L326" t="n">
        <v>9</v>
      </c>
      <c r="M326" t="inlineStr">
        <is>
          <t>Values must be of type &lt;class 'str'&gt;</t>
        </is>
      </c>
      <c r="N326" t="inlineStr">
        <is>
          <t>00000000</t>
        </is>
      </c>
      <c r="O326" t="inlineStr">
        <is>
          <t>center</t>
        </is>
      </c>
      <c r="P326" t="inlineStr">
        <is>
          <t>center</t>
        </is>
      </c>
      <c r="R326" t="b">
        <v>1</v>
      </c>
      <c r="S326" t="inlineStr">
        <is>
          <t>G000001</t>
        </is>
      </c>
      <c r="T326" t="inlineStr">
        <is>
          <t>Vertical</t>
        </is>
      </c>
      <c r="U326" t="n">
        <v>120</v>
      </c>
      <c r="V326" t="b">
        <v>1</v>
      </c>
      <c r="W326" t="inlineStr">
        <is>
          <t>Loan calculator!B17:B136</t>
        </is>
      </c>
      <c r="X326">
        <f>IFERROR(IF(LoanIsNotPaid*LoanIsGood,PaymentNumber,""), "")</f>
        <v/>
      </c>
    </row>
    <row r="327">
      <c r="A327" t="inlineStr">
        <is>
          <t>Loan calculator</t>
        </is>
      </c>
      <c r="B327" t="inlineStr">
        <is>
          <t>C32</t>
        </is>
      </c>
      <c r="C327" t="n">
        <v>32</v>
      </c>
      <c r="D327" t="n">
        <v>3</v>
      </c>
      <c r="E327" t="inlineStr">
        <is>
          <t>Output</t>
        </is>
      </c>
      <c r="F327" t="inlineStr">
        <is>
          <t>'=IFERROR(IF(LoanIsNotPaid*LoanIsGood,PaymentDate,LoanStartDate), LoanStartDate)</t>
        </is>
      </c>
      <c r="G327" s="1" t="n">
        <v>46573</v>
      </c>
      <c r="H327" t="inlineStr"/>
      <c r="I327" t="inlineStr">
        <is>
          <t>mm-dd-yy</t>
        </is>
      </c>
      <c r="J327" t="b">
        <v>0</v>
      </c>
      <c r="K327" t="b">
        <v>0</v>
      </c>
      <c r="L327" t="n">
        <v>9</v>
      </c>
      <c r="M327" t="inlineStr">
        <is>
          <t>Values must be of type &lt;class 'str'&gt;</t>
        </is>
      </c>
      <c r="N327" t="inlineStr">
        <is>
          <t>00000000</t>
        </is>
      </c>
      <c r="O327" t="inlineStr">
        <is>
          <t>center</t>
        </is>
      </c>
      <c r="P327" t="inlineStr">
        <is>
          <t>center</t>
        </is>
      </c>
      <c r="R327" t="b">
        <v>1</v>
      </c>
      <c r="S327" t="inlineStr">
        <is>
          <t>G000002</t>
        </is>
      </c>
      <c r="T327" t="inlineStr">
        <is>
          <t>Vertical</t>
        </is>
      </c>
      <c r="U327" t="n">
        <v>120</v>
      </c>
      <c r="V327" t="b">
        <v>1</v>
      </c>
      <c r="W327" t="inlineStr">
        <is>
          <t>Loan calculator!C17:C136</t>
        </is>
      </c>
      <c r="X327">
        <f>IFERROR(IF(LoanIsNotPaid*LoanIsGood,PaymentDate,LoanStartDate), LoanStartDate)</f>
        <v/>
      </c>
    </row>
    <row r="328">
      <c r="A328" t="inlineStr">
        <is>
          <t>Loan calculator</t>
        </is>
      </c>
      <c r="B328" t="inlineStr">
        <is>
          <t>D32</t>
        </is>
      </c>
      <c r="C328" t="n">
        <v>32</v>
      </c>
      <c r="D328" t="n">
        <v>4</v>
      </c>
      <c r="E328" t="inlineStr">
        <is>
          <t>Output</t>
        </is>
      </c>
      <c r="F328" t="inlineStr">
        <is>
          <t>'=IFERROR(IF(LoanIsNotPaid*LoanIsGood,LoanValue,""), "")</t>
        </is>
      </c>
      <c r="G328" t="n">
        <v>9028.82729869254</v>
      </c>
      <c r="H328" t="inlineStr"/>
      <c r="I328" t="inlineStr">
        <is>
          <t>"$"#,##0.00</t>
        </is>
      </c>
      <c r="J328" t="b">
        <v>0</v>
      </c>
      <c r="K328" t="b">
        <v>0</v>
      </c>
      <c r="L328" t="n">
        <v>9</v>
      </c>
      <c r="M328" t="inlineStr">
        <is>
          <t>Values must be of type &lt;class 'str'&gt;</t>
        </is>
      </c>
      <c r="N328" t="inlineStr">
        <is>
          <t>00000000</t>
        </is>
      </c>
      <c r="O328" t="inlineStr">
        <is>
          <t>center</t>
        </is>
      </c>
      <c r="P328" t="inlineStr">
        <is>
          <t>center</t>
        </is>
      </c>
      <c r="R328" t="b">
        <v>1</v>
      </c>
      <c r="S328" t="inlineStr">
        <is>
          <t>G000003</t>
        </is>
      </c>
      <c r="T328" t="inlineStr">
        <is>
          <t>Vertical</t>
        </is>
      </c>
      <c r="U328" t="n">
        <v>120</v>
      </c>
      <c r="V328" t="b">
        <v>1</v>
      </c>
      <c r="W328" t="inlineStr">
        <is>
          <t>Loan calculator!D17:D136</t>
        </is>
      </c>
      <c r="X328">
        <f>IFERROR(IF(LoanIsNotPaid*LoanIsGood,LoanValue,""), "")</f>
        <v/>
      </c>
    </row>
    <row r="329">
      <c r="A329" t="inlineStr">
        <is>
          <t>Loan calculator</t>
        </is>
      </c>
      <c r="B329" t="inlineStr">
        <is>
          <t>E32</t>
        </is>
      </c>
      <c r="C329" t="n">
        <v>32</v>
      </c>
      <c r="D329" t="n">
        <v>5</v>
      </c>
      <c r="E329" t="inlineStr">
        <is>
          <t>Output</t>
        </is>
      </c>
      <c r="F329" t="inlineStr">
        <is>
          <t>'=IFERROR(IF(LoanIsNotPaid*LoanIsGood,MonthlyPayment,0), 0)</t>
        </is>
      </c>
      <c r="G329" t="n">
        <v>108.5262779604807</v>
      </c>
      <c r="H329" t="inlineStr"/>
      <c r="I329" t="inlineStr">
        <is>
          <t>"$"#,##0.00</t>
        </is>
      </c>
      <c r="J329" t="b">
        <v>0</v>
      </c>
      <c r="K329" t="b">
        <v>0</v>
      </c>
      <c r="L329" t="n">
        <v>9</v>
      </c>
      <c r="M329" t="inlineStr">
        <is>
          <t>Values must be of type &lt;class 'str'&gt;</t>
        </is>
      </c>
      <c r="N329" t="inlineStr">
        <is>
          <t>00000000</t>
        </is>
      </c>
      <c r="O329" t="inlineStr">
        <is>
          <t>center</t>
        </is>
      </c>
      <c r="P329" t="inlineStr">
        <is>
          <t>center</t>
        </is>
      </c>
      <c r="R329" t="b">
        <v>1</v>
      </c>
      <c r="S329" t="inlineStr">
        <is>
          <t>G000004</t>
        </is>
      </c>
      <c r="T329" t="inlineStr">
        <is>
          <t>Vertical</t>
        </is>
      </c>
      <c r="U329" t="n">
        <v>120</v>
      </c>
      <c r="V329" t="b">
        <v>1</v>
      </c>
      <c r="W329" t="inlineStr">
        <is>
          <t>Loan calculator!E17:E136</t>
        </is>
      </c>
      <c r="X329">
        <f>IFERROR(IF(LoanIsNotPaid*LoanIsGood,MonthlyPayment,0), 0)</f>
        <v/>
      </c>
    </row>
    <row r="330">
      <c r="A330" t="inlineStr">
        <is>
          <t>Loan calculator</t>
        </is>
      </c>
      <c r="B330" t="inlineStr">
        <is>
          <t>F32</t>
        </is>
      </c>
      <c r="C330" t="n">
        <v>32</v>
      </c>
      <c r="D330" t="n">
        <v>6</v>
      </c>
      <c r="E330" t="inlineStr">
        <is>
          <t>Output</t>
        </is>
      </c>
      <c r="F330" t="inlineStr">
        <is>
          <t>'=IFERROR(IF(LoanIsNotPaid*LoanIsGood,Principal,0), 0)</t>
        </is>
      </c>
      <c r="G330" t="n">
        <v>67.14415284147324</v>
      </c>
      <c r="H330" t="inlineStr"/>
      <c r="I330" t="inlineStr">
        <is>
          <t>"$"#,##0.00</t>
        </is>
      </c>
      <c r="J330" t="b">
        <v>0</v>
      </c>
      <c r="K330" t="b">
        <v>0</v>
      </c>
      <c r="L330" t="n">
        <v>9</v>
      </c>
      <c r="M330" t="inlineStr">
        <is>
          <t>Values must be of type &lt;class 'str'&gt;</t>
        </is>
      </c>
      <c r="N330" t="inlineStr">
        <is>
          <t>00000000</t>
        </is>
      </c>
      <c r="O330" t="inlineStr">
        <is>
          <t>center</t>
        </is>
      </c>
      <c r="P330" t="inlineStr">
        <is>
          <t>center</t>
        </is>
      </c>
      <c r="R330" t="b">
        <v>1</v>
      </c>
      <c r="S330" t="inlineStr">
        <is>
          <t>G000005</t>
        </is>
      </c>
      <c r="T330" t="inlineStr">
        <is>
          <t>Vertical</t>
        </is>
      </c>
      <c r="U330" t="n">
        <v>120</v>
      </c>
      <c r="V330" t="b">
        <v>1</v>
      </c>
      <c r="W330" t="inlineStr">
        <is>
          <t>Loan calculator!F17:F136</t>
        </is>
      </c>
      <c r="X330">
        <f>IFERROR(IF(LoanIsNotPaid*LoanIsGood,Principal,0), 0)</f>
        <v/>
      </c>
    </row>
    <row r="331">
      <c r="A331" t="inlineStr">
        <is>
          <t>Loan calculator</t>
        </is>
      </c>
      <c r="B331" t="inlineStr">
        <is>
          <t>G32</t>
        </is>
      </c>
      <c r="C331" t="n">
        <v>32</v>
      </c>
      <c r="D331" t="n">
        <v>7</v>
      </c>
      <c r="E331" t="inlineStr">
        <is>
          <t>Output</t>
        </is>
      </c>
      <c r="F331" t="inlineStr">
        <is>
          <t>'=IFERROR(IF(LoanIsNotPaid*LoanIsGood,InterestAmt,0), 0)</t>
        </is>
      </c>
      <c r="G331" t="n">
        <v>41.38212511900748</v>
      </c>
      <c r="H331" t="inlineStr"/>
      <c r="I331" t="inlineStr">
        <is>
          <t>"$"#,##0.00</t>
        </is>
      </c>
      <c r="J331" t="b">
        <v>0</v>
      </c>
      <c r="K331" t="b">
        <v>0</v>
      </c>
      <c r="L331" t="n">
        <v>9</v>
      </c>
      <c r="M331" t="inlineStr">
        <is>
          <t>Values must be of type &lt;class 'str'&gt;</t>
        </is>
      </c>
      <c r="N331" t="inlineStr">
        <is>
          <t>00000000</t>
        </is>
      </c>
      <c r="O331" t="inlineStr">
        <is>
          <t>center</t>
        </is>
      </c>
      <c r="P331" t="inlineStr">
        <is>
          <t>center</t>
        </is>
      </c>
      <c r="R331" t="b">
        <v>1</v>
      </c>
      <c r="S331" t="inlineStr">
        <is>
          <t>G000006</t>
        </is>
      </c>
      <c r="T331" t="inlineStr">
        <is>
          <t>Vertical</t>
        </is>
      </c>
      <c r="U331" t="n">
        <v>120</v>
      </c>
      <c r="V331" t="b">
        <v>1</v>
      </c>
      <c r="W331" t="inlineStr">
        <is>
          <t>Loan calculator!G17:G136</t>
        </is>
      </c>
      <c r="X331">
        <f>IFERROR(IF(LoanIsNotPaid*LoanIsGood,InterestAmt,0), 0)</f>
        <v/>
      </c>
    </row>
    <row r="332">
      <c r="A332" t="inlineStr">
        <is>
          <t>Loan calculator</t>
        </is>
      </c>
      <c r="B332" t="inlineStr">
        <is>
          <t>H32</t>
        </is>
      </c>
      <c r="C332" t="n">
        <v>32</v>
      </c>
      <c r="D332" t="n">
        <v>8</v>
      </c>
      <c r="E332" t="inlineStr">
        <is>
          <t>Output</t>
        </is>
      </c>
      <c r="F332" t="inlineStr">
        <is>
          <t>'=IFERROR(IF(LoanIsNotPaid*LoanIsGood,EndingBalance,0), 0)</t>
        </is>
      </c>
      <c r="G332" t="n">
        <v>8961.683145851068</v>
      </c>
      <c r="H332" t="inlineStr"/>
      <c r="I332" t="inlineStr">
        <is>
          <t>"$"#,##0.00</t>
        </is>
      </c>
      <c r="J332" t="b">
        <v>0</v>
      </c>
      <c r="K332" t="b">
        <v>0</v>
      </c>
      <c r="L332" t="n">
        <v>9</v>
      </c>
      <c r="M332" t="inlineStr">
        <is>
          <t>Values must be of type &lt;class 'str'&gt;</t>
        </is>
      </c>
      <c r="N332" t="inlineStr">
        <is>
          <t>00000000</t>
        </is>
      </c>
      <c r="O332" t="inlineStr">
        <is>
          <t>center</t>
        </is>
      </c>
      <c r="P332" t="inlineStr">
        <is>
          <t>center</t>
        </is>
      </c>
      <c r="R332" t="b">
        <v>1</v>
      </c>
      <c r="S332" t="inlineStr">
        <is>
          <t>G000007</t>
        </is>
      </c>
      <c r="T332" t="inlineStr">
        <is>
          <t>Vertical</t>
        </is>
      </c>
      <c r="U332" t="n">
        <v>120</v>
      </c>
      <c r="V332" t="b">
        <v>1</v>
      </c>
      <c r="W332" t="inlineStr">
        <is>
          <t>Loan calculator!H17:H136</t>
        </is>
      </c>
      <c r="X332">
        <f>IFERROR(IF(LoanIsNotPaid*LoanIsGood,EndingBalance,0), 0)</f>
        <v/>
      </c>
    </row>
    <row r="333">
      <c r="A333" t="inlineStr">
        <is>
          <t>Loan calculator</t>
        </is>
      </c>
      <c r="B333" t="inlineStr">
        <is>
          <t>I32</t>
        </is>
      </c>
      <c r="C333" t="n">
        <v>32</v>
      </c>
      <c r="D333" t="n">
        <v>9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11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n">
        <v/>
      </c>
      <c r="P333" t="inlineStr">
        <is>
          <t>center</t>
        </is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</row>
    <row r="334">
      <c r="A334" t="inlineStr">
        <is>
          <t>Loan calculator</t>
        </is>
      </c>
      <c r="B334" t="inlineStr">
        <is>
          <t>A33</t>
        </is>
      </c>
      <c r="C334" t="n">
        <v>33</v>
      </c>
      <c r="D334" t="n">
        <v>1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11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n">
        <v/>
      </c>
      <c r="P334" t="inlineStr">
        <is>
          <t>center</t>
        </is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Loan calculator</t>
        </is>
      </c>
      <c r="B335" t="inlineStr">
        <is>
          <t>B33</t>
        </is>
      </c>
      <c r="C335" t="n">
        <v>33</v>
      </c>
      <c r="D335" t="n">
        <v>2</v>
      </c>
      <c r="E335" t="inlineStr">
        <is>
          <t>Output</t>
        </is>
      </c>
      <c r="F335" t="inlineStr">
        <is>
          <t>'=IFERROR(IF(LoanIsNotPaid*LoanIsGood,PaymentNumber,""), "")</t>
        </is>
      </c>
      <c r="G335" t="n">
        <v>17</v>
      </c>
      <c r="H335" t="inlineStr"/>
      <c r="I335" t="inlineStr">
        <is>
          <t>#,##0</t>
        </is>
      </c>
      <c r="J335" t="b">
        <v>0</v>
      </c>
      <c r="K335" t="b">
        <v>0</v>
      </c>
      <c r="L335" t="n">
        <v>9</v>
      </c>
      <c r="M335" t="inlineStr">
        <is>
          <t>Values must be of type &lt;class 'str'&gt;</t>
        </is>
      </c>
      <c r="N335" t="inlineStr">
        <is>
          <t>00000000</t>
        </is>
      </c>
      <c r="O335" t="inlineStr">
        <is>
          <t>center</t>
        </is>
      </c>
      <c r="P335" t="inlineStr">
        <is>
          <t>center</t>
        </is>
      </c>
      <c r="R335" t="b">
        <v>1</v>
      </c>
      <c r="S335" t="inlineStr">
        <is>
          <t>G000001</t>
        </is>
      </c>
      <c r="T335" t="inlineStr">
        <is>
          <t>Vertical</t>
        </is>
      </c>
      <c r="U335" t="n">
        <v>120</v>
      </c>
      <c r="V335" t="b">
        <v>1</v>
      </c>
      <c r="W335" t="inlineStr">
        <is>
          <t>Loan calculator!B17:B136</t>
        </is>
      </c>
      <c r="X335">
        <f>IFERROR(IF(LoanIsNotPaid*LoanIsGood,PaymentNumber,""), "")</f>
        <v/>
      </c>
    </row>
    <row r="336">
      <c r="A336" t="inlineStr">
        <is>
          <t>Loan calculator</t>
        </is>
      </c>
      <c r="B336" t="inlineStr">
        <is>
          <t>C33</t>
        </is>
      </c>
      <c r="C336" t="n">
        <v>33</v>
      </c>
      <c r="D336" t="n">
        <v>3</v>
      </c>
      <c r="E336" t="inlineStr">
        <is>
          <t>Output</t>
        </is>
      </c>
      <c r="F336" t="inlineStr">
        <is>
          <t>'=IFERROR(IF(LoanIsNotPaid*LoanIsGood,PaymentDate,LoanStartDate), LoanStartDate)</t>
        </is>
      </c>
      <c r="G336" s="1" t="n">
        <v>46604</v>
      </c>
      <c r="H336" t="inlineStr"/>
      <c r="I336" t="inlineStr">
        <is>
          <t>mm-dd-yy</t>
        </is>
      </c>
      <c r="J336" t="b">
        <v>0</v>
      </c>
      <c r="K336" t="b">
        <v>0</v>
      </c>
      <c r="L336" t="n">
        <v>9</v>
      </c>
      <c r="M336" t="inlineStr">
        <is>
          <t>Values must be of type &lt;class 'str'&gt;</t>
        </is>
      </c>
      <c r="N336" t="inlineStr">
        <is>
          <t>00000000</t>
        </is>
      </c>
      <c r="O336" t="inlineStr">
        <is>
          <t>center</t>
        </is>
      </c>
      <c r="P336" t="inlineStr">
        <is>
          <t>center</t>
        </is>
      </c>
      <c r="R336" t="b">
        <v>1</v>
      </c>
      <c r="S336" t="inlineStr">
        <is>
          <t>G000002</t>
        </is>
      </c>
      <c r="T336" t="inlineStr">
        <is>
          <t>Vertical</t>
        </is>
      </c>
      <c r="U336" t="n">
        <v>120</v>
      </c>
      <c r="V336" t="b">
        <v>1</v>
      </c>
      <c r="W336" t="inlineStr">
        <is>
          <t>Loan calculator!C17:C136</t>
        </is>
      </c>
      <c r="X336">
        <f>IFERROR(IF(LoanIsNotPaid*LoanIsGood,PaymentDate,LoanStartDate), LoanStartDate)</f>
        <v/>
      </c>
    </row>
    <row r="337">
      <c r="A337" t="inlineStr">
        <is>
          <t>Loan calculator</t>
        </is>
      </c>
      <c r="B337" t="inlineStr">
        <is>
          <t>D33</t>
        </is>
      </c>
      <c r="C337" t="n">
        <v>33</v>
      </c>
      <c r="D337" t="n">
        <v>4</v>
      </c>
      <c r="E337" t="inlineStr">
        <is>
          <t>Output</t>
        </is>
      </c>
      <c r="F337" t="inlineStr">
        <is>
          <t>'=IFERROR(IF(LoanIsNotPaid*LoanIsGood,LoanValue,""), "")</t>
        </is>
      </c>
      <c r="G337" t="n">
        <v>8961.683145851068</v>
      </c>
      <c r="H337" t="inlineStr"/>
      <c r="I337" t="inlineStr">
        <is>
          <t>"$"#,##0.00</t>
        </is>
      </c>
      <c r="J337" t="b">
        <v>0</v>
      </c>
      <c r="K337" t="b">
        <v>0</v>
      </c>
      <c r="L337" t="n">
        <v>9</v>
      </c>
      <c r="M337" t="inlineStr">
        <is>
          <t>Values must be of type &lt;class 'str'&gt;</t>
        </is>
      </c>
      <c r="N337" t="inlineStr">
        <is>
          <t>00000000</t>
        </is>
      </c>
      <c r="O337" t="inlineStr">
        <is>
          <t>center</t>
        </is>
      </c>
      <c r="P337" t="inlineStr">
        <is>
          <t>center</t>
        </is>
      </c>
      <c r="R337" t="b">
        <v>1</v>
      </c>
      <c r="S337" t="inlineStr">
        <is>
          <t>G000003</t>
        </is>
      </c>
      <c r="T337" t="inlineStr">
        <is>
          <t>Vertical</t>
        </is>
      </c>
      <c r="U337" t="n">
        <v>120</v>
      </c>
      <c r="V337" t="b">
        <v>1</v>
      </c>
      <c r="W337" t="inlineStr">
        <is>
          <t>Loan calculator!D17:D136</t>
        </is>
      </c>
      <c r="X337">
        <f>IFERROR(IF(LoanIsNotPaid*LoanIsGood,LoanValue,""), "")</f>
        <v/>
      </c>
    </row>
    <row r="338">
      <c r="A338" t="inlineStr">
        <is>
          <t>Loan calculator</t>
        </is>
      </c>
      <c r="B338" t="inlineStr">
        <is>
          <t>E33</t>
        </is>
      </c>
      <c r="C338" t="n">
        <v>33</v>
      </c>
      <c r="D338" t="n">
        <v>5</v>
      </c>
      <c r="E338" t="inlineStr">
        <is>
          <t>Output</t>
        </is>
      </c>
      <c r="F338" t="inlineStr">
        <is>
          <t>'=IFERROR(IF(LoanIsNotPaid*LoanIsGood,MonthlyPayment,0), 0)</t>
        </is>
      </c>
      <c r="G338" t="n">
        <v>108.5262779604807</v>
      </c>
      <c r="H338" t="inlineStr"/>
      <c r="I338" t="inlineStr">
        <is>
          <t>"$"#,##0.00</t>
        </is>
      </c>
      <c r="J338" t="b">
        <v>0</v>
      </c>
      <c r="K338" t="b">
        <v>0</v>
      </c>
      <c r="L338" t="n">
        <v>9</v>
      </c>
      <c r="M338" t="inlineStr">
        <is>
          <t>Values must be of type &lt;class 'str'&gt;</t>
        </is>
      </c>
      <c r="N338" t="inlineStr">
        <is>
          <t>00000000</t>
        </is>
      </c>
      <c r="O338" t="inlineStr">
        <is>
          <t>center</t>
        </is>
      </c>
      <c r="P338" t="inlineStr">
        <is>
          <t>center</t>
        </is>
      </c>
      <c r="R338" t="b">
        <v>1</v>
      </c>
      <c r="S338" t="inlineStr">
        <is>
          <t>G000004</t>
        </is>
      </c>
      <c r="T338" t="inlineStr">
        <is>
          <t>Vertical</t>
        </is>
      </c>
      <c r="U338" t="n">
        <v>120</v>
      </c>
      <c r="V338" t="b">
        <v>1</v>
      </c>
      <c r="W338" t="inlineStr">
        <is>
          <t>Loan calculator!E17:E136</t>
        </is>
      </c>
      <c r="X338">
        <f>IFERROR(IF(LoanIsNotPaid*LoanIsGood,MonthlyPayment,0), 0)</f>
        <v/>
      </c>
    </row>
    <row r="339">
      <c r="A339" t="inlineStr">
        <is>
          <t>Loan calculator</t>
        </is>
      </c>
      <c r="B339" t="inlineStr">
        <is>
          <t>F33</t>
        </is>
      </c>
      <c r="C339" t="n">
        <v>33</v>
      </c>
      <c r="D339" t="n">
        <v>6</v>
      </c>
      <c r="E339" t="inlineStr">
        <is>
          <t>Output</t>
        </is>
      </c>
      <c r="F339" t="inlineStr">
        <is>
          <t>'=IFERROR(IF(LoanIsNotPaid*LoanIsGood,Principal,0), 0)</t>
        </is>
      </c>
      <c r="G339" t="n">
        <v>67.45189687533001</v>
      </c>
      <c r="H339" t="inlineStr"/>
      <c r="I339" t="inlineStr">
        <is>
          <t>"$"#,##0.00</t>
        </is>
      </c>
      <c r="J339" t="b">
        <v>0</v>
      </c>
      <c r="K339" t="b">
        <v>0</v>
      </c>
      <c r="L339" t="n">
        <v>9</v>
      </c>
      <c r="M339" t="inlineStr">
        <is>
          <t>Values must be of type &lt;class 'str'&gt;</t>
        </is>
      </c>
      <c r="N339" t="inlineStr">
        <is>
          <t>00000000</t>
        </is>
      </c>
      <c r="O339" t="inlineStr">
        <is>
          <t>center</t>
        </is>
      </c>
      <c r="P339" t="inlineStr">
        <is>
          <t>center</t>
        </is>
      </c>
      <c r="R339" t="b">
        <v>1</v>
      </c>
      <c r="S339" t="inlineStr">
        <is>
          <t>G000005</t>
        </is>
      </c>
      <c r="T339" t="inlineStr">
        <is>
          <t>Vertical</t>
        </is>
      </c>
      <c r="U339" t="n">
        <v>120</v>
      </c>
      <c r="V339" t="b">
        <v>1</v>
      </c>
      <c r="W339" t="inlineStr">
        <is>
          <t>Loan calculator!F17:F136</t>
        </is>
      </c>
      <c r="X339">
        <f>IFERROR(IF(LoanIsNotPaid*LoanIsGood,Principal,0), 0)</f>
        <v/>
      </c>
    </row>
    <row r="340">
      <c r="A340" t="inlineStr">
        <is>
          <t>Loan calculator</t>
        </is>
      </c>
      <c r="B340" t="inlineStr">
        <is>
          <t>G33</t>
        </is>
      </c>
      <c r="C340" t="n">
        <v>33</v>
      </c>
      <c r="D340" t="n">
        <v>7</v>
      </c>
      <c r="E340" t="inlineStr">
        <is>
          <t>Output</t>
        </is>
      </c>
      <c r="F340" t="inlineStr">
        <is>
          <t>'=IFERROR(IF(LoanIsNotPaid*LoanIsGood,InterestAmt,0), 0)</t>
        </is>
      </c>
      <c r="G340" t="n">
        <v>41.07438108515073</v>
      </c>
      <c r="H340" t="inlineStr"/>
      <c r="I340" t="inlineStr">
        <is>
          <t>"$"#,##0.00</t>
        </is>
      </c>
      <c r="J340" t="b">
        <v>0</v>
      </c>
      <c r="K340" t="b">
        <v>0</v>
      </c>
      <c r="L340" t="n">
        <v>9</v>
      </c>
      <c r="M340" t="inlineStr">
        <is>
          <t>Values must be of type &lt;class 'str'&gt;</t>
        </is>
      </c>
      <c r="N340" t="inlineStr">
        <is>
          <t>00000000</t>
        </is>
      </c>
      <c r="O340" t="inlineStr">
        <is>
          <t>center</t>
        </is>
      </c>
      <c r="P340" t="inlineStr">
        <is>
          <t>center</t>
        </is>
      </c>
      <c r="R340" t="b">
        <v>1</v>
      </c>
      <c r="S340" t="inlineStr">
        <is>
          <t>G000006</t>
        </is>
      </c>
      <c r="T340" t="inlineStr">
        <is>
          <t>Vertical</t>
        </is>
      </c>
      <c r="U340" t="n">
        <v>120</v>
      </c>
      <c r="V340" t="b">
        <v>1</v>
      </c>
      <c r="W340" t="inlineStr">
        <is>
          <t>Loan calculator!G17:G136</t>
        </is>
      </c>
      <c r="X340">
        <f>IFERROR(IF(LoanIsNotPaid*LoanIsGood,InterestAmt,0), 0)</f>
        <v/>
      </c>
    </row>
    <row r="341">
      <c r="A341" t="inlineStr">
        <is>
          <t>Loan calculator</t>
        </is>
      </c>
      <c r="B341" t="inlineStr">
        <is>
          <t>H33</t>
        </is>
      </c>
      <c r="C341" t="n">
        <v>33</v>
      </c>
      <c r="D341" t="n">
        <v>8</v>
      </c>
      <c r="E341" t="inlineStr">
        <is>
          <t>Output</t>
        </is>
      </c>
      <c r="F341" t="inlineStr">
        <is>
          <t>'=IFERROR(IF(LoanIsNotPaid*LoanIsGood,EndingBalance,0), 0)</t>
        </is>
      </c>
      <c r="G341" t="n">
        <v>8894.231248975735</v>
      </c>
      <c r="H341" t="inlineStr"/>
      <c r="I341" t="inlineStr">
        <is>
          <t>"$"#,##0.00</t>
        </is>
      </c>
      <c r="J341" t="b">
        <v>0</v>
      </c>
      <c r="K341" t="b">
        <v>0</v>
      </c>
      <c r="L341" t="n">
        <v>9</v>
      </c>
      <c r="M341" t="inlineStr">
        <is>
          <t>Values must be of type &lt;class 'str'&gt;</t>
        </is>
      </c>
      <c r="N341" t="inlineStr">
        <is>
          <t>00000000</t>
        </is>
      </c>
      <c r="O341" t="inlineStr">
        <is>
          <t>center</t>
        </is>
      </c>
      <c r="P341" t="inlineStr">
        <is>
          <t>center</t>
        </is>
      </c>
      <c r="R341" t="b">
        <v>1</v>
      </c>
      <c r="S341" t="inlineStr">
        <is>
          <t>G000007</t>
        </is>
      </c>
      <c r="T341" t="inlineStr">
        <is>
          <t>Vertical</t>
        </is>
      </c>
      <c r="U341" t="n">
        <v>120</v>
      </c>
      <c r="V341" t="b">
        <v>1</v>
      </c>
      <c r="W341" t="inlineStr">
        <is>
          <t>Loan calculator!H17:H136</t>
        </is>
      </c>
      <c r="X341">
        <f>IFERROR(IF(LoanIsNotPaid*LoanIsGood,EndingBalance,0), 0)</f>
        <v/>
      </c>
    </row>
    <row r="342">
      <c r="A342" t="inlineStr">
        <is>
          <t>Loan calculator</t>
        </is>
      </c>
      <c r="B342" t="inlineStr">
        <is>
          <t>I33</t>
        </is>
      </c>
      <c r="C342" t="n">
        <v>33</v>
      </c>
      <c r="D342" t="n">
        <v>9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11</v>
      </c>
      <c r="M342" t="inlineStr">
        <is>
          <t>Values must be of type &lt;class 'str'&gt;</t>
        </is>
      </c>
      <c r="N342" t="inlineStr">
        <is>
          <t>Values must be of type &lt;class 'str'&gt;</t>
        </is>
      </c>
      <c r="O342" t="n">
        <v/>
      </c>
      <c r="P342" t="inlineStr">
        <is>
          <t>center</t>
        </is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</row>
    <row r="343">
      <c r="A343" t="inlineStr">
        <is>
          <t>Loan calculator</t>
        </is>
      </c>
      <c r="B343" t="inlineStr">
        <is>
          <t>A34</t>
        </is>
      </c>
      <c r="C343" t="n">
        <v>34</v>
      </c>
      <c r="D343" t="n">
        <v>1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11</v>
      </c>
      <c r="M343" t="inlineStr">
        <is>
          <t>Values must be of type &lt;class 'str'&gt;</t>
        </is>
      </c>
      <c r="N343" t="inlineStr">
        <is>
          <t>Values must be of type &lt;class 'str'&gt;</t>
        </is>
      </c>
      <c r="O343" t="n">
        <v/>
      </c>
      <c r="P343" t="inlineStr">
        <is>
          <t>center</t>
        </is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Loan calculator</t>
        </is>
      </c>
      <c r="B344" t="inlineStr">
        <is>
          <t>B34</t>
        </is>
      </c>
      <c r="C344" t="n">
        <v>34</v>
      </c>
      <c r="D344" t="n">
        <v>2</v>
      </c>
      <c r="E344" t="inlineStr">
        <is>
          <t>Output</t>
        </is>
      </c>
      <c r="F344" t="inlineStr">
        <is>
          <t>'=IFERROR(IF(LoanIsNotPaid*LoanIsGood,PaymentNumber,""), "")</t>
        </is>
      </c>
      <c r="G344" t="n">
        <v>18</v>
      </c>
      <c r="H344" t="inlineStr"/>
      <c r="I344" t="inlineStr">
        <is>
          <t>#,##0</t>
        </is>
      </c>
      <c r="J344" t="b">
        <v>0</v>
      </c>
      <c r="K344" t="b">
        <v>0</v>
      </c>
      <c r="L344" t="n">
        <v>9</v>
      </c>
      <c r="M344" t="inlineStr">
        <is>
          <t>Values must be of type &lt;class 'str'&gt;</t>
        </is>
      </c>
      <c r="N344" t="inlineStr">
        <is>
          <t>00000000</t>
        </is>
      </c>
      <c r="O344" t="inlineStr">
        <is>
          <t>center</t>
        </is>
      </c>
      <c r="P344" t="inlineStr">
        <is>
          <t>center</t>
        </is>
      </c>
      <c r="R344" t="b">
        <v>1</v>
      </c>
      <c r="S344" t="inlineStr">
        <is>
          <t>G000001</t>
        </is>
      </c>
      <c r="T344" t="inlineStr">
        <is>
          <t>Vertical</t>
        </is>
      </c>
      <c r="U344" t="n">
        <v>120</v>
      </c>
      <c r="V344" t="b">
        <v>1</v>
      </c>
      <c r="W344" t="inlineStr">
        <is>
          <t>Loan calculator!B17:B136</t>
        </is>
      </c>
      <c r="X344">
        <f>IFERROR(IF(LoanIsNotPaid*LoanIsGood,PaymentNumber,""), "")</f>
        <v/>
      </c>
    </row>
    <row r="345">
      <c r="A345" t="inlineStr">
        <is>
          <t>Loan calculator</t>
        </is>
      </c>
      <c r="B345" t="inlineStr">
        <is>
          <t>C34</t>
        </is>
      </c>
      <c r="C345" t="n">
        <v>34</v>
      </c>
      <c r="D345" t="n">
        <v>3</v>
      </c>
      <c r="E345" t="inlineStr">
        <is>
          <t>Output</t>
        </is>
      </c>
      <c r="F345" t="inlineStr">
        <is>
          <t>'=IFERROR(IF(LoanIsNotPaid*LoanIsGood,PaymentDate,LoanStartDate), LoanStartDate)</t>
        </is>
      </c>
      <c r="G345" s="1" t="n">
        <v>46635</v>
      </c>
      <c r="H345" t="inlineStr"/>
      <c r="I345" t="inlineStr">
        <is>
          <t>mm-dd-yy</t>
        </is>
      </c>
      <c r="J345" t="b">
        <v>0</v>
      </c>
      <c r="K345" t="b">
        <v>0</v>
      </c>
      <c r="L345" t="n">
        <v>9</v>
      </c>
      <c r="M345" t="inlineStr">
        <is>
          <t>Values must be of type &lt;class 'str'&gt;</t>
        </is>
      </c>
      <c r="N345" t="inlineStr">
        <is>
          <t>00000000</t>
        </is>
      </c>
      <c r="O345" t="inlineStr">
        <is>
          <t>center</t>
        </is>
      </c>
      <c r="P345" t="inlineStr">
        <is>
          <t>center</t>
        </is>
      </c>
      <c r="R345" t="b">
        <v>1</v>
      </c>
      <c r="S345" t="inlineStr">
        <is>
          <t>G000002</t>
        </is>
      </c>
      <c r="T345" t="inlineStr">
        <is>
          <t>Vertical</t>
        </is>
      </c>
      <c r="U345" t="n">
        <v>120</v>
      </c>
      <c r="V345" t="b">
        <v>1</v>
      </c>
      <c r="W345" t="inlineStr">
        <is>
          <t>Loan calculator!C17:C136</t>
        </is>
      </c>
      <c r="X345">
        <f>IFERROR(IF(LoanIsNotPaid*LoanIsGood,PaymentDate,LoanStartDate), LoanStartDate)</f>
        <v/>
      </c>
    </row>
    <row r="346">
      <c r="A346" t="inlineStr">
        <is>
          <t>Loan calculator</t>
        </is>
      </c>
      <c r="B346" t="inlineStr">
        <is>
          <t>D34</t>
        </is>
      </c>
      <c r="C346" t="n">
        <v>34</v>
      </c>
      <c r="D346" t="n">
        <v>4</v>
      </c>
      <c r="E346" t="inlineStr">
        <is>
          <t>Output</t>
        </is>
      </c>
      <c r="F346" t="inlineStr">
        <is>
          <t>'=IFERROR(IF(LoanIsNotPaid*LoanIsGood,LoanValue,""), "")</t>
        </is>
      </c>
      <c r="G346" t="n">
        <v>8894.231248975735</v>
      </c>
      <c r="H346" t="inlineStr"/>
      <c r="I346" t="inlineStr">
        <is>
          <t>"$"#,##0.00</t>
        </is>
      </c>
      <c r="J346" t="b">
        <v>0</v>
      </c>
      <c r="K346" t="b">
        <v>0</v>
      </c>
      <c r="L346" t="n">
        <v>9</v>
      </c>
      <c r="M346" t="inlineStr">
        <is>
          <t>Values must be of type &lt;class 'str'&gt;</t>
        </is>
      </c>
      <c r="N346" t="inlineStr">
        <is>
          <t>00000000</t>
        </is>
      </c>
      <c r="O346" t="inlineStr">
        <is>
          <t>center</t>
        </is>
      </c>
      <c r="P346" t="inlineStr">
        <is>
          <t>center</t>
        </is>
      </c>
      <c r="R346" t="b">
        <v>1</v>
      </c>
      <c r="S346" t="inlineStr">
        <is>
          <t>G000003</t>
        </is>
      </c>
      <c r="T346" t="inlineStr">
        <is>
          <t>Vertical</t>
        </is>
      </c>
      <c r="U346" t="n">
        <v>120</v>
      </c>
      <c r="V346" t="b">
        <v>1</v>
      </c>
      <c r="W346" t="inlineStr">
        <is>
          <t>Loan calculator!D17:D136</t>
        </is>
      </c>
      <c r="X346">
        <f>IFERROR(IF(LoanIsNotPaid*LoanIsGood,LoanValue,""), "")</f>
        <v/>
      </c>
    </row>
    <row r="347">
      <c r="A347" t="inlineStr">
        <is>
          <t>Loan calculator</t>
        </is>
      </c>
      <c r="B347" t="inlineStr">
        <is>
          <t>E34</t>
        </is>
      </c>
      <c r="C347" t="n">
        <v>34</v>
      </c>
      <c r="D347" t="n">
        <v>5</v>
      </c>
      <c r="E347" t="inlineStr">
        <is>
          <t>Output</t>
        </is>
      </c>
      <c r="F347" t="inlineStr">
        <is>
          <t>'=IFERROR(IF(LoanIsNotPaid*LoanIsGood,MonthlyPayment,0), 0)</t>
        </is>
      </c>
      <c r="G347" t="n">
        <v>108.5262779604807</v>
      </c>
      <c r="H347" t="inlineStr"/>
      <c r="I347" t="inlineStr">
        <is>
          <t>"$"#,##0.00</t>
        </is>
      </c>
      <c r="J347" t="b">
        <v>0</v>
      </c>
      <c r="K347" t="b">
        <v>0</v>
      </c>
      <c r="L347" t="n">
        <v>9</v>
      </c>
      <c r="M347" t="inlineStr">
        <is>
          <t>Values must be of type &lt;class 'str'&gt;</t>
        </is>
      </c>
      <c r="N347" t="inlineStr">
        <is>
          <t>00000000</t>
        </is>
      </c>
      <c r="O347" t="inlineStr">
        <is>
          <t>center</t>
        </is>
      </c>
      <c r="P347" t="inlineStr">
        <is>
          <t>center</t>
        </is>
      </c>
      <c r="R347" t="b">
        <v>1</v>
      </c>
      <c r="S347" t="inlineStr">
        <is>
          <t>G000004</t>
        </is>
      </c>
      <c r="T347" t="inlineStr">
        <is>
          <t>Vertical</t>
        </is>
      </c>
      <c r="U347" t="n">
        <v>120</v>
      </c>
      <c r="V347" t="b">
        <v>1</v>
      </c>
      <c r="W347" t="inlineStr">
        <is>
          <t>Loan calculator!E17:E136</t>
        </is>
      </c>
      <c r="X347">
        <f>IFERROR(IF(LoanIsNotPaid*LoanIsGood,MonthlyPayment,0), 0)</f>
        <v/>
      </c>
    </row>
    <row r="348">
      <c r="A348" t="inlineStr">
        <is>
          <t>Loan calculator</t>
        </is>
      </c>
      <c r="B348" t="inlineStr">
        <is>
          <t>F34</t>
        </is>
      </c>
      <c r="C348" t="n">
        <v>34</v>
      </c>
      <c r="D348" t="n">
        <v>6</v>
      </c>
      <c r="E348" t="inlineStr">
        <is>
          <t>Output</t>
        </is>
      </c>
      <c r="F348" t="inlineStr">
        <is>
          <t>'=IFERROR(IF(LoanIsNotPaid*LoanIsGood,Principal,0), 0)</t>
        </is>
      </c>
      <c r="G348" t="n">
        <v>67.76105140267526</v>
      </c>
      <c r="H348" t="inlineStr"/>
      <c r="I348" t="inlineStr">
        <is>
          <t>"$"#,##0.00</t>
        </is>
      </c>
      <c r="J348" t="b">
        <v>0</v>
      </c>
      <c r="K348" t="b">
        <v>0</v>
      </c>
      <c r="L348" t="n">
        <v>9</v>
      </c>
      <c r="M348" t="inlineStr">
        <is>
          <t>Values must be of type &lt;class 'str'&gt;</t>
        </is>
      </c>
      <c r="N348" t="inlineStr">
        <is>
          <t>00000000</t>
        </is>
      </c>
      <c r="O348" t="inlineStr">
        <is>
          <t>center</t>
        </is>
      </c>
      <c r="P348" t="inlineStr">
        <is>
          <t>center</t>
        </is>
      </c>
      <c r="R348" t="b">
        <v>1</v>
      </c>
      <c r="S348" t="inlineStr">
        <is>
          <t>G000005</t>
        </is>
      </c>
      <c r="T348" t="inlineStr">
        <is>
          <t>Vertical</t>
        </is>
      </c>
      <c r="U348" t="n">
        <v>120</v>
      </c>
      <c r="V348" t="b">
        <v>1</v>
      </c>
      <c r="W348" t="inlineStr">
        <is>
          <t>Loan calculator!F17:F136</t>
        </is>
      </c>
      <c r="X348">
        <f>IFERROR(IF(LoanIsNotPaid*LoanIsGood,Principal,0), 0)</f>
        <v/>
      </c>
    </row>
    <row r="349">
      <c r="A349" t="inlineStr">
        <is>
          <t>Loan calculator</t>
        </is>
      </c>
      <c r="B349" t="inlineStr">
        <is>
          <t>G34</t>
        </is>
      </c>
      <c r="C349" t="n">
        <v>34</v>
      </c>
      <c r="D349" t="n">
        <v>7</v>
      </c>
      <c r="E349" t="inlineStr">
        <is>
          <t>Output</t>
        </is>
      </c>
      <c r="F349" t="inlineStr">
        <is>
          <t>'=IFERROR(IF(LoanIsNotPaid*LoanIsGood,InterestAmt,0), 0)</t>
        </is>
      </c>
      <c r="G349" t="n">
        <v>40.76522655780546</v>
      </c>
      <c r="H349" t="inlineStr"/>
      <c r="I349" t="inlineStr">
        <is>
          <t>"$"#,##0.00</t>
        </is>
      </c>
      <c r="J349" t="b">
        <v>0</v>
      </c>
      <c r="K349" t="b">
        <v>0</v>
      </c>
      <c r="L349" t="n">
        <v>9</v>
      </c>
      <c r="M349" t="inlineStr">
        <is>
          <t>Values must be of type &lt;class 'str'&gt;</t>
        </is>
      </c>
      <c r="N349" t="inlineStr">
        <is>
          <t>00000000</t>
        </is>
      </c>
      <c r="O349" t="inlineStr">
        <is>
          <t>center</t>
        </is>
      </c>
      <c r="P349" t="inlineStr">
        <is>
          <t>center</t>
        </is>
      </c>
      <c r="R349" t="b">
        <v>1</v>
      </c>
      <c r="S349" t="inlineStr">
        <is>
          <t>G000006</t>
        </is>
      </c>
      <c r="T349" t="inlineStr">
        <is>
          <t>Vertical</t>
        </is>
      </c>
      <c r="U349" t="n">
        <v>120</v>
      </c>
      <c r="V349" t="b">
        <v>1</v>
      </c>
      <c r="W349" t="inlineStr">
        <is>
          <t>Loan calculator!G17:G136</t>
        </is>
      </c>
      <c r="X349">
        <f>IFERROR(IF(LoanIsNotPaid*LoanIsGood,InterestAmt,0), 0)</f>
        <v/>
      </c>
    </row>
    <row r="350">
      <c r="A350" t="inlineStr">
        <is>
          <t>Loan calculator</t>
        </is>
      </c>
      <c r="B350" t="inlineStr">
        <is>
          <t>H34</t>
        </is>
      </c>
      <c r="C350" t="n">
        <v>34</v>
      </c>
      <c r="D350" t="n">
        <v>8</v>
      </c>
      <c r="E350" t="inlineStr">
        <is>
          <t>Output</t>
        </is>
      </c>
      <c r="F350" t="inlineStr">
        <is>
          <t>'=IFERROR(IF(LoanIsNotPaid*LoanIsGood,EndingBalance,0), 0)</t>
        </is>
      </c>
      <c r="G350" t="n">
        <v>8826.47019757306</v>
      </c>
      <c r="H350" t="inlineStr"/>
      <c r="I350" t="inlineStr">
        <is>
          <t>"$"#,##0.00</t>
        </is>
      </c>
      <c r="J350" t="b">
        <v>0</v>
      </c>
      <c r="K350" t="b">
        <v>0</v>
      </c>
      <c r="L350" t="n">
        <v>9</v>
      </c>
      <c r="M350" t="inlineStr">
        <is>
          <t>Values must be of type &lt;class 'str'&gt;</t>
        </is>
      </c>
      <c r="N350" t="inlineStr">
        <is>
          <t>00000000</t>
        </is>
      </c>
      <c r="O350" t="inlineStr">
        <is>
          <t>center</t>
        </is>
      </c>
      <c r="P350" t="inlineStr">
        <is>
          <t>center</t>
        </is>
      </c>
      <c r="R350" t="b">
        <v>1</v>
      </c>
      <c r="S350" t="inlineStr">
        <is>
          <t>G000007</t>
        </is>
      </c>
      <c r="T350" t="inlineStr">
        <is>
          <t>Vertical</t>
        </is>
      </c>
      <c r="U350" t="n">
        <v>120</v>
      </c>
      <c r="V350" t="b">
        <v>1</v>
      </c>
      <c r="W350" t="inlineStr">
        <is>
          <t>Loan calculator!H17:H136</t>
        </is>
      </c>
      <c r="X350">
        <f>IFERROR(IF(LoanIsNotPaid*LoanIsGood,EndingBalance,0), 0)</f>
        <v/>
      </c>
    </row>
    <row r="351">
      <c r="A351" t="inlineStr">
        <is>
          <t>Loan calculator</t>
        </is>
      </c>
      <c r="B351" t="inlineStr">
        <is>
          <t>I34</t>
        </is>
      </c>
      <c r="C351" t="n">
        <v>34</v>
      </c>
      <c r="D351" t="n">
        <v>9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11</v>
      </c>
      <c r="M351" t="inlineStr">
        <is>
          <t>Values must be of type &lt;class 'str'&gt;</t>
        </is>
      </c>
      <c r="N351" t="inlineStr">
        <is>
          <t>Values must be of type &lt;class 'str'&gt;</t>
        </is>
      </c>
      <c r="O351" t="n">
        <v/>
      </c>
      <c r="P351" t="inlineStr">
        <is>
          <t>center</t>
        </is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Loan calculator</t>
        </is>
      </c>
      <c r="B352" t="inlineStr">
        <is>
          <t>A35</t>
        </is>
      </c>
      <c r="C352" t="n">
        <v>35</v>
      </c>
      <c r="D352" t="n">
        <v>1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11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n">
        <v/>
      </c>
      <c r="P352" t="inlineStr">
        <is>
          <t>center</t>
        </is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Loan calculator</t>
        </is>
      </c>
      <c r="B353" t="inlineStr">
        <is>
          <t>B35</t>
        </is>
      </c>
      <c r="C353" t="n">
        <v>35</v>
      </c>
      <c r="D353" t="n">
        <v>2</v>
      </c>
      <c r="E353" t="inlineStr">
        <is>
          <t>Output</t>
        </is>
      </c>
      <c r="F353" t="inlineStr">
        <is>
          <t>'=IFERROR(IF(LoanIsNotPaid*LoanIsGood,PaymentNumber,""), "")</t>
        </is>
      </c>
      <c r="G353" t="n">
        <v>19</v>
      </c>
      <c r="H353" t="inlineStr"/>
      <c r="I353" t="inlineStr">
        <is>
          <t>#,##0</t>
        </is>
      </c>
      <c r="J353" t="b">
        <v>0</v>
      </c>
      <c r="K353" t="b">
        <v>0</v>
      </c>
      <c r="L353" t="n">
        <v>9</v>
      </c>
      <c r="M353" t="inlineStr">
        <is>
          <t>Values must be of type &lt;class 'str'&gt;</t>
        </is>
      </c>
      <c r="N353" t="inlineStr">
        <is>
          <t>00000000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S353" t="inlineStr">
        <is>
          <t>G000001</t>
        </is>
      </c>
      <c r="T353" t="inlineStr">
        <is>
          <t>Vertical</t>
        </is>
      </c>
      <c r="U353" t="n">
        <v>120</v>
      </c>
      <c r="V353" t="b">
        <v>1</v>
      </c>
      <c r="W353" t="inlineStr">
        <is>
          <t>Loan calculator!B17:B136</t>
        </is>
      </c>
      <c r="X353">
        <f>IFERROR(IF(LoanIsNotPaid*LoanIsGood,PaymentNumber,""), "")</f>
        <v/>
      </c>
    </row>
    <row r="354">
      <c r="A354" t="inlineStr">
        <is>
          <t>Loan calculator</t>
        </is>
      </c>
      <c r="B354" t="inlineStr">
        <is>
          <t>C35</t>
        </is>
      </c>
      <c r="C354" t="n">
        <v>35</v>
      </c>
      <c r="D354" t="n">
        <v>3</v>
      </c>
      <c r="E354" t="inlineStr">
        <is>
          <t>Output</t>
        </is>
      </c>
      <c r="F354" t="inlineStr">
        <is>
          <t>'=IFERROR(IF(LoanIsNotPaid*LoanIsGood,PaymentDate,LoanStartDate), LoanStartDate)</t>
        </is>
      </c>
      <c r="G354" s="1" t="n">
        <v>46665</v>
      </c>
      <c r="H354" t="inlineStr"/>
      <c r="I354" t="inlineStr">
        <is>
          <t>mm-dd-yy</t>
        </is>
      </c>
      <c r="J354" t="b">
        <v>0</v>
      </c>
      <c r="K354" t="b">
        <v>0</v>
      </c>
      <c r="L354" t="n">
        <v>9</v>
      </c>
      <c r="M354" t="inlineStr">
        <is>
          <t>Values must be of type &lt;class 'str'&gt;</t>
        </is>
      </c>
      <c r="N354" t="inlineStr">
        <is>
          <t>00000000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S354" t="inlineStr">
        <is>
          <t>G000002</t>
        </is>
      </c>
      <c r="T354" t="inlineStr">
        <is>
          <t>Vertical</t>
        </is>
      </c>
      <c r="U354" t="n">
        <v>120</v>
      </c>
      <c r="V354" t="b">
        <v>1</v>
      </c>
      <c r="W354" t="inlineStr">
        <is>
          <t>Loan calculator!C17:C136</t>
        </is>
      </c>
      <c r="X354">
        <f>IFERROR(IF(LoanIsNotPaid*LoanIsGood,PaymentDate,LoanStartDate), LoanStartDate)</f>
        <v/>
      </c>
    </row>
    <row r="355">
      <c r="A355" t="inlineStr">
        <is>
          <t>Loan calculator</t>
        </is>
      </c>
      <c r="B355" t="inlineStr">
        <is>
          <t>D35</t>
        </is>
      </c>
      <c r="C355" t="n">
        <v>35</v>
      </c>
      <c r="D355" t="n">
        <v>4</v>
      </c>
      <c r="E355" t="inlineStr">
        <is>
          <t>Output</t>
        </is>
      </c>
      <c r="F355" t="inlineStr">
        <is>
          <t>'=IFERROR(IF(LoanIsNotPaid*LoanIsGood,LoanValue,""), "")</t>
        </is>
      </c>
      <c r="G355" t="n">
        <v>8826.47019757306</v>
      </c>
      <c r="H355" t="inlineStr"/>
      <c r="I355" t="inlineStr">
        <is>
          <t>"$"#,##0.00</t>
        </is>
      </c>
      <c r="J355" t="b">
        <v>0</v>
      </c>
      <c r="K355" t="b">
        <v>0</v>
      </c>
      <c r="L355" t="n">
        <v>9</v>
      </c>
      <c r="M355" t="inlineStr">
        <is>
          <t>Values must be of type &lt;class 'str'&gt;</t>
        </is>
      </c>
      <c r="N355" t="inlineStr">
        <is>
          <t>00000000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S355" t="inlineStr">
        <is>
          <t>G000003</t>
        </is>
      </c>
      <c r="T355" t="inlineStr">
        <is>
          <t>Vertical</t>
        </is>
      </c>
      <c r="U355" t="n">
        <v>120</v>
      </c>
      <c r="V355" t="b">
        <v>1</v>
      </c>
      <c r="W355" t="inlineStr">
        <is>
          <t>Loan calculator!D17:D136</t>
        </is>
      </c>
      <c r="X355">
        <f>IFERROR(IF(LoanIsNotPaid*LoanIsGood,LoanValue,""), "")</f>
        <v/>
      </c>
    </row>
    <row r="356">
      <c r="A356" t="inlineStr">
        <is>
          <t>Loan calculator</t>
        </is>
      </c>
      <c r="B356" t="inlineStr">
        <is>
          <t>E35</t>
        </is>
      </c>
      <c r="C356" t="n">
        <v>35</v>
      </c>
      <c r="D356" t="n">
        <v>5</v>
      </c>
      <c r="E356" t="inlineStr">
        <is>
          <t>Output</t>
        </is>
      </c>
      <c r="F356" t="inlineStr">
        <is>
          <t>'=IFERROR(IF(LoanIsNotPaid*LoanIsGood,MonthlyPayment,0), 0)</t>
        </is>
      </c>
      <c r="G356" t="n">
        <v>108.5262779604807</v>
      </c>
      <c r="H356" t="inlineStr"/>
      <c r="I356" t="inlineStr">
        <is>
          <t>"$"#,##0.00</t>
        </is>
      </c>
      <c r="J356" t="b">
        <v>0</v>
      </c>
      <c r="K356" t="b">
        <v>0</v>
      </c>
      <c r="L356" t="n">
        <v>9</v>
      </c>
      <c r="M356" t="inlineStr">
        <is>
          <t>Values must be of type &lt;class 'str'&gt;</t>
        </is>
      </c>
      <c r="N356" t="inlineStr">
        <is>
          <t>00000000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S356" t="inlineStr">
        <is>
          <t>G000004</t>
        </is>
      </c>
      <c r="T356" t="inlineStr">
        <is>
          <t>Vertical</t>
        </is>
      </c>
      <c r="U356" t="n">
        <v>120</v>
      </c>
      <c r="V356" t="b">
        <v>1</v>
      </c>
      <c r="W356" t="inlineStr">
        <is>
          <t>Loan calculator!E17:E136</t>
        </is>
      </c>
      <c r="X356">
        <f>IFERROR(IF(LoanIsNotPaid*LoanIsGood,MonthlyPayment,0), 0)</f>
        <v/>
      </c>
    </row>
    <row r="357">
      <c r="A357" t="inlineStr">
        <is>
          <t>Loan calculator</t>
        </is>
      </c>
      <c r="B357" t="inlineStr">
        <is>
          <t>F35</t>
        </is>
      </c>
      <c r="C357" t="n">
        <v>35</v>
      </c>
      <c r="D357" t="n">
        <v>6</v>
      </c>
      <c r="E357" t="inlineStr">
        <is>
          <t>Output</t>
        </is>
      </c>
      <c r="F357" t="inlineStr">
        <is>
          <t>'=IFERROR(IF(LoanIsNotPaid*LoanIsGood,Principal,0), 0)</t>
        </is>
      </c>
      <c r="G357" t="n">
        <v>68.07162288827085</v>
      </c>
      <c r="H357" t="inlineStr"/>
      <c r="I357" t="inlineStr">
        <is>
          <t>"$"#,##0.00</t>
        </is>
      </c>
      <c r="J357" t="b">
        <v>0</v>
      </c>
      <c r="K357" t="b">
        <v>0</v>
      </c>
      <c r="L357" t="n">
        <v>9</v>
      </c>
      <c r="M357" t="inlineStr">
        <is>
          <t>Values must be of type &lt;class 'str'&gt;</t>
        </is>
      </c>
      <c r="N357" t="inlineStr">
        <is>
          <t>00000000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S357" t="inlineStr">
        <is>
          <t>G000005</t>
        </is>
      </c>
      <c r="T357" t="inlineStr">
        <is>
          <t>Vertical</t>
        </is>
      </c>
      <c r="U357" t="n">
        <v>120</v>
      </c>
      <c r="V357" t="b">
        <v>1</v>
      </c>
      <c r="W357" t="inlineStr">
        <is>
          <t>Loan calculator!F17:F136</t>
        </is>
      </c>
      <c r="X357">
        <f>IFERROR(IF(LoanIsNotPaid*LoanIsGood,Principal,0), 0)</f>
        <v/>
      </c>
    </row>
    <row r="358">
      <c r="A358" t="inlineStr">
        <is>
          <t>Loan calculator</t>
        </is>
      </c>
      <c r="B358" t="inlineStr">
        <is>
          <t>G35</t>
        </is>
      </c>
      <c r="C358" t="n">
        <v>35</v>
      </c>
      <c r="D358" t="n">
        <v>7</v>
      </c>
      <c r="E358" t="inlineStr">
        <is>
          <t>Output</t>
        </is>
      </c>
      <c r="F358" t="inlineStr">
        <is>
          <t>'=IFERROR(IF(LoanIsNotPaid*LoanIsGood,InterestAmt,0), 0)</t>
        </is>
      </c>
      <c r="G358" t="n">
        <v>40.45465507220987</v>
      </c>
      <c r="H358" t="inlineStr"/>
      <c r="I358" t="inlineStr">
        <is>
          <t>"$"#,##0.00</t>
        </is>
      </c>
      <c r="J358" t="b">
        <v>0</v>
      </c>
      <c r="K358" t="b">
        <v>0</v>
      </c>
      <c r="L358" t="n">
        <v>9</v>
      </c>
      <c r="M358" t="inlineStr">
        <is>
          <t>Values must be of type &lt;class 'str'&gt;</t>
        </is>
      </c>
      <c r="N358" t="inlineStr">
        <is>
          <t>00000000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S358" t="inlineStr">
        <is>
          <t>G000006</t>
        </is>
      </c>
      <c r="T358" t="inlineStr">
        <is>
          <t>Vertical</t>
        </is>
      </c>
      <c r="U358" t="n">
        <v>120</v>
      </c>
      <c r="V358" t="b">
        <v>1</v>
      </c>
      <c r="W358" t="inlineStr">
        <is>
          <t>Loan calculator!G17:G136</t>
        </is>
      </c>
      <c r="X358">
        <f>IFERROR(IF(LoanIsNotPaid*LoanIsGood,InterestAmt,0), 0)</f>
        <v/>
      </c>
    </row>
    <row r="359">
      <c r="A359" t="inlineStr">
        <is>
          <t>Loan calculator</t>
        </is>
      </c>
      <c r="B359" t="inlineStr">
        <is>
          <t>H35</t>
        </is>
      </c>
      <c r="C359" t="n">
        <v>35</v>
      </c>
      <c r="D359" t="n">
        <v>8</v>
      </c>
      <c r="E359" t="inlineStr">
        <is>
          <t>Output</t>
        </is>
      </c>
      <c r="F359" t="inlineStr">
        <is>
          <t>'=IFERROR(IF(LoanIsNotPaid*LoanIsGood,EndingBalance,0), 0)</t>
        </is>
      </c>
      <c r="G359" t="n">
        <v>8758.398574684792</v>
      </c>
      <c r="H359" t="inlineStr"/>
      <c r="I359" t="inlineStr">
        <is>
          <t>"$"#,##0.00</t>
        </is>
      </c>
      <c r="J359" t="b">
        <v>0</v>
      </c>
      <c r="K359" t="b">
        <v>0</v>
      </c>
      <c r="L359" t="n">
        <v>9</v>
      </c>
      <c r="M359" t="inlineStr">
        <is>
          <t>Values must be of type &lt;class 'str'&gt;</t>
        </is>
      </c>
      <c r="N359" t="inlineStr">
        <is>
          <t>00000000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inlineStr">
        <is>
          <t>G000007</t>
        </is>
      </c>
      <c r="T359" t="inlineStr">
        <is>
          <t>Vertical</t>
        </is>
      </c>
      <c r="U359" t="n">
        <v>120</v>
      </c>
      <c r="V359" t="b">
        <v>1</v>
      </c>
      <c r="W359" t="inlineStr">
        <is>
          <t>Loan calculator!H17:H136</t>
        </is>
      </c>
      <c r="X359">
        <f>IFERROR(IF(LoanIsNotPaid*LoanIsGood,EndingBalance,0), 0)</f>
        <v/>
      </c>
    </row>
    <row r="360">
      <c r="A360" t="inlineStr">
        <is>
          <t>Loan calculator</t>
        </is>
      </c>
      <c r="B360" t="inlineStr">
        <is>
          <t>I35</t>
        </is>
      </c>
      <c r="C360" t="n">
        <v>35</v>
      </c>
      <c r="D360" t="n">
        <v>9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11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n">
        <v/>
      </c>
      <c r="P360" t="inlineStr">
        <is>
          <t>center</t>
        </is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Loan calculator</t>
        </is>
      </c>
      <c r="B361" t="inlineStr">
        <is>
          <t>A36</t>
        </is>
      </c>
      <c r="C361" t="n">
        <v>36</v>
      </c>
      <c r="D361" t="n">
        <v>1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11</v>
      </c>
      <c r="M361" t="inlineStr">
        <is>
          <t>Values must be of type &lt;class 'str'&gt;</t>
        </is>
      </c>
      <c r="N361" t="inlineStr">
        <is>
          <t>Values must be of type &lt;class 'str'&gt;</t>
        </is>
      </c>
      <c r="O361" t="n">
        <v/>
      </c>
      <c r="P361" t="inlineStr">
        <is>
          <t>center</t>
        </is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Loan calculator</t>
        </is>
      </c>
      <c r="B362" t="inlineStr">
        <is>
          <t>B36</t>
        </is>
      </c>
      <c r="C362" t="n">
        <v>36</v>
      </c>
      <c r="D362" t="n">
        <v>2</v>
      </c>
      <c r="E362" t="inlineStr">
        <is>
          <t>Output</t>
        </is>
      </c>
      <c r="F362" t="inlineStr">
        <is>
          <t>'=IFERROR(IF(LoanIsNotPaid*LoanIsGood,PaymentNumber,""), "")</t>
        </is>
      </c>
      <c r="G362" t="n">
        <v>20</v>
      </c>
      <c r="H362" t="inlineStr"/>
      <c r="I362" t="inlineStr">
        <is>
          <t>#,##0</t>
        </is>
      </c>
      <c r="J362" t="b">
        <v>0</v>
      </c>
      <c r="K362" t="b">
        <v>0</v>
      </c>
      <c r="L362" t="n">
        <v>9</v>
      </c>
      <c r="M362" t="inlineStr">
        <is>
          <t>Values must be of type &lt;class 'str'&gt;</t>
        </is>
      </c>
      <c r="N362" t="inlineStr">
        <is>
          <t>00000000</t>
        </is>
      </c>
      <c r="O362" t="inlineStr">
        <is>
          <t>center</t>
        </is>
      </c>
      <c r="P362" t="inlineStr">
        <is>
          <t>center</t>
        </is>
      </c>
      <c r="R362" t="b">
        <v>1</v>
      </c>
      <c r="S362" t="inlineStr">
        <is>
          <t>G000001</t>
        </is>
      </c>
      <c r="T362" t="inlineStr">
        <is>
          <t>Vertical</t>
        </is>
      </c>
      <c r="U362" t="n">
        <v>120</v>
      </c>
      <c r="V362" t="b">
        <v>1</v>
      </c>
      <c r="W362" t="inlineStr">
        <is>
          <t>Loan calculator!B17:B136</t>
        </is>
      </c>
      <c r="X362">
        <f>IFERROR(IF(LoanIsNotPaid*LoanIsGood,PaymentNumber,""), "")</f>
        <v/>
      </c>
    </row>
    <row r="363">
      <c r="A363" t="inlineStr">
        <is>
          <t>Loan calculator</t>
        </is>
      </c>
      <c r="B363" t="inlineStr">
        <is>
          <t>C36</t>
        </is>
      </c>
      <c r="C363" t="n">
        <v>36</v>
      </c>
      <c r="D363" t="n">
        <v>3</v>
      </c>
      <c r="E363" t="inlineStr">
        <is>
          <t>Output</t>
        </is>
      </c>
      <c r="F363" t="inlineStr">
        <is>
          <t>'=IFERROR(IF(LoanIsNotPaid*LoanIsGood,PaymentDate,LoanStartDate), LoanStartDate)</t>
        </is>
      </c>
      <c r="G363" s="1" t="n">
        <v>46696</v>
      </c>
      <c r="H363" t="inlineStr"/>
      <c r="I363" t="inlineStr">
        <is>
          <t>mm-dd-yy</t>
        </is>
      </c>
      <c r="J363" t="b">
        <v>0</v>
      </c>
      <c r="K363" t="b">
        <v>0</v>
      </c>
      <c r="L363" t="n">
        <v>9</v>
      </c>
      <c r="M363" t="inlineStr">
        <is>
          <t>Values must be of type &lt;class 'str'&gt;</t>
        </is>
      </c>
      <c r="N363" t="inlineStr">
        <is>
          <t>00000000</t>
        </is>
      </c>
      <c r="O363" t="inlineStr">
        <is>
          <t>center</t>
        </is>
      </c>
      <c r="P363" t="inlineStr">
        <is>
          <t>center</t>
        </is>
      </c>
      <c r="R363" t="b">
        <v>1</v>
      </c>
      <c r="S363" t="inlineStr">
        <is>
          <t>G000002</t>
        </is>
      </c>
      <c r="T363" t="inlineStr">
        <is>
          <t>Vertical</t>
        </is>
      </c>
      <c r="U363" t="n">
        <v>120</v>
      </c>
      <c r="V363" t="b">
        <v>1</v>
      </c>
      <c r="W363" t="inlineStr">
        <is>
          <t>Loan calculator!C17:C136</t>
        </is>
      </c>
      <c r="X363">
        <f>IFERROR(IF(LoanIsNotPaid*LoanIsGood,PaymentDate,LoanStartDate), LoanStartDate)</f>
        <v/>
      </c>
    </row>
    <row r="364">
      <c r="A364" t="inlineStr">
        <is>
          <t>Loan calculator</t>
        </is>
      </c>
      <c r="B364" t="inlineStr">
        <is>
          <t>D36</t>
        </is>
      </c>
      <c r="C364" t="n">
        <v>36</v>
      </c>
      <c r="D364" t="n">
        <v>4</v>
      </c>
      <c r="E364" t="inlineStr">
        <is>
          <t>Output</t>
        </is>
      </c>
      <c r="F364" t="inlineStr">
        <is>
          <t>'=IFERROR(IF(LoanIsNotPaid*LoanIsGood,LoanValue,""), "")</t>
        </is>
      </c>
      <c r="G364" t="n">
        <v>8758.398574684792</v>
      </c>
      <c r="H364" t="inlineStr"/>
      <c r="I364" t="inlineStr">
        <is>
          <t>"$"#,##0.00</t>
        </is>
      </c>
      <c r="J364" t="b">
        <v>0</v>
      </c>
      <c r="K364" t="b">
        <v>0</v>
      </c>
      <c r="L364" t="n">
        <v>9</v>
      </c>
      <c r="M364" t="inlineStr">
        <is>
          <t>Values must be of type &lt;class 'str'&gt;</t>
        </is>
      </c>
      <c r="N364" t="inlineStr">
        <is>
          <t>00000000</t>
        </is>
      </c>
      <c r="O364" t="inlineStr">
        <is>
          <t>center</t>
        </is>
      </c>
      <c r="P364" t="inlineStr">
        <is>
          <t>center</t>
        </is>
      </c>
      <c r="R364" t="b">
        <v>1</v>
      </c>
      <c r="S364" t="inlineStr">
        <is>
          <t>G000003</t>
        </is>
      </c>
      <c r="T364" t="inlineStr">
        <is>
          <t>Vertical</t>
        </is>
      </c>
      <c r="U364" t="n">
        <v>120</v>
      </c>
      <c r="V364" t="b">
        <v>1</v>
      </c>
      <c r="W364" t="inlineStr">
        <is>
          <t>Loan calculator!D17:D136</t>
        </is>
      </c>
      <c r="X364">
        <f>IFERROR(IF(LoanIsNotPaid*LoanIsGood,LoanValue,""), "")</f>
        <v/>
      </c>
    </row>
    <row r="365">
      <c r="A365" t="inlineStr">
        <is>
          <t>Loan calculator</t>
        </is>
      </c>
      <c r="B365" t="inlineStr">
        <is>
          <t>E36</t>
        </is>
      </c>
      <c r="C365" t="n">
        <v>36</v>
      </c>
      <c r="D365" t="n">
        <v>5</v>
      </c>
      <c r="E365" t="inlineStr">
        <is>
          <t>Output</t>
        </is>
      </c>
      <c r="F365" t="inlineStr">
        <is>
          <t>'=IFERROR(IF(LoanIsNotPaid*LoanIsGood,MonthlyPayment,0), 0)</t>
        </is>
      </c>
      <c r="G365" t="n">
        <v>108.5262779604807</v>
      </c>
      <c r="H365" t="inlineStr"/>
      <c r="I365" t="inlineStr">
        <is>
          <t>"$"#,##0.00</t>
        </is>
      </c>
      <c r="J365" t="b">
        <v>0</v>
      </c>
      <c r="K365" t="b">
        <v>0</v>
      </c>
      <c r="L365" t="n">
        <v>9</v>
      </c>
      <c r="M365" t="inlineStr">
        <is>
          <t>Values must be of type &lt;class 'str'&gt;</t>
        </is>
      </c>
      <c r="N365" t="inlineStr">
        <is>
          <t>00000000</t>
        </is>
      </c>
      <c r="O365" t="inlineStr">
        <is>
          <t>center</t>
        </is>
      </c>
      <c r="P365" t="inlineStr">
        <is>
          <t>center</t>
        </is>
      </c>
      <c r="R365" t="b">
        <v>1</v>
      </c>
      <c r="S365" t="inlineStr">
        <is>
          <t>G000004</t>
        </is>
      </c>
      <c r="T365" t="inlineStr">
        <is>
          <t>Vertical</t>
        </is>
      </c>
      <c r="U365" t="n">
        <v>120</v>
      </c>
      <c r="V365" t="b">
        <v>1</v>
      </c>
      <c r="W365" t="inlineStr">
        <is>
          <t>Loan calculator!E17:E136</t>
        </is>
      </c>
      <c r="X365">
        <f>IFERROR(IF(LoanIsNotPaid*LoanIsGood,MonthlyPayment,0), 0)</f>
        <v/>
      </c>
    </row>
    <row r="366">
      <c r="A366" t="inlineStr">
        <is>
          <t>Loan calculator</t>
        </is>
      </c>
      <c r="B366" t="inlineStr">
        <is>
          <t>F36</t>
        </is>
      </c>
      <c r="C366" t="n">
        <v>36</v>
      </c>
      <c r="D366" t="n">
        <v>6</v>
      </c>
      <c r="E366" t="inlineStr">
        <is>
          <t>Output</t>
        </is>
      </c>
      <c r="F366" t="inlineStr">
        <is>
          <t>'=IFERROR(IF(LoanIsNotPaid*LoanIsGood,Principal,0), 0)</t>
        </is>
      </c>
      <c r="G366" t="n">
        <v>68.38361782650877</v>
      </c>
      <c r="H366" t="inlineStr"/>
      <c r="I366" t="inlineStr">
        <is>
          <t>"$"#,##0.00</t>
        </is>
      </c>
      <c r="J366" t="b">
        <v>0</v>
      </c>
      <c r="K366" t="b">
        <v>0</v>
      </c>
      <c r="L366" t="n">
        <v>9</v>
      </c>
      <c r="M366" t="inlineStr">
        <is>
          <t>Values must be of type &lt;class 'str'&gt;</t>
        </is>
      </c>
      <c r="N366" t="inlineStr">
        <is>
          <t>00000000</t>
        </is>
      </c>
      <c r="O366" t="inlineStr">
        <is>
          <t>center</t>
        </is>
      </c>
      <c r="P366" t="inlineStr">
        <is>
          <t>center</t>
        </is>
      </c>
      <c r="R366" t="b">
        <v>1</v>
      </c>
      <c r="S366" t="inlineStr">
        <is>
          <t>G000005</t>
        </is>
      </c>
      <c r="T366" t="inlineStr">
        <is>
          <t>Vertical</t>
        </is>
      </c>
      <c r="U366" t="n">
        <v>120</v>
      </c>
      <c r="V366" t="b">
        <v>1</v>
      </c>
      <c r="W366" t="inlineStr">
        <is>
          <t>Loan calculator!F17:F136</t>
        </is>
      </c>
      <c r="X366">
        <f>IFERROR(IF(LoanIsNotPaid*LoanIsGood,Principal,0), 0)</f>
        <v/>
      </c>
    </row>
    <row r="367">
      <c r="A367" t="inlineStr">
        <is>
          <t>Loan calculator</t>
        </is>
      </c>
      <c r="B367" t="inlineStr">
        <is>
          <t>G36</t>
        </is>
      </c>
      <c r="C367" t="n">
        <v>36</v>
      </c>
      <c r="D367" t="n">
        <v>7</v>
      </c>
      <c r="E367" t="inlineStr">
        <is>
          <t>Output</t>
        </is>
      </c>
      <c r="F367" t="inlineStr">
        <is>
          <t>'=IFERROR(IF(LoanIsNotPaid*LoanIsGood,InterestAmt,0), 0)</t>
        </is>
      </c>
      <c r="G367" t="n">
        <v>40.14266013397197</v>
      </c>
      <c r="H367" t="inlineStr"/>
      <c r="I367" t="inlineStr">
        <is>
          <t>"$"#,##0.00</t>
        </is>
      </c>
      <c r="J367" t="b">
        <v>0</v>
      </c>
      <c r="K367" t="b">
        <v>0</v>
      </c>
      <c r="L367" t="n">
        <v>9</v>
      </c>
      <c r="M367" t="inlineStr">
        <is>
          <t>Values must be of type &lt;class 'str'&gt;</t>
        </is>
      </c>
      <c r="N367" t="inlineStr">
        <is>
          <t>00000000</t>
        </is>
      </c>
      <c r="O367" t="inlineStr">
        <is>
          <t>center</t>
        </is>
      </c>
      <c r="P367" t="inlineStr">
        <is>
          <t>center</t>
        </is>
      </c>
      <c r="R367" t="b">
        <v>1</v>
      </c>
      <c r="S367" t="inlineStr">
        <is>
          <t>G000006</t>
        </is>
      </c>
      <c r="T367" t="inlineStr">
        <is>
          <t>Vertical</t>
        </is>
      </c>
      <c r="U367" t="n">
        <v>120</v>
      </c>
      <c r="V367" t="b">
        <v>1</v>
      </c>
      <c r="W367" t="inlineStr">
        <is>
          <t>Loan calculator!G17:G136</t>
        </is>
      </c>
      <c r="X367">
        <f>IFERROR(IF(LoanIsNotPaid*LoanIsGood,InterestAmt,0), 0)</f>
        <v/>
      </c>
    </row>
    <row r="368">
      <c r="A368" t="inlineStr">
        <is>
          <t>Loan calculator</t>
        </is>
      </c>
      <c r="B368" t="inlineStr">
        <is>
          <t>H36</t>
        </is>
      </c>
      <c r="C368" t="n">
        <v>36</v>
      </c>
      <c r="D368" t="n">
        <v>8</v>
      </c>
      <c r="E368" t="inlineStr">
        <is>
          <t>Output</t>
        </is>
      </c>
      <c r="F368" t="inlineStr">
        <is>
          <t>'=IFERROR(IF(LoanIsNotPaid*LoanIsGood,EndingBalance,0), 0)</t>
        </is>
      </c>
      <c r="G368" t="n">
        <v>8690.014956858282</v>
      </c>
      <c r="H368" t="inlineStr"/>
      <c r="I368" t="inlineStr">
        <is>
          <t>"$"#,##0.00</t>
        </is>
      </c>
      <c r="J368" t="b">
        <v>0</v>
      </c>
      <c r="K368" t="b">
        <v>0</v>
      </c>
      <c r="L368" t="n">
        <v>9</v>
      </c>
      <c r="M368" t="inlineStr">
        <is>
          <t>Values must be of type &lt;class 'str'&gt;</t>
        </is>
      </c>
      <c r="N368" t="inlineStr">
        <is>
          <t>00000000</t>
        </is>
      </c>
      <c r="O368" t="inlineStr">
        <is>
          <t>center</t>
        </is>
      </c>
      <c r="P368" t="inlineStr">
        <is>
          <t>center</t>
        </is>
      </c>
      <c r="R368" t="b">
        <v>1</v>
      </c>
      <c r="S368" t="inlineStr">
        <is>
          <t>G000007</t>
        </is>
      </c>
      <c r="T368" t="inlineStr">
        <is>
          <t>Vertical</t>
        </is>
      </c>
      <c r="U368" t="n">
        <v>120</v>
      </c>
      <c r="V368" t="b">
        <v>1</v>
      </c>
      <c r="W368" t="inlineStr">
        <is>
          <t>Loan calculator!H17:H136</t>
        </is>
      </c>
      <c r="X368">
        <f>IFERROR(IF(LoanIsNotPaid*LoanIsGood,EndingBalance,0), 0)</f>
        <v/>
      </c>
    </row>
    <row r="369">
      <c r="A369" t="inlineStr">
        <is>
          <t>Loan calculator</t>
        </is>
      </c>
      <c r="B369" t="inlineStr">
        <is>
          <t>I36</t>
        </is>
      </c>
      <c r="C369" t="n">
        <v>36</v>
      </c>
      <c r="D369" t="n">
        <v>9</v>
      </c>
      <c r="E369" t="inlineStr">
        <is>
          <t>Input</t>
        </is>
      </c>
      <c r="F369" t="n">
        <v/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11</v>
      </c>
      <c r="M369" t="inlineStr">
        <is>
          <t>Values must be of type &lt;class 'str'&gt;</t>
        </is>
      </c>
      <c r="N369" t="inlineStr">
        <is>
          <t>Values must be of type &lt;class 'str'&gt;</t>
        </is>
      </c>
      <c r="O369" t="n">
        <v/>
      </c>
      <c r="P369" t="inlineStr">
        <is>
          <t>center</t>
        </is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</row>
    <row r="370">
      <c r="A370" t="inlineStr">
        <is>
          <t>Loan calculator</t>
        </is>
      </c>
      <c r="B370" t="inlineStr">
        <is>
          <t>A37</t>
        </is>
      </c>
      <c r="C370" t="n">
        <v>37</v>
      </c>
      <c r="D370" t="n">
        <v>1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11</v>
      </c>
      <c r="M370" t="inlineStr">
        <is>
          <t>Values must be of type &lt;class 'str'&gt;</t>
        </is>
      </c>
      <c r="N370" t="inlineStr">
        <is>
          <t>Values must be of type &lt;class 'str'&gt;</t>
        </is>
      </c>
      <c r="O370" t="n">
        <v/>
      </c>
      <c r="P370" t="inlineStr">
        <is>
          <t>center</t>
        </is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</row>
    <row r="371">
      <c r="A371" t="inlineStr">
        <is>
          <t>Loan calculator</t>
        </is>
      </c>
      <c r="B371" t="inlineStr">
        <is>
          <t>B37</t>
        </is>
      </c>
      <c r="C371" t="n">
        <v>37</v>
      </c>
      <c r="D371" t="n">
        <v>2</v>
      </c>
      <c r="E371" t="inlineStr">
        <is>
          <t>Output</t>
        </is>
      </c>
      <c r="F371" t="inlineStr">
        <is>
          <t>'=IFERROR(IF(LoanIsNotPaid*LoanIsGood,PaymentNumber,""), "")</t>
        </is>
      </c>
      <c r="G371" t="n">
        <v>21</v>
      </c>
      <c r="H371" t="inlineStr"/>
      <c r="I371" t="inlineStr">
        <is>
          <t>#,##0</t>
        </is>
      </c>
      <c r="J371" t="b">
        <v>0</v>
      </c>
      <c r="K371" t="b">
        <v>0</v>
      </c>
      <c r="L371" t="n">
        <v>9</v>
      </c>
      <c r="M371" t="inlineStr">
        <is>
          <t>Values must be of type &lt;class 'str'&gt;</t>
        </is>
      </c>
      <c r="N371" t="inlineStr">
        <is>
          <t>00000000</t>
        </is>
      </c>
      <c r="O371" t="inlineStr">
        <is>
          <t>center</t>
        </is>
      </c>
      <c r="P371" t="inlineStr">
        <is>
          <t>center</t>
        </is>
      </c>
      <c r="R371" t="b">
        <v>1</v>
      </c>
      <c r="S371" t="inlineStr">
        <is>
          <t>G000001</t>
        </is>
      </c>
      <c r="T371" t="inlineStr">
        <is>
          <t>Vertical</t>
        </is>
      </c>
      <c r="U371" t="n">
        <v>120</v>
      </c>
      <c r="V371" t="b">
        <v>1</v>
      </c>
      <c r="W371" t="inlineStr">
        <is>
          <t>Loan calculator!B17:B136</t>
        </is>
      </c>
      <c r="X371">
        <f>IFERROR(IF(LoanIsNotPaid*LoanIsGood,PaymentNumber,""), "")</f>
        <v/>
      </c>
    </row>
    <row r="372">
      <c r="A372" t="inlineStr">
        <is>
          <t>Loan calculator</t>
        </is>
      </c>
      <c r="B372" t="inlineStr">
        <is>
          <t>C37</t>
        </is>
      </c>
      <c r="C372" t="n">
        <v>37</v>
      </c>
      <c r="D372" t="n">
        <v>3</v>
      </c>
      <c r="E372" t="inlineStr">
        <is>
          <t>Output</t>
        </is>
      </c>
      <c r="F372" t="inlineStr">
        <is>
          <t>'=IFERROR(IF(LoanIsNotPaid*LoanIsGood,PaymentDate,LoanStartDate), LoanStartDate)</t>
        </is>
      </c>
      <c r="G372" s="1" t="n">
        <v>46726</v>
      </c>
      <c r="H372" t="inlineStr"/>
      <c r="I372" t="inlineStr">
        <is>
          <t>mm-dd-yy</t>
        </is>
      </c>
      <c r="J372" t="b">
        <v>0</v>
      </c>
      <c r="K372" t="b">
        <v>0</v>
      </c>
      <c r="L372" t="n">
        <v>9</v>
      </c>
      <c r="M372" t="inlineStr">
        <is>
          <t>Values must be of type &lt;class 'str'&gt;</t>
        </is>
      </c>
      <c r="N372" t="inlineStr">
        <is>
          <t>00000000</t>
        </is>
      </c>
      <c r="O372" t="inlineStr">
        <is>
          <t>center</t>
        </is>
      </c>
      <c r="P372" t="inlineStr">
        <is>
          <t>center</t>
        </is>
      </c>
      <c r="R372" t="b">
        <v>1</v>
      </c>
      <c r="S372" t="inlineStr">
        <is>
          <t>G000002</t>
        </is>
      </c>
      <c r="T372" t="inlineStr">
        <is>
          <t>Vertical</t>
        </is>
      </c>
      <c r="U372" t="n">
        <v>120</v>
      </c>
      <c r="V372" t="b">
        <v>1</v>
      </c>
      <c r="W372" t="inlineStr">
        <is>
          <t>Loan calculator!C17:C136</t>
        </is>
      </c>
      <c r="X372">
        <f>IFERROR(IF(LoanIsNotPaid*LoanIsGood,PaymentDate,LoanStartDate), LoanStartDate)</f>
        <v/>
      </c>
    </row>
    <row r="373">
      <c r="A373" t="inlineStr">
        <is>
          <t>Loan calculator</t>
        </is>
      </c>
      <c r="B373" t="inlineStr">
        <is>
          <t>D37</t>
        </is>
      </c>
      <c r="C373" t="n">
        <v>37</v>
      </c>
      <c r="D373" t="n">
        <v>4</v>
      </c>
      <c r="E373" t="inlineStr">
        <is>
          <t>Output</t>
        </is>
      </c>
      <c r="F373" t="inlineStr">
        <is>
          <t>'=IFERROR(IF(LoanIsNotPaid*LoanIsGood,LoanValue,""), "")</t>
        </is>
      </c>
      <c r="G373" t="n">
        <v>8690.014956858282</v>
      </c>
      <c r="H373" t="inlineStr"/>
      <c r="I373" t="inlineStr">
        <is>
          <t>"$"#,##0.00</t>
        </is>
      </c>
      <c r="J373" t="b">
        <v>0</v>
      </c>
      <c r="K373" t="b">
        <v>0</v>
      </c>
      <c r="L373" t="n">
        <v>9</v>
      </c>
      <c r="M373" t="inlineStr">
        <is>
          <t>Values must be of type &lt;class 'str'&gt;</t>
        </is>
      </c>
      <c r="N373" t="inlineStr">
        <is>
          <t>00000000</t>
        </is>
      </c>
      <c r="O373" t="inlineStr">
        <is>
          <t>center</t>
        </is>
      </c>
      <c r="P373" t="inlineStr">
        <is>
          <t>center</t>
        </is>
      </c>
      <c r="R373" t="b">
        <v>1</v>
      </c>
      <c r="S373" t="inlineStr">
        <is>
          <t>G000003</t>
        </is>
      </c>
      <c r="T373" t="inlineStr">
        <is>
          <t>Vertical</t>
        </is>
      </c>
      <c r="U373" t="n">
        <v>120</v>
      </c>
      <c r="V373" t="b">
        <v>1</v>
      </c>
      <c r="W373" t="inlineStr">
        <is>
          <t>Loan calculator!D17:D136</t>
        </is>
      </c>
      <c r="X373">
        <f>IFERROR(IF(LoanIsNotPaid*LoanIsGood,LoanValue,""), "")</f>
        <v/>
      </c>
    </row>
    <row r="374">
      <c r="A374" t="inlineStr">
        <is>
          <t>Loan calculator</t>
        </is>
      </c>
      <c r="B374" t="inlineStr">
        <is>
          <t>E37</t>
        </is>
      </c>
      <c r="C374" t="n">
        <v>37</v>
      </c>
      <c r="D374" t="n">
        <v>5</v>
      </c>
      <c r="E374" t="inlineStr">
        <is>
          <t>Output</t>
        </is>
      </c>
      <c r="F374" t="inlineStr">
        <is>
          <t>'=IFERROR(IF(LoanIsNotPaid*LoanIsGood,MonthlyPayment,0), 0)</t>
        </is>
      </c>
      <c r="G374" t="n">
        <v>108.5262779604807</v>
      </c>
      <c r="H374" t="inlineStr"/>
      <c r="I374" t="inlineStr">
        <is>
          <t>"$"#,##0.00</t>
        </is>
      </c>
      <c r="J374" t="b">
        <v>0</v>
      </c>
      <c r="K374" t="b">
        <v>0</v>
      </c>
      <c r="L374" t="n">
        <v>9</v>
      </c>
      <c r="M374" t="inlineStr">
        <is>
          <t>Values must be of type &lt;class 'str'&gt;</t>
        </is>
      </c>
      <c r="N374" t="inlineStr">
        <is>
          <t>00000000</t>
        </is>
      </c>
      <c r="O374" t="inlineStr">
        <is>
          <t>center</t>
        </is>
      </c>
      <c r="P374" t="inlineStr">
        <is>
          <t>center</t>
        </is>
      </c>
      <c r="R374" t="b">
        <v>1</v>
      </c>
      <c r="S374" t="inlineStr">
        <is>
          <t>G000004</t>
        </is>
      </c>
      <c r="T374" t="inlineStr">
        <is>
          <t>Vertical</t>
        </is>
      </c>
      <c r="U374" t="n">
        <v>120</v>
      </c>
      <c r="V374" t="b">
        <v>1</v>
      </c>
      <c r="W374" t="inlineStr">
        <is>
          <t>Loan calculator!E17:E136</t>
        </is>
      </c>
      <c r="X374">
        <f>IFERROR(IF(LoanIsNotPaid*LoanIsGood,MonthlyPayment,0), 0)</f>
        <v/>
      </c>
    </row>
    <row r="375">
      <c r="A375" t="inlineStr">
        <is>
          <t>Loan calculator</t>
        </is>
      </c>
      <c r="B375" t="inlineStr">
        <is>
          <t>F37</t>
        </is>
      </c>
      <c r="C375" t="n">
        <v>37</v>
      </c>
      <c r="D375" t="n">
        <v>6</v>
      </c>
      <c r="E375" t="inlineStr">
        <is>
          <t>Output</t>
        </is>
      </c>
      <c r="F375" t="inlineStr">
        <is>
          <t>'=IFERROR(IF(LoanIsNotPaid*LoanIsGood,Principal,0), 0)</t>
        </is>
      </c>
      <c r="G375" t="n">
        <v>68.69704274154692</v>
      </c>
      <c r="H375" t="inlineStr"/>
      <c r="I375" t="inlineStr">
        <is>
          <t>"$"#,##0.00</t>
        </is>
      </c>
      <c r="J375" t="b">
        <v>0</v>
      </c>
      <c r="K375" t="b">
        <v>0</v>
      </c>
      <c r="L375" t="n">
        <v>9</v>
      </c>
      <c r="M375" t="inlineStr">
        <is>
          <t>Values must be of type &lt;class 'str'&gt;</t>
        </is>
      </c>
      <c r="N375" t="inlineStr">
        <is>
          <t>00000000</t>
        </is>
      </c>
      <c r="O375" t="inlineStr">
        <is>
          <t>center</t>
        </is>
      </c>
      <c r="P375" t="inlineStr">
        <is>
          <t>center</t>
        </is>
      </c>
      <c r="R375" t="b">
        <v>1</v>
      </c>
      <c r="S375" t="inlineStr">
        <is>
          <t>G000005</t>
        </is>
      </c>
      <c r="T375" t="inlineStr">
        <is>
          <t>Vertical</t>
        </is>
      </c>
      <c r="U375" t="n">
        <v>120</v>
      </c>
      <c r="V375" t="b">
        <v>1</v>
      </c>
      <c r="W375" t="inlineStr">
        <is>
          <t>Loan calculator!F17:F136</t>
        </is>
      </c>
      <c r="X375">
        <f>IFERROR(IF(LoanIsNotPaid*LoanIsGood,Principal,0), 0)</f>
        <v/>
      </c>
    </row>
    <row r="376">
      <c r="A376" t="inlineStr">
        <is>
          <t>Loan calculator</t>
        </is>
      </c>
      <c r="B376" t="inlineStr">
        <is>
          <t>G37</t>
        </is>
      </c>
      <c r="C376" t="n">
        <v>37</v>
      </c>
      <c r="D376" t="n">
        <v>7</v>
      </c>
      <c r="E376" t="inlineStr">
        <is>
          <t>Output</t>
        </is>
      </c>
      <c r="F376" t="inlineStr">
        <is>
          <t>'=IFERROR(IF(LoanIsNotPaid*LoanIsGood,InterestAmt,0), 0)</t>
        </is>
      </c>
      <c r="G376" t="n">
        <v>39.82923521893379</v>
      </c>
      <c r="H376" t="inlineStr"/>
      <c r="I376" t="inlineStr">
        <is>
          <t>"$"#,##0.00</t>
        </is>
      </c>
      <c r="J376" t="b">
        <v>0</v>
      </c>
      <c r="K376" t="b">
        <v>0</v>
      </c>
      <c r="L376" t="n">
        <v>9</v>
      </c>
      <c r="M376" t="inlineStr">
        <is>
          <t>Values must be of type &lt;class 'str'&gt;</t>
        </is>
      </c>
      <c r="N376" t="inlineStr">
        <is>
          <t>00000000</t>
        </is>
      </c>
      <c r="O376" t="inlineStr">
        <is>
          <t>center</t>
        </is>
      </c>
      <c r="P376" t="inlineStr">
        <is>
          <t>center</t>
        </is>
      </c>
      <c r="R376" t="b">
        <v>1</v>
      </c>
      <c r="S376" t="inlineStr">
        <is>
          <t>G000006</t>
        </is>
      </c>
      <c r="T376" t="inlineStr">
        <is>
          <t>Vertical</t>
        </is>
      </c>
      <c r="U376" t="n">
        <v>120</v>
      </c>
      <c r="V376" t="b">
        <v>1</v>
      </c>
      <c r="W376" t="inlineStr">
        <is>
          <t>Loan calculator!G17:G136</t>
        </is>
      </c>
      <c r="X376">
        <f>IFERROR(IF(LoanIsNotPaid*LoanIsGood,InterestAmt,0), 0)</f>
        <v/>
      </c>
    </row>
    <row r="377">
      <c r="A377" t="inlineStr">
        <is>
          <t>Loan calculator</t>
        </is>
      </c>
      <c r="B377" t="inlineStr">
        <is>
          <t>H37</t>
        </is>
      </c>
      <c r="C377" t="n">
        <v>37</v>
      </c>
      <c r="D377" t="n">
        <v>8</v>
      </c>
      <c r="E377" t="inlineStr">
        <is>
          <t>Output</t>
        </is>
      </c>
      <c r="F377" t="inlineStr">
        <is>
          <t>'=IFERROR(IF(LoanIsNotPaid*LoanIsGood,EndingBalance,0), 0)</t>
        </is>
      </c>
      <c r="G377" t="n">
        <v>8621.317914116735</v>
      </c>
      <c r="H377" t="inlineStr"/>
      <c r="I377" t="inlineStr">
        <is>
          <t>"$"#,##0.00</t>
        </is>
      </c>
      <c r="J377" t="b">
        <v>0</v>
      </c>
      <c r="K377" t="b">
        <v>0</v>
      </c>
      <c r="L377" t="n">
        <v>9</v>
      </c>
      <c r="M377" t="inlineStr">
        <is>
          <t>Values must be of type &lt;class 'str'&gt;</t>
        </is>
      </c>
      <c r="N377" t="inlineStr">
        <is>
          <t>00000000</t>
        </is>
      </c>
      <c r="O377" t="inlineStr">
        <is>
          <t>center</t>
        </is>
      </c>
      <c r="P377" t="inlineStr">
        <is>
          <t>center</t>
        </is>
      </c>
      <c r="R377" t="b">
        <v>1</v>
      </c>
      <c r="S377" t="inlineStr">
        <is>
          <t>G000007</t>
        </is>
      </c>
      <c r="T377" t="inlineStr">
        <is>
          <t>Vertical</t>
        </is>
      </c>
      <c r="U377" t="n">
        <v>120</v>
      </c>
      <c r="V377" t="b">
        <v>1</v>
      </c>
      <c r="W377" t="inlineStr">
        <is>
          <t>Loan calculator!H17:H136</t>
        </is>
      </c>
      <c r="X377">
        <f>IFERROR(IF(LoanIsNotPaid*LoanIsGood,EndingBalance,0), 0)</f>
        <v/>
      </c>
    </row>
    <row r="378">
      <c r="A378" t="inlineStr">
        <is>
          <t>Loan calculator</t>
        </is>
      </c>
      <c r="B378" t="inlineStr">
        <is>
          <t>I37</t>
        </is>
      </c>
      <c r="C378" t="n">
        <v>37</v>
      </c>
      <c r="D378" t="n">
        <v>9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11</v>
      </c>
      <c r="M378" t="inlineStr">
        <is>
          <t>Values must be of type &lt;class 'str'&gt;</t>
        </is>
      </c>
      <c r="N378" t="inlineStr">
        <is>
          <t>Values must be of type &lt;class 'str'&gt;</t>
        </is>
      </c>
      <c r="O378" t="n">
        <v/>
      </c>
      <c r="P378" t="inlineStr">
        <is>
          <t>center</t>
        </is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Loan calculator</t>
        </is>
      </c>
      <c r="B379" t="inlineStr">
        <is>
          <t>A38</t>
        </is>
      </c>
      <c r="C379" t="n">
        <v>38</v>
      </c>
      <c r="D379" t="n">
        <v>1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11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n">
        <v/>
      </c>
      <c r="P379" t="inlineStr">
        <is>
          <t>center</t>
        </is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</row>
    <row r="380">
      <c r="A380" t="inlineStr">
        <is>
          <t>Loan calculator</t>
        </is>
      </c>
      <c r="B380" t="inlineStr">
        <is>
          <t>B38</t>
        </is>
      </c>
      <c r="C380" t="n">
        <v>38</v>
      </c>
      <c r="D380" t="n">
        <v>2</v>
      </c>
      <c r="E380" t="inlineStr">
        <is>
          <t>Output</t>
        </is>
      </c>
      <c r="F380" t="inlineStr">
        <is>
          <t>'=IFERROR(IF(LoanIsNotPaid*LoanIsGood,PaymentNumber,""), "")</t>
        </is>
      </c>
      <c r="G380" t="n">
        <v>22</v>
      </c>
      <c r="H380" t="inlineStr"/>
      <c r="I380" t="inlineStr">
        <is>
          <t>#,##0</t>
        </is>
      </c>
      <c r="J380" t="b">
        <v>0</v>
      </c>
      <c r="K380" t="b">
        <v>0</v>
      </c>
      <c r="L380" t="n">
        <v>9</v>
      </c>
      <c r="M380" t="inlineStr">
        <is>
          <t>Values must be of type &lt;class 'str'&gt;</t>
        </is>
      </c>
      <c r="N380" t="inlineStr">
        <is>
          <t>00000000</t>
        </is>
      </c>
      <c r="O380" t="inlineStr">
        <is>
          <t>center</t>
        </is>
      </c>
      <c r="P380" t="inlineStr">
        <is>
          <t>center</t>
        </is>
      </c>
      <c r="R380" t="b">
        <v>1</v>
      </c>
      <c r="S380" t="inlineStr">
        <is>
          <t>G000001</t>
        </is>
      </c>
      <c r="T380" t="inlineStr">
        <is>
          <t>Vertical</t>
        </is>
      </c>
      <c r="U380" t="n">
        <v>120</v>
      </c>
      <c r="V380" t="b">
        <v>1</v>
      </c>
      <c r="W380" t="inlineStr">
        <is>
          <t>Loan calculator!B17:B136</t>
        </is>
      </c>
      <c r="X380">
        <f>IFERROR(IF(LoanIsNotPaid*LoanIsGood,PaymentNumber,""), "")</f>
        <v/>
      </c>
    </row>
    <row r="381">
      <c r="A381" t="inlineStr">
        <is>
          <t>Loan calculator</t>
        </is>
      </c>
      <c r="B381" t="inlineStr">
        <is>
          <t>C38</t>
        </is>
      </c>
      <c r="C381" t="n">
        <v>38</v>
      </c>
      <c r="D381" t="n">
        <v>3</v>
      </c>
      <c r="E381" t="inlineStr">
        <is>
          <t>Output</t>
        </is>
      </c>
      <c r="F381" t="inlineStr">
        <is>
          <t>'=IFERROR(IF(LoanIsNotPaid*LoanIsGood,PaymentDate,LoanStartDate), LoanStartDate)</t>
        </is>
      </c>
      <c r="G381" s="1" t="n">
        <v>46757</v>
      </c>
      <c r="H381" t="inlineStr"/>
      <c r="I381" t="inlineStr">
        <is>
          <t>mm-dd-yy</t>
        </is>
      </c>
      <c r="J381" t="b">
        <v>0</v>
      </c>
      <c r="K381" t="b">
        <v>0</v>
      </c>
      <c r="L381" t="n">
        <v>9</v>
      </c>
      <c r="M381" t="inlineStr">
        <is>
          <t>Values must be of type &lt;class 'str'&gt;</t>
        </is>
      </c>
      <c r="N381" t="inlineStr">
        <is>
          <t>00000000</t>
        </is>
      </c>
      <c r="O381" t="inlineStr">
        <is>
          <t>center</t>
        </is>
      </c>
      <c r="P381" t="inlineStr">
        <is>
          <t>center</t>
        </is>
      </c>
      <c r="R381" t="b">
        <v>1</v>
      </c>
      <c r="S381" t="inlineStr">
        <is>
          <t>G000002</t>
        </is>
      </c>
      <c r="T381" t="inlineStr">
        <is>
          <t>Vertical</t>
        </is>
      </c>
      <c r="U381" t="n">
        <v>120</v>
      </c>
      <c r="V381" t="b">
        <v>1</v>
      </c>
      <c r="W381" t="inlineStr">
        <is>
          <t>Loan calculator!C17:C136</t>
        </is>
      </c>
      <c r="X381">
        <f>IFERROR(IF(LoanIsNotPaid*LoanIsGood,PaymentDate,LoanStartDate), LoanStartDate)</f>
        <v/>
      </c>
    </row>
    <row r="382">
      <c r="A382" t="inlineStr">
        <is>
          <t>Loan calculator</t>
        </is>
      </c>
      <c r="B382" t="inlineStr">
        <is>
          <t>D38</t>
        </is>
      </c>
      <c r="C382" t="n">
        <v>38</v>
      </c>
      <c r="D382" t="n">
        <v>4</v>
      </c>
      <c r="E382" t="inlineStr">
        <is>
          <t>Output</t>
        </is>
      </c>
      <c r="F382" t="inlineStr">
        <is>
          <t>'=IFERROR(IF(LoanIsNotPaid*LoanIsGood,LoanValue,""), "")</t>
        </is>
      </c>
      <c r="G382" t="n">
        <v>8621.317914116735</v>
      </c>
      <c r="H382" t="inlineStr"/>
      <c r="I382" t="inlineStr">
        <is>
          <t>"$"#,##0.00</t>
        </is>
      </c>
      <c r="J382" t="b">
        <v>0</v>
      </c>
      <c r="K382" t="b">
        <v>0</v>
      </c>
      <c r="L382" t="n">
        <v>9</v>
      </c>
      <c r="M382" t="inlineStr">
        <is>
          <t>Values must be of type &lt;class 'str'&gt;</t>
        </is>
      </c>
      <c r="N382" t="inlineStr">
        <is>
          <t>00000000</t>
        </is>
      </c>
      <c r="O382" t="inlineStr">
        <is>
          <t>center</t>
        </is>
      </c>
      <c r="P382" t="inlineStr">
        <is>
          <t>center</t>
        </is>
      </c>
      <c r="R382" t="b">
        <v>1</v>
      </c>
      <c r="S382" t="inlineStr">
        <is>
          <t>G000003</t>
        </is>
      </c>
      <c r="T382" t="inlineStr">
        <is>
          <t>Vertical</t>
        </is>
      </c>
      <c r="U382" t="n">
        <v>120</v>
      </c>
      <c r="V382" t="b">
        <v>1</v>
      </c>
      <c r="W382" t="inlineStr">
        <is>
          <t>Loan calculator!D17:D136</t>
        </is>
      </c>
      <c r="X382">
        <f>IFERROR(IF(LoanIsNotPaid*LoanIsGood,LoanValue,""), "")</f>
        <v/>
      </c>
    </row>
    <row r="383">
      <c r="A383" t="inlineStr">
        <is>
          <t>Loan calculator</t>
        </is>
      </c>
      <c r="B383" t="inlineStr">
        <is>
          <t>E38</t>
        </is>
      </c>
      <c r="C383" t="n">
        <v>38</v>
      </c>
      <c r="D383" t="n">
        <v>5</v>
      </c>
      <c r="E383" t="inlineStr">
        <is>
          <t>Output</t>
        </is>
      </c>
      <c r="F383" t="inlineStr">
        <is>
          <t>'=IFERROR(IF(LoanIsNotPaid*LoanIsGood,MonthlyPayment,0), 0)</t>
        </is>
      </c>
      <c r="G383" t="n">
        <v>108.5262779604807</v>
      </c>
      <c r="H383" t="inlineStr"/>
      <c r="I383" t="inlineStr">
        <is>
          <t>"$"#,##0.00</t>
        </is>
      </c>
      <c r="J383" t="b">
        <v>0</v>
      </c>
      <c r="K383" t="b">
        <v>0</v>
      </c>
      <c r="L383" t="n">
        <v>9</v>
      </c>
      <c r="M383" t="inlineStr">
        <is>
          <t>Values must be of type &lt;class 'str'&gt;</t>
        </is>
      </c>
      <c r="N383" t="inlineStr">
        <is>
          <t>00000000</t>
        </is>
      </c>
      <c r="O383" t="inlineStr">
        <is>
          <t>center</t>
        </is>
      </c>
      <c r="P383" t="inlineStr">
        <is>
          <t>center</t>
        </is>
      </c>
      <c r="R383" t="b">
        <v>1</v>
      </c>
      <c r="S383" t="inlineStr">
        <is>
          <t>G000004</t>
        </is>
      </c>
      <c r="T383" t="inlineStr">
        <is>
          <t>Vertical</t>
        </is>
      </c>
      <c r="U383" t="n">
        <v>120</v>
      </c>
      <c r="V383" t="b">
        <v>1</v>
      </c>
      <c r="W383" t="inlineStr">
        <is>
          <t>Loan calculator!E17:E136</t>
        </is>
      </c>
      <c r="X383">
        <f>IFERROR(IF(LoanIsNotPaid*LoanIsGood,MonthlyPayment,0), 0)</f>
        <v/>
      </c>
    </row>
    <row r="384">
      <c r="A384" t="inlineStr">
        <is>
          <t>Loan calculator</t>
        </is>
      </c>
      <c r="B384" t="inlineStr">
        <is>
          <t>F38</t>
        </is>
      </c>
      <c r="C384" t="n">
        <v>38</v>
      </c>
      <c r="D384" t="n">
        <v>6</v>
      </c>
      <c r="E384" t="inlineStr">
        <is>
          <t>Output</t>
        </is>
      </c>
      <c r="F384" t="inlineStr">
        <is>
          <t>'=IFERROR(IF(LoanIsNotPaid*LoanIsGood,Principal,0), 0)</t>
        </is>
      </c>
      <c r="G384" t="n">
        <v>69.01190418744568</v>
      </c>
      <c r="H384" t="inlineStr"/>
      <c r="I384" t="inlineStr">
        <is>
          <t>"$"#,##0.00</t>
        </is>
      </c>
      <c r="J384" t="b">
        <v>0</v>
      </c>
      <c r="K384" t="b">
        <v>0</v>
      </c>
      <c r="L384" t="n">
        <v>9</v>
      </c>
      <c r="M384" t="inlineStr">
        <is>
          <t>Values must be of type &lt;class 'str'&gt;</t>
        </is>
      </c>
      <c r="N384" t="inlineStr">
        <is>
          <t>00000000</t>
        </is>
      </c>
      <c r="O384" t="inlineStr">
        <is>
          <t>center</t>
        </is>
      </c>
      <c r="P384" t="inlineStr">
        <is>
          <t>center</t>
        </is>
      </c>
      <c r="R384" t="b">
        <v>1</v>
      </c>
      <c r="S384" t="inlineStr">
        <is>
          <t>G000005</t>
        </is>
      </c>
      <c r="T384" t="inlineStr">
        <is>
          <t>Vertical</t>
        </is>
      </c>
      <c r="U384" t="n">
        <v>120</v>
      </c>
      <c r="V384" t="b">
        <v>1</v>
      </c>
      <c r="W384" t="inlineStr">
        <is>
          <t>Loan calculator!F17:F136</t>
        </is>
      </c>
      <c r="X384">
        <f>IFERROR(IF(LoanIsNotPaid*LoanIsGood,Principal,0), 0)</f>
        <v/>
      </c>
    </row>
    <row r="385">
      <c r="A385" t="inlineStr">
        <is>
          <t>Loan calculator</t>
        </is>
      </c>
      <c r="B385" t="inlineStr">
        <is>
          <t>G38</t>
        </is>
      </c>
      <c r="C385" t="n">
        <v>38</v>
      </c>
      <c r="D385" t="n">
        <v>7</v>
      </c>
      <c r="E385" t="inlineStr">
        <is>
          <t>Output</t>
        </is>
      </c>
      <c r="F385" t="inlineStr">
        <is>
          <t>'=IFERROR(IF(LoanIsNotPaid*LoanIsGood,InterestAmt,0), 0)</t>
        </is>
      </c>
      <c r="G385" t="n">
        <v>39.51437377303504</v>
      </c>
      <c r="H385" t="inlineStr"/>
      <c r="I385" t="inlineStr">
        <is>
          <t>"$"#,##0.00</t>
        </is>
      </c>
      <c r="J385" t="b">
        <v>0</v>
      </c>
      <c r="K385" t="b">
        <v>0</v>
      </c>
      <c r="L385" t="n">
        <v>9</v>
      </c>
      <c r="M385" t="inlineStr">
        <is>
          <t>Values must be of type &lt;class 'str'&gt;</t>
        </is>
      </c>
      <c r="N385" t="inlineStr">
        <is>
          <t>00000000</t>
        </is>
      </c>
      <c r="O385" t="inlineStr">
        <is>
          <t>center</t>
        </is>
      </c>
      <c r="P385" t="inlineStr">
        <is>
          <t>center</t>
        </is>
      </c>
      <c r="R385" t="b">
        <v>1</v>
      </c>
      <c r="S385" t="inlineStr">
        <is>
          <t>G000006</t>
        </is>
      </c>
      <c r="T385" t="inlineStr">
        <is>
          <t>Vertical</t>
        </is>
      </c>
      <c r="U385" t="n">
        <v>120</v>
      </c>
      <c r="V385" t="b">
        <v>1</v>
      </c>
      <c r="W385" t="inlineStr">
        <is>
          <t>Loan calculator!G17:G136</t>
        </is>
      </c>
      <c r="X385">
        <f>IFERROR(IF(LoanIsNotPaid*LoanIsGood,InterestAmt,0), 0)</f>
        <v/>
      </c>
    </row>
    <row r="386">
      <c r="A386" t="inlineStr">
        <is>
          <t>Loan calculator</t>
        </is>
      </c>
      <c r="B386" t="inlineStr">
        <is>
          <t>H38</t>
        </is>
      </c>
      <c r="C386" t="n">
        <v>38</v>
      </c>
      <c r="D386" t="n">
        <v>8</v>
      </c>
      <c r="E386" t="inlineStr">
        <is>
          <t>Output</t>
        </is>
      </c>
      <c r="F386" t="inlineStr">
        <is>
          <t>'=IFERROR(IF(LoanIsNotPaid*LoanIsGood,EndingBalance,0), 0)</t>
        </is>
      </c>
      <c r="G386" t="n">
        <v>8552.306009929285</v>
      </c>
      <c r="H386" t="inlineStr"/>
      <c r="I386" t="inlineStr">
        <is>
          <t>"$"#,##0.00</t>
        </is>
      </c>
      <c r="J386" t="b">
        <v>0</v>
      </c>
      <c r="K386" t="b">
        <v>0</v>
      </c>
      <c r="L386" t="n">
        <v>9</v>
      </c>
      <c r="M386" t="inlineStr">
        <is>
          <t>Values must be of type &lt;class 'str'&gt;</t>
        </is>
      </c>
      <c r="N386" t="inlineStr">
        <is>
          <t>00000000</t>
        </is>
      </c>
      <c r="O386" t="inlineStr">
        <is>
          <t>center</t>
        </is>
      </c>
      <c r="P386" t="inlineStr">
        <is>
          <t>center</t>
        </is>
      </c>
      <c r="R386" t="b">
        <v>1</v>
      </c>
      <c r="S386" t="inlineStr">
        <is>
          <t>G000007</t>
        </is>
      </c>
      <c r="T386" t="inlineStr">
        <is>
          <t>Vertical</t>
        </is>
      </c>
      <c r="U386" t="n">
        <v>120</v>
      </c>
      <c r="V386" t="b">
        <v>1</v>
      </c>
      <c r="W386" t="inlineStr">
        <is>
          <t>Loan calculator!H17:H136</t>
        </is>
      </c>
      <c r="X386">
        <f>IFERROR(IF(LoanIsNotPaid*LoanIsGood,EndingBalance,0), 0)</f>
        <v/>
      </c>
    </row>
    <row r="387">
      <c r="A387" t="inlineStr">
        <is>
          <t>Loan calculator</t>
        </is>
      </c>
      <c r="B387" t="inlineStr">
        <is>
          <t>I38</t>
        </is>
      </c>
      <c r="C387" t="n">
        <v>38</v>
      </c>
      <c r="D387" t="n">
        <v>9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11</v>
      </c>
      <c r="M387" t="inlineStr">
        <is>
          <t>Values must be of type &lt;class 'str'&gt;</t>
        </is>
      </c>
      <c r="N387" t="inlineStr">
        <is>
          <t>Values must be of type &lt;class 'str'&gt;</t>
        </is>
      </c>
      <c r="O387" t="n">
        <v/>
      </c>
      <c r="P387" t="inlineStr">
        <is>
          <t>center</t>
        </is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Loan calculator</t>
        </is>
      </c>
      <c r="B388" t="inlineStr">
        <is>
          <t>A39</t>
        </is>
      </c>
      <c r="C388" t="n">
        <v>39</v>
      </c>
      <c r="D388" t="n">
        <v>1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11</v>
      </c>
      <c r="M388" t="inlineStr">
        <is>
          <t>Values must be of type &lt;class 'str'&gt;</t>
        </is>
      </c>
      <c r="N388" t="inlineStr">
        <is>
          <t>Values must be of type &lt;class 'str'&gt;</t>
        </is>
      </c>
      <c r="O388" t="n">
        <v/>
      </c>
      <c r="P388" t="inlineStr">
        <is>
          <t>center</t>
        </is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Loan calculator</t>
        </is>
      </c>
      <c r="B389" t="inlineStr">
        <is>
          <t>B39</t>
        </is>
      </c>
      <c r="C389" t="n">
        <v>39</v>
      </c>
      <c r="D389" t="n">
        <v>2</v>
      </c>
      <c r="E389" t="inlineStr">
        <is>
          <t>Output</t>
        </is>
      </c>
      <c r="F389" t="inlineStr">
        <is>
          <t>'=IFERROR(IF(LoanIsNotPaid*LoanIsGood,PaymentNumber,""), "")</t>
        </is>
      </c>
      <c r="G389" t="n">
        <v>23</v>
      </c>
      <c r="H389" t="inlineStr"/>
      <c r="I389" t="inlineStr">
        <is>
          <t>#,##0</t>
        </is>
      </c>
      <c r="J389" t="b">
        <v>0</v>
      </c>
      <c r="K389" t="b">
        <v>0</v>
      </c>
      <c r="L389" t="n">
        <v>9</v>
      </c>
      <c r="M389" t="inlineStr">
        <is>
          <t>Values must be of type &lt;class 'str'&gt;</t>
        </is>
      </c>
      <c r="N389" t="inlineStr">
        <is>
          <t>00000000</t>
        </is>
      </c>
      <c r="O389" t="inlineStr">
        <is>
          <t>center</t>
        </is>
      </c>
      <c r="P389" t="inlineStr">
        <is>
          <t>center</t>
        </is>
      </c>
      <c r="R389" t="b">
        <v>1</v>
      </c>
      <c r="S389" t="inlineStr">
        <is>
          <t>G000001</t>
        </is>
      </c>
      <c r="T389" t="inlineStr">
        <is>
          <t>Vertical</t>
        </is>
      </c>
      <c r="U389" t="n">
        <v>120</v>
      </c>
      <c r="V389" t="b">
        <v>1</v>
      </c>
      <c r="W389" t="inlineStr">
        <is>
          <t>Loan calculator!B17:B136</t>
        </is>
      </c>
      <c r="X389">
        <f>IFERROR(IF(LoanIsNotPaid*LoanIsGood,PaymentNumber,""), "")</f>
        <v/>
      </c>
    </row>
    <row r="390">
      <c r="A390" t="inlineStr">
        <is>
          <t>Loan calculator</t>
        </is>
      </c>
      <c r="B390" t="inlineStr">
        <is>
          <t>C39</t>
        </is>
      </c>
      <c r="C390" t="n">
        <v>39</v>
      </c>
      <c r="D390" t="n">
        <v>3</v>
      </c>
      <c r="E390" t="inlineStr">
        <is>
          <t>Output</t>
        </is>
      </c>
      <c r="F390" t="inlineStr">
        <is>
          <t>'=IFERROR(IF(LoanIsNotPaid*LoanIsGood,PaymentDate,LoanStartDate), LoanStartDate)</t>
        </is>
      </c>
      <c r="G390" s="1" t="n">
        <v>46788</v>
      </c>
      <c r="H390" t="inlineStr"/>
      <c r="I390" t="inlineStr">
        <is>
          <t>mm-dd-yy</t>
        </is>
      </c>
      <c r="J390" t="b">
        <v>0</v>
      </c>
      <c r="K390" t="b">
        <v>0</v>
      </c>
      <c r="L390" t="n">
        <v>9</v>
      </c>
      <c r="M390" t="inlineStr">
        <is>
          <t>Values must be of type &lt;class 'str'&gt;</t>
        </is>
      </c>
      <c r="N390" t="inlineStr">
        <is>
          <t>00000000</t>
        </is>
      </c>
      <c r="O390" t="inlineStr">
        <is>
          <t>center</t>
        </is>
      </c>
      <c r="P390" t="inlineStr">
        <is>
          <t>center</t>
        </is>
      </c>
      <c r="R390" t="b">
        <v>1</v>
      </c>
      <c r="S390" t="inlineStr">
        <is>
          <t>G000002</t>
        </is>
      </c>
      <c r="T390" t="inlineStr">
        <is>
          <t>Vertical</t>
        </is>
      </c>
      <c r="U390" t="n">
        <v>120</v>
      </c>
      <c r="V390" t="b">
        <v>1</v>
      </c>
      <c r="W390" t="inlineStr">
        <is>
          <t>Loan calculator!C17:C136</t>
        </is>
      </c>
      <c r="X390">
        <f>IFERROR(IF(LoanIsNotPaid*LoanIsGood,PaymentDate,LoanStartDate), LoanStartDate)</f>
        <v/>
      </c>
    </row>
    <row r="391">
      <c r="A391" t="inlineStr">
        <is>
          <t>Loan calculator</t>
        </is>
      </c>
      <c r="B391" t="inlineStr">
        <is>
          <t>D39</t>
        </is>
      </c>
      <c r="C391" t="n">
        <v>39</v>
      </c>
      <c r="D391" t="n">
        <v>4</v>
      </c>
      <c r="E391" t="inlineStr">
        <is>
          <t>Output</t>
        </is>
      </c>
      <c r="F391" t="inlineStr">
        <is>
          <t>'=IFERROR(IF(LoanIsNotPaid*LoanIsGood,LoanValue,""), "")</t>
        </is>
      </c>
      <c r="G391" t="n">
        <v>8552.306009929285</v>
      </c>
      <c r="H391" t="inlineStr"/>
      <c r="I391" t="inlineStr">
        <is>
          <t>"$"#,##0.00</t>
        </is>
      </c>
      <c r="J391" t="b">
        <v>0</v>
      </c>
      <c r="K391" t="b">
        <v>0</v>
      </c>
      <c r="L391" t="n">
        <v>9</v>
      </c>
      <c r="M391" t="inlineStr">
        <is>
          <t>Values must be of type &lt;class 'str'&gt;</t>
        </is>
      </c>
      <c r="N391" t="inlineStr">
        <is>
          <t>00000000</t>
        </is>
      </c>
      <c r="O391" t="inlineStr">
        <is>
          <t>center</t>
        </is>
      </c>
      <c r="P391" t="inlineStr">
        <is>
          <t>center</t>
        </is>
      </c>
      <c r="R391" t="b">
        <v>1</v>
      </c>
      <c r="S391" t="inlineStr">
        <is>
          <t>G000003</t>
        </is>
      </c>
      <c r="T391" t="inlineStr">
        <is>
          <t>Vertical</t>
        </is>
      </c>
      <c r="U391" t="n">
        <v>120</v>
      </c>
      <c r="V391" t="b">
        <v>1</v>
      </c>
      <c r="W391" t="inlineStr">
        <is>
          <t>Loan calculator!D17:D136</t>
        </is>
      </c>
      <c r="X391">
        <f>IFERROR(IF(LoanIsNotPaid*LoanIsGood,LoanValue,""), "")</f>
        <v/>
      </c>
    </row>
    <row r="392">
      <c r="A392" t="inlineStr">
        <is>
          <t>Loan calculator</t>
        </is>
      </c>
      <c r="B392" t="inlineStr">
        <is>
          <t>E39</t>
        </is>
      </c>
      <c r="C392" t="n">
        <v>39</v>
      </c>
      <c r="D392" t="n">
        <v>5</v>
      </c>
      <c r="E392" t="inlineStr">
        <is>
          <t>Output</t>
        </is>
      </c>
      <c r="F392" t="inlineStr">
        <is>
          <t>'=IFERROR(IF(LoanIsNotPaid*LoanIsGood,MonthlyPayment,0), 0)</t>
        </is>
      </c>
      <c r="G392" t="n">
        <v>108.5262779604807</v>
      </c>
      <c r="H392" t="inlineStr"/>
      <c r="I392" t="inlineStr">
        <is>
          <t>"$"#,##0.00</t>
        </is>
      </c>
      <c r="J392" t="b">
        <v>0</v>
      </c>
      <c r="K392" t="b">
        <v>0</v>
      </c>
      <c r="L392" t="n">
        <v>9</v>
      </c>
      <c r="M392" t="inlineStr">
        <is>
          <t>Values must be of type &lt;class 'str'&gt;</t>
        </is>
      </c>
      <c r="N392" t="inlineStr">
        <is>
          <t>00000000</t>
        </is>
      </c>
      <c r="O392" t="inlineStr">
        <is>
          <t>center</t>
        </is>
      </c>
      <c r="P392" t="inlineStr">
        <is>
          <t>center</t>
        </is>
      </c>
      <c r="R392" t="b">
        <v>1</v>
      </c>
      <c r="S392" t="inlineStr">
        <is>
          <t>G000004</t>
        </is>
      </c>
      <c r="T392" t="inlineStr">
        <is>
          <t>Vertical</t>
        </is>
      </c>
      <c r="U392" t="n">
        <v>120</v>
      </c>
      <c r="V392" t="b">
        <v>1</v>
      </c>
      <c r="W392" t="inlineStr">
        <is>
          <t>Loan calculator!E17:E136</t>
        </is>
      </c>
      <c r="X392">
        <f>IFERROR(IF(LoanIsNotPaid*LoanIsGood,MonthlyPayment,0), 0)</f>
        <v/>
      </c>
    </row>
    <row r="393">
      <c r="A393" t="inlineStr">
        <is>
          <t>Loan calculator</t>
        </is>
      </c>
      <c r="B393" t="inlineStr">
        <is>
          <t>F39</t>
        </is>
      </c>
      <c r="C393" t="n">
        <v>39</v>
      </c>
      <c r="D393" t="n">
        <v>6</v>
      </c>
      <c r="E393" t="inlineStr">
        <is>
          <t>Output</t>
        </is>
      </c>
      <c r="F393" t="inlineStr">
        <is>
          <t>'=IFERROR(IF(LoanIsNotPaid*LoanIsGood,Principal,0), 0)</t>
        </is>
      </c>
      <c r="G393" t="n">
        <v>69.32820874830482</v>
      </c>
      <c r="H393" t="inlineStr"/>
      <c r="I393" t="inlineStr">
        <is>
          <t>"$"#,##0.00</t>
        </is>
      </c>
      <c r="J393" t="b">
        <v>0</v>
      </c>
      <c r="K393" t="b">
        <v>0</v>
      </c>
      <c r="L393" t="n">
        <v>9</v>
      </c>
      <c r="M393" t="inlineStr">
        <is>
          <t>Values must be of type &lt;class 'str'&gt;</t>
        </is>
      </c>
      <c r="N393" t="inlineStr">
        <is>
          <t>00000000</t>
        </is>
      </c>
      <c r="O393" t="inlineStr">
        <is>
          <t>center</t>
        </is>
      </c>
      <c r="P393" t="inlineStr">
        <is>
          <t>center</t>
        </is>
      </c>
      <c r="R393" t="b">
        <v>1</v>
      </c>
      <c r="S393" t="inlineStr">
        <is>
          <t>G000005</t>
        </is>
      </c>
      <c r="T393" t="inlineStr">
        <is>
          <t>Vertical</t>
        </is>
      </c>
      <c r="U393" t="n">
        <v>120</v>
      </c>
      <c r="V393" t="b">
        <v>1</v>
      </c>
      <c r="W393" t="inlineStr">
        <is>
          <t>Loan calculator!F17:F136</t>
        </is>
      </c>
      <c r="X393">
        <f>IFERROR(IF(LoanIsNotPaid*LoanIsGood,Principal,0), 0)</f>
        <v/>
      </c>
    </row>
    <row r="394">
      <c r="A394" t="inlineStr">
        <is>
          <t>Loan calculator</t>
        </is>
      </c>
      <c r="B394" t="inlineStr">
        <is>
          <t>G39</t>
        </is>
      </c>
      <c r="C394" t="n">
        <v>39</v>
      </c>
      <c r="D394" t="n">
        <v>7</v>
      </c>
      <c r="E394" t="inlineStr">
        <is>
          <t>Output</t>
        </is>
      </c>
      <c r="F394" t="inlineStr">
        <is>
          <t>'=IFERROR(IF(LoanIsNotPaid*LoanIsGood,InterestAmt,0), 0)</t>
        </is>
      </c>
      <c r="G394" t="n">
        <v>39.19806921217591</v>
      </c>
      <c r="H394" t="inlineStr"/>
      <c r="I394" t="inlineStr">
        <is>
          <t>"$"#,##0.00</t>
        </is>
      </c>
      <c r="J394" t="b">
        <v>0</v>
      </c>
      <c r="K394" t="b">
        <v>0</v>
      </c>
      <c r="L394" t="n">
        <v>9</v>
      </c>
      <c r="M394" t="inlineStr">
        <is>
          <t>Values must be of type &lt;class 'str'&gt;</t>
        </is>
      </c>
      <c r="N394" t="inlineStr">
        <is>
          <t>00000000</t>
        </is>
      </c>
      <c r="O394" t="inlineStr">
        <is>
          <t>center</t>
        </is>
      </c>
      <c r="P394" t="inlineStr">
        <is>
          <t>center</t>
        </is>
      </c>
      <c r="R394" t="b">
        <v>1</v>
      </c>
      <c r="S394" t="inlineStr">
        <is>
          <t>G000006</t>
        </is>
      </c>
      <c r="T394" t="inlineStr">
        <is>
          <t>Vertical</t>
        </is>
      </c>
      <c r="U394" t="n">
        <v>120</v>
      </c>
      <c r="V394" t="b">
        <v>1</v>
      </c>
      <c r="W394" t="inlineStr">
        <is>
          <t>Loan calculator!G17:G136</t>
        </is>
      </c>
      <c r="X394">
        <f>IFERROR(IF(LoanIsNotPaid*LoanIsGood,InterestAmt,0), 0)</f>
        <v/>
      </c>
    </row>
    <row r="395">
      <c r="A395" t="inlineStr">
        <is>
          <t>Loan calculator</t>
        </is>
      </c>
      <c r="B395" t="inlineStr">
        <is>
          <t>H39</t>
        </is>
      </c>
      <c r="C395" t="n">
        <v>39</v>
      </c>
      <c r="D395" t="n">
        <v>8</v>
      </c>
      <c r="E395" t="inlineStr">
        <is>
          <t>Output</t>
        </is>
      </c>
      <c r="F395" t="inlineStr">
        <is>
          <t>'=IFERROR(IF(LoanIsNotPaid*LoanIsGood,EndingBalance,0), 0)</t>
        </is>
      </c>
      <c r="G395" t="n">
        <v>8482.977801180983</v>
      </c>
      <c r="H395" t="inlineStr"/>
      <c r="I395" t="inlineStr">
        <is>
          <t>"$"#,##0.00</t>
        </is>
      </c>
      <c r="J395" t="b">
        <v>0</v>
      </c>
      <c r="K395" t="b">
        <v>0</v>
      </c>
      <c r="L395" t="n">
        <v>9</v>
      </c>
      <c r="M395" t="inlineStr">
        <is>
          <t>Values must be of type &lt;class 'str'&gt;</t>
        </is>
      </c>
      <c r="N395" t="inlineStr">
        <is>
          <t>00000000</t>
        </is>
      </c>
      <c r="O395" t="inlineStr">
        <is>
          <t>center</t>
        </is>
      </c>
      <c r="P395" t="inlineStr">
        <is>
          <t>center</t>
        </is>
      </c>
      <c r="R395" t="b">
        <v>1</v>
      </c>
      <c r="S395" t="inlineStr">
        <is>
          <t>G000007</t>
        </is>
      </c>
      <c r="T395" t="inlineStr">
        <is>
          <t>Vertical</t>
        </is>
      </c>
      <c r="U395" t="n">
        <v>120</v>
      </c>
      <c r="V395" t="b">
        <v>1</v>
      </c>
      <c r="W395" t="inlineStr">
        <is>
          <t>Loan calculator!H17:H136</t>
        </is>
      </c>
      <c r="X395">
        <f>IFERROR(IF(LoanIsNotPaid*LoanIsGood,EndingBalance,0), 0)</f>
        <v/>
      </c>
    </row>
    <row r="396">
      <c r="A396" t="inlineStr">
        <is>
          <t>Loan calculator</t>
        </is>
      </c>
      <c r="B396" t="inlineStr">
        <is>
          <t>I39</t>
        </is>
      </c>
      <c r="C396" t="n">
        <v>39</v>
      </c>
      <c r="D396" t="n">
        <v>9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11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n">
        <v/>
      </c>
      <c r="P396" t="inlineStr">
        <is>
          <t>center</t>
        </is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Loan calculator</t>
        </is>
      </c>
      <c r="B397" t="inlineStr">
        <is>
          <t>A40</t>
        </is>
      </c>
      <c r="C397" t="n">
        <v>40</v>
      </c>
      <c r="D397" t="n">
        <v>1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11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n">
        <v/>
      </c>
      <c r="P397" t="inlineStr">
        <is>
          <t>center</t>
        </is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Loan calculator</t>
        </is>
      </c>
      <c r="B398" t="inlineStr">
        <is>
          <t>B40</t>
        </is>
      </c>
      <c r="C398" t="n">
        <v>40</v>
      </c>
      <c r="D398" t="n">
        <v>2</v>
      </c>
      <c r="E398" t="inlineStr">
        <is>
          <t>Output</t>
        </is>
      </c>
      <c r="F398" t="inlineStr">
        <is>
          <t>'=IFERROR(IF(LoanIsNotPaid*LoanIsGood,PaymentNumber,""), "")</t>
        </is>
      </c>
      <c r="G398" t="n">
        <v>24</v>
      </c>
      <c r="H398" t="inlineStr"/>
      <c r="I398" t="inlineStr">
        <is>
          <t>#,##0</t>
        </is>
      </c>
      <c r="J398" t="b">
        <v>0</v>
      </c>
      <c r="K398" t="b">
        <v>0</v>
      </c>
      <c r="L398" t="n">
        <v>9</v>
      </c>
      <c r="M398" t="inlineStr">
        <is>
          <t>Values must be of type &lt;class 'str'&gt;</t>
        </is>
      </c>
      <c r="N398" t="inlineStr">
        <is>
          <t>00000000</t>
        </is>
      </c>
      <c r="O398" t="inlineStr">
        <is>
          <t>center</t>
        </is>
      </c>
      <c r="P398" t="inlineStr">
        <is>
          <t>center</t>
        </is>
      </c>
      <c r="R398" t="b">
        <v>1</v>
      </c>
      <c r="S398" t="inlineStr">
        <is>
          <t>G000001</t>
        </is>
      </c>
      <c r="T398" t="inlineStr">
        <is>
          <t>Vertical</t>
        </is>
      </c>
      <c r="U398" t="n">
        <v>120</v>
      </c>
      <c r="V398" t="b">
        <v>1</v>
      </c>
      <c r="W398" t="inlineStr">
        <is>
          <t>Loan calculator!B17:B136</t>
        </is>
      </c>
      <c r="X398">
        <f>IFERROR(IF(LoanIsNotPaid*LoanIsGood,PaymentNumber,""), "")</f>
        <v/>
      </c>
    </row>
    <row r="399">
      <c r="A399" t="inlineStr">
        <is>
          <t>Loan calculator</t>
        </is>
      </c>
      <c r="B399" t="inlineStr">
        <is>
          <t>C40</t>
        </is>
      </c>
      <c r="C399" t="n">
        <v>40</v>
      </c>
      <c r="D399" t="n">
        <v>3</v>
      </c>
      <c r="E399" t="inlineStr">
        <is>
          <t>Output</t>
        </is>
      </c>
      <c r="F399" t="inlineStr">
        <is>
          <t>'=IFERROR(IF(LoanIsNotPaid*LoanIsGood,PaymentDate,LoanStartDate), LoanStartDate)</t>
        </is>
      </c>
      <c r="G399" s="1" t="n">
        <v>46817</v>
      </c>
      <c r="H399" t="inlineStr"/>
      <c r="I399" t="inlineStr">
        <is>
          <t>mm-dd-yy</t>
        </is>
      </c>
      <c r="J399" t="b">
        <v>0</v>
      </c>
      <c r="K399" t="b">
        <v>0</v>
      </c>
      <c r="L399" t="n">
        <v>9</v>
      </c>
      <c r="M399" t="inlineStr">
        <is>
          <t>Values must be of type &lt;class 'str'&gt;</t>
        </is>
      </c>
      <c r="N399" t="inlineStr">
        <is>
          <t>00000000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inlineStr">
        <is>
          <t>G000002</t>
        </is>
      </c>
      <c r="T399" t="inlineStr">
        <is>
          <t>Vertical</t>
        </is>
      </c>
      <c r="U399" t="n">
        <v>120</v>
      </c>
      <c r="V399" t="b">
        <v>1</v>
      </c>
      <c r="W399" t="inlineStr">
        <is>
          <t>Loan calculator!C17:C136</t>
        </is>
      </c>
      <c r="X399">
        <f>IFERROR(IF(LoanIsNotPaid*LoanIsGood,PaymentDate,LoanStartDate), LoanStartDate)</f>
        <v/>
      </c>
    </row>
    <row r="400">
      <c r="A400" t="inlineStr">
        <is>
          <t>Loan calculator</t>
        </is>
      </c>
      <c r="B400" t="inlineStr">
        <is>
          <t>D40</t>
        </is>
      </c>
      <c r="C400" t="n">
        <v>40</v>
      </c>
      <c r="D400" t="n">
        <v>4</v>
      </c>
      <c r="E400" t="inlineStr">
        <is>
          <t>Output</t>
        </is>
      </c>
      <c r="F400" t="inlineStr">
        <is>
          <t>'=IFERROR(IF(LoanIsNotPaid*LoanIsGood,LoanValue,""), "")</t>
        </is>
      </c>
      <c r="G400" t="n">
        <v>8482.977801180983</v>
      </c>
      <c r="H400" t="inlineStr"/>
      <c r="I400" t="inlineStr">
        <is>
          <t>"$"#,##0.00</t>
        </is>
      </c>
      <c r="J400" t="b">
        <v>0</v>
      </c>
      <c r="K400" t="b">
        <v>0</v>
      </c>
      <c r="L400" t="n">
        <v>9</v>
      </c>
      <c r="M400" t="inlineStr">
        <is>
          <t>Values must be of type &lt;class 'str'&gt;</t>
        </is>
      </c>
      <c r="N400" t="inlineStr">
        <is>
          <t>00000000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inlineStr">
        <is>
          <t>G000003</t>
        </is>
      </c>
      <c r="T400" t="inlineStr">
        <is>
          <t>Vertical</t>
        </is>
      </c>
      <c r="U400" t="n">
        <v>120</v>
      </c>
      <c r="V400" t="b">
        <v>1</v>
      </c>
      <c r="W400" t="inlineStr">
        <is>
          <t>Loan calculator!D17:D136</t>
        </is>
      </c>
      <c r="X400">
        <f>IFERROR(IF(LoanIsNotPaid*LoanIsGood,LoanValue,""), "")</f>
        <v/>
      </c>
    </row>
    <row r="401">
      <c r="A401" t="inlineStr">
        <is>
          <t>Loan calculator</t>
        </is>
      </c>
      <c r="B401" t="inlineStr">
        <is>
          <t>E40</t>
        </is>
      </c>
      <c r="C401" t="n">
        <v>40</v>
      </c>
      <c r="D401" t="n">
        <v>5</v>
      </c>
      <c r="E401" t="inlineStr">
        <is>
          <t>Output</t>
        </is>
      </c>
      <c r="F401" t="inlineStr">
        <is>
          <t>'=IFERROR(IF(LoanIsNotPaid*LoanIsGood,MonthlyPayment,0), 0)</t>
        </is>
      </c>
      <c r="G401" t="n">
        <v>108.5262779604807</v>
      </c>
      <c r="H401" t="inlineStr"/>
      <c r="I401" t="inlineStr">
        <is>
          <t>"$"#,##0.00</t>
        </is>
      </c>
      <c r="J401" t="b">
        <v>0</v>
      </c>
      <c r="K401" t="b">
        <v>0</v>
      </c>
      <c r="L401" t="n">
        <v>9</v>
      </c>
      <c r="M401" t="inlineStr">
        <is>
          <t>Values must be of type &lt;class 'str'&gt;</t>
        </is>
      </c>
      <c r="N401" t="inlineStr">
        <is>
          <t>00000000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inlineStr">
        <is>
          <t>G000004</t>
        </is>
      </c>
      <c r="T401" t="inlineStr">
        <is>
          <t>Vertical</t>
        </is>
      </c>
      <c r="U401" t="n">
        <v>120</v>
      </c>
      <c r="V401" t="b">
        <v>1</v>
      </c>
      <c r="W401" t="inlineStr">
        <is>
          <t>Loan calculator!E17:E136</t>
        </is>
      </c>
      <c r="X401">
        <f>IFERROR(IF(LoanIsNotPaid*LoanIsGood,MonthlyPayment,0), 0)</f>
        <v/>
      </c>
    </row>
    <row r="402">
      <c r="A402" t="inlineStr">
        <is>
          <t>Loan calculator</t>
        </is>
      </c>
      <c r="B402" t="inlineStr">
        <is>
          <t>F40</t>
        </is>
      </c>
      <c r="C402" t="n">
        <v>40</v>
      </c>
      <c r="D402" t="n">
        <v>6</v>
      </c>
      <c r="E402" t="inlineStr">
        <is>
          <t>Output</t>
        </is>
      </c>
      <c r="F402" t="inlineStr">
        <is>
          <t>'=IFERROR(IF(LoanIsNotPaid*LoanIsGood,Principal,0), 0)</t>
        </is>
      </c>
      <c r="G402" t="n">
        <v>69.64596303840121</v>
      </c>
      <c r="H402" t="inlineStr"/>
      <c r="I402" t="inlineStr">
        <is>
          <t>"$"#,##0.00</t>
        </is>
      </c>
      <c r="J402" t="b">
        <v>0</v>
      </c>
      <c r="K402" t="b">
        <v>0</v>
      </c>
      <c r="L402" t="n">
        <v>9</v>
      </c>
      <c r="M402" t="inlineStr">
        <is>
          <t>Values must be of type &lt;class 'str'&gt;</t>
        </is>
      </c>
      <c r="N402" t="inlineStr">
        <is>
          <t>00000000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inlineStr">
        <is>
          <t>G000005</t>
        </is>
      </c>
      <c r="T402" t="inlineStr">
        <is>
          <t>Vertical</t>
        </is>
      </c>
      <c r="U402" t="n">
        <v>120</v>
      </c>
      <c r="V402" t="b">
        <v>1</v>
      </c>
      <c r="W402" t="inlineStr">
        <is>
          <t>Loan calculator!F17:F136</t>
        </is>
      </c>
      <c r="X402">
        <f>IFERROR(IF(LoanIsNotPaid*LoanIsGood,Principal,0), 0)</f>
        <v/>
      </c>
    </row>
    <row r="403">
      <c r="A403" t="inlineStr">
        <is>
          <t>Loan calculator</t>
        </is>
      </c>
      <c r="B403" t="inlineStr">
        <is>
          <t>G40</t>
        </is>
      </c>
      <c r="C403" t="n">
        <v>40</v>
      </c>
      <c r="D403" t="n">
        <v>7</v>
      </c>
      <c r="E403" t="inlineStr">
        <is>
          <t>Output</t>
        </is>
      </c>
      <c r="F403" t="inlineStr">
        <is>
          <t>'=IFERROR(IF(LoanIsNotPaid*LoanIsGood,InterestAmt,0), 0)</t>
        </is>
      </c>
      <c r="G403" t="n">
        <v>38.88031492207951</v>
      </c>
      <c r="H403" t="inlineStr"/>
      <c r="I403" t="inlineStr">
        <is>
          <t>"$"#,##0.00</t>
        </is>
      </c>
      <c r="J403" t="b">
        <v>0</v>
      </c>
      <c r="K403" t="b">
        <v>0</v>
      </c>
      <c r="L403" t="n">
        <v>9</v>
      </c>
      <c r="M403" t="inlineStr">
        <is>
          <t>Values must be of type &lt;class 'str'&gt;</t>
        </is>
      </c>
      <c r="N403" t="inlineStr">
        <is>
          <t>00000000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inlineStr">
        <is>
          <t>G000006</t>
        </is>
      </c>
      <c r="T403" t="inlineStr">
        <is>
          <t>Vertical</t>
        </is>
      </c>
      <c r="U403" t="n">
        <v>120</v>
      </c>
      <c r="V403" t="b">
        <v>1</v>
      </c>
      <c r="W403" t="inlineStr">
        <is>
          <t>Loan calculator!G17:G136</t>
        </is>
      </c>
      <c r="X403">
        <f>IFERROR(IF(LoanIsNotPaid*LoanIsGood,InterestAmt,0), 0)</f>
        <v/>
      </c>
    </row>
    <row r="404">
      <c r="A404" t="inlineStr">
        <is>
          <t>Loan calculator</t>
        </is>
      </c>
      <c r="B404" t="inlineStr">
        <is>
          <t>H40</t>
        </is>
      </c>
      <c r="C404" t="n">
        <v>40</v>
      </c>
      <c r="D404" t="n">
        <v>8</v>
      </c>
      <c r="E404" t="inlineStr">
        <is>
          <t>Output</t>
        </is>
      </c>
      <c r="F404" t="inlineStr">
        <is>
          <t>'=IFERROR(IF(LoanIsNotPaid*LoanIsGood,EndingBalance,0), 0)</t>
        </is>
      </c>
      <c r="G404" t="n">
        <v>8413.331838142582</v>
      </c>
      <c r="H404" t="inlineStr"/>
      <c r="I404" t="inlineStr">
        <is>
          <t>"$"#,##0.00</t>
        </is>
      </c>
      <c r="J404" t="b">
        <v>0</v>
      </c>
      <c r="K404" t="b">
        <v>0</v>
      </c>
      <c r="L404" t="n">
        <v>9</v>
      </c>
      <c r="M404" t="inlineStr">
        <is>
          <t>Values must be of type &lt;class 'str'&gt;</t>
        </is>
      </c>
      <c r="N404" t="inlineStr">
        <is>
          <t>00000000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S404" t="inlineStr">
        <is>
          <t>G000007</t>
        </is>
      </c>
      <c r="T404" t="inlineStr">
        <is>
          <t>Vertical</t>
        </is>
      </c>
      <c r="U404" t="n">
        <v>120</v>
      </c>
      <c r="V404" t="b">
        <v>1</v>
      </c>
      <c r="W404" t="inlineStr">
        <is>
          <t>Loan calculator!H17:H136</t>
        </is>
      </c>
      <c r="X404">
        <f>IFERROR(IF(LoanIsNotPaid*LoanIsGood,EndingBalance,0), 0)</f>
        <v/>
      </c>
    </row>
    <row r="405">
      <c r="A405" t="inlineStr">
        <is>
          <t>Loan calculator</t>
        </is>
      </c>
      <c r="B405" t="inlineStr">
        <is>
          <t>I40</t>
        </is>
      </c>
      <c r="C405" t="n">
        <v>40</v>
      </c>
      <c r="D405" t="n">
        <v>9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11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n">
        <v/>
      </c>
      <c r="P405" t="inlineStr">
        <is>
          <t>center</t>
        </is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</row>
    <row r="406">
      <c r="A406" t="inlineStr">
        <is>
          <t>Loan calculator</t>
        </is>
      </c>
      <c r="B406" t="inlineStr">
        <is>
          <t>A41</t>
        </is>
      </c>
      <c r="C406" t="n">
        <v>41</v>
      </c>
      <c r="D406" t="n">
        <v>1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11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n">
        <v/>
      </c>
      <c r="P406" t="inlineStr">
        <is>
          <t>center</t>
        </is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Loan calculator</t>
        </is>
      </c>
      <c r="B407" t="inlineStr">
        <is>
          <t>B41</t>
        </is>
      </c>
      <c r="C407" t="n">
        <v>41</v>
      </c>
      <c r="D407" t="n">
        <v>2</v>
      </c>
      <c r="E407" t="inlineStr">
        <is>
          <t>Output</t>
        </is>
      </c>
      <c r="F407" t="inlineStr">
        <is>
          <t>'=IFERROR(IF(LoanIsNotPaid*LoanIsGood,PaymentNumber,""), "")</t>
        </is>
      </c>
      <c r="G407" t="n">
        <v>25</v>
      </c>
      <c r="H407" t="inlineStr"/>
      <c r="I407" t="inlineStr">
        <is>
          <t>#,##0</t>
        </is>
      </c>
      <c r="J407" t="b">
        <v>0</v>
      </c>
      <c r="K407" t="b">
        <v>0</v>
      </c>
      <c r="L407" t="n">
        <v>9</v>
      </c>
      <c r="M407" t="inlineStr">
        <is>
          <t>Values must be of type &lt;class 'str'&gt;</t>
        </is>
      </c>
      <c r="N407" t="inlineStr">
        <is>
          <t>00000000</t>
        </is>
      </c>
      <c r="O407" t="inlineStr">
        <is>
          <t>center</t>
        </is>
      </c>
      <c r="P407" t="inlineStr">
        <is>
          <t>center</t>
        </is>
      </c>
      <c r="R407" t="b">
        <v>1</v>
      </c>
      <c r="S407" t="inlineStr">
        <is>
          <t>G000001</t>
        </is>
      </c>
      <c r="T407" t="inlineStr">
        <is>
          <t>Vertical</t>
        </is>
      </c>
      <c r="U407" t="n">
        <v>120</v>
      </c>
      <c r="V407" t="b">
        <v>1</v>
      </c>
      <c r="W407" t="inlineStr">
        <is>
          <t>Loan calculator!B17:B136</t>
        </is>
      </c>
      <c r="X407">
        <f>IFERROR(IF(LoanIsNotPaid*LoanIsGood,PaymentNumber,""), "")</f>
        <v/>
      </c>
    </row>
    <row r="408">
      <c r="A408" t="inlineStr">
        <is>
          <t>Loan calculator</t>
        </is>
      </c>
      <c r="B408" t="inlineStr">
        <is>
          <t>C41</t>
        </is>
      </c>
      <c r="C408" t="n">
        <v>41</v>
      </c>
      <c r="D408" t="n">
        <v>3</v>
      </c>
      <c r="E408" t="inlineStr">
        <is>
          <t>Output</t>
        </is>
      </c>
      <c r="F408" t="inlineStr">
        <is>
          <t>'=IFERROR(IF(LoanIsNotPaid*LoanIsGood,PaymentDate,LoanStartDate), LoanStartDate)</t>
        </is>
      </c>
      <c r="G408" s="1" t="n">
        <v>46848</v>
      </c>
      <c r="H408" t="inlineStr"/>
      <c r="I408" t="inlineStr">
        <is>
          <t>mm-dd-yy</t>
        </is>
      </c>
      <c r="J408" t="b">
        <v>0</v>
      </c>
      <c r="K408" t="b">
        <v>0</v>
      </c>
      <c r="L408" t="n">
        <v>9</v>
      </c>
      <c r="M408" t="inlineStr">
        <is>
          <t>Values must be of type &lt;class 'str'&gt;</t>
        </is>
      </c>
      <c r="N408" t="inlineStr">
        <is>
          <t>00000000</t>
        </is>
      </c>
      <c r="O408" t="inlineStr">
        <is>
          <t>center</t>
        </is>
      </c>
      <c r="P408" t="inlineStr">
        <is>
          <t>center</t>
        </is>
      </c>
      <c r="R408" t="b">
        <v>1</v>
      </c>
      <c r="S408" t="inlineStr">
        <is>
          <t>G000002</t>
        </is>
      </c>
      <c r="T408" t="inlineStr">
        <is>
          <t>Vertical</t>
        </is>
      </c>
      <c r="U408" t="n">
        <v>120</v>
      </c>
      <c r="V408" t="b">
        <v>1</v>
      </c>
      <c r="W408" t="inlineStr">
        <is>
          <t>Loan calculator!C17:C136</t>
        </is>
      </c>
      <c r="X408">
        <f>IFERROR(IF(LoanIsNotPaid*LoanIsGood,PaymentDate,LoanStartDate), LoanStartDate)</f>
        <v/>
      </c>
    </row>
    <row r="409">
      <c r="A409" t="inlineStr">
        <is>
          <t>Loan calculator</t>
        </is>
      </c>
      <c r="B409" t="inlineStr">
        <is>
          <t>D41</t>
        </is>
      </c>
      <c r="C409" t="n">
        <v>41</v>
      </c>
      <c r="D409" t="n">
        <v>4</v>
      </c>
      <c r="E409" t="inlineStr">
        <is>
          <t>Output</t>
        </is>
      </c>
      <c r="F409" t="inlineStr">
        <is>
          <t>'=IFERROR(IF(LoanIsNotPaid*LoanIsGood,LoanValue,""), "")</t>
        </is>
      </c>
      <c r="G409" t="n">
        <v>8413.331838142582</v>
      </c>
      <c r="H409" t="inlineStr"/>
      <c r="I409" t="inlineStr">
        <is>
          <t>"$"#,##0.00</t>
        </is>
      </c>
      <c r="J409" t="b">
        <v>0</v>
      </c>
      <c r="K409" t="b">
        <v>0</v>
      </c>
      <c r="L409" t="n">
        <v>9</v>
      </c>
      <c r="M409" t="inlineStr">
        <is>
          <t>Values must be of type &lt;class 'str'&gt;</t>
        </is>
      </c>
      <c r="N409" t="inlineStr">
        <is>
          <t>00000000</t>
        </is>
      </c>
      <c r="O409" t="inlineStr">
        <is>
          <t>center</t>
        </is>
      </c>
      <c r="P409" t="inlineStr">
        <is>
          <t>center</t>
        </is>
      </c>
      <c r="R409" t="b">
        <v>1</v>
      </c>
      <c r="S409" t="inlineStr">
        <is>
          <t>G000003</t>
        </is>
      </c>
      <c r="T409" t="inlineStr">
        <is>
          <t>Vertical</t>
        </is>
      </c>
      <c r="U409" t="n">
        <v>120</v>
      </c>
      <c r="V409" t="b">
        <v>1</v>
      </c>
      <c r="W409" t="inlineStr">
        <is>
          <t>Loan calculator!D17:D136</t>
        </is>
      </c>
      <c r="X409">
        <f>IFERROR(IF(LoanIsNotPaid*LoanIsGood,LoanValue,""), "")</f>
        <v/>
      </c>
    </row>
    <row r="410">
      <c r="A410" t="inlineStr">
        <is>
          <t>Loan calculator</t>
        </is>
      </c>
      <c r="B410" t="inlineStr">
        <is>
          <t>E41</t>
        </is>
      </c>
      <c r="C410" t="n">
        <v>41</v>
      </c>
      <c r="D410" t="n">
        <v>5</v>
      </c>
      <c r="E410" t="inlineStr">
        <is>
          <t>Output</t>
        </is>
      </c>
      <c r="F410" t="inlineStr">
        <is>
          <t>'=IFERROR(IF(LoanIsNotPaid*LoanIsGood,MonthlyPayment,0), 0)</t>
        </is>
      </c>
      <c r="G410" t="n">
        <v>108.5262779604807</v>
      </c>
      <c r="H410" t="inlineStr"/>
      <c r="I410" t="inlineStr">
        <is>
          <t>"$"#,##0.00</t>
        </is>
      </c>
      <c r="J410" t="b">
        <v>0</v>
      </c>
      <c r="K410" t="b">
        <v>0</v>
      </c>
      <c r="L410" t="n">
        <v>9</v>
      </c>
      <c r="M410" t="inlineStr">
        <is>
          <t>Values must be of type &lt;class 'str'&gt;</t>
        </is>
      </c>
      <c r="N410" t="inlineStr">
        <is>
          <t>00000000</t>
        </is>
      </c>
      <c r="O410" t="inlineStr">
        <is>
          <t>center</t>
        </is>
      </c>
      <c r="P410" t="inlineStr">
        <is>
          <t>center</t>
        </is>
      </c>
      <c r="R410" t="b">
        <v>1</v>
      </c>
      <c r="S410" t="inlineStr">
        <is>
          <t>G000004</t>
        </is>
      </c>
      <c r="T410" t="inlineStr">
        <is>
          <t>Vertical</t>
        </is>
      </c>
      <c r="U410" t="n">
        <v>120</v>
      </c>
      <c r="V410" t="b">
        <v>1</v>
      </c>
      <c r="W410" t="inlineStr">
        <is>
          <t>Loan calculator!E17:E136</t>
        </is>
      </c>
      <c r="X410">
        <f>IFERROR(IF(LoanIsNotPaid*LoanIsGood,MonthlyPayment,0), 0)</f>
        <v/>
      </c>
    </row>
    <row r="411">
      <c r="A411" t="inlineStr">
        <is>
          <t>Loan calculator</t>
        </is>
      </c>
      <c r="B411" t="inlineStr">
        <is>
          <t>F41</t>
        </is>
      </c>
      <c r="C411" t="n">
        <v>41</v>
      </c>
      <c r="D411" t="n">
        <v>6</v>
      </c>
      <c r="E411" t="inlineStr">
        <is>
          <t>Output</t>
        </is>
      </c>
      <c r="F411" t="inlineStr">
        <is>
          <t>'=IFERROR(IF(LoanIsNotPaid*LoanIsGood,Principal,0), 0)</t>
        </is>
      </c>
      <c r="G411" t="n">
        <v>69.96517370232722</v>
      </c>
      <c r="H411" t="inlineStr"/>
      <c r="I411" t="inlineStr">
        <is>
          <t>"$"#,##0.00</t>
        </is>
      </c>
      <c r="J411" t="b">
        <v>0</v>
      </c>
      <c r="K411" t="b">
        <v>0</v>
      </c>
      <c r="L411" t="n">
        <v>9</v>
      </c>
      <c r="M411" t="inlineStr">
        <is>
          <t>Values must be of type &lt;class 'str'&gt;</t>
        </is>
      </c>
      <c r="N411" t="inlineStr">
        <is>
          <t>00000000</t>
        </is>
      </c>
      <c r="O411" t="inlineStr">
        <is>
          <t>center</t>
        </is>
      </c>
      <c r="P411" t="inlineStr">
        <is>
          <t>center</t>
        </is>
      </c>
      <c r="R411" t="b">
        <v>1</v>
      </c>
      <c r="S411" t="inlineStr">
        <is>
          <t>G000005</t>
        </is>
      </c>
      <c r="T411" t="inlineStr">
        <is>
          <t>Vertical</t>
        </is>
      </c>
      <c r="U411" t="n">
        <v>120</v>
      </c>
      <c r="V411" t="b">
        <v>1</v>
      </c>
      <c r="W411" t="inlineStr">
        <is>
          <t>Loan calculator!F17:F136</t>
        </is>
      </c>
      <c r="X411">
        <f>IFERROR(IF(LoanIsNotPaid*LoanIsGood,Principal,0), 0)</f>
        <v/>
      </c>
    </row>
    <row r="412">
      <c r="A412" t="inlineStr">
        <is>
          <t>Loan calculator</t>
        </is>
      </c>
      <c r="B412" t="inlineStr">
        <is>
          <t>G41</t>
        </is>
      </c>
      <c r="C412" t="n">
        <v>41</v>
      </c>
      <c r="D412" t="n">
        <v>7</v>
      </c>
      <c r="E412" t="inlineStr">
        <is>
          <t>Output</t>
        </is>
      </c>
      <c r="F412" t="inlineStr">
        <is>
          <t>'=IFERROR(IF(LoanIsNotPaid*LoanIsGood,InterestAmt,0), 0)</t>
        </is>
      </c>
      <c r="G412" t="n">
        <v>38.56110425815351</v>
      </c>
      <c r="H412" t="inlineStr"/>
      <c r="I412" t="inlineStr">
        <is>
          <t>"$"#,##0.00</t>
        </is>
      </c>
      <c r="J412" t="b">
        <v>0</v>
      </c>
      <c r="K412" t="b">
        <v>0</v>
      </c>
      <c r="L412" t="n">
        <v>9</v>
      </c>
      <c r="M412" t="inlineStr">
        <is>
          <t>Values must be of type &lt;class 'str'&gt;</t>
        </is>
      </c>
      <c r="N412" t="inlineStr">
        <is>
          <t>00000000</t>
        </is>
      </c>
      <c r="O412" t="inlineStr">
        <is>
          <t>center</t>
        </is>
      </c>
      <c r="P412" t="inlineStr">
        <is>
          <t>center</t>
        </is>
      </c>
      <c r="R412" t="b">
        <v>1</v>
      </c>
      <c r="S412" t="inlineStr">
        <is>
          <t>G000006</t>
        </is>
      </c>
      <c r="T412" t="inlineStr">
        <is>
          <t>Vertical</t>
        </is>
      </c>
      <c r="U412" t="n">
        <v>120</v>
      </c>
      <c r="V412" t="b">
        <v>1</v>
      </c>
      <c r="W412" t="inlineStr">
        <is>
          <t>Loan calculator!G17:G136</t>
        </is>
      </c>
      <c r="X412">
        <f>IFERROR(IF(LoanIsNotPaid*LoanIsGood,InterestAmt,0), 0)</f>
        <v/>
      </c>
    </row>
    <row r="413">
      <c r="A413" t="inlineStr">
        <is>
          <t>Loan calculator</t>
        </is>
      </c>
      <c r="B413" t="inlineStr">
        <is>
          <t>H41</t>
        </is>
      </c>
      <c r="C413" t="n">
        <v>41</v>
      </c>
      <c r="D413" t="n">
        <v>8</v>
      </c>
      <c r="E413" t="inlineStr">
        <is>
          <t>Output</t>
        </is>
      </c>
      <c r="F413" t="inlineStr">
        <is>
          <t>'=IFERROR(IF(LoanIsNotPaid*LoanIsGood,EndingBalance,0), 0)</t>
        </is>
      </c>
      <c r="G413" t="n">
        <v>8343.366664440255</v>
      </c>
      <c r="H413" t="inlineStr"/>
      <c r="I413" t="inlineStr">
        <is>
          <t>"$"#,##0.00</t>
        </is>
      </c>
      <c r="J413" t="b">
        <v>0</v>
      </c>
      <c r="K413" t="b">
        <v>0</v>
      </c>
      <c r="L413" t="n">
        <v>9</v>
      </c>
      <c r="M413" t="inlineStr">
        <is>
          <t>Values must be of type &lt;class 'str'&gt;</t>
        </is>
      </c>
      <c r="N413" t="inlineStr">
        <is>
          <t>00000000</t>
        </is>
      </c>
      <c r="O413" t="inlineStr">
        <is>
          <t>center</t>
        </is>
      </c>
      <c r="P413" t="inlineStr">
        <is>
          <t>center</t>
        </is>
      </c>
      <c r="R413" t="b">
        <v>1</v>
      </c>
      <c r="S413" t="inlineStr">
        <is>
          <t>G000007</t>
        </is>
      </c>
      <c r="T413" t="inlineStr">
        <is>
          <t>Vertical</t>
        </is>
      </c>
      <c r="U413" t="n">
        <v>120</v>
      </c>
      <c r="V413" t="b">
        <v>1</v>
      </c>
      <c r="W413" t="inlineStr">
        <is>
          <t>Loan calculator!H17:H136</t>
        </is>
      </c>
      <c r="X413">
        <f>IFERROR(IF(LoanIsNotPaid*LoanIsGood,EndingBalance,0), 0)</f>
        <v/>
      </c>
    </row>
    <row r="414">
      <c r="A414" t="inlineStr">
        <is>
          <t>Loan calculator</t>
        </is>
      </c>
      <c r="B414" t="inlineStr">
        <is>
          <t>I41</t>
        </is>
      </c>
      <c r="C414" t="n">
        <v>41</v>
      </c>
      <c r="D414" t="n">
        <v>9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11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n">
        <v/>
      </c>
      <c r="P414" t="inlineStr">
        <is>
          <t>center</t>
        </is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Loan calculator</t>
        </is>
      </c>
      <c r="B415" t="inlineStr">
        <is>
          <t>A42</t>
        </is>
      </c>
      <c r="C415" t="n">
        <v>42</v>
      </c>
      <c r="D415" t="n">
        <v>1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11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n">
        <v/>
      </c>
      <c r="P415" t="inlineStr">
        <is>
          <t>center</t>
        </is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Loan calculator</t>
        </is>
      </c>
      <c r="B416" t="inlineStr">
        <is>
          <t>B42</t>
        </is>
      </c>
      <c r="C416" t="n">
        <v>42</v>
      </c>
      <c r="D416" t="n">
        <v>2</v>
      </c>
      <c r="E416" t="inlineStr">
        <is>
          <t>Output</t>
        </is>
      </c>
      <c r="F416" t="inlineStr">
        <is>
          <t>'=IFERROR(IF(LoanIsNotPaid*LoanIsGood,PaymentNumber,""), "")</t>
        </is>
      </c>
      <c r="G416" t="n">
        <v>26</v>
      </c>
      <c r="H416" t="inlineStr"/>
      <c r="I416" t="inlineStr">
        <is>
          <t>#,##0</t>
        </is>
      </c>
      <c r="J416" t="b">
        <v>0</v>
      </c>
      <c r="K416" t="b">
        <v>0</v>
      </c>
      <c r="L416" t="n">
        <v>9</v>
      </c>
      <c r="M416" t="inlineStr">
        <is>
          <t>Values must be of type &lt;class 'str'&gt;</t>
        </is>
      </c>
      <c r="N416" t="inlineStr">
        <is>
          <t>00000000</t>
        </is>
      </c>
      <c r="O416" t="inlineStr">
        <is>
          <t>center</t>
        </is>
      </c>
      <c r="P416" t="inlineStr">
        <is>
          <t>center</t>
        </is>
      </c>
      <c r="R416" t="b">
        <v>1</v>
      </c>
      <c r="S416" t="inlineStr">
        <is>
          <t>G000001</t>
        </is>
      </c>
      <c r="T416" t="inlineStr">
        <is>
          <t>Vertical</t>
        </is>
      </c>
      <c r="U416" t="n">
        <v>120</v>
      </c>
      <c r="V416" t="b">
        <v>1</v>
      </c>
      <c r="W416" t="inlineStr">
        <is>
          <t>Loan calculator!B17:B136</t>
        </is>
      </c>
      <c r="X416">
        <f>IFERROR(IF(LoanIsNotPaid*LoanIsGood,PaymentNumber,""), "")</f>
        <v/>
      </c>
    </row>
    <row r="417">
      <c r="A417" t="inlineStr">
        <is>
          <t>Loan calculator</t>
        </is>
      </c>
      <c r="B417" t="inlineStr">
        <is>
          <t>C42</t>
        </is>
      </c>
      <c r="C417" t="n">
        <v>42</v>
      </c>
      <c r="D417" t="n">
        <v>3</v>
      </c>
      <c r="E417" t="inlineStr">
        <is>
          <t>Output</t>
        </is>
      </c>
      <c r="F417" t="inlineStr">
        <is>
          <t>'=IFERROR(IF(LoanIsNotPaid*LoanIsGood,PaymentDate,LoanStartDate), LoanStartDate)</t>
        </is>
      </c>
      <c r="G417" s="1" t="n">
        <v>46878</v>
      </c>
      <c r="H417" t="inlineStr"/>
      <c r="I417" t="inlineStr">
        <is>
          <t>mm-dd-yy</t>
        </is>
      </c>
      <c r="J417" t="b">
        <v>0</v>
      </c>
      <c r="K417" t="b">
        <v>0</v>
      </c>
      <c r="L417" t="n">
        <v>9</v>
      </c>
      <c r="M417" t="inlineStr">
        <is>
          <t>Values must be of type &lt;class 'str'&gt;</t>
        </is>
      </c>
      <c r="N417" t="inlineStr">
        <is>
          <t>00000000</t>
        </is>
      </c>
      <c r="O417" t="inlineStr">
        <is>
          <t>center</t>
        </is>
      </c>
      <c r="P417" t="inlineStr">
        <is>
          <t>center</t>
        </is>
      </c>
      <c r="R417" t="b">
        <v>1</v>
      </c>
      <c r="S417" t="inlineStr">
        <is>
          <t>G000002</t>
        </is>
      </c>
      <c r="T417" t="inlineStr">
        <is>
          <t>Vertical</t>
        </is>
      </c>
      <c r="U417" t="n">
        <v>120</v>
      </c>
      <c r="V417" t="b">
        <v>1</v>
      </c>
      <c r="W417" t="inlineStr">
        <is>
          <t>Loan calculator!C17:C136</t>
        </is>
      </c>
      <c r="X417">
        <f>IFERROR(IF(LoanIsNotPaid*LoanIsGood,PaymentDate,LoanStartDate), LoanStartDate)</f>
        <v/>
      </c>
    </row>
    <row r="418">
      <c r="A418" t="inlineStr">
        <is>
          <t>Loan calculator</t>
        </is>
      </c>
      <c r="B418" t="inlineStr">
        <is>
          <t>D42</t>
        </is>
      </c>
      <c r="C418" t="n">
        <v>42</v>
      </c>
      <c r="D418" t="n">
        <v>4</v>
      </c>
      <c r="E418" t="inlineStr">
        <is>
          <t>Output</t>
        </is>
      </c>
      <c r="F418" t="inlineStr">
        <is>
          <t>'=IFERROR(IF(LoanIsNotPaid*LoanIsGood,LoanValue,""), "")</t>
        </is>
      </c>
      <c r="G418" t="n">
        <v>8343.366664440255</v>
      </c>
      <c r="H418" t="inlineStr"/>
      <c r="I418" t="inlineStr">
        <is>
          <t>"$"#,##0.00</t>
        </is>
      </c>
      <c r="J418" t="b">
        <v>0</v>
      </c>
      <c r="K418" t="b">
        <v>0</v>
      </c>
      <c r="L418" t="n">
        <v>9</v>
      </c>
      <c r="M418" t="inlineStr">
        <is>
          <t>Values must be of type &lt;class 'str'&gt;</t>
        </is>
      </c>
      <c r="N418" t="inlineStr">
        <is>
          <t>00000000</t>
        </is>
      </c>
      <c r="O418" t="inlineStr">
        <is>
          <t>center</t>
        </is>
      </c>
      <c r="P418" t="inlineStr">
        <is>
          <t>center</t>
        </is>
      </c>
      <c r="R418" t="b">
        <v>1</v>
      </c>
      <c r="S418" t="inlineStr">
        <is>
          <t>G000003</t>
        </is>
      </c>
      <c r="T418" t="inlineStr">
        <is>
          <t>Vertical</t>
        </is>
      </c>
      <c r="U418" t="n">
        <v>120</v>
      </c>
      <c r="V418" t="b">
        <v>1</v>
      </c>
      <c r="W418" t="inlineStr">
        <is>
          <t>Loan calculator!D17:D136</t>
        </is>
      </c>
      <c r="X418">
        <f>IFERROR(IF(LoanIsNotPaid*LoanIsGood,LoanValue,""), "")</f>
        <v/>
      </c>
    </row>
    <row r="419">
      <c r="A419" t="inlineStr">
        <is>
          <t>Loan calculator</t>
        </is>
      </c>
      <c r="B419" t="inlineStr">
        <is>
          <t>E42</t>
        </is>
      </c>
      <c r="C419" t="n">
        <v>42</v>
      </c>
      <c r="D419" t="n">
        <v>5</v>
      </c>
      <c r="E419" t="inlineStr">
        <is>
          <t>Output</t>
        </is>
      </c>
      <c r="F419" t="inlineStr">
        <is>
          <t>'=IFERROR(IF(LoanIsNotPaid*LoanIsGood,MonthlyPayment,0), 0)</t>
        </is>
      </c>
      <c r="G419" t="n">
        <v>108.5262779604807</v>
      </c>
      <c r="H419" t="inlineStr"/>
      <c r="I419" t="inlineStr">
        <is>
          <t>"$"#,##0.00</t>
        </is>
      </c>
      <c r="J419" t="b">
        <v>0</v>
      </c>
      <c r="K419" t="b">
        <v>0</v>
      </c>
      <c r="L419" t="n">
        <v>9</v>
      </c>
      <c r="M419" t="inlineStr">
        <is>
          <t>Values must be of type &lt;class 'str'&gt;</t>
        </is>
      </c>
      <c r="N419" t="inlineStr">
        <is>
          <t>00000000</t>
        </is>
      </c>
      <c r="O419" t="inlineStr">
        <is>
          <t>center</t>
        </is>
      </c>
      <c r="P419" t="inlineStr">
        <is>
          <t>center</t>
        </is>
      </c>
      <c r="R419" t="b">
        <v>1</v>
      </c>
      <c r="S419" t="inlineStr">
        <is>
          <t>G000004</t>
        </is>
      </c>
      <c r="T419" t="inlineStr">
        <is>
          <t>Vertical</t>
        </is>
      </c>
      <c r="U419" t="n">
        <v>120</v>
      </c>
      <c r="V419" t="b">
        <v>1</v>
      </c>
      <c r="W419" t="inlineStr">
        <is>
          <t>Loan calculator!E17:E136</t>
        </is>
      </c>
      <c r="X419">
        <f>IFERROR(IF(LoanIsNotPaid*LoanIsGood,MonthlyPayment,0), 0)</f>
        <v/>
      </c>
    </row>
    <row r="420">
      <c r="A420" t="inlineStr">
        <is>
          <t>Loan calculator</t>
        </is>
      </c>
      <c r="B420" t="inlineStr">
        <is>
          <t>F42</t>
        </is>
      </c>
      <c r="C420" t="n">
        <v>42</v>
      </c>
      <c r="D420" t="n">
        <v>6</v>
      </c>
      <c r="E420" t="inlineStr">
        <is>
          <t>Output</t>
        </is>
      </c>
      <c r="F420" t="inlineStr">
        <is>
          <t>'=IFERROR(IF(LoanIsNotPaid*LoanIsGood,Principal,0), 0)</t>
        </is>
      </c>
      <c r="G420" t="n">
        <v>70.28584741512955</v>
      </c>
      <c r="H420" t="inlineStr"/>
      <c r="I420" t="inlineStr">
        <is>
          <t>"$"#,##0.00</t>
        </is>
      </c>
      <c r="J420" t="b">
        <v>0</v>
      </c>
      <c r="K420" t="b">
        <v>0</v>
      </c>
      <c r="L420" t="n">
        <v>9</v>
      </c>
      <c r="M420" t="inlineStr">
        <is>
          <t>Values must be of type &lt;class 'str'&gt;</t>
        </is>
      </c>
      <c r="N420" t="inlineStr">
        <is>
          <t>00000000</t>
        </is>
      </c>
      <c r="O420" t="inlineStr">
        <is>
          <t>center</t>
        </is>
      </c>
      <c r="P420" t="inlineStr">
        <is>
          <t>center</t>
        </is>
      </c>
      <c r="R420" t="b">
        <v>1</v>
      </c>
      <c r="S420" t="inlineStr">
        <is>
          <t>G000005</t>
        </is>
      </c>
      <c r="T420" t="inlineStr">
        <is>
          <t>Vertical</t>
        </is>
      </c>
      <c r="U420" t="n">
        <v>120</v>
      </c>
      <c r="V420" t="b">
        <v>1</v>
      </c>
      <c r="W420" t="inlineStr">
        <is>
          <t>Loan calculator!F17:F136</t>
        </is>
      </c>
      <c r="X420">
        <f>IFERROR(IF(LoanIsNotPaid*LoanIsGood,Principal,0), 0)</f>
        <v/>
      </c>
    </row>
    <row r="421">
      <c r="A421" t="inlineStr">
        <is>
          <t>Loan calculator</t>
        </is>
      </c>
      <c r="B421" t="inlineStr">
        <is>
          <t>G42</t>
        </is>
      </c>
      <c r="C421" t="n">
        <v>42</v>
      </c>
      <c r="D421" t="n">
        <v>7</v>
      </c>
      <c r="E421" t="inlineStr">
        <is>
          <t>Output</t>
        </is>
      </c>
      <c r="F421" t="inlineStr">
        <is>
          <t>'=IFERROR(IF(LoanIsNotPaid*LoanIsGood,InterestAmt,0), 0)</t>
        </is>
      </c>
      <c r="G421" t="n">
        <v>38.24043054535117</v>
      </c>
      <c r="H421" t="inlineStr"/>
      <c r="I421" t="inlineStr">
        <is>
          <t>"$"#,##0.00</t>
        </is>
      </c>
      <c r="J421" t="b">
        <v>0</v>
      </c>
      <c r="K421" t="b">
        <v>0</v>
      </c>
      <c r="L421" t="n">
        <v>9</v>
      </c>
      <c r="M421" t="inlineStr">
        <is>
          <t>Values must be of type &lt;class 'str'&gt;</t>
        </is>
      </c>
      <c r="N421" t="inlineStr">
        <is>
          <t>00000000</t>
        </is>
      </c>
      <c r="O421" t="inlineStr">
        <is>
          <t>center</t>
        </is>
      </c>
      <c r="P421" t="inlineStr">
        <is>
          <t>center</t>
        </is>
      </c>
      <c r="R421" t="b">
        <v>1</v>
      </c>
      <c r="S421" t="inlineStr">
        <is>
          <t>G000006</t>
        </is>
      </c>
      <c r="T421" t="inlineStr">
        <is>
          <t>Vertical</t>
        </is>
      </c>
      <c r="U421" t="n">
        <v>120</v>
      </c>
      <c r="V421" t="b">
        <v>1</v>
      </c>
      <c r="W421" t="inlineStr">
        <is>
          <t>Loan calculator!G17:G136</t>
        </is>
      </c>
      <c r="X421">
        <f>IFERROR(IF(LoanIsNotPaid*LoanIsGood,InterestAmt,0), 0)</f>
        <v/>
      </c>
    </row>
    <row r="422">
      <c r="A422" t="inlineStr">
        <is>
          <t>Loan calculator</t>
        </is>
      </c>
      <c r="B422" t="inlineStr">
        <is>
          <t>H42</t>
        </is>
      </c>
      <c r="C422" t="n">
        <v>42</v>
      </c>
      <c r="D422" t="n">
        <v>8</v>
      </c>
      <c r="E422" t="inlineStr">
        <is>
          <t>Output</t>
        </is>
      </c>
      <c r="F422" t="inlineStr">
        <is>
          <t>'=IFERROR(IF(LoanIsNotPaid*LoanIsGood,EndingBalance,0), 0)</t>
        </is>
      </c>
      <c r="G422" t="n">
        <v>8273.080817025126</v>
      </c>
      <c r="H422" t="inlineStr"/>
      <c r="I422" t="inlineStr">
        <is>
          <t>"$"#,##0.00</t>
        </is>
      </c>
      <c r="J422" t="b">
        <v>0</v>
      </c>
      <c r="K422" t="b">
        <v>0</v>
      </c>
      <c r="L422" t="n">
        <v>9</v>
      </c>
      <c r="M422" t="inlineStr">
        <is>
          <t>Values must be of type &lt;class 'str'&gt;</t>
        </is>
      </c>
      <c r="N422" t="inlineStr">
        <is>
          <t>00000000</t>
        </is>
      </c>
      <c r="O422" t="inlineStr">
        <is>
          <t>center</t>
        </is>
      </c>
      <c r="P422" t="inlineStr">
        <is>
          <t>center</t>
        </is>
      </c>
      <c r="R422" t="b">
        <v>1</v>
      </c>
      <c r="S422" t="inlineStr">
        <is>
          <t>G000007</t>
        </is>
      </c>
      <c r="T422" t="inlineStr">
        <is>
          <t>Vertical</t>
        </is>
      </c>
      <c r="U422" t="n">
        <v>120</v>
      </c>
      <c r="V422" t="b">
        <v>1</v>
      </c>
      <c r="W422" t="inlineStr">
        <is>
          <t>Loan calculator!H17:H136</t>
        </is>
      </c>
      <c r="X422">
        <f>IFERROR(IF(LoanIsNotPaid*LoanIsGood,EndingBalance,0), 0)</f>
        <v/>
      </c>
    </row>
    <row r="423">
      <c r="A423" t="inlineStr">
        <is>
          <t>Loan calculator</t>
        </is>
      </c>
      <c r="B423" t="inlineStr">
        <is>
          <t>I42</t>
        </is>
      </c>
      <c r="C423" t="n">
        <v>42</v>
      </c>
      <c r="D423" t="n">
        <v>9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11</v>
      </c>
      <c r="M423" t="inlineStr">
        <is>
          <t>Values must be of type &lt;class 'str'&gt;</t>
        </is>
      </c>
      <c r="N423" t="inlineStr">
        <is>
          <t>Values must be of type &lt;class 'str'&gt;</t>
        </is>
      </c>
      <c r="O423" t="n">
        <v/>
      </c>
      <c r="P423" t="inlineStr">
        <is>
          <t>center</t>
        </is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</row>
    <row r="424">
      <c r="A424" t="inlineStr">
        <is>
          <t>Loan calculator</t>
        </is>
      </c>
      <c r="B424" t="inlineStr">
        <is>
          <t>A43</t>
        </is>
      </c>
      <c r="C424" t="n">
        <v>43</v>
      </c>
      <c r="D424" t="n">
        <v>1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11</v>
      </c>
      <c r="M424" t="inlineStr">
        <is>
          <t>Values must be of type &lt;class 'str'&gt;</t>
        </is>
      </c>
      <c r="N424" t="inlineStr">
        <is>
          <t>Values must be of type &lt;class 'str'&gt;</t>
        </is>
      </c>
      <c r="O424" t="n">
        <v/>
      </c>
      <c r="P424" t="inlineStr">
        <is>
          <t>center</t>
        </is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</row>
    <row r="425">
      <c r="A425" t="inlineStr">
        <is>
          <t>Loan calculator</t>
        </is>
      </c>
      <c r="B425" t="inlineStr">
        <is>
          <t>B43</t>
        </is>
      </c>
      <c r="C425" t="n">
        <v>43</v>
      </c>
      <c r="D425" t="n">
        <v>2</v>
      </c>
      <c r="E425" t="inlineStr">
        <is>
          <t>Output</t>
        </is>
      </c>
      <c r="F425" t="inlineStr">
        <is>
          <t>'=IFERROR(IF(LoanIsNotPaid*LoanIsGood,PaymentNumber,""), "")</t>
        </is>
      </c>
      <c r="G425" t="n">
        <v>27</v>
      </c>
      <c r="H425" t="inlineStr"/>
      <c r="I425" t="inlineStr">
        <is>
          <t>#,##0</t>
        </is>
      </c>
      <c r="J425" t="b">
        <v>0</v>
      </c>
      <c r="K425" t="b">
        <v>0</v>
      </c>
      <c r="L425" t="n">
        <v>9</v>
      </c>
      <c r="M425" t="inlineStr">
        <is>
          <t>Values must be of type &lt;class 'str'&gt;</t>
        </is>
      </c>
      <c r="N425" t="inlineStr">
        <is>
          <t>00000000</t>
        </is>
      </c>
      <c r="O425" t="inlineStr">
        <is>
          <t>center</t>
        </is>
      </c>
      <c r="P425" t="inlineStr">
        <is>
          <t>center</t>
        </is>
      </c>
      <c r="R425" t="b">
        <v>1</v>
      </c>
      <c r="S425" t="inlineStr">
        <is>
          <t>G000001</t>
        </is>
      </c>
      <c r="T425" t="inlineStr">
        <is>
          <t>Vertical</t>
        </is>
      </c>
      <c r="U425" t="n">
        <v>120</v>
      </c>
      <c r="V425" t="b">
        <v>1</v>
      </c>
      <c r="W425" t="inlineStr">
        <is>
          <t>Loan calculator!B17:B136</t>
        </is>
      </c>
      <c r="X425">
        <f>IFERROR(IF(LoanIsNotPaid*LoanIsGood,PaymentNumber,""), "")</f>
        <v/>
      </c>
    </row>
    <row r="426">
      <c r="A426" t="inlineStr">
        <is>
          <t>Loan calculator</t>
        </is>
      </c>
      <c r="B426" t="inlineStr">
        <is>
          <t>C43</t>
        </is>
      </c>
      <c r="C426" t="n">
        <v>43</v>
      </c>
      <c r="D426" t="n">
        <v>3</v>
      </c>
      <c r="E426" t="inlineStr">
        <is>
          <t>Output</t>
        </is>
      </c>
      <c r="F426" t="inlineStr">
        <is>
          <t>'=IFERROR(IF(LoanIsNotPaid*LoanIsGood,PaymentDate,LoanStartDate), LoanStartDate)</t>
        </is>
      </c>
      <c r="G426" s="1" t="n">
        <v>46909</v>
      </c>
      <c r="H426" t="inlineStr"/>
      <c r="I426" t="inlineStr">
        <is>
          <t>mm-dd-yy</t>
        </is>
      </c>
      <c r="J426" t="b">
        <v>0</v>
      </c>
      <c r="K426" t="b">
        <v>0</v>
      </c>
      <c r="L426" t="n">
        <v>9</v>
      </c>
      <c r="M426" t="inlineStr">
        <is>
          <t>Values must be of type &lt;class 'str'&gt;</t>
        </is>
      </c>
      <c r="N426" t="inlineStr">
        <is>
          <t>00000000</t>
        </is>
      </c>
      <c r="O426" t="inlineStr">
        <is>
          <t>center</t>
        </is>
      </c>
      <c r="P426" t="inlineStr">
        <is>
          <t>center</t>
        </is>
      </c>
      <c r="R426" t="b">
        <v>1</v>
      </c>
      <c r="S426" t="inlineStr">
        <is>
          <t>G000002</t>
        </is>
      </c>
      <c r="T426" t="inlineStr">
        <is>
          <t>Vertical</t>
        </is>
      </c>
      <c r="U426" t="n">
        <v>120</v>
      </c>
      <c r="V426" t="b">
        <v>1</v>
      </c>
      <c r="W426" t="inlineStr">
        <is>
          <t>Loan calculator!C17:C136</t>
        </is>
      </c>
      <c r="X426">
        <f>IFERROR(IF(LoanIsNotPaid*LoanIsGood,PaymentDate,LoanStartDate), LoanStartDate)</f>
        <v/>
      </c>
    </row>
    <row r="427">
      <c r="A427" t="inlineStr">
        <is>
          <t>Loan calculator</t>
        </is>
      </c>
      <c r="B427" t="inlineStr">
        <is>
          <t>D43</t>
        </is>
      </c>
      <c r="C427" t="n">
        <v>43</v>
      </c>
      <c r="D427" t="n">
        <v>4</v>
      </c>
      <c r="E427" t="inlineStr">
        <is>
          <t>Output</t>
        </is>
      </c>
      <c r="F427" t="inlineStr">
        <is>
          <t>'=IFERROR(IF(LoanIsNotPaid*LoanIsGood,LoanValue,""), "")</t>
        </is>
      </c>
      <c r="G427" t="n">
        <v>8273.080817025126</v>
      </c>
      <c r="H427" t="inlineStr"/>
      <c r="I427" t="inlineStr">
        <is>
          <t>"$"#,##0.00</t>
        </is>
      </c>
      <c r="J427" t="b">
        <v>0</v>
      </c>
      <c r="K427" t="b">
        <v>0</v>
      </c>
      <c r="L427" t="n">
        <v>9</v>
      </c>
      <c r="M427" t="inlineStr">
        <is>
          <t>Values must be of type &lt;class 'str'&gt;</t>
        </is>
      </c>
      <c r="N427" t="inlineStr">
        <is>
          <t>00000000</t>
        </is>
      </c>
      <c r="O427" t="inlineStr">
        <is>
          <t>center</t>
        </is>
      </c>
      <c r="P427" t="inlineStr">
        <is>
          <t>center</t>
        </is>
      </c>
      <c r="R427" t="b">
        <v>1</v>
      </c>
      <c r="S427" t="inlineStr">
        <is>
          <t>G000003</t>
        </is>
      </c>
      <c r="T427" t="inlineStr">
        <is>
          <t>Vertical</t>
        </is>
      </c>
      <c r="U427" t="n">
        <v>120</v>
      </c>
      <c r="V427" t="b">
        <v>1</v>
      </c>
      <c r="W427" t="inlineStr">
        <is>
          <t>Loan calculator!D17:D136</t>
        </is>
      </c>
      <c r="X427">
        <f>IFERROR(IF(LoanIsNotPaid*LoanIsGood,LoanValue,""), "")</f>
        <v/>
      </c>
    </row>
    <row r="428">
      <c r="A428" t="inlineStr">
        <is>
          <t>Loan calculator</t>
        </is>
      </c>
      <c r="B428" t="inlineStr">
        <is>
          <t>E43</t>
        </is>
      </c>
      <c r="C428" t="n">
        <v>43</v>
      </c>
      <c r="D428" t="n">
        <v>5</v>
      </c>
      <c r="E428" t="inlineStr">
        <is>
          <t>Output</t>
        </is>
      </c>
      <c r="F428" t="inlineStr">
        <is>
          <t>'=IFERROR(IF(LoanIsNotPaid*LoanIsGood,MonthlyPayment,0), 0)</t>
        </is>
      </c>
      <c r="G428" t="n">
        <v>108.5262779604807</v>
      </c>
      <c r="H428" t="inlineStr"/>
      <c r="I428" t="inlineStr">
        <is>
          <t>"$"#,##0.00</t>
        </is>
      </c>
      <c r="J428" t="b">
        <v>0</v>
      </c>
      <c r="K428" t="b">
        <v>0</v>
      </c>
      <c r="L428" t="n">
        <v>9</v>
      </c>
      <c r="M428" t="inlineStr">
        <is>
          <t>Values must be of type &lt;class 'str'&gt;</t>
        </is>
      </c>
      <c r="N428" t="inlineStr">
        <is>
          <t>00000000</t>
        </is>
      </c>
      <c r="O428" t="inlineStr">
        <is>
          <t>center</t>
        </is>
      </c>
      <c r="P428" t="inlineStr">
        <is>
          <t>center</t>
        </is>
      </c>
      <c r="R428" t="b">
        <v>1</v>
      </c>
      <c r="S428" t="inlineStr">
        <is>
          <t>G000004</t>
        </is>
      </c>
      <c r="T428" t="inlineStr">
        <is>
          <t>Vertical</t>
        </is>
      </c>
      <c r="U428" t="n">
        <v>120</v>
      </c>
      <c r="V428" t="b">
        <v>1</v>
      </c>
      <c r="W428" t="inlineStr">
        <is>
          <t>Loan calculator!E17:E136</t>
        </is>
      </c>
      <c r="X428">
        <f>IFERROR(IF(LoanIsNotPaid*LoanIsGood,MonthlyPayment,0), 0)</f>
        <v/>
      </c>
    </row>
    <row r="429">
      <c r="A429" t="inlineStr">
        <is>
          <t>Loan calculator</t>
        </is>
      </c>
      <c r="B429" t="inlineStr">
        <is>
          <t>F43</t>
        </is>
      </c>
      <c r="C429" t="n">
        <v>43</v>
      </c>
      <c r="D429" t="n">
        <v>6</v>
      </c>
      <c r="E429" t="inlineStr">
        <is>
          <t>Output</t>
        </is>
      </c>
      <c r="F429" t="inlineStr">
        <is>
          <t>'=IFERROR(IF(LoanIsNotPaid*LoanIsGood,Principal,0), 0)</t>
        </is>
      </c>
      <c r="G429" t="n">
        <v>70.6079908824489</v>
      </c>
      <c r="H429" t="inlineStr"/>
      <c r="I429" t="inlineStr">
        <is>
          <t>"$"#,##0.00</t>
        </is>
      </c>
      <c r="J429" t="b">
        <v>0</v>
      </c>
      <c r="K429" t="b">
        <v>0</v>
      </c>
      <c r="L429" t="n">
        <v>9</v>
      </c>
      <c r="M429" t="inlineStr">
        <is>
          <t>Values must be of type &lt;class 'str'&gt;</t>
        </is>
      </c>
      <c r="N429" t="inlineStr">
        <is>
          <t>00000000</t>
        </is>
      </c>
      <c r="O429" t="inlineStr">
        <is>
          <t>center</t>
        </is>
      </c>
      <c r="P429" t="inlineStr">
        <is>
          <t>center</t>
        </is>
      </c>
      <c r="R429" t="b">
        <v>1</v>
      </c>
      <c r="S429" t="inlineStr">
        <is>
          <t>G000005</t>
        </is>
      </c>
      <c r="T429" t="inlineStr">
        <is>
          <t>Vertical</t>
        </is>
      </c>
      <c r="U429" t="n">
        <v>120</v>
      </c>
      <c r="V429" t="b">
        <v>1</v>
      </c>
      <c r="W429" t="inlineStr">
        <is>
          <t>Loan calculator!F17:F136</t>
        </is>
      </c>
      <c r="X429">
        <f>IFERROR(IF(LoanIsNotPaid*LoanIsGood,Principal,0), 0)</f>
        <v/>
      </c>
    </row>
    <row r="430">
      <c r="A430" t="inlineStr">
        <is>
          <t>Loan calculator</t>
        </is>
      </c>
      <c r="B430" t="inlineStr">
        <is>
          <t>G43</t>
        </is>
      </c>
      <c r="C430" t="n">
        <v>43</v>
      </c>
      <c r="D430" t="n">
        <v>7</v>
      </c>
      <c r="E430" t="inlineStr">
        <is>
          <t>Output</t>
        </is>
      </c>
      <c r="F430" t="inlineStr">
        <is>
          <t>'=IFERROR(IF(LoanIsNotPaid*LoanIsGood,InterestAmt,0), 0)</t>
        </is>
      </c>
      <c r="G430" t="n">
        <v>37.91828707803184</v>
      </c>
      <c r="H430" t="inlineStr"/>
      <c r="I430" t="inlineStr">
        <is>
          <t>"$"#,##0.00</t>
        </is>
      </c>
      <c r="J430" t="b">
        <v>0</v>
      </c>
      <c r="K430" t="b">
        <v>0</v>
      </c>
      <c r="L430" t="n">
        <v>9</v>
      </c>
      <c r="M430" t="inlineStr">
        <is>
          <t>Values must be of type &lt;class 'str'&gt;</t>
        </is>
      </c>
      <c r="N430" t="inlineStr">
        <is>
          <t>00000000</t>
        </is>
      </c>
      <c r="O430" t="inlineStr">
        <is>
          <t>center</t>
        </is>
      </c>
      <c r="P430" t="inlineStr">
        <is>
          <t>center</t>
        </is>
      </c>
      <c r="R430" t="b">
        <v>1</v>
      </c>
      <c r="S430" t="inlineStr">
        <is>
          <t>G000006</t>
        </is>
      </c>
      <c r="T430" t="inlineStr">
        <is>
          <t>Vertical</t>
        </is>
      </c>
      <c r="U430" t="n">
        <v>120</v>
      </c>
      <c r="V430" t="b">
        <v>1</v>
      </c>
      <c r="W430" t="inlineStr">
        <is>
          <t>Loan calculator!G17:G136</t>
        </is>
      </c>
      <c r="X430">
        <f>IFERROR(IF(LoanIsNotPaid*LoanIsGood,InterestAmt,0), 0)</f>
        <v/>
      </c>
    </row>
    <row r="431">
      <c r="A431" t="inlineStr">
        <is>
          <t>Loan calculator</t>
        </is>
      </c>
      <c r="B431" t="inlineStr">
        <is>
          <t>H43</t>
        </is>
      </c>
      <c r="C431" t="n">
        <v>43</v>
      </c>
      <c r="D431" t="n">
        <v>8</v>
      </c>
      <c r="E431" t="inlineStr">
        <is>
          <t>Output</t>
        </is>
      </c>
      <c r="F431" t="inlineStr">
        <is>
          <t>'=IFERROR(IF(LoanIsNotPaid*LoanIsGood,EndingBalance,0), 0)</t>
        </is>
      </c>
      <c r="G431" t="n">
        <v>8202.472826142679</v>
      </c>
      <c r="H431" t="inlineStr"/>
      <c r="I431" t="inlineStr">
        <is>
          <t>"$"#,##0.00</t>
        </is>
      </c>
      <c r="J431" t="b">
        <v>0</v>
      </c>
      <c r="K431" t="b">
        <v>0</v>
      </c>
      <c r="L431" t="n">
        <v>9</v>
      </c>
      <c r="M431" t="inlineStr">
        <is>
          <t>Values must be of type &lt;class 'str'&gt;</t>
        </is>
      </c>
      <c r="N431" t="inlineStr">
        <is>
          <t>00000000</t>
        </is>
      </c>
      <c r="O431" t="inlineStr">
        <is>
          <t>center</t>
        </is>
      </c>
      <c r="P431" t="inlineStr">
        <is>
          <t>center</t>
        </is>
      </c>
      <c r="R431" t="b">
        <v>1</v>
      </c>
      <c r="S431" t="inlineStr">
        <is>
          <t>G000007</t>
        </is>
      </c>
      <c r="T431" t="inlineStr">
        <is>
          <t>Vertical</t>
        </is>
      </c>
      <c r="U431" t="n">
        <v>120</v>
      </c>
      <c r="V431" t="b">
        <v>1</v>
      </c>
      <c r="W431" t="inlineStr">
        <is>
          <t>Loan calculator!H17:H136</t>
        </is>
      </c>
      <c r="X431">
        <f>IFERROR(IF(LoanIsNotPaid*LoanIsGood,EndingBalance,0), 0)</f>
        <v/>
      </c>
    </row>
    <row r="432">
      <c r="A432" t="inlineStr">
        <is>
          <t>Loan calculator</t>
        </is>
      </c>
      <c r="B432" t="inlineStr">
        <is>
          <t>I43</t>
        </is>
      </c>
      <c r="C432" t="n">
        <v>43</v>
      </c>
      <c r="D432" t="n">
        <v>9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11</v>
      </c>
      <c r="M432" t="inlineStr">
        <is>
          <t>Values must be of type &lt;class 'str'&gt;</t>
        </is>
      </c>
      <c r="N432" t="inlineStr">
        <is>
          <t>Values must be of type &lt;class 'str'&gt;</t>
        </is>
      </c>
      <c r="O432" t="n">
        <v/>
      </c>
      <c r="P432" t="inlineStr">
        <is>
          <t>center</t>
        </is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Loan calculator</t>
        </is>
      </c>
      <c r="B433" t="inlineStr">
        <is>
          <t>A44</t>
        </is>
      </c>
      <c r="C433" t="n">
        <v>44</v>
      </c>
      <c r="D433" t="n">
        <v>1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11</v>
      </c>
      <c r="M433" t="inlineStr">
        <is>
          <t>Values must be of type &lt;class 'str'&gt;</t>
        </is>
      </c>
      <c r="N433" t="inlineStr">
        <is>
          <t>Values must be of type &lt;class 'str'&gt;</t>
        </is>
      </c>
      <c r="O433" t="n">
        <v/>
      </c>
      <c r="P433" t="inlineStr">
        <is>
          <t>center</t>
        </is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Loan calculator</t>
        </is>
      </c>
      <c r="B434" t="inlineStr">
        <is>
          <t>B44</t>
        </is>
      </c>
      <c r="C434" t="n">
        <v>44</v>
      </c>
      <c r="D434" t="n">
        <v>2</v>
      </c>
      <c r="E434" t="inlineStr">
        <is>
          <t>Output</t>
        </is>
      </c>
      <c r="F434" t="inlineStr">
        <is>
          <t>'=IFERROR(IF(LoanIsNotPaid*LoanIsGood,PaymentNumber,""), "")</t>
        </is>
      </c>
      <c r="G434" t="n">
        <v>28</v>
      </c>
      <c r="H434" t="inlineStr"/>
      <c r="I434" t="inlineStr">
        <is>
          <t>#,##0</t>
        </is>
      </c>
      <c r="J434" t="b">
        <v>0</v>
      </c>
      <c r="K434" t="b">
        <v>0</v>
      </c>
      <c r="L434" t="n">
        <v>9</v>
      </c>
      <c r="M434" t="inlineStr">
        <is>
          <t>Values must be of type &lt;class 'str'&gt;</t>
        </is>
      </c>
      <c r="N434" t="inlineStr">
        <is>
          <t>00000000</t>
        </is>
      </c>
      <c r="O434" t="inlineStr">
        <is>
          <t>center</t>
        </is>
      </c>
      <c r="P434" t="inlineStr">
        <is>
          <t>center</t>
        </is>
      </c>
      <c r="R434" t="b">
        <v>1</v>
      </c>
      <c r="S434" t="inlineStr">
        <is>
          <t>G000001</t>
        </is>
      </c>
      <c r="T434" t="inlineStr">
        <is>
          <t>Vertical</t>
        </is>
      </c>
      <c r="U434" t="n">
        <v>120</v>
      </c>
      <c r="V434" t="b">
        <v>1</v>
      </c>
      <c r="W434" t="inlineStr">
        <is>
          <t>Loan calculator!B17:B136</t>
        </is>
      </c>
      <c r="X434">
        <f>IFERROR(IF(LoanIsNotPaid*LoanIsGood,PaymentNumber,""), "")</f>
        <v/>
      </c>
    </row>
    <row r="435">
      <c r="A435" t="inlineStr">
        <is>
          <t>Loan calculator</t>
        </is>
      </c>
      <c r="B435" t="inlineStr">
        <is>
          <t>C44</t>
        </is>
      </c>
      <c r="C435" t="n">
        <v>44</v>
      </c>
      <c r="D435" t="n">
        <v>3</v>
      </c>
      <c r="E435" t="inlineStr">
        <is>
          <t>Output</t>
        </is>
      </c>
      <c r="F435" t="inlineStr">
        <is>
          <t>'=IFERROR(IF(LoanIsNotPaid*LoanIsGood,PaymentDate,LoanStartDate), LoanStartDate)</t>
        </is>
      </c>
      <c r="G435" s="1" t="n">
        <v>46939</v>
      </c>
      <c r="H435" t="inlineStr"/>
      <c r="I435" t="inlineStr">
        <is>
          <t>mm-dd-yy</t>
        </is>
      </c>
      <c r="J435" t="b">
        <v>0</v>
      </c>
      <c r="K435" t="b">
        <v>0</v>
      </c>
      <c r="L435" t="n">
        <v>9</v>
      </c>
      <c r="M435" t="inlineStr">
        <is>
          <t>Values must be of type &lt;class 'str'&gt;</t>
        </is>
      </c>
      <c r="N435" t="inlineStr">
        <is>
          <t>00000000</t>
        </is>
      </c>
      <c r="O435" t="inlineStr">
        <is>
          <t>center</t>
        </is>
      </c>
      <c r="P435" t="inlineStr">
        <is>
          <t>center</t>
        </is>
      </c>
      <c r="R435" t="b">
        <v>1</v>
      </c>
      <c r="S435" t="inlineStr">
        <is>
          <t>G000002</t>
        </is>
      </c>
      <c r="T435" t="inlineStr">
        <is>
          <t>Vertical</t>
        </is>
      </c>
      <c r="U435" t="n">
        <v>120</v>
      </c>
      <c r="V435" t="b">
        <v>1</v>
      </c>
      <c r="W435" t="inlineStr">
        <is>
          <t>Loan calculator!C17:C136</t>
        </is>
      </c>
      <c r="X435">
        <f>IFERROR(IF(LoanIsNotPaid*LoanIsGood,PaymentDate,LoanStartDate), LoanStartDate)</f>
        <v/>
      </c>
    </row>
    <row r="436">
      <c r="A436" t="inlineStr">
        <is>
          <t>Loan calculator</t>
        </is>
      </c>
      <c r="B436" t="inlineStr">
        <is>
          <t>D44</t>
        </is>
      </c>
      <c r="C436" t="n">
        <v>44</v>
      </c>
      <c r="D436" t="n">
        <v>4</v>
      </c>
      <c r="E436" t="inlineStr">
        <is>
          <t>Output</t>
        </is>
      </c>
      <c r="F436" t="inlineStr">
        <is>
          <t>'=IFERROR(IF(LoanIsNotPaid*LoanIsGood,LoanValue,""), "")</t>
        </is>
      </c>
      <c r="G436" t="n">
        <v>8202.472826142679</v>
      </c>
      <c r="H436" t="inlineStr"/>
      <c r="I436" t="inlineStr">
        <is>
          <t>"$"#,##0.00</t>
        </is>
      </c>
      <c r="J436" t="b">
        <v>0</v>
      </c>
      <c r="K436" t="b">
        <v>0</v>
      </c>
      <c r="L436" t="n">
        <v>9</v>
      </c>
      <c r="M436" t="inlineStr">
        <is>
          <t>Values must be of type &lt;class 'str'&gt;</t>
        </is>
      </c>
      <c r="N436" t="inlineStr">
        <is>
          <t>00000000</t>
        </is>
      </c>
      <c r="O436" t="inlineStr">
        <is>
          <t>center</t>
        </is>
      </c>
      <c r="P436" t="inlineStr">
        <is>
          <t>center</t>
        </is>
      </c>
      <c r="R436" t="b">
        <v>1</v>
      </c>
      <c r="S436" t="inlineStr">
        <is>
          <t>G000003</t>
        </is>
      </c>
      <c r="T436" t="inlineStr">
        <is>
          <t>Vertical</t>
        </is>
      </c>
      <c r="U436" t="n">
        <v>120</v>
      </c>
      <c r="V436" t="b">
        <v>1</v>
      </c>
      <c r="W436" t="inlineStr">
        <is>
          <t>Loan calculator!D17:D136</t>
        </is>
      </c>
      <c r="X436">
        <f>IFERROR(IF(LoanIsNotPaid*LoanIsGood,LoanValue,""), "")</f>
        <v/>
      </c>
    </row>
    <row r="437">
      <c r="A437" t="inlineStr">
        <is>
          <t>Loan calculator</t>
        </is>
      </c>
      <c r="B437" t="inlineStr">
        <is>
          <t>E44</t>
        </is>
      </c>
      <c r="C437" t="n">
        <v>44</v>
      </c>
      <c r="D437" t="n">
        <v>5</v>
      </c>
      <c r="E437" t="inlineStr">
        <is>
          <t>Output</t>
        </is>
      </c>
      <c r="F437" t="inlineStr">
        <is>
          <t>'=IFERROR(IF(LoanIsNotPaid*LoanIsGood,MonthlyPayment,0), 0)</t>
        </is>
      </c>
      <c r="G437" t="n">
        <v>108.5262779604807</v>
      </c>
      <c r="H437" t="inlineStr"/>
      <c r="I437" t="inlineStr">
        <is>
          <t>"$"#,##0.00</t>
        </is>
      </c>
      <c r="J437" t="b">
        <v>0</v>
      </c>
      <c r="K437" t="b">
        <v>0</v>
      </c>
      <c r="L437" t="n">
        <v>9</v>
      </c>
      <c r="M437" t="inlineStr">
        <is>
          <t>Values must be of type &lt;class 'str'&gt;</t>
        </is>
      </c>
      <c r="N437" t="inlineStr">
        <is>
          <t>00000000</t>
        </is>
      </c>
      <c r="O437" t="inlineStr">
        <is>
          <t>center</t>
        </is>
      </c>
      <c r="P437" t="inlineStr">
        <is>
          <t>center</t>
        </is>
      </c>
      <c r="R437" t="b">
        <v>1</v>
      </c>
      <c r="S437" t="inlineStr">
        <is>
          <t>G000004</t>
        </is>
      </c>
      <c r="T437" t="inlineStr">
        <is>
          <t>Vertical</t>
        </is>
      </c>
      <c r="U437" t="n">
        <v>120</v>
      </c>
      <c r="V437" t="b">
        <v>1</v>
      </c>
      <c r="W437" t="inlineStr">
        <is>
          <t>Loan calculator!E17:E136</t>
        </is>
      </c>
      <c r="X437">
        <f>IFERROR(IF(LoanIsNotPaid*LoanIsGood,MonthlyPayment,0), 0)</f>
        <v/>
      </c>
    </row>
    <row r="438">
      <c r="A438" t="inlineStr">
        <is>
          <t>Loan calculator</t>
        </is>
      </c>
      <c r="B438" t="inlineStr">
        <is>
          <t>F44</t>
        </is>
      </c>
      <c r="C438" t="n">
        <v>44</v>
      </c>
      <c r="D438" t="n">
        <v>6</v>
      </c>
      <c r="E438" t="inlineStr">
        <is>
          <t>Output</t>
        </is>
      </c>
      <c r="F438" t="inlineStr">
        <is>
          <t>'=IFERROR(IF(LoanIsNotPaid*LoanIsGood,Principal,0), 0)</t>
        </is>
      </c>
      <c r="G438" t="n">
        <v>70.93161084066011</v>
      </c>
      <c r="H438" t="inlineStr"/>
      <c r="I438" t="inlineStr">
        <is>
          <t>"$"#,##0.00</t>
        </is>
      </c>
      <c r="J438" t="b">
        <v>0</v>
      </c>
      <c r="K438" t="b">
        <v>0</v>
      </c>
      <c r="L438" t="n">
        <v>9</v>
      </c>
      <c r="M438" t="inlineStr">
        <is>
          <t>Values must be of type &lt;class 'str'&gt;</t>
        </is>
      </c>
      <c r="N438" t="inlineStr">
        <is>
          <t>00000000</t>
        </is>
      </c>
      <c r="O438" t="inlineStr">
        <is>
          <t>center</t>
        </is>
      </c>
      <c r="P438" t="inlineStr">
        <is>
          <t>center</t>
        </is>
      </c>
      <c r="R438" t="b">
        <v>1</v>
      </c>
      <c r="S438" t="inlineStr">
        <is>
          <t>G000005</t>
        </is>
      </c>
      <c r="T438" t="inlineStr">
        <is>
          <t>Vertical</t>
        </is>
      </c>
      <c r="U438" t="n">
        <v>120</v>
      </c>
      <c r="V438" t="b">
        <v>1</v>
      </c>
      <c r="W438" t="inlineStr">
        <is>
          <t>Loan calculator!F17:F136</t>
        </is>
      </c>
      <c r="X438">
        <f>IFERROR(IF(LoanIsNotPaid*LoanIsGood,Principal,0), 0)</f>
        <v/>
      </c>
    </row>
    <row r="439">
      <c r="A439" t="inlineStr">
        <is>
          <t>Loan calculator</t>
        </is>
      </c>
      <c r="B439" t="inlineStr">
        <is>
          <t>G44</t>
        </is>
      </c>
      <c r="C439" t="n">
        <v>44</v>
      </c>
      <c r="D439" t="n">
        <v>7</v>
      </c>
      <c r="E439" t="inlineStr">
        <is>
          <t>Output</t>
        </is>
      </c>
      <c r="F439" t="inlineStr">
        <is>
          <t>'=IFERROR(IF(LoanIsNotPaid*LoanIsGood,InterestAmt,0), 0)</t>
        </is>
      </c>
      <c r="G439" t="n">
        <v>37.59466711982061</v>
      </c>
      <c r="H439" t="inlineStr"/>
      <c r="I439" t="inlineStr">
        <is>
          <t>"$"#,##0.00</t>
        </is>
      </c>
      <c r="J439" t="b">
        <v>0</v>
      </c>
      <c r="K439" t="b">
        <v>0</v>
      </c>
      <c r="L439" t="n">
        <v>9</v>
      </c>
      <c r="M439" t="inlineStr">
        <is>
          <t>Values must be of type &lt;class 'str'&gt;</t>
        </is>
      </c>
      <c r="N439" t="inlineStr">
        <is>
          <t>00000000</t>
        </is>
      </c>
      <c r="O439" t="inlineStr">
        <is>
          <t>center</t>
        </is>
      </c>
      <c r="P439" t="inlineStr">
        <is>
          <t>center</t>
        </is>
      </c>
      <c r="R439" t="b">
        <v>1</v>
      </c>
      <c r="S439" t="inlineStr">
        <is>
          <t>G000006</t>
        </is>
      </c>
      <c r="T439" t="inlineStr">
        <is>
          <t>Vertical</t>
        </is>
      </c>
      <c r="U439" t="n">
        <v>120</v>
      </c>
      <c r="V439" t="b">
        <v>1</v>
      </c>
      <c r="W439" t="inlineStr">
        <is>
          <t>Loan calculator!G17:G136</t>
        </is>
      </c>
      <c r="X439">
        <f>IFERROR(IF(LoanIsNotPaid*LoanIsGood,InterestAmt,0), 0)</f>
        <v/>
      </c>
    </row>
    <row r="440">
      <c r="A440" t="inlineStr">
        <is>
          <t>Loan calculator</t>
        </is>
      </c>
      <c r="B440" t="inlineStr">
        <is>
          <t>H44</t>
        </is>
      </c>
      <c r="C440" t="n">
        <v>44</v>
      </c>
      <c r="D440" t="n">
        <v>8</v>
      </c>
      <c r="E440" t="inlineStr">
        <is>
          <t>Output</t>
        </is>
      </c>
      <c r="F440" t="inlineStr">
        <is>
          <t>'=IFERROR(IF(LoanIsNotPaid*LoanIsGood,EndingBalance,0), 0)</t>
        </is>
      </c>
      <c r="G440" t="n">
        <v>8131.541215302017</v>
      </c>
      <c r="H440" t="inlineStr"/>
      <c r="I440" t="inlineStr">
        <is>
          <t>"$"#,##0.00</t>
        </is>
      </c>
      <c r="J440" t="b">
        <v>0</v>
      </c>
      <c r="K440" t="b">
        <v>0</v>
      </c>
      <c r="L440" t="n">
        <v>9</v>
      </c>
      <c r="M440" t="inlineStr">
        <is>
          <t>Values must be of type &lt;class 'str'&gt;</t>
        </is>
      </c>
      <c r="N440" t="inlineStr">
        <is>
          <t>00000000</t>
        </is>
      </c>
      <c r="O440" t="inlineStr">
        <is>
          <t>center</t>
        </is>
      </c>
      <c r="P440" t="inlineStr">
        <is>
          <t>center</t>
        </is>
      </c>
      <c r="R440" t="b">
        <v>1</v>
      </c>
      <c r="S440" t="inlineStr">
        <is>
          <t>G000007</t>
        </is>
      </c>
      <c r="T440" t="inlineStr">
        <is>
          <t>Vertical</t>
        </is>
      </c>
      <c r="U440" t="n">
        <v>120</v>
      </c>
      <c r="V440" t="b">
        <v>1</v>
      </c>
      <c r="W440" t="inlineStr">
        <is>
          <t>Loan calculator!H17:H136</t>
        </is>
      </c>
      <c r="X440">
        <f>IFERROR(IF(LoanIsNotPaid*LoanIsGood,EndingBalance,0), 0)</f>
        <v/>
      </c>
    </row>
    <row r="441">
      <c r="A441" t="inlineStr">
        <is>
          <t>Loan calculator</t>
        </is>
      </c>
      <c r="B441" t="inlineStr">
        <is>
          <t>I44</t>
        </is>
      </c>
      <c r="C441" t="n">
        <v>44</v>
      </c>
      <c r="D441" t="n">
        <v>9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11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n">
        <v/>
      </c>
      <c r="P441" t="inlineStr">
        <is>
          <t>center</t>
        </is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Loan calculator</t>
        </is>
      </c>
      <c r="B442" t="inlineStr">
        <is>
          <t>A45</t>
        </is>
      </c>
      <c r="C442" t="n">
        <v>45</v>
      </c>
      <c r="D442" t="n">
        <v>1</v>
      </c>
      <c r="E442" t="inlineStr">
        <is>
          <t>Input</t>
        </is>
      </c>
      <c r="F442" t="n">
        <v/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11</v>
      </c>
      <c r="M442" t="inlineStr">
        <is>
          <t>Values must be of type &lt;class 'str'&gt;</t>
        </is>
      </c>
      <c r="N442" t="inlineStr">
        <is>
          <t>Values must be of type &lt;class 'str'&gt;</t>
        </is>
      </c>
      <c r="O442" t="n">
        <v/>
      </c>
      <c r="P442" t="inlineStr">
        <is>
          <t>center</t>
        </is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Loan calculator</t>
        </is>
      </c>
      <c r="B443" t="inlineStr">
        <is>
          <t>B45</t>
        </is>
      </c>
      <c r="C443" t="n">
        <v>45</v>
      </c>
      <c r="D443" t="n">
        <v>2</v>
      </c>
      <c r="E443" t="inlineStr">
        <is>
          <t>Output</t>
        </is>
      </c>
      <c r="F443" t="inlineStr">
        <is>
          <t>'=IFERROR(IF(LoanIsNotPaid*LoanIsGood,PaymentNumber,""), "")</t>
        </is>
      </c>
      <c r="G443" t="n">
        <v>29</v>
      </c>
      <c r="H443" t="inlineStr"/>
      <c r="I443" t="inlineStr">
        <is>
          <t>#,##0</t>
        </is>
      </c>
      <c r="J443" t="b">
        <v>0</v>
      </c>
      <c r="K443" t="b">
        <v>0</v>
      </c>
      <c r="L443" t="n">
        <v>9</v>
      </c>
      <c r="M443" t="inlineStr">
        <is>
          <t>Values must be of type &lt;class 'str'&gt;</t>
        </is>
      </c>
      <c r="N443" t="inlineStr">
        <is>
          <t>00000000</t>
        </is>
      </c>
      <c r="O443" t="inlineStr">
        <is>
          <t>center</t>
        </is>
      </c>
      <c r="P443" t="inlineStr">
        <is>
          <t>center</t>
        </is>
      </c>
      <c r="R443" t="b">
        <v>1</v>
      </c>
      <c r="S443" t="inlineStr">
        <is>
          <t>G000001</t>
        </is>
      </c>
      <c r="T443" t="inlineStr">
        <is>
          <t>Vertical</t>
        </is>
      </c>
      <c r="U443" t="n">
        <v>120</v>
      </c>
      <c r="V443" t="b">
        <v>1</v>
      </c>
      <c r="W443" t="inlineStr">
        <is>
          <t>Loan calculator!B17:B136</t>
        </is>
      </c>
      <c r="X443">
        <f>IFERROR(IF(LoanIsNotPaid*LoanIsGood,PaymentNumber,""), "")</f>
        <v/>
      </c>
    </row>
    <row r="444">
      <c r="A444" t="inlineStr">
        <is>
          <t>Loan calculator</t>
        </is>
      </c>
      <c r="B444" t="inlineStr">
        <is>
          <t>C45</t>
        </is>
      </c>
      <c r="C444" t="n">
        <v>45</v>
      </c>
      <c r="D444" t="n">
        <v>3</v>
      </c>
      <c r="E444" t="inlineStr">
        <is>
          <t>Output</t>
        </is>
      </c>
      <c r="F444" t="inlineStr">
        <is>
          <t>'=IFERROR(IF(LoanIsNotPaid*LoanIsGood,PaymentDate,LoanStartDate), LoanStartDate)</t>
        </is>
      </c>
      <c r="G444" s="1" t="n">
        <v>46970</v>
      </c>
      <c r="H444" t="inlineStr"/>
      <c r="I444" t="inlineStr">
        <is>
          <t>mm-dd-yy</t>
        </is>
      </c>
      <c r="J444" t="b">
        <v>0</v>
      </c>
      <c r="K444" t="b">
        <v>0</v>
      </c>
      <c r="L444" t="n">
        <v>9</v>
      </c>
      <c r="M444" t="inlineStr">
        <is>
          <t>Values must be of type &lt;class 'str'&gt;</t>
        </is>
      </c>
      <c r="N444" t="inlineStr">
        <is>
          <t>00000000</t>
        </is>
      </c>
      <c r="O444" t="inlineStr">
        <is>
          <t>center</t>
        </is>
      </c>
      <c r="P444" t="inlineStr">
        <is>
          <t>center</t>
        </is>
      </c>
      <c r="R444" t="b">
        <v>1</v>
      </c>
      <c r="S444" t="inlineStr">
        <is>
          <t>G000002</t>
        </is>
      </c>
      <c r="T444" t="inlineStr">
        <is>
          <t>Vertical</t>
        </is>
      </c>
      <c r="U444" t="n">
        <v>120</v>
      </c>
      <c r="V444" t="b">
        <v>1</v>
      </c>
      <c r="W444" t="inlineStr">
        <is>
          <t>Loan calculator!C17:C136</t>
        </is>
      </c>
      <c r="X444">
        <f>IFERROR(IF(LoanIsNotPaid*LoanIsGood,PaymentDate,LoanStartDate), LoanStartDate)</f>
        <v/>
      </c>
    </row>
    <row r="445">
      <c r="A445" t="inlineStr">
        <is>
          <t>Loan calculator</t>
        </is>
      </c>
      <c r="B445" t="inlineStr">
        <is>
          <t>D45</t>
        </is>
      </c>
      <c r="C445" t="n">
        <v>45</v>
      </c>
      <c r="D445" t="n">
        <v>4</v>
      </c>
      <c r="E445" t="inlineStr">
        <is>
          <t>Output</t>
        </is>
      </c>
      <c r="F445" t="inlineStr">
        <is>
          <t>'=IFERROR(IF(LoanIsNotPaid*LoanIsGood,LoanValue,""), "")</t>
        </is>
      </c>
      <c r="G445" t="n">
        <v>8131.541215302017</v>
      </c>
      <c r="H445" t="inlineStr"/>
      <c r="I445" t="inlineStr">
        <is>
          <t>"$"#,##0.00</t>
        </is>
      </c>
      <c r="J445" t="b">
        <v>0</v>
      </c>
      <c r="K445" t="b">
        <v>0</v>
      </c>
      <c r="L445" t="n">
        <v>9</v>
      </c>
      <c r="M445" t="inlineStr">
        <is>
          <t>Values must be of type &lt;class 'str'&gt;</t>
        </is>
      </c>
      <c r="N445" t="inlineStr">
        <is>
          <t>00000000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inlineStr">
        <is>
          <t>G000003</t>
        </is>
      </c>
      <c r="T445" t="inlineStr">
        <is>
          <t>Vertical</t>
        </is>
      </c>
      <c r="U445" t="n">
        <v>120</v>
      </c>
      <c r="V445" t="b">
        <v>1</v>
      </c>
      <c r="W445" t="inlineStr">
        <is>
          <t>Loan calculator!D17:D136</t>
        </is>
      </c>
      <c r="X445">
        <f>IFERROR(IF(LoanIsNotPaid*LoanIsGood,LoanValue,""), "")</f>
        <v/>
      </c>
    </row>
    <row r="446">
      <c r="A446" t="inlineStr">
        <is>
          <t>Loan calculator</t>
        </is>
      </c>
      <c r="B446" t="inlineStr">
        <is>
          <t>E45</t>
        </is>
      </c>
      <c r="C446" t="n">
        <v>45</v>
      </c>
      <c r="D446" t="n">
        <v>5</v>
      </c>
      <c r="E446" t="inlineStr">
        <is>
          <t>Output</t>
        </is>
      </c>
      <c r="F446" t="inlineStr">
        <is>
          <t>'=IFERROR(IF(LoanIsNotPaid*LoanIsGood,MonthlyPayment,0), 0)</t>
        </is>
      </c>
      <c r="G446" t="n">
        <v>108.5262779604807</v>
      </c>
      <c r="H446" t="inlineStr"/>
      <c r="I446" t="inlineStr">
        <is>
          <t>"$"#,##0.00</t>
        </is>
      </c>
      <c r="J446" t="b">
        <v>0</v>
      </c>
      <c r="K446" t="b">
        <v>0</v>
      </c>
      <c r="L446" t="n">
        <v>9</v>
      </c>
      <c r="M446" t="inlineStr">
        <is>
          <t>Values must be of type &lt;class 'str'&gt;</t>
        </is>
      </c>
      <c r="N446" t="inlineStr">
        <is>
          <t>00000000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inlineStr">
        <is>
          <t>G000004</t>
        </is>
      </c>
      <c r="T446" t="inlineStr">
        <is>
          <t>Vertical</t>
        </is>
      </c>
      <c r="U446" t="n">
        <v>120</v>
      </c>
      <c r="V446" t="b">
        <v>1</v>
      </c>
      <c r="W446" t="inlineStr">
        <is>
          <t>Loan calculator!E17:E136</t>
        </is>
      </c>
      <c r="X446">
        <f>IFERROR(IF(LoanIsNotPaid*LoanIsGood,MonthlyPayment,0), 0)</f>
        <v/>
      </c>
    </row>
    <row r="447">
      <c r="A447" t="inlineStr">
        <is>
          <t>Loan calculator</t>
        </is>
      </c>
      <c r="B447" t="inlineStr">
        <is>
          <t>F45</t>
        </is>
      </c>
      <c r="C447" t="n">
        <v>45</v>
      </c>
      <c r="D447" t="n">
        <v>6</v>
      </c>
      <c r="E447" t="inlineStr">
        <is>
          <t>Output</t>
        </is>
      </c>
      <c r="F447" t="inlineStr">
        <is>
          <t>'=IFERROR(IF(LoanIsNotPaid*LoanIsGood,Principal,0), 0)</t>
        </is>
      </c>
      <c r="G447" t="n">
        <v>71.25671405701314</v>
      </c>
      <c r="H447" t="inlineStr"/>
      <c r="I447" t="inlineStr">
        <is>
          <t>"$"#,##0.00</t>
        </is>
      </c>
      <c r="J447" t="b">
        <v>0</v>
      </c>
      <c r="K447" t="b">
        <v>0</v>
      </c>
      <c r="L447" t="n">
        <v>9</v>
      </c>
      <c r="M447" t="inlineStr">
        <is>
          <t>Values must be of type &lt;class 'str'&gt;</t>
        </is>
      </c>
      <c r="N447" t="inlineStr">
        <is>
          <t>00000000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inlineStr">
        <is>
          <t>G000005</t>
        </is>
      </c>
      <c r="T447" t="inlineStr">
        <is>
          <t>Vertical</t>
        </is>
      </c>
      <c r="U447" t="n">
        <v>120</v>
      </c>
      <c r="V447" t="b">
        <v>1</v>
      </c>
      <c r="W447" t="inlineStr">
        <is>
          <t>Loan calculator!F17:F136</t>
        </is>
      </c>
      <c r="X447">
        <f>IFERROR(IF(LoanIsNotPaid*LoanIsGood,Principal,0), 0)</f>
        <v/>
      </c>
    </row>
    <row r="448">
      <c r="A448" t="inlineStr">
        <is>
          <t>Loan calculator</t>
        </is>
      </c>
      <c r="B448" t="inlineStr">
        <is>
          <t>G45</t>
        </is>
      </c>
      <c r="C448" t="n">
        <v>45</v>
      </c>
      <c r="D448" t="n">
        <v>7</v>
      </c>
      <c r="E448" t="inlineStr">
        <is>
          <t>Output</t>
        </is>
      </c>
      <c r="F448" t="inlineStr">
        <is>
          <t>'=IFERROR(IF(LoanIsNotPaid*LoanIsGood,InterestAmt,0), 0)</t>
        </is>
      </c>
      <c r="G448" t="n">
        <v>37.26956390346758</v>
      </c>
      <c r="H448" t="inlineStr"/>
      <c r="I448" t="inlineStr">
        <is>
          <t>"$"#,##0.00</t>
        </is>
      </c>
      <c r="J448" t="b">
        <v>0</v>
      </c>
      <c r="K448" t="b">
        <v>0</v>
      </c>
      <c r="L448" t="n">
        <v>9</v>
      </c>
      <c r="M448" t="inlineStr">
        <is>
          <t>Values must be of type &lt;class 'str'&gt;</t>
        </is>
      </c>
      <c r="N448" t="inlineStr">
        <is>
          <t>00000000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inlineStr">
        <is>
          <t>G000006</t>
        </is>
      </c>
      <c r="T448" t="inlineStr">
        <is>
          <t>Vertical</t>
        </is>
      </c>
      <c r="U448" t="n">
        <v>120</v>
      </c>
      <c r="V448" t="b">
        <v>1</v>
      </c>
      <c r="W448" t="inlineStr">
        <is>
          <t>Loan calculator!G17:G136</t>
        </is>
      </c>
      <c r="X448">
        <f>IFERROR(IF(LoanIsNotPaid*LoanIsGood,InterestAmt,0), 0)</f>
        <v/>
      </c>
    </row>
    <row r="449">
      <c r="A449" t="inlineStr">
        <is>
          <t>Loan calculator</t>
        </is>
      </c>
      <c r="B449" t="inlineStr">
        <is>
          <t>H45</t>
        </is>
      </c>
      <c r="C449" t="n">
        <v>45</v>
      </c>
      <c r="D449" t="n">
        <v>8</v>
      </c>
      <c r="E449" t="inlineStr">
        <is>
          <t>Output</t>
        </is>
      </c>
      <c r="F449" t="inlineStr">
        <is>
          <t>'=IFERROR(IF(LoanIsNotPaid*LoanIsGood,EndingBalance,0), 0)</t>
        </is>
      </c>
      <c r="G449" t="n">
        <v>8060.284501245003</v>
      </c>
      <c r="H449" t="inlineStr"/>
      <c r="I449" t="inlineStr">
        <is>
          <t>"$"#,##0.00</t>
        </is>
      </c>
      <c r="J449" t="b">
        <v>0</v>
      </c>
      <c r="K449" t="b">
        <v>0</v>
      </c>
      <c r="L449" t="n">
        <v>9</v>
      </c>
      <c r="M449" t="inlineStr">
        <is>
          <t>Values must be of type &lt;class 'str'&gt;</t>
        </is>
      </c>
      <c r="N449" t="inlineStr">
        <is>
          <t>00000000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inlineStr">
        <is>
          <t>G000007</t>
        </is>
      </c>
      <c r="T449" t="inlineStr">
        <is>
          <t>Vertical</t>
        </is>
      </c>
      <c r="U449" t="n">
        <v>120</v>
      </c>
      <c r="V449" t="b">
        <v>1</v>
      </c>
      <c r="W449" t="inlineStr">
        <is>
          <t>Loan calculator!H17:H136</t>
        </is>
      </c>
      <c r="X449">
        <f>IFERROR(IF(LoanIsNotPaid*LoanIsGood,EndingBalance,0), 0)</f>
        <v/>
      </c>
    </row>
    <row r="450">
      <c r="A450" t="inlineStr">
        <is>
          <t>Loan calculator</t>
        </is>
      </c>
      <c r="B450" t="inlineStr">
        <is>
          <t>I45</t>
        </is>
      </c>
      <c r="C450" t="n">
        <v>45</v>
      </c>
      <c r="D450" t="n">
        <v>9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11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n">
        <v/>
      </c>
      <c r="P450" t="inlineStr">
        <is>
          <t>center</t>
        </is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</row>
    <row r="451">
      <c r="A451" t="inlineStr">
        <is>
          <t>Loan calculator</t>
        </is>
      </c>
      <c r="B451" t="inlineStr">
        <is>
          <t>A46</t>
        </is>
      </c>
      <c r="C451" t="n">
        <v>46</v>
      </c>
      <c r="D451" t="n">
        <v>1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11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n">
        <v/>
      </c>
      <c r="P451" t="inlineStr">
        <is>
          <t>center</t>
        </is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Loan calculator</t>
        </is>
      </c>
      <c r="B452" t="inlineStr">
        <is>
          <t>B46</t>
        </is>
      </c>
      <c r="C452" t="n">
        <v>46</v>
      </c>
      <c r="D452" t="n">
        <v>2</v>
      </c>
      <c r="E452" t="inlineStr">
        <is>
          <t>Output</t>
        </is>
      </c>
      <c r="F452" t="inlineStr">
        <is>
          <t>'=IFERROR(IF(LoanIsNotPaid*LoanIsGood,PaymentNumber,""), "")</t>
        </is>
      </c>
      <c r="G452" t="n">
        <v>30</v>
      </c>
      <c r="H452" t="inlineStr"/>
      <c r="I452" t="inlineStr">
        <is>
          <t>#,##0</t>
        </is>
      </c>
      <c r="J452" t="b">
        <v>0</v>
      </c>
      <c r="K452" t="b">
        <v>0</v>
      </c>
      <c r="L452" t="n">
        <v>9</v>
      </c>
      <c r="M452" t="inlineStr">
        <is>
          <t>Values must be of type &lt;class 'str'&gt;</t>
        </is>
      </c>
      <c r="N452" t="inlineStr">
        <is>
          <t>00000000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S452" t="inlineStr">
        <is>
          <t>G000001</t>
        </is>
      </c>
      <c r="T452" t="inlineStr">
        <is>
          <t>Vertical</t>
        </is>
      </c>
      <c r="U452" t="n">
        <v>120</v>
      </c>
      <c r="V452" t="b">
        <v>1</v>
      </c>
      <c r="W452" t="inlineStr">
        <is>
          <t>Loan calculator!B17:B136</t>
        </is>
      </c>
      <c r="X452">
        <f>IFERROR(IF(LoanIsNotPaid*LoanIsGood,PaymentNumber,""), "")</f>
        <v/>
      </c>
    </row>
    <row r="453">
      <c r="A453" t="inlineStr">
        <is>
          <t>Loan calculator</t>
        </is>
      </c>
      <c r="B453" t="inlineStr">
        <is>
          <t>C46</t>
        </is>
      </c>
      <c r="C453" t="n">
        <v>46</v>
      </c>
      <c r="D453" t="n">
        <v>3</v>
      </c>
      <c r="E453" t="inlineStr">
        <is>
          <t>Output</t>
        </is>
      </c>
      <c r="F453" t="inlineStr">
        <is>
          <t>'=IFERROR(IF(LoanIsNotPaid*LoanIsGood,PaymentDate,LoanStartDate), LoanStartDate)</t>
        </is>
      </c>
      <c r="G453" s="1" t="n">
        <v>47001</v>
      </c>
      <c r="H453" t="inlineStr"/>
      <c r="I453" t="inlineStr">
        <is>
          <t>mm-dd-yy</t>
        </is>
      </c>
      <c r="J453" t="b">
        <v>0</v>
      </c>
      <c r="K453" t="b">
        <v>0</v>
      </c>
      <c r="L453" t="n">
        <v>9</v>
      </c>
      <c r="M453" t="inlineStr">
        <is>
          <t>Values must be of type &lt;class 'str'&gt;</t>
        </is>
      </c>
      <c r="N453" t="inlineStr">
        <is>
          <t>00000000</t>
        </is>
      </c>
      <c r="O453" t="inlineStr">
        <is>
          <t>center</t>
        </is>
      </c>
      <c r="P453" t="inlineStr">
        <is>
          <t>center</t>
        </is>
      </c>
      <c r="R453" t="b">
        <v>1</v>
      </c>
      <c r="S453" t="inlineStr">
        <is>
          <t>G000002</t>
        </is>
      </c>
      <c r="T453" t="inlineStr">
        <is>
          <t>Vertical</t>
        </is>
      </c>
      <c r="U453" t="n">
        <v>120</v>
      </c>
      <c r="V453" t="b">
        <v>1</v>
      </c>
      <c r="W453" t="inlineStr">
        <is>
          <t>Loan calculator!C17:C136</t>
        </is>
      </c>
      <c r="X453">
        <f>IFERROR(IF(LoanIsNotPaid*LoanIsGood,PaymentDate,LoanStartDate), LoanStartDate)</f>
        <v/>
      </c>
    </row>
    <row r="454">
      <c r="A454" t="inlineStr">
        <is>
          <t>Loan calculator</t>
        </is>
      </c>
      <c r="B454" t="inlineStr">
        <is>
          <t>D46</t>
        </is>
      </c>
      <c r="C454" t="n">
        <v>46</v>
      </c>
      <c r="D454" t="n">
        <v>4</v>
      </c>
      <c r="E454" t="inlineStr">
        <is>
          <t>Output</t>
        </is>
      </c>
      <c r="F454" t="inlineStr">
        <is>
          <t>'=IFERROR(IF(LoanIsNotPaid*LoanIsGood,LoanValue,""), "")</t>
        </is>
      </c>
      <c r="G454" t="n">
        <v>8060.284501245003</v>
      </c>
      <c r="H454" t="inlineStr"/>
      <c r="I454" t="inlineStr">
        <is>
          <t>"$"#,##0.00</t>
        </is>
      </c>
      <c r="J454" t="b">
        <v>0</v>
      </c>
      <c r="K454" t="b">
        <v>0</v>
      </c>
      <c r="L454" t="n">
        <v>9</v>
      </c>
      <c r="M454" t="inlineStr">
        <is>
          <t>Values must be of type &lt;class 'str'&gt;</t>
        </is>
      </c>
      <c r="N454" t="inlineStr">
        <is>
          <t>00000000</t>
        </is>
      </c>
      <c r="O454" t="inlineStr">
        <is>
          <t>center</t>
        </is>
      </c>
      <c r="P454" t="inlineStr">
        <is>
          <t>center</t>
        </is>
      </c>
      <c r="R454" t="b">
        <v>1</v>
      </c>
      <c r="S454" t="inlineStr">
        <is>
          <t>G000003</t>
        </is>
      </c>
      <c r="T454" t="inlineStr">
        <is>
          <t>Vertical</t>
        </is>
      </c>
      <c r="U454" t="n">
        <v>120</v>
      </c>
      <c r="V454" t="b">
        <v>1</v>
      </c>
      <c r="W454" t="inlineStr">
        <is>
          <t>Loan calculator!D17:D136</t>
        </is>
      </c>
      <c r="X454">
        <f>IFERROR(IF(LoanIsNotPaid*LoanIsGood,LoanValue,""), "")</f>
        <v/>
      </c>
    </row>
    <row r="455">
      <c r="A455" t="inlineStr">
        <is>
          <t>Loan calculator</t>
        </is>
      </c>
      <c r="B455" t="inlineStr">
        <is>
          <t>E46</t>
        </is>
      </c>
      <c r="C455" t="n">
        <v>46</v>
      </c>
      <c r="D455" t="n">
        <v>5</v>
      </c>
      <c r="E455" t="inlineStr">
        <is>
          <t>Output</t>
        </is>
      </c>
      <c r="F455" t="inlineStr">
        <is>
          <t>'=IFERROR(IF(LoanIsNotPaid*LoanIsGood,MonthlyPayment,0), 0)</t>
        </is>
      </c>
      <c r="G455" t="n">
        <v>108.5262779604807</v>
      </c>
      <c r="H455" t="inlineStr"/>
      <c r="I455" t="inlineStr">
        <is>
          <t>"$"#,##0.00</t>
        </is>
      </c>
      <c r="J455" t="b">
        <v>0</v>
      </c>
      <c r="K455" t="b">
        <v>0</v>
      </c>
      <c r="L455" t="n">
        <v>9</v>
      </c>
      <c r="M455" t="inlineStr">
        <is>
          <t>Values must be of type &lt;class 'str'&gt;</t>
        </is>
      </c>
      <c r="N455" t="inlineStr">
        <is>
          <t>00000000</t>
        </is>
      </c>
      <c r="O455" t="inlineStr">
        <is>
          <t>center</t>
        </is>
      </c>
      <c r="P455" t="inlineStr">
        <is>
          <t>center</t>
        </is>
      </c>
      <c r="R455" t="b">
        <v>1</v>
      </c>
      <c r="S455" t="inlineStr">
        <is>
          <t>G000004</t>
        </is>
      </c>
      <c r="T455" t="inlineStr">
        <is>
          <t>Vertical</t>
        </is>
      </c>
      <c r="U455" t="n">
        <v>120</v>
      </c>
      <c r="V455" t="b">
        <v>1</v>
      </c>
      <c r="W455" t="inlineStr">
        <is>
          <t>Loan calculator!E17:E136</t>
        </is>
      </c>
      <c r="X455">
        <f>IFERROR(IF(LoanIsNotPaid*LoanIsGood,MonthlyPayment,0), 0)</f>
        <v/>
      </c>
    </row>
    <row r="456">
      <c r="A456" t="inlineStr">
        <is>
          <t>Loan calculator</t>
        </is>
      </c>
      <c r="B456" t="inlineStr">
        <is>
          <t>F46</t>
        </is>
      </c>
      <c r="C456" t="n">
        <v>46</v>
      </c>
      <c r="D456" t="n">
        <v>6</v>
      </c>
      <c r="E456" t="inlineStr">
        <is>
          <t>Output</t>
        </is>
      </c>
      <c r="F456" t="inlineStr">
        <is>
          <t>'=IFERROR(IF(LoanIsNotPaid*LoanIsGood,Principal,0), 0)</t>
        </is>
      </c>
      <c r="G456" t="n">
        <v>71.58330732977446</v>
      </c>
      <c r="H456" t="inlineStr"/>
      <c r="I456" t="inlineStr">
        <is>
          <t>"$"#,##0.00</t>
        </is>
      </c>
      <c r="J456" t="b">
        <v>0</v>
      </c>
      <c r="K456" t="b">
        <v>0</v>
      </c>
      <c r="L456" t="n">
        <v>9</v>
      </c>
      <c r="M456" t="inlineStr">
        <is>
          <t>Values must be of type &lt;class 'str'&gt;</t>
        </is>
      </c>
      <c r="N456" t="inlineStr">
        <is>
          <t>00000000</t>
        </is>
      </c>
      <c r="O456" t="inlineStr">
        <is>
          <t>center</t>
        </is>
      </c>
      <c r="P456" t="inlineStr">
        <is>
          <t>center</t>
        </is>
      </c>
      <c r="R456" t="b">
        <v>1</v>
      </c>
      <c r="S456" t="inlineStr">
        <is>
          <t>G000005</t>
        </is>
      </c>
      <c r="T456" t="inlineStr">
        <is>
          <t>Vertical</t>
        </is>
      </c>
      <c r="U456" t="n">
        <v>120</v>
      </c>
      <c r="V456" t="b">
        <v>1</v>
      </c>
      <c r="W456" t="inlineStr">
        <is>
          <t>Loan calculator!F17:F136</t>
        </is>
      </c>
      <c r="X456">
        <f>IFERROR(IF(LoanIsNotPaid*LoanIsGood,Principal,0), 0)</f>
        <v/>
      </c>
    </row>
    <row r="457">
      <c r="A457" t="inlineStr">
        <is>
          <t>Loan calculator</t>
        </is>
      </c>
      <c r="B457" t="inlineStr">
        <is>
          <t>G46</t>
        </is>
      </c>
      <c r="C457" t="n">
        <v>46</v>
      </c>
      <c r="D457" t="n">
        <v>7</v>
      </c>
      <c r="E457" t="inlineStr">
        <is>
          <t>Output</t>
        </is>
      </c>
      <c r="F457" t="inlineStr">
        <is>
          <t>'=IFERROR(IF(LoanIsNotPaid*LoanIsGood,InterestAmt,0), 0)</t>
        </is>
      </c>
      <c r="G457" t="n">
        <v>36.94297063070627</v>
      </c>
      <c r="H457" t="inlineStr"/>
      <c r="I457" t="inlineStr">
        <is>
          <t>"$"#,##0.00</t>
        </is>
      </c>
      <c r="J457" t="b">
        <v>0</v>
      </c>
      <c r="K457" t="b">
        <v>0</v>
      </c>
      <c r="L457" t="n">
        <v>9</v>
      </c>
      <c r="M457" t="inlineStr">
        <is>
          <t>Values must be of type &lt;class 'str'&gt;</t>
        </is>
      </c>
      <c r="N457" t="inlineStr">
        <is>
          <t>00000000</t>
        </is>
      </c>
      <c r="O457" t="inlineStr">
        <is>
          <t>center</t>
        </is>
      </c>
      <c r="P457" t="inlineStr">
        <is>
          <t>center</t>
        </is>
      </c>
      <c r="R457" t="b">
        <v>1</v>
      </c>
      <c r="S457" t="inlineStr">
        <is>
          <t>G000006</t>
        </is>
      </c>
      <c r="T457" t="inlineStr">
        <is>
          <t>Vertical</t>
        </is>
      </c>
      <c r="U457" t="n">
        <v>120</v>
      </c>
      <c r="V457" t="b">
        <v>1</v>
      </c>
      <c r="W457" t="inlineStr">
        <is>
          <t>Loan calculator!G17:G136</t>
        </is>
      </c>
      <c r="X457">
        <f>IFERROR(IF(LoanIsNotPaid*LoanIsGood,InterestAmt,0), 0)</f>
        <v/>
      </c>
    </row>
    <row r="458">
      <c r="A458" t="inlineStr">
        <is>
          <t>Loan calculator</t>
        </is>
      </c>
      <c r="B458" t="inlineStr">
        <is>
          <t>H46</t>
        </is>
      </c>
      <c r="C458" t="n">
        <v>46</v>
      </c>
      <c r="D458" t="n">
        <v>8</v>
      </c>
      <c r="E458" t="inlineStr">
        <is>
          <t>Output</t>
        </is>
      </c>
      <c r="F458" t="inlineStr">
        <is>
          <t>'=IFERROR(IF(LoanIsNotPaid*LoanIsGood,EndingBalance,0), 0)</t>
        </is>
      </c>
      <c r="G458" t="n">
        <v>7988.701193915229</v>
      </c>
      <c r="H458" t="inlineStr"/>
      <c r="I458" t="inlineStr">
        <is>
          <t>"$"#,##0.00</t>
        </is>
      </c>
      <c r="J458" t="b">
        <v>0</v>
      </c>
      <c r="K458" t="b">
        <v>0</v>
      </c>
      <c r="L458" t="n">
        <v>9</v>
      </c>
      <c r="M458" t="inlineStr">
        <is>
          <t>Values must be of type &lt;class 'str'&gt;</t>
        </is>
      </c>
      <c r="N458" t="inlineStr">
        <is>
          <t>00000000</t>
        </is>
      </c>
      <c r="O458" t="inlineStr">
        <is>
          <t>center</t>
        </is>
      </c>
      <c r="P458" t="inlineStr">
        <is>
          <t>center</t>
        </is>
      </c>
      <c r="R458" t="b">
        <v>1</v>
      </c>
      <c r="S458" t="inlineStr">
        <is>
          <t>G000007</t>
        </is>
      </c>
      <c r="T458" t="inlineStr">
        <is>
          <t>Vertical</t>
        </is>
      </c>
      <c r="U458" t="n">
        <v>120</v>
      </c>
      <c r="V458" t="b">
        <v>1</v>
      </c>
      <c r="W458" t="inlineStr">
        <is>
          <t>Loan calculator!H17:H136</t>
        </is>
      </c>
      <c r="X458">
        <f>IFERROR(IF(LoanIsNotPaid*LoanIsGood,EndingBalance,0), 0)</f>
        <v/>
      </c>
    </row>
    <row r="459">
      <c r="A459" t="inlineStr">
        <is>
          <t>Loan calculator</t>
        </is>
      </c>
      <c r="B459" t="inlineStr">
        <is>
          <t>I46</t>
        </is>
      </c>
      <c r="C459" t="n">
        <v>46</v>
      </c>
      <c r="D459" t="n">
        <v>9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11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n">
        <v/>
      </c>
      <c r="P459" t="inlineStr">
        <is>
          <t>center</t>
        </is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</row>
    <row r="460">
      <c r="A460" t="inlineStr">
        <is>
          <t>Loan calculator</t>
        </is>
      </c>
      <c r="B460" t="inlineStr">
        <is>
          <t>A47</t>
        </is>
      </c>
      <c r="C460" t="n">
        <v>47</v>
      </c>
      <c r="D460" t="n">
        <v>1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11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n">
        <v/>
      </c>
      <c r="P460" t="inlineStr">
        <is>
          <t>center</t>
        </is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</row>
    <row r="461">
      <c r="A461" t="inlineStr">
        <is>
          <t>Loan calculator</t>
        </is>
      </c>
      <c r="B461" t="inlineStr">
        <is>
          <t>B47</t>
        </is>
      </c>
      <c r="C461" t="n">
        <v>47</v>
      </c>
      <c r="D461" t="n">
        <v>2</v>
      </c>
      <c r="E461" t="inlineStr">
        <is>
          <t>Output</t>
        </is>
      </c>
      <c r="F461" t="inlineStr">
        <is>
          <t>'=IFERROR(IF(LoanIsNotPaid*LoanIsGood,PaymentNumber,""), "")</t>
        </is>
      </c>
      <c r="G461" t="n">
        <v>31</v>
      </c>
      <c r="H461" t="inlineStr"/>
      <c r="I461" t="inlineStr">
        <is>
          <t>#,##0</t>
        </is>
      </c>
      <c r="J461" t="b">
        <v>0</v>
      </c>
      <c r="K461" t="b">
        <v>0</v>
      </c>
      <c r="L461" t="n">
        <v>9</v>
      </c>
      <c r="M461" t="inlineStr">
        <is>
          <t>Values must be of type &lt;class 'str'&gt;</t>
        </is>
      </c>
      <c r="N461" t="inlineStr">
        <is>
          <t>00000000</t>
        </is>
      </c>
      <c r="O461" t="inlineStr">
        <is>
          <t>center</t>
        </is>
      </c>
      <c r="P461" t="inlineStr">
        <is>
          <t>center</t>
        </is>
      </c>
      <c r="R461" t="b">
        <v>1</v>
      </c>
      <c r="S461" t="inlineStr">
        <is>
          <t>G000001</t>
        </is>
      </c>
      <c r="T461" t="inlineStr">
        <is>
          <t>Vertical</t>
        </is>
      </c>
      <c r="U461" t="n">
        <v>120</v>
      </c>
      <c r="V461" t="b">
        <v>1</v>
      </c>
      <c r="W461" t="inlineStr">
        <is>
          <t>Loan calculator!B17:B136</t>
        </is>
      </c>
      <c r="X461">
        <f>IFERROR(IF(LoanIsNotPaid*LoanIsGood,PaymentNumber,""), "")</f>
        <v/>
      </c>
    </row>
    <row r="462">
      <c r="A462" t="inlineStr">
        <is>
          <t>Loan calculator</t>
        </is>
      </c>
      <c r="B462" t="inlineStr">
        <is>
          <t>C47</t>
        </is>
      </c>
      <c r="C462" t="n">
        <v>47</v>
      </c>
      <c r="D462" t="n">
        <v>3</v>
      </c>
      <c r="E462" t="inlineStr">
        <is>
          <t>Output</t>
        </is>
      </c>
      <c r="F462" t="inlineStr">
        <is>
          <t>'=IFERROR(IF(LoanIsNotPaid*LoanIsGood,PaymentDate,LoanStartDate), LoanStartDate)</t>
        </is>
      </c>
      <c r="G462" s="1" t="n">
        <v>47031</v>
      </c>
      <c r="H462" t="inlineStr"/>
      <c r="I462" t="inlineStr">
        <is>
          <t>mm-dd-yy</t>
        </is>
      </c>
      <c r="J462" t="b">
        <v>0</v>
      </c>
      <c r="K462" t="b">
        <v>0</v>
      </c>
      <c r="L462" t="n">
        <v>9</v>
      </c>
      <c r="M462" t="inlineStr">
        <is>
          <t>Values must be of type &lt;class 'str'&gt;</t>
        </is>
      </c>
      <c r="N462" t="inlineStr">
        <is>
          <t>00000000</t>
        </is>
      </c>
      <c r="O462" t="inlineStr">
        <is>
          <t>center</t>
        </is>
      </c>
      <c r="P462" t="inlineStr">
        <is>
          <t>center</t>
        </is>
      </c>
      <c r="R462" t="b">
        <v>1</v>
      </c>
      <c r="S462" t="inlineStr">
        <is>
          <t>G000002</t>
        </is>
      </c>
      <c r="T462" t="inlineStr">
        <is>
          <t>Vertical</t>
        </is>
      </c>
      <c r="U462" t="n">
        <v>120</v>
      </c>
      <c r="V462" t="b">
        <v>1</v>
      </c>
      <c r="W462" t="inlineStr">
        <is>
          <t>Loan calculator!C17:C136</t>
        </is>
      </c>
      <c r="X462">
        <f>IFERROR(IF(LoanIsNotPaid*LoanIsGood,PaymentDate,LoanStartDate), LoanStartDate)</f>
        <v/>
      </c>
    </row>
    <row r="463">
      <c r="A463" t="inlineStr">
        <is>
          <t>Loan calculator</t>
        </is>
      </c>
      <c r="B463" t="inlineStr">
        <is>
          <t>D47</t>
        </is>
      </c>
      <c r="C463" t="n">
        <v>47</v>
      </c>
      <c r="D463" t="n">
        <v>4</v>
      </c>
      <c r="E463" t="inlineStr">
        <is>
          <t>Output</t>
        </is>
      </c>
      <c r="F463" t="inlineStr">
        <is>
          <t>'=IFERROR(IF(LoanIsNotPaid*LoanIsGood,LoanValue,""), "")</t>
        </is>
      </c>
      <c r="G463" t="n">
        <v>7988.701193915229</v>
      </c>
      <c r="H463" t="inlineStr"/>
      <c r="I463" t="inlineStr">
        <is>
          <t>"$"#,##0.00</t>
        </is>
      </c>
      <c r="J463" t="b">
        <v>0</v>
      </c>
      <c r="K463" t="b">
        <v>0</v>
      </c>
      <c r="L463" t="n">
        <v>9</v>
      </c>
      <c r="M463" t="inlineStr">
        <is>
          <t>Values must be of type &lt;class 'str'&gt;</t>
        </is>
      </c>
      <c r="N463" t="inlineStr">
        <is>
          <t>00000000</t>
        </is>
      </c>
      <c r="O463" t="inlineStr">
        <is>
          <t>center</t>
        </is>
      </c>
      <c r="P463" t="inlineStr">
        <is>
          <t>center</t>
        </is>
      </c>
      <c r="R463" t="b">
        <v>1</v>
      </c>
      <c r="S463" t="inlineStr">
        <is>
          <t>G000003</t>
        </is>
      </c>
      <c r="T463" t="inlineStr">
        <is>
          <t>Vertical</t>
        </is>
      </c>
      <c r="U463" t="n">
        <v>120</v>
      </c>
      <c r="V463" t="b">
        <v>1</v>
      </c>
      <c r="W463" t="inlineStr">
        <is>
          <t>Loan calculator!D17:D136</t>
        </is>
      </c>
      <c r="X463">
        <f>IFERROR(IF(LoanIsNotPaid*LoanIsGood,LoanValue,""), "")</f>
        <v/>
      </c>
    </row>
    <row r="464">
      <c r="A464" t="inlineStr">
        <is>
          <t>Loan calculator</t>
        </is>
      </c>
      <c r="B464" t="inlineStr">
        <is>
          <t>E47</t>
        </is>
      </c>
      <c r="C464" t="n">
        <v>47</v>
      </c>
      <c r="D464" t="n">
        <v>5</v>
      </c>
      <c r="E464" t="inlineStr">
        <is>
          <t>Output</t>
        </is>
      </c>
      <c r="F464" t="inlineStr">
        <is>
          <t>'=IFERROR(IF(LoanIsNotPaid*LoanIsGood,MonthlyPayment,0), 0)</t>
        </is>
      </c>
      <c r="G464" t="n">
        <v>108.5262779604807</v>
      </c>
      <c r="H464" t="inlineStr"/>
      <c r="I464" t="inlineStr">
        <is>
          <t>"$"#,##0.00</t>
        </is>
      </c>
      <c r="J464" t="b">
        <v>0</v>
      </c>
      <c r="K464" t="b">
        <v>0</v>
      </c>
      <c r="L464" t="n">
        <v>9</v>
      </c>
      <c r="M464" t="inlineStr">
        <is>
          <t>Values must be of type &lt;class 'str'&gt;</t>
        </is>
      </c>
      <c r="N464" t="inlineStr">
        <is>
          <t>00000000</t>
        </is>
      </c>
      <c r="O464" t="inlineStr">
        <is>
          <t>center</t>
        </is>
      </c>
      <c r="P464" t="inlineStr">
        <is>
          <t>center</t>
        </is>
      </c>
      <c r="R464" t="b">
        <v>1</v>
      </c>
      <c r="S464" t="inlineStr">
        <is>
          <t>G000004</t>
        </is>
      </c>
      <c r="T464" t="inlineStr">
        <is>
          <t>Vertical</t>
        </is>
      </c>
      <c r="U464" t="n">
        <v>120</v>
      </c>
      <c r="V464" t="b">
        <v>1</v>
      </c>
      <c r="W464" t="inlineStr">
        <is>
          <t>Loan calculator!E17:E136</t>
        </is>
      </c>
      <c r="X464">
        <f>IFERROR(IF(LoanIsNotPaid*LoanIsGood,MonthlyPayment,0), 0)</f>
        <v/>
      </c>
    </row>
    <row r="465">
      <c r="A465" t="inlineStr">
        <is>
          <t>Loan calculator</t>
        </is>
      </c>
      <c r="B465" t="inlineStr">
        <is>
          <t>F47</t>
        </is>
      </c>
      <c r="C465" t="n">
        <v>47</v>
      </c>
      <c r="D465" t="n">
        <v>6</v>
      </c>
      <c r="E465" t="inlineStr">
        <is>
          <t>Output</t>
        </is>
      </c>
      <c r="F465" t="inlineStr">
        <is>
          <t>'=IFERROR(IF(LoanIsNotPaid*LoanIsGood,Principal,0), 0)</t>
        </is>
      </c>
      <c r="G465" t="n">
        <v>71.91139748836926</v>
      </c>
      <c r="H465" t="inlineStr"/>
      <c r="I465" t="inlineStr">
        <is>
          <t>"$"#,##0.00</t>
        </is>
      </c>
      <c r="J465" t="b">
        <v>0</v>
      </c>
      <c r="K465" t="b">
        <v>0</v>
      </c>
      <c r="L465" t="n">
        <v>9</v>
      </c>
      <c r="M465" t="inlineStr">
        <is>
          <t>Values must be of type &lt;class 'str'&gt;</t>
        </is>
      </c>
      <c r="N465" t="inlineStr">
        <is>
          <t>00000000</t>
        </is>
      </c>
      <c r="O465" t="inlineStr">
        <is>
          <t>center</t>
        </is>
      </c>
      <c r="P465" t="inlineStr">
        <is>
          <t>center</t>
        </is>
      </c>
      <c r="R465" t="b">
        <v>1</v>
      </c>
      <c r="S465" t="inlineStr">
        <is>
          <t>G000005</t>
        </is>
      </c>
      <c r="T465" t="inlineStr">
        <is>
          <t>Vertical</t>
        </is>
      </c>
      <c r="U465" t="n">
        <v>120</v>
      </c>
      <c r="V465" t="b">
        <v>1</v>
      </c>
      <c r="W465" t="inlineStr">
        <is>
          <t>Loan calculator!F17:F136</t>
        </is>
      </c>
      <c r="X465">
        <f>IFERROR(IF(LoanIsNotPaid*LoanIsGood,Principal,0), 0)</f>
        <v/>
      </c>
    </row>
    <row r="466">
      <c r="A466" t="inlineStr">
        <is>
          <t>Loan calculator</t>
        </is>
      </c>
      <c r="B466" t="inlineStr">
        <is>
          <t>G47</t>
        </is>
      </c>
      <c r="C466" t="n">
        <v>47</v>
      </c>
      <c r="D466" t="n">
        <v>7</v>
      </c>
      <c r="E466" t="inlineStr">
        <is>
          <t>Output</t>
        </is>
      </c>
      <c r="F466" t="inlineStr">
        <is>
          <t>'=IFERROR(IF(LoanIsNotPaid*LoanIsGood,InterestAmt,0), 0)</t>
        </is>
      </c>
      <c r="G466" t="n">
        <v>36.61488047211147</v>
      </c>
      <c r="H466" t="inlineStr"/>
      <c r="I466" t="inlineStr">
        <is>
          <t>"$"#,##0.00</t>
        </is>
      </c>
      <c r="J466" t="b">
        <v>0</v>
      </c>
      <c r="K466" t="b">
        <v>0</v>
      </c>
      <c r="L466" t="n">
        <v>9</v>
      </c>
      <c r="M466" t="inlineStr">
        <is>
          <t>Values must be of type &lt;class 'str'&gt;</t>
        </is>
      </c>
      <c r="N466" t="inlineStr">
        <is>
          <t>00000000</t>
        </is>
      </c>
      <c r="O466" t="inlineStr">
        <is>
          <t>center</t>
        </is>
      </c>
      <c r="P466" t="inlineStr">
        <is>
          <t>center</t>
        </is>
      </c>
      <c r="R466" t="b">
        <v>1</v>
      </c>
      <c r="S466" t="inlineStr">
        <is>
          <t>G000006</t>
        </is>
      </c>
      <c r="T466" t="inlineStr">
        <is>
          <t>Vertical</t>
        </is>
      </c>
      <c r="U466" t="n">
        <v>120</v>
      </c>
      <c r="V466" t="b">
        <v>1</v>
      </c>
      <c r="W466" t="inlineStr">
        <is>
          <t>Loan calculator!G17:G136</t>
        </is>
      </c>
      <c r="X466">
        <f>IFERROR(IF(LoanIsNotPaid*LoanIsGood,InterestAmt,0), 0)</f>
        <v/>
      </c>
    </row>
    <row r="467">
      <c r="A467" t="inlineStr">
        <is>
          <t>Loan calculator</t>
        </is>
      </c>
      <c r="B467" t="inlineStr">
        <is>
          <t>H47</t>
        </is>
      </c>
      <c r="C467" t="n">
        <v>47</v>
      </c>
      <c r="D467" t="n">
        <v>8</v>
      </c>
      <c r="E467" t="inlineStr">
        <is>
          <t>Output</t>
        </is>
      </c>
      <c r="F467" t="inlineStr">
        <is>
          <t>'=IFERROR(IF(LoanIsNotPaid*LoanIsGood,EndingBalance,0), 0)</t>
        </is>
      </c>
      <c r="G467" t="n">
        <v>7916.78979642686</v>
      </c>
      <c r="H467" t="inlineStr"/>
      <c r="I467" t="inlineStr">
        <is>
          <t>"$"#,##0.00</t>
        </is>
      </c>
      <c r="J467" t="b">
        <v>0</v>
      </c>
      <c r="K467" t="b">
        <v>0</v>
      </c>
      <c r="L467" t="n">
        <v>9</v>
      </c>
      <c r="M467" t="inlineStr">
        <is>
          <t>Values must be of type &lt;class 'str'&gt;</t>
        </is>
      </c>
      <c r="N467" t="inlineStr">
        <is>
          <t>00000000</t>
        </is>
      </c>
      <c r="O467" t="inlineStr">
        <is>
          <t>center</t>
        </is>
      </c>
      <c r="P467" t="inlineStr">
        <is>
          <t>center</t>
        </is>
      </c>
      <c r="R467" t="b">
        <v>1</v>
      </c>
      <c r="S467" t="inlineStr">
        <is>
          <t>G000007</t>
        </is>
      </c>
      <c r="T467" t="inlineStr">
        <is>
          <t>Vertical</t>
        </is>
      </c>
      <c r="U467" t="n">
        <v>120</v>
      </c>
      <c r="V467" t="b">
        <v>1</v>
      </c>
      <c r="W467" t="inlineStr">
        <is>
          <t>Loan calculator!H17:H136</t>
        </is>
      </c>
      <c r="X467">
        <f>IFERROR(IF(LoanIsNotPaid*LoanIsGood,EndingBalance,0), 0)</f>
        <v/>
      </c>
    </row>
    <row r="468">
      <c r="A468" t="inlineStr">
        <is>
          <t>Loan calculator</t>
        </is>
      </c>
      <c r="B468" t="inlineStr">
        <is>
          <t>I47</t>
        </is>
      </c>
      <c r="C468" t="n">
        <v>47</v>
      </c>
      <c r="D468" t="n">
        <v>9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11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n">
        <v/>
      </c>
      <c r="P468" t="inlineStr">
        <is>
          <t>center</t>
        </is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Loan calculator</t>
        </is>
      </c>
      <c r="B469" t="inlineStr">
        <is>
          <t>A48</t>
        </is>
      </c>
      <c r="C469" t="n">
        <v>48</v>
      </c>
      <c r="D469" t="n">
        <v>1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11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n">
        <v/>
      </c>
      <c r="P469" t="inlineStr">
        <is>
          <t>center</t>
        </is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</row>
    <row r="470">
      <c r="A470" t="inlineStr">
        <is>
          <t>Loan calculator</t>
        </is>
      </c>
      <c r="B470" t="inlineStr">
        <is>
          <t>B48</t>
        </is>
      </c>
      <c r="C470" t="n">
        <v>48</v>
      </c>
      <c r="D470" t="n">
        <v>2</v>
      </c>
      <c r="E470" t="inlineStr">
        <is>
          <t>Output</t>
        </is>
      </c>
      <c r="F470" t="inlineStr">
        <is>
          <t>'=IFERROR(IF(LoanIsNotPaid*LoanIsGood,PaymentNumber,""), "")</t>
        </is>
      </c>
      <c r="G470" t="n">
        <v>32</v>
      </c>
      <c r="H470" t="inlineStr"/>
      <c r="I470" t="inlineStr">
        <is>
          <t>#,##0</t>
        </is>
      </c>
      <c r="J470" t="b">
        <v>0</v>
      </c>
      <c r="K470" t="b">
        <v>0</v>
      </c>
      <c r="L470" t="n">
        <v>9</v>
      </c>
      <c r="M470" t="inlineStr">
        <is>
          <t>Values must be of type &lt;class 'str'&gt;</t>
        </is>
      </c>
      <c r="N470" t="inlineStr">
        <is>
          <t>00000000</t>
        </is>
      </c>
      <c r="O470" t="inlineStr">
        <is>
          <t>center</t>
        </is>
      </c>
      <c r="P470" t="inlineStr">
        <is>
          <t>center</t>
        </is>
      </c>
      <c r="R470" t="b">
        <v>1</v>
      </c>
      <c r="S470" t="inlineStr">
        <is>
          <t>G000001</t>
        </is>
      </c>
      <c r="T470" t="inlineStr">
        <is>
          <t>Vertical</t>
        </is>
      </c>
      <c r="U470" t="n">
        <v>120</v>
      </c>
      <c r="V470" t="b">
        <v>1</v>
      </c>
      <c r="W470" t="inlineStr">
        <is>
          <t>Loan calculator!B17:B136</t>
        </is>
      </c>
      <c r="X470">
        <f>IFERROR(IF(LoanIsNotPaid*LoanIsGood,PaymentNumber,""), "")</f>
        <v/>
      </c>
    </row>
    <row r="471">
      <c r="A471" t="inlineStr">
        <is>
          <t>Loan calculator</t>
        </is>
      </c>
      <c r="B471" t="inlineStr">
        <is>
          <t>C48</t>
        </is>
      </c>
      <c r="C471" t="n">
        <v>48</v>
      </c>
      <c r="D471" t="n">
        <v>3</v>
      </c>
      <c r="E471" t="inlineStr">
        <is>
          <t>Output</t>
        </is>
      </c>
      <c r="F471" t="inlineStr">
        <is>
          <t>'=IFERROR(IF(LoanIsNotPaid*LoanIsGood,PaymentDate,LoanStartDate), LoanStartDate)</t>
        </is>
      </c>
      <c r="G471" s="1" t="n">
        <v>47062</v>
      </c>
      <c r="H471" t="inlineStr"/>
      <c r="I471" t="inlineStr">
        <is>
          <t>mm-dd-yy</t>
        </is>
      </c>
      <c r="J471" t="b">
        <v>0</v>
      </c>
      <c r="K471" t="b">
        <v>0</v>
      </c>
      <c r="L471" t="n">
        <v>9</v>
      </c>
      <c r="M471" t="inlineStr">
        <is>
          <t>Values must be of type &lt;class 'str'&gt;</t>
        </is>
      </c>
      <c r="N471" t="inlineStr">
        <is>
          <t>00000000</t>
        </is>
      </c>
      <c r="O471" t="inlineStr">
        <is>
          <t>center</t>
        </is>
      </c>
      <c r="P471" t="inlineStr">
        <is>
          <t>center</t>
        </is>
      </c>
      <c r="R471" t="b">
        <v>1</v>
      </c>
      <c r="S471" t="inlineStr">
        <is>
          <t>G000002</t>
        </is>
      </c>
      <c r="T471" t="inlineStr">
        <is>
          <t>Vertical</t>
        </is>
      </c>
      <c r="U471" t="n">
        <v>120</v>
      </c>
      <c r="V471" t="b">
        <v>1</v>
      </c>
      <c r="W471" t="inlineStr">
        <is>
          <t>Loan calculator!C17:C136</t>
        </is>
      </c>
      <c r="X471">
        <f>IFERROR(IF(LoanIsNotPaid*LoanIsGood,PaymentDate,LoanStartDate), LoanStartDate)</f>
        <v/>
      </c>
    </row>
    <row r="472">
      <c r="A472" t="inlineStr">
        <is>
          <t>Loan calculator</t>
        </is>
      </c>
      <c r="B472" t="inlineStr">
        <is>
          <t>D48</t>
        </is>
      </c>
      <c r="C472" t="n">
        <v>48</v>
      </c>
      <c r="D472" t="n">
        <v>4</v>
      </c>
      <c r="E472" t="inlineStr">
        <is>
          <t>Output</t>
        </is>
      </c>
      <c r="F472" t="inlineStr">
        <is>
          <t>'=IFERROR(IF(LoanIsNotPaid*LoanIsGood,LoanValue,""), "")</t>
        </is>
      </c>
      <c r="G472" t="n">
        <v>7916.78979642686</v>
      </c>
      <c r="H472" t="inlineStr"/>
      <c r="I472" t="inlineStr">
        <is>
          <t>"$"#,##0.00</t>
        </is>
      </c>
      <c r="J472" t="b">
        <v>0</v>
      </c>
      <c r="K472" t="b">
        <v>0</v>
      </c>
      <c r="L472" t="n">
        <v>9</v>
      </c>
      <c r="M472" t="inlineStr">
        <is>
          <t>Values must be of type &lt;class 'str'&gt;</t>
        </is>
      </c>
      <c r="N472" t="inlineStr">
        <is>
          <t>00000000</t>
        </is>
      </c>
      <c r="O472" t="inlineStr">
        <is>
          <t>center</t>
        </is>
      </c>
      <c r="P472" t="inlineStr">
        <is>
          <t>center</t>
        </is>
      </c>
      <c r="R472" t="b">
        <v>1</v>
      </c>
      <c r="S472" t="inlineStr">
        <is>
          <t>G000003</t>
        </is>
      </c>
      <c r="T472" t="inlineStr">
        <is>
          <t>Vertical</t>
        </is>
      </c>
      <c r="U472" t="n">
        <v>120</v>
      </c>
      <c r="V472" t="b">
        <v>1</v>
      </c>
      <c r="W472" t="inlineStr">
        <is>
          <t>Loan calculator!D17:D136</t>
        </is>
      </c>
      <c r="X472">
        <f>IFERROR(IF(LoanIsNotPaid*LoanIsGood,LoanValue,""), "")</f>
        <v/>
      </c>
    </row>
    <row r="473">
      <c r="A473" t="inlineStr">
        <is>
          <t>Loan calculator</t>
        </is>
      </c>
      <c r="B473" t="inlineStr">
        <is>
          <t>E48</t>
        </is>
      </c>
      <c r="C473" t="n">
        <v>48</v>
      </c>
      <c r="D473" t="n">
        <v>5</v>
      </c>
      <c r="E473" t="inlineStr">
        <is>
          <t>Output</t>
        </is>
      </c>
      <c r="F473" t="inlineStr">
        <is>
          <t>'=IFERROR(IF(LoanIsNotPaid*LoanIsGood,MonthlyPayment,0), 0)</t>
        </is>
      </c>
      <c r="G473" t="n">
        <v>108.5262779604807</v>
      </c>
      <c r="H473" t="inlineStr"/>
      <c r="I473" t="inlineStr">
        <is>
          <t>"$"#,##0.00</t>
        </is>
      </c>
      <c r="J473" t="b">
        <v>0</v>
      </c>
      <c r="K473" t="b">
        <v>0</v>
      </c>
      <c r="L473" t="n">
        <v>9</v>
      </c>
      <c r="M473" t="inlineStr">
        <is>
          <t>Values must be of type &lt;class 'str'&gt;</t>
        </is>
      </c>
      <c r="N473" t="inlineStr">
        <is>
          <t>00000000</t>
        </is>
      </c>
      <c r="O473" t="inlineStr">
        <is>
          <t>center</t>
        </is>
      </c>
      <c r="P473" t="inlineStr">
        <is>
          <t>center</t>
        </is>
      </c>
      <c r="R473" t="b">
        <v>1</v>
      </c>
      <c r="S473" t="inlineStr">
        <is>
          <t>G000004</t>
        </is>
      </c>
      <c r="T473" t="inlineStr">
        <is>
          <t>Vertical</t>
        </is>
      </c>
      <c r="U473" t="n">
        <v>120</v>
      </c>
      <c r="V473" t="b">
        <v>1</v>
      </c>
      <c r="W473" t="inlineStr">
        <is>
          <t>Loan calculator!E17:E136</t>
        </is>
      </c>
      <c r="X473">
        <f>IFERROR(IF(LoanIsNotPaid*LoanIsGood,MonthlyPayment,0), 0)</f>
        <v/>
      </c>
    </row>
    <row r="474">
      <c r="A474" t="inlineStr">
        <is>
          <t>Loan calculator</t>
        </is>
      </c>
      <c r="B474" t="inlineStr">
        <is>
          <t>F48</t>
        </is>
      </c>
      <c r="C474" t="n">
        <v>48</v>
      </c>
      <c r="D474" t="n">
        <v>6</v>
      </c>
      <c r="E474" t="inlineStr">
        <is>
          <t>Output</t>
        </is>
      </c>
      <c r="F474" t="inlineStr">
        <is>
          <t>'=IFERROR(IF(LoanIsNotPaid*LoanIsGood,Principal,0), 0)</t>
        </is>
      </c>
      <c r="G474" t="n">
        <v>72.24099139352428</v>
      </c>
      <c r="H474" t="inlineStr"/>
      <c r="I474" t="inlineStr">
        <is>
          <t>"$"#,##0.00</t>
        </is>
      </c>
      <c r="J474" t="b">
        <v>0</v>
      </c>
      <c r="K474" t="b">
        <v>0</v>
      </c>
      <c r="L474" t="n">
        <v>9</v>
      </c>
      <c r="M474" t="inlineStr">
        <is>
          <t>Values must be of type &lt;class 'str'&gt;</t>
        </is>
      </c>
      <c r="N474" t="inlineStr">
        <is>
          <t>00000000</t>
        </is>
      </c>
      <c r="O474" t="inlineStr">
        <is>
          <t>center</t>
        </is>
      </c>
      <c r="P474" t="inlineStr">
        <is>
          <t>center</t>
        </is>
      </c>
      <c r="R474" t="b">
        <v>1</v>
      </c>
      <c r="S474" t="inlineStr">
        <is>
          <t>G000005</t>
        </is>
      </c>
      <c r="T474" t="inlineStr">
        <is>
          <t>Vertical</t>
        </is>
      </c>
      <c r="U474" t="n">
        <v>120</v>
      </c>
      <c r="V474" t="b">
        <v>1</v>
      </c>
      <c r="W474" t="inlineStr">
        <is>
          <t>Loan calculator!F17:F136</t>
        </is>
      </c>
      <c r="X474">
        <f>IFERROR(IF(LoanIsNotPaid*LoanIsGood,Principal,0), 0)</f>
        <v/>
      </c>
    </row>
    <row r="475">
      <c r="A475" t="inlineStr">
        <is>
          <t>Loan calculator</t>
        </is>
      </c>
      <c r="B475" t="inlineStr">
        <is>
          <t>G48</t>
        </is>
      </c>
      <c r="C475" t="n">
        <v>48</v>
      </c>
      <c r="D475" t="n">
        <v>7</v>
      </c>
      <c r="E475" t="inlineStr">
        <is>
          <t>Output</t>
        </is>
      </c>
      <c r="F475" t="inlineStr">
        <is>
          <t>'=IFERROR(IF(LoanIsNotPaid*LoanIsGood,InterestAmt,0), 0)</t>
        </is>
      </c>
      <c r="G475" t="n">
        <v>36.28528656695644</v>
      </c>
      <c r="H475" t="inlineStr"/>
      <c r="I475" t="inlineStr">
        <is>
          <t>"$"#,##0.00</t>
        </is>
      </c>
      <c r="J475" t="b">
        <v>0</v>
      </c>
      <c r="K475" t="b">
        <v>0</v>
      </c>
      <c r="L475" t="n">
        <v>9</v>
      </c>
      <c r="M475" t="inlineStr">
        <is>
          <t>Values must be of type &lt;class 'str'&gt;</t>
        </is>
      </c>
      <c r="N475" t="inlineStr">
        <is>
          <t>00000000</t>
        </is>
      </c>
      <c r="O475" t="inlineStr">
        <is>
          <t>center</t>
        </is>
      </c>
      <c r="P475" t="inlineStr">
        <is>
          <t>center</t>
        </is>
      </c>
      <c r="R475" t="b">
        <v>1</v>
      </c>
      <c r="S475" t="inlineStr">
        <is>
          <t>G000006</t>
        </is>
      </c>
      <c r="T475" t="inlineStr">
        <is>
          <t>Vertical</t>
        </is>
      </c>
      <c r="U475" t="n">
        <v>120</v>
      </c>
      <c r="V475" t="b">
        <v>1</v>
      </c>
      <c r="W475" t="inlineStr">
        <is>
          <t>Loan calculator!G17:G136</t>
        </is>
      </c>
      <c r="X475">
        <f>IFERROR(IF(LoanIsNotPaid*LoanIsGood,InterestAmt,0), 0)</f>
        <v/>
      </c>
    </row>
    <row r="476">
      <c r="A476" t="inlineStr">
        <is>
          <t>Loan calculator</t>
        </is>
      </c>
      <c r="B476" t="inlineStr">
        <is>
          <t>H48</t>
        </is>
      </c>
      <c r="C476" t="n">
        <v>48</v>
      </c>
      <c r="D476" t="n">
        <v>8</v>
      </c>
      <c r="E476" t="inlineStr">
        <is>
          <t>Output</t>
        </is>
      </c>
      <c r="F476" t="inlineStr">
        <is>
          <t>'=IFERROR(IF(LoanIsNotPaid*LoanIsGood,EndingBalance,0), 0)</t>
        </is>
      </c>
      <c r="G476" t="n">
        <v>7844.548805033334</v>
      </c>
      <c r="H476" t="inlineStr"/>
      <c r="I476" t="inlineStr">
        <is>
          <t>"$"#,##0.00</t>
        </is>
      </c>
      <c r="J476" t="b">
        <v>0</v>
      </c>
      <c r="K476" t="b">
        <v>0</v>
      </c>
      <c r="L476" t="n">
        <v>9</v>
      </c>
      <c r="M476" t="inlineStr">
        <is>
          <t>Values must be of type &lt;class 'str'&gt;</t>
        </is>
      </c>
      <c r="N476" t="inlineStr">
        <is>
          <t>00000000</t>
        </is>
      </c>
      <c r="O476" t="inlineStr">
        <is>
          <t>center</t>
        </is>
      </c>
      <c r="P476" t="inlineStr">
        <is>
          <t>center</t>
        </is>
      </c>
      <c r="R476" t="b">
        <v>1</v>
      </c>
      <c r="S476" t="inlineStr">
        <is>
          <t>G000007</t>
        </is>
      </c>
      <c r="T476" t="inlineStr">
        <is>
          <t>Vertical</t>
        </is>
      </c>
      <c r="U476" t="n">
        <v>120</v>
      </c>
      <c r="V476" t="b">
        <v>1</v>
      </c>
      <c r="W476" t="inlineStr">
        <is>
          <t>Loan calculator!H17:H136</t>
        </is>
      </c>
      <c r="X476">
        <f>IFERROR(IF(LoanIsNotPaid*LoanIsGood,EndingBalance,0), 0)</f>
        <v/>
      </c>
    </row>
    <row r="477">
      <c r="A477" t="inlineStr">
        <is>
          <t>Loan calculator</t>
        </is>
      </c>
      <c r="B477" t="inlineStr">
        <is>
          <t>I48</t>
        </is>
      </c>
      <c r="C477" t="n">
        <v>48</v>
      </c>
      <c r="D477" t="n">
        <v>9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11</v>
      </c>
      <c r="M477" t="inlineStr">
        <is>
          <t>Values must be of type &lt;class 'str'&gt;</t>
        </is>
      </c>
      <c r="N477" t="inlineStr">
        <is>
          <t>Values must be of type &lt;class 'str'&gt;</t>
        </is>
      </c>
      <c r="O477" t="n">
        <v/>
      </c>
      <c r="P477" t="inlineStr">
        <is>
          <t>center</t>
        </is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</row>
    <row r="478">
      <c r="A478" t="inlineStr">
        <is>
          <t>Loan calculator</t>
        </is>
      </c>
      <c r="B478" t="inlineStr">
        <is>
          <t>A49</t>
        </is>
      </c>
      <c r="C478" t="n">
        <v>49</v>
      </c>
      <c r="D478" t="n">
        <v>1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11</v>
      </c>
      <c r="M478" t="inlineStr">
        <is>
          <t>Values must be of type &lt;class 'str'&gt;</t>
        </is>
      </c>
      <c r="N478" t="inlineStr">
        <is>
          <t>Values must be of type &lt;class 'str'&gt;</t>
        </is>
      </c>
      <c r="O478" t="n">
        <v/>
      </c>
      <c r="P478" t="inlineStr">
        <is>
          <t>center</t>
        </is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</row>
    <row r="479">
      <c r="A479" t="inlineStr">
        <is>
          <t>Loan calculator</t>
        </is>
      </c>
      <c r="B479" t="inlineStr">
        <is>
          <t>B49</t>
        </is>
      </c>
      <c r="C479" t="n">
        <v>49</v>
      </c>
      <c r="D479" t="n">
        <v>2</v>
      </c>
      <c r="E479" t="inlineStr">
        <is>
          <t>Output</t>
        </is>
      </c>
      <c r="F479" t="inlineStr">
        <is>
          <t>'=IFERROR(IF(LoanIsNotPaid*LoanIsGood,PaymentNumber,""), "")</t>
        </is>
      </c>
      <c r="G479" t="n">
        <v>33</v>
      </c>
      <c r="H479" t="inlineStr"/>
      <c r="I479" t="inlineStr">
        <is>
          <t>#,##0</t>
        </is>
      </c>
      <c r="J479" t="b">
        <v>0</v>
      </c>
      <c r="K479" t="b">
        <v>0</v>
      </c>
      <c r="L479" t="n">
        <v>9</v>
      </c>
      <c r="M479" t="inlineStr">
        <is>
          <t>Values must be of type &lt;class 'str'&gt;</t>
        </is>
      </c>
      <c r="N479" t="inlineStr">
        <is>
          <t>00000000</t>
        </is>
      </c>
      <c r="O479" t="inlineStr">
        <is>
          <t>center</t>
        </is>
      </c>
      <c r="P479" t="inlineStr">
        <is>
          <t>center</t>
        </is>
      </c>
      <c r="R479" t="b">
        <v>1</v>
      </c>
      <c r="S479" t="inlineStr">
        <is>
          <t>G000001</t>
        </is>
      </c>
      <c r="T479" t="inlineStr">
        <is>
          <t>Vertical</t>
        </is>
      </c>
      <c r="U479" t="n">
        <v>120</v>
      </c>
      <c r="V479" t="b">
        <v>1</v>
      </c>
      <c r="W479" t="inlineStr">
        <is>
          <t>Loan calculator!B17:B136</t>
        </is>
      </c>
      <c r="X479">
        <f>IFERROR(IF(LoanIsNotPaid*LoanIsGood,PaymentNumber,""), "")</f>
        <v/>
      </c>
    </row>
    <row r="480">
      <c r="A480" t="inlineStr">
        <is>
          <t>Loan calculator</t>
        </is>
      </c>
      <c r="B480" t="inlineStr">
        <is>
          <t>C49</t>
        </is>
      </c>
      <c r="C480" t="n">
        <v>49</v>
      </c>
      <c r="D480" t="n">
        <v>3</v>
      </c>
      <c r="E480" t="inlineStr">
        <is>
          <t>Output</t>
        </is>
      </c>
      <c r="F480" t="inlineStr">
        <is>
          <t>'=IFERROR(IF(LoanIsNotPaid*LoanIsGood,PaymentDate,LoanStartDate), LoanStartDate)</t>
        </is>
      </c>
      <c r="G480" s="1" t="n">
        <v>47092</v>
      </c>
      <c r="H480" t="inlineStr"/>
      <c r="I480" t="inlineStr">
        <is>
          <t>mm-dd-yy</t>
        </is>
      </c>
      <c r="J480" t="b">
        <v>0</v>
      </c>
      <c r="K480" t="b">
        <v>0</v>
      </c>
      <c r="L480" t="n">
        <v>9</v>
      </c>
      <c r="M480" t="inlineStr">
        <is>
          <t>Values must be of type &lt;class 'str'&gt;</t>
        </is>
      </c>
      <c r="N480" t="inlineStr">
        <is>
          <t>00000000</t>
        </is>
      </c>
      <c r="O480" t="inlineStr">
        <is>
          <t>center</t>
        </is>
      </c>
      <c r="P480" t="inlineStr">
        <is>
          <t>center</t>
        </is>
      </c>
      <c r="R480" t="b">
        <v>1</v>
      </c>
      <c r="S480" t="inlineStr">
        <is>
          <t>G000002</t>
        </is>
      </c>
      <c r="T480" t="inlineStr">
        <is>
          <t>Vertical</t>
        </is>
      </c>
      <c r="U480" t="n">
        <v>120</v>
      </c>
      <c r="V480" t="b">
        <v>1</v>
      </c>
      <c r="W480" t="inlineStr">
        <is>
          <t>Loan calculator!C17:C136</t>
        </is>
      </c>
      <c r="X480">
        <f>IFERROR(IF(LoanIsNotPaid*LoanIsGood,PaymentDate,LoanStartDate), LoanStartDate)</f>
        <v/>
      </c>
    </row>
    <row r="481">
      <c r="A481" t="inlineStr">
        <is>
          <t>Loan calculator</t>
        </is>
      </c>
      <c r="B481" t="inlineStr">
        <is>
          <t>D49</t>
        </is>
      </c>
      <c r="C481" t="n">
        <v>49</v>
      </c>
      <c r="D481" t="n">
        <v>4</v>
      </c>
      <c r="E481" t="inlineStr">
        <is>
          <t>Output</t>
        </is>
      </c>
      <c r="F481" t="inlineStr">
        <is>
          <t>'=IFERROR(IF(LoanIsNotPaid*LoanIsGood,LoanValue,""), "")</t>
        </is>
      </c>
      <c r="G481" t="n">
        <v>7844.548805033334</v>
      </c>
      <c r="H481" t="inlineStr"/>
      <c r="I481" t="inlineStr">
        <is>
          <t>"$"#,##0.00</t>
        </is>
      </c>
      <c r="J481" t="b">
        <v>0</v>
      </c>
      <c r="K481" t="b">
        <v>0</v>
      </c>
      <c r="L481" t="n">
        <v>9</v>
      </c>
      <c r="M481" t="inlineStr">
        <is>
          <t>Values must be of type &lt;class 'str'&gt;</t>
        </is>
      </c>
      <c r="N481" t="inlineStr">
        <is>
          <t>00000000</t>
        </is>
      </c>
      <c r="O481" t="inlineStr">
        <is>
          <t>center</t>
        </is>
      </c>
      <c r="P481" t="inlineStr">
        <is>
          <t>center</t>
        </is>
      </c>
      <c r="R481" t="b">
        <v>1</v>
      </c>
      <c r="S481" t="inlineStr">
        <is>
          <t>G000003</t>
        </is>
      </c>
      <c r="T481" t="inlineStr">
        <is>
          <t>Vertical</t>
        </is>
      </c>
      <c r="U481" t="n">
        <v>120</v>
      </c>
      <c r="V481" t="b">
        <v>1</v>
      </c>
      <c r="W481" t="inlineStr">
        <is>
          <t>Loan calculator!D17:D136</t>
        </is>
      </c>
      <c r="X481">
        <f>IFERROR(IF(LoanIsNotPaid*LoanIsGood,LoanValue,""), "")</f>
        <v/>
      </c>
    </row>
    <row r="482">
      <c r="A482" t="inlineStr">
        <is>
          <t>Loan calculator</t>
        </is>
      </c>
      <c r="B482" t="inlineStr">
        <is>
          <t>E49</t>
        </is>
      </c>
      <c r="C482" t="n">
        <v>49</v>
      </c>
      <c r="D482" t="n">
        <v>5</v>
      </c>
      <c r="E482" t="inlineStr">
        <is>
          <t>Output</t>
        </is>
      </c>
      <c r="F482" t="inlineStr">
        <is>
          <t>'=IFERROR(IF(LoanIsNotPaid*LoanIsGood,MonthlyPayment,0), 0)</t>
        </is>
      </c>
      <c r="G482" t="n">
        <v>108.5262779604807</v>
      </c>
      <c r="H482" t="inlineStr"/>
      <c r="I482" t="inlineStr">
        <is>
          <t>"$"#,##0.00</t>
        </is>
      </c>
      <c r="J482" t="b">
        <v>0</v>
      </c>
      <c r="K482" t="b">
        <v>0</v>
      </c>
      <c r="L482" t="n">
        <v>9</v>
      </c>
      <c r="M482" t="inlineStr">
        <is>
          <t>Values must be of type &lt;class 'str'&gt;</t>
        </is>
      </c>
      <c r="N482" t="inlineStr">
        <is>
          <t>00000000</t>
        </is>
      </c>
      <c r="O482" t="inlineStr">
        <is>
          <t>center</t>
        </is>
      </c>
      <c r="P482" t="inlineStr">
        <is>
          <t>center</t>
        </is>
      </c>
      <c r="R482" t="b">
        <v>1</v>
      </c>
      <c r="S482" t="inlineStr">
        <is>
          <t>G000004</t>
        </is>
      </c>
      <c r="T482" t="inlineStr">
        <is>
          <t>Vertical</t>
        </is>
      </c>
      <c r="U482" t="n">
        <v>120</v>
      </c>
      <c r="V482" t="b">
        <v>1</v>
      </c>
      <c r="W482" t="inlineStr">
        <is>
          <t>Loan calculator!E17:E136</t>
        </is>
      </c>
      <c r="X482">
        <f>IFERROR(IF(LoanIsNotPaid*LoanIsGood,MonthlyPayment,0), 0)</f>
        <v/>
      </c>
    </row>
    <row r="483">
      <c r="A483" t="inlineStr">
        <is>
          <t>Loan calculator</t>
        </is>
      </c>
      <c r="B483" t="inlineStr">
        <is>
          <t>F49</t>
        </is>
      </c>
      <c r="C483" t="n">
        <v>49</v>
      </c>
      <c r="D483" t="n">
        <v>6</v>
      </c>
      <c r="E483" t="inlineStr">
        <is>
          <t>Output</t>
        </is>
      </c>
      <c r="F483" t="inlineStr">
        <is>
          <t>'=IFERROR(IF(LoanIsNotPaid*LoanIsGood,Principal,0), 0)</t>
        </is>
      </c>
      <c r="G483" t="n">
        <v>72.57209593741128</v>
      </c>
      <c r="H483" t="inlineStr"/>
      <c r="I483" t="inlineStr">
        <is>
          <t>"$"#,##0.00</t>
        </is>
      </c>
      <c r="J483" t="b">
        <v>0</v>
      </c>
      <c r="K483" t="b">
        <v>0</v>
      </c>
      <c r="L483" t="n">
        <v>9</v>
      </c>
      <c r="M483" t="inlineStr">
        <is>
          <t>Values must be of type &lt;class 'str'&gt;</t>
        </is>
      </c>
      <c r="N483" t="inlineStr">
        <is>
          <t>00000000</t>
        </is>
      </c>
      <c r="O483" t="inlineStr">
        <is>
          <t>center</t>
        </is>
      </c>
      <c r="P483" t="inlineStr">
        <is>
          <t>center</t>
        </is>
      </c>
      <c r="R483" t="b">
        <v>1</v>
      </c>
      <c r="S483" t="inlineStr">
        <is>
          <t>G000005</t>
        </is>
      </c>
      <c r="T483" t="inlineStr">
        <is>
          <t>Vertical</t>
        </is>
      </c>
      <c r="U483" t="n">
        <v>120</v>
      </c>
      <c r="V483" t="b">
        <v>1</v>
      </c>
      <c r="W483" t="inlineStr">
        <is>
          <t>Loan calculator!F17:F136</t>
        </is>
      </c>
      <c r="X483">
        <f>IFERROR(IF(LoanIsNotPaid*LoanIsGood,Principal,0), 0)</f>
        <v/>
      </c>
    </row>
    <row r="484">
      <c r="A484" t="inlineStr">
        <is>
          <t>Loan calculator</t>
        </is>
      </c>
      <c r="B484" t="inlineStr">
        <is>
          <t>G49</t>
        </is>
      </c>
      <c r="C484" t="n">
        <v>49</v>
      </c>
      <c r="D484" t="n">
        <v>7</v>
      </c>
      <c r="E484" t="inlineStr">
        <is>
          <t>Output</t>
        </is>
      </c>
      <c r="F484" t="inlineStr">
        <is>
          <t>'=IFERROR(IF(LoanIsNotPaid*LoanIsGood,InterestAmt,0), 0)</t>
        </is>
      </c>
      <c r="G484" t="n">
        <v>35.95418202306946</v>
      </c>
      <c r="H484" t="inlineStr"/>
      <c r="I484" t="inlineStr">
        <is>
          <t>"$"#,##0.00</t>
        </is>
      </c>
      <c r="J484" t="b">
        <v>0</v>
      </c>
      <c r="K484" t="b">
        <v>0</v>
      </c>
      <c r="L484" t="n">
        <v>9</v>
      </c>
      <c r="M484" t="inlineStr">
        <is>
          <t>Values must be of type &lt;class 'str'&gt;</t>
        </is>
      </c>
      <c r="N484" t="inlineStr">
        <is>
          <t>00000000</t>
        </is>
      </c>
      <c r="O484" t="inlineStr">
        <is>
          <t>center</t>
        </is>
      </c>
      <c r="P484" t="inlineStr">
        <is>
          <t>center</t>
        </is>
      </c>
      <c r="R484" t="b">
        <v>1</v>
      </c>
      <c r="S484" t="inlineStr">
        <is>
          <t>G000006</t>
        </is>
      </c>
      <c r="T484" t="inlineStr">
        <is>
          <t>Vertical</t>
        </is>
      </c>
      <c r="U484" t="n">
        <v>120</v>
      </c>
      <c r="V484" t="b">
        <v>1</v>
      </c>
      <c r="W484" t="inlineStr">
        <is>
          <t>Loan calculator!G17:G136</t>
        </is>
      </c>
      <c r="X484">
        <f>IFERROR(IF(LoanIsNotPaid*LoanIsGood,InterestAmt,0), 0)</f>
        <v/>
      </c>
    </row>
    <row r="485">
      <c r="A485" t="inlineStr">
        <is>
          <t>Loan calculator</t>
        </is>
      </c>
      <c r="B485" t="inlineStr">
        <is>
          <t>H49</t>
        </is>
      </c>
      <c r="C485" t="n">
        <v>49</v>
      </c>
      <c r="D485" t="n">
        <v>8</v>
      </c>
      <c r="E485" t="inlineStr">
        <is>
          <t>Output</t>
        </is>
      </c>
      <c r="F485" t="inlineStr">
        <is>
          <t>'=IFERROR(IF(LoanIsNotPaid*LoanIsGood,EndingBalance,0), 0)</t>
        </is>
      </c>
      <c r="G485" t="n">
        <v>7771.97670909592</v>
      </c>
      <c r="H485" t="inlineStr"/>
      <c r="I485" t="inlineStr">
        <is>
          <t>"$"#,##0.00</t>
        </is>
      </c>
      <c r="J485" t="b">
        <v>0</v>
      </c>
      <c r="K485" t="b">
        <v>0</v>
      </c>
      <c r="L485" t="n">
        <v>9</v>
      </c>
      <c r="M485" t="inlineStr">
        <is>
          <t>Values must be of type &lt;class 'str'&gt;</t>
        </is>
      </c>
      <c r="N485" t="inlineStr">
        <is>
          <t>00000000</t>
        </is>
      </c>
      <c r="O485" t="inlineStr">
        <is>
          <t>center</t>
        </is>
      </c>
      <c r="P485" t="inlineStr">
        <is>
          <t>center</t>
        </is>
      </c>
      <c r="R485" t="b">
        <v>1</v>
      </c>
      <c r="S485" t="inlineStr">
        <is>
          <t>G000007</t>
        </is>
      </c>
      <c r="T485" t="inlineStr">
        <is>
          <t>Vertical</t>
        </is>
      </c>
      <c r="U485" t="n">
        <v>120</v>
      </c>
      <c r="V485" t="b">
        <v>1</v>
      </c>
      <c r="W485" t="inlineStr">
        <is>
          <t>Loan calculator!H17:H136</t>
        </is>
      </c>
      <c r="X485">
        <f>IFERROR(IF(LoanIsNotPaid*LoanIsGood,EndingBalance,0), 0)</f>
        <v/>
      </c>
    </row>
    <row r="486">
      <c r="A486" t="inlineStr">
        <is>
          <t>Loan calculator</t>
        </is>
      </c>
      <c r="B486" t="inlineStr">
        <is>
          <t>I49</t>
        </is>
      </c>
      <c r="C486" t="n">
        <v>49</v>
      </c>
      <c r="D486" t="n">
        <v>9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11</v>
      </c>
      <c r="M486" t="inlineStr">
        <is>
          <t>Values must be of type &lt;class 'str'&gt;</t>
        </is>
      </c>
      <c r="N486" t="inlineStr">
        <is>
          <t>Values must be of type &lt;class 'str'&gt;</t>
        </is>
      </c>
      <c r="O486" t="n">
        <v/>
      </c>
      <c r="P486" t="inlineStr">
        <is>
          <t>center</t>
        </is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</row>
    <row r="487">
      <c r="A487" t="inlineStr">
        <is>
          <t>Loan calculator</t>
        </is>
      </c>
      <c r="B487" t="inlineStr">
        <is>
          <t>A50</t>
        </is>
      </c>
      <c r="C487" t="n">
        <v>50</v>
      </c>
      <c r="D487" t="n">
        <v>1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11</v>
      </c>
      <c r="M487" t="inlineStr">
        <is>
          <t>Values must be of type &lt;class 'str'&gt;</t>
        </is>
      </c>
      <c r="N487" t="inlineStr">
        <is>
          <t>Values must be of type &lt;class 'str'&gt;</t>
        </is>
      </c>
      <c r="O487" t="n">
        <v/>
      </c>
      <c r="P487" t="inlineStr">
        <is>
          <t>center</t>
        </is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</row>
    <row r="488">
      <c r="A488" t="inlineStr">
        <is>
          <t>Loan calculator</t>
        </is>
      </c>
      <c r="B488" t="inlineStr">
        <is>
          <t>B50</t>
        </is>
      </c>
      <c r="C488" t="n">
        <v>50</v>
      </c>
      <c r="D488" t="n">
        <v>2</v>
      </c>
      <c r="E488" t="inlineStr">
        <is>
          <t>Output</t>
        </is>
      </c>
      <c r="F488" t="inlineStr">
        <is>
          <t>'=IFERROR(IF(LoanIsNotPaid*LoanIsGood,PaymentNumber,""), "")</t>
        </is>
      </c>
      <c r="G488" t="n">
        <v>34</v>
      </c>
      <c r="H488" t="inlineStr"/>
      <c r="I488" t="inlineStr">
        <is>
          <t>#,##0</t>
        </is>
      </c>
      <c r="J488" t="b">
        <v>0</v>
      </c>
      <c r="K488" t="b">
        <v>0</v>
      </c>
      <c r="L488" t="n">
        <v>9</v>
      </c>
      <c r="M488" t="inlineStr">
        <is>
          <t>Values must be of type &lt;class 'str'&gt;</t>
        </is>
      </c>
      <c r="N488" t="inlineStr">
        <is>
          <t>00000000</t>
        </is>
      </c>
      <c r="O488" t="inlineStr">
        <is>
          <t>center</t>
        </is>
      </c>
      <c r="P488" t="inlineStr">
        <is>
          <t>center</t>
        </is>
      </c>
      <c r="R488" t="b">
        <v>1</v>
      </c>
      <c r="S488" t="inlineStr">
        <is>
          <t>G000001</t>
        </is>
      </c>
      <c r="T488" t="inlineStr">
        <is>
          <t>Vertical</t>
        </is>
      </c>
      <c r="U488" t="n">
        <v>120</v>
      </c>
      <c r="V488" t="b">
        <v>1</v>
      </c>
      <c r="W488" t="inlineStr">
        <is>
          <t>Loan calculator!B17:B136</t>
        </is>
      </c>
      <c r="X488">
        <f>IFERROR(IF(LoanIsNotPaid*LoanIsGood,PaymentNumber,""), "")</f>
        <v/>
      </c>
    </row>
    <row r="489">
      <c r="A489" t="inlineStr">
        <is>
          <t>Loan calculator</t>
        </is>
      </c>
      <c r="B489" t="inlineStr">
        <is>
          <t>C50</t>
        </is>
      </c>
      <c r="C489" t="n">
        <v>50</v>
      </c>
      <c r="D489" t="n">
        <v>3</v>
      </c>
      <c r="E489" t="inlineStr">
        <is>
          <t>Output</t>
        </is>
      </c>
      <c r="F489" t="inlineStr">
        <is>
          <t>'=IFERROR(IF(LoanIsNotPaid*LoanIsGood,PaymentDate,LoanStartDate), LoanStartDate)</t>
        </is>
      </c>
      <c r="G489" s="1" t="n">
        <v>47123</v>
      </c>
      <c r="H489" t="inlineStr"/>
      <c r="I489" t="inlineStr">
        <is>
          <t>mm-dd-yy</t>
        </is>
      </c>
      <c r="J489" t="b">
        <v>0</v>
      </c>
      <c r="K489" t="b">
        <v>0</v>
      </c>
      <c r="L489" t="n">
        <v>9</v>
      </c>
      <c r="M489" t="inlineStr">
        <is>
          <t>Values must be of type &lt;class 'str'&gt;</t>
        </is>
      </c>
      <c r="N489" t="inlineStr">
        <is>
          <t>00000000</t>
        </is>
      </c>
      <c r="O489" t="inlineStr">
        <is>
          <t>center</t>
        </is>
      </c>
      <c r="P489" t="inlineStr">
        <is>
          <t>center</t>
        </is>
      </c>
      <c r="R489" t="b">
        <v>1</v>
      </c>
      <c r="S489" t="inlineStr">
        <is>
          <t>G000002</t>
        </is>
      </c>
      <c r="T489" t="inlineStr">
        <is>
          <t>Vertical</t>
        </is>
      </c>
      <c r="U489" t="n">
        <v>120</v>
      </c>
      <c r="V489" t="b">
        <v>1</v>
      </c>
      <c r="W489" t="inlineStr">
        <is>
          <t>Loan calculator!C17:C136</t>
        </is>
      </c>
      <c r="X489">
        <f>IFERROR(IF(LoanIsNotPaid*LoanIsGood,PaymentDate,LoanStartDate), LoanStartDate)</f>
        <v/>
      </c>
    </row>
    <row r="490">
      <c r="A490" t="inlineStr">
        <is>
          <t>Loan calculator</t>
        </is>
      </c>
      <c r="B490" t="inlineStr">
        <is>
          <t>D50</t>
        </is>
      </c>
      <c r="C490" t="n">
        <v>50</v>
      </c>
      <c r="D490" t="n">
        <v>4</v>
      </c>
      <c r="E490" t="inlineStr">
        <is>
          <t>Output</t>
        </is>
      </c>
      <c r="F490" t="inlineStr">
        <is>
          <t>'=IFERROR(IF(LoanIsNotPaid*LoanIsGood,LoanValue,""), "")</t>
        </is>
      </c>
      <c r="G490" t="n">
        <v>7771.97670909592</v>
      </c>
      <c r="H490" t="inlineStr"/>
      <c r="I490" t="inlineStr">
        <is>
          <t>"$"#,##0.00</t>
        </is>
      </c>
      <c r="J490" t="b">
        <v>0</v>
      </c>
      <c r="K490" t="b">
        <v>0</v>
      </c>
      <c r="L490" t="n">
        <v>9</v>
      </c>
      <c r="M490" t="inlineStr">
        <is>
          <t>Values must be of type &lt;class 'str'&gt;</t>
        </is>
      </c>
      <c r="N490" t="inlineStr">
        <is>
          <t>00000000</t>
        </is>
      </c>
      <c r="O490" t="inlineStr">
        <is>
          <t>center</t>
        </is>
      </c>
      <c r="P490" t="inlineStr">
        <is>
          <t>center</t>
        </is>
      </c>
      <c r="R490" t="b">
        <v>1</v>
      </c>
      <c r="S490" t="inlineStr">
        <is>
          <t>G000003</t>
        </is>
      </c>
      <c r="T490" t="inlineStr">
        <is>
          <t>Vertical</t>
        </is>
      </c>
      <c r="U490" t="n">
        <v>120</v>
      </c>
      <c r="V490" t="b">
        <v>1</v>
      </c>
      <c r="W490" t="inlineStr">
        <is>
          <t>Loan calculator!D17:D136</t>
        </is>
      </c>
      <c r="X490">
        <f>IFERROR(IF(LoanIsNotPaid*LoanIsGood,LoanValue,""), "")</f>
        <v/>
      </c>
    </row>
    <row r="491">
      <c r="A491" t="inlineStr">
        <is>
          <t>Loan calculator</t>
        </is>
      </c>
      <c r="B491" t="inlineStr">
        <is>
          <t>E50</t>
        </is>
      </c>
      <c r="C491" t="n">
        <v>50</v>
      </c>
      <c r="D491" t="n">
        <v>5</v>
      </c>
      <c r="E491" t="inlineStr">
        <is>
          <t>Output</t>
        </is>
      </c>
      <c r="F491" t="inlineStr">
        <is>
          <t>'=IFERROR(IF(LoanIsNotPaid*LoanIsGood,MonthlyPayment,0), 0)</t>
        </is>
      </c>
      <c r="G491" t="n">
        <v>108.5262779604807</v>
      </c>
      <c r="H491" t="inlineStr"/>
      <c r="I491" t="inlineStr">
        <is>
          <t>"$"#,##0.00</t>
        </is>
      </c>
      <c r="J491" t="b">
        <v>0</v>
      </c>
      <c r="K491" t="b">
        <v>0</v>
      </c>
      <c r="L491" t="n">
        <v>9</v>
      </c>
      <c r="M491" t="inlineStr">
        <is>
          <t>Values must be of type &lt;class 'str'&gt;</t>
        </is>
      </c>
      <c r="N491" t="inlineStr">
        <is>
          <t>00000000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inlineStr">
        <is>
          <t>G000004</t>
        </is>
      </c>
      <c r="T491" t="inlineStr">
        <is>
          <t>Vertical</t>
        </is>
      </c>
      <c r="U491" t="n">
        <v>120</v>
      </c>
      <c r="V491" t="b">
        <v>1</v>
      </c>
      <c r="W491" t="inlineStr">
        <is>
          <t>Loan calculator!E17:E136</t>
        </is>
      </c>
      <c r="X491">
        <f>IFERROR(IF(LoanIsNotPaid*LoanIsGood,MonthlyPayment,0), 0)</f>
        <v/>
      </c>
    </row>
    <row r="492">
      <c r="A492" t="inlineStr">
        <is>
          <t>Loan calculator</t>
        </is>
      </c>
      <c r="B492" t="inlineStr">
        <is>
          <t>F50</t>
        </is>
      </c>
      <c r="C492" t="n">
        <v>50</v>
      </c>
      <c r="D492" t="n">
        <v>6</v>
      </c>
      <c r="E492" t="inlineStr">
        <is>
          <t>Output</t>
        </is>
      </c>
      <c r="F492" t="inlineStr">
        <is>
          <t>'=IFERROR(IF(LoanIsNotPaid*LoanIsGood,Principal,0), 0)</t>
        </is>
      </c>
      <c r="G492" t="n">
        <v>72.90471804379106</v>
      </c>
      <c r="H492" t="inlineStr"/>
      <c r="I492" t="inlineStr">
        <is>
          <t>"$"#,##0.00</t>
        </is>
      </c>
      <c r="J492" t="b">
        <v>0</v>
      </c>
      <c r="K492" t="b">
        <v>0</v>
      </c>
      <c r="L492" t="n">
        <v>9</v>
      </c>
      <c r="M492" t="inlineStr">
        <is>
          <t>Values must be of type &lt;class 'str'&gt;</t>
        </is>
      </c>
      <c r="N492" t="inlineStr">
        <is>
          <t>00000000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inlineStr">
        <is>
          <t>G000005</t>
        </is>
      </c>
      <c r="T492" t="inlineStr">
        <is>
          <t>Vertical</t>
        </is>
      </c>
      <c r="U492" t="n">
        <v>120</v>
      </c>
      <c r="V492" t="b">
        <v>1</v>
      </c>
      <c r="W492" t="inlineStr">
        <is>
          <t>Loan calculator!F17:F136</t>
        </is>
      </c>
      <c r="X492">
        <f>IFERROR(IF(LoanIsNotPaid*LoanIsGood,Principal,0), 0)</f>
        <v/>
      </c>
    </row>
    <row r="493">
      <c r="A493" t="inlineStr">
        <is>
          <t>Loan calculator</t>
        </is>
      </c>
      <c r="B493" t="inlineStr">
        <is>
          <t>G50</t>
        </is>
      </c>
      <c r="C493" t="n">
        <v>50</v>
      </c>
      <c r="D493" t="n">
        <v>7</v>
      </c>
      <c r="E493" t="inlineStr">
        <is>
          <t>Output</t>
        </is>
      </c>
      <c r="F493" t="inlineStr">
        <is>
          <t>'=IFERROR(IF(LoanIsNotPaid*LoanIsGood,InterestAmt,0), 0)</t>
        </is>
      </c>
      <c r="G493" t="n">
        <v>35.62155991668966</v>
      </c>
      <c r="H493" t="inlineStr"/>
      <c r="I493" t="inlineStr">
        <is>
          <t>"$"#,##0.00</t>
        </is>
      </c>
      <c r="J493" t="b">
        <v>0</v>
      </c>
      <c r="K493" t="b">
        <v>0</v>
      </c>
      <c r="L493" t="n">
        <v>9</v>
      </c>
      <c r="M493" t="inlineStr">
        <is>
          <t>Values must be of type &lt;class 'str'&gt;</t>
        </is>
      </c>
      <c r="N493" t="inlineStr">
        <is>
          <t>00000000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S493" t="inlineStr">
        <is>
          <t>G000006</t>
        </is>
      </c>
      <c r="T493" t="inlineStr">
        <is>
          <t>Vertical</t>
        </is>
      </c>
      <c r="U493" t="n">
        <v>120</v>
      </c>
      <c r="V493" t="b">
        <v>1</v>
      </c>
      <c r="W493" t="inlineStr">
        <is>
          <t>Loan calculator!G17:G136</t>
        </is>
      </c>
      <c r="X493">
        <f>IFERROR(IF(LoanIsNotPaid*LoanIsGood,InterestAmt,0), 0)</f>
        <v/>
      </c>
    </row>
    <row r="494">
      <c r="A494" t="inlineStr">
        <is>
          <t>Loan calculator</t>
        </is>
      </c>
      <c r="B494" t="inlineStr">
        <is>
          <t>H50</t>
        </is>
      </c>
      <c r="C494" t="n">
        <v>50</v>
      </c>
      <c r="D494" t="n">
        <v>8</v>
      </c>
      <c r="E494" t="inlineStr">
        <is>
          <t>Output</t>
        </is>
      </c>
      <c r="F494" t="inlineStr">
        <is>
          <t>'=IFERROR(IF(LoanIsNotPaid*LoanIsGood,EndingBalance,0), 0)</t>
        </is>
      </c>
      <c r="G494" t="n">
        <v>7699.07199105213</v>
      </c>
      <c r="H494" t="inlineStr"/>
      <c r="I494" t="inlineStr">
        <is>
          <t>"$"#,##0.00</t>
        </is>
      </c>
      <c r="J494" t="b">
        <v>0</v>
      </c>
      <c r="K494" t="b">
        <v>0</v>
      </c>
      <c r="L494" t="n">
        <v>9</v>
      </c>
      <c r="M494" t="inlineStr">
        <is>
          <t>Values must be of type &lt;class 'str'&gt;</t>
        </is>
      </c>
      <c r="N494" t="inlineStr">
        <is>
          <t>00000000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S494" t="inlineStr">
        <is>
          <t>G000007</t>
        </is>
      </c>
      <c r="T494" t="inlineStr">
        <is>
          <t>Vertical</t>
        </is>
      </c>
      <c r="U494" t="n">
        <v>120</v>
      </c>
      <c r="V494" t="b">
        <v>1</v>
      </c>
      <c r="W494" t="inlineStr">
        <is>
          <t>Loan calculator!H17:H136</t>
        </is>
      </c>
      <c r="X494">
        <f>IFERROR(IF(LoanIsNotPaid*LoanIsGood,EndingBalance,0), 0)</f>
        <v/>
      </c>
    </row>
    <row r="495">
      <c r="A495" t="inlineStr">
        <is>
          <t>Loan calculator</t>
        </is>
      </c>
      <c r="B495" t="inlineStr">
        <is>
          <t>I50</t>
        </is>
      </c>
      <c r="C495" t="n">
        <v>50</v>
      </c>
      <c r="D495" t="n">
        <v>9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11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n">
        <v/>
      </c>
      <c r="P495" t="inlineStr">
        <is>
          <t>center</t>
        </is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</row>
    <row r="496">
      <c r="A496" t="inlineStr">
        <is>
          <t>Loan calculator</t>
        </is>
      </c>
      <c r="B496" t="inlineStr">
        <is>
          <t>A51</t>
        </is>
      </c>
      <c r="C496" t="n">
        <v>51</v>
      </c>
      <c r="D496" t="n">
        <v>1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11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n">
        <v/>
      </c>
      <c r="P496" t="inlineStr">
        <is>
          <t>center</t>
        </is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</row>
    <row r="497">
      <c r="A497" t="inlineStr">
        <is>
          <t>Loan calculator</t>
        </is>
      </c>
      <c r="B497" t="inlineStr">
        <is>
          <t>B51</t>
        </is>
      </c>
      <c r="C497" t="n">
        <v>51</v>
      </c>
      <c r="D497" t="n">
        <v>2</v>
      </c>
      <c r="E497" t="inlineStr">
        <is>
          <t>Output</t>
        </is>
      </c>
      <c r="F497" t="inlineStr">
        <is>
          <t>'=IFERROR(IF(LoanIsNotPaid*LoanIsGood,PaymentNumber,""), "")</t>
        </is>
      </c>
      <c r="G497" t="n">
        <v>35</v>
      </c>
      <c r="H497" t="inlineStr"/>
      <c r="I497" t="inlineStr">
        <is>
          <t>#,##0</t>
        </is>
      </c>
      <c r="J497" t="b">
        <v>0</v>
      </c>
      <c r="K497" t="b">
        <v>0</v>
      </c>
      <c r="L497" t="n">
        <v>9</v>
      </c>
      <c r="M497" t="inlineStr">
        <is>
          <t>Values must be of type &lt;class 'str'&gt;</t>
        </is>
      </c>
      <c r="N497" t="inlineStr">
        <is>
          <t>00000000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S497" t="inlineStr">
        <is>
          <t>G000001</t>
        </is>
      </c>
      <c r="T497" t="inlineStr">
        <is>
          <t>Vertical</t>
        </is>
      </c>
      <c r="U497" t="n">
        <v>120</v>
      </c>
      <c r="V497" t="b">
        <v>1</v>
      </c>
      <c r="W497" t="inlineStr">
        <is>
          <t>Loan calculator!B17:B136</t>
        </is>
      </c>
      <c r="X497">
        <f>IFERROR(IF(LoanIsNotPaid*LoanIsGood,PaymentNumber,""), "")</f>
        <v/>
      </c>
    </row>
    <row r="498">
      <c r="A498" t="inlineStr">
        <is>
          <t>Loan calculator</t>
        </is>
      </c>
      <c r="B498" t="inlineStr">
        <is>
          <t>C51</t>
        </is>
      </c>
      <c r="C498" t="n">
        <v>51</v>
      </c>
      <c r="D498" t="n">
        <v>3</v>
      </c>
      <c r="E498" t="inlineStr">
        <is>
          <t>Output</t>
        </is>
      </c>
      <c r="F498" t="inlineStr">
        <is>
          <t>'=IFERROR(IF(LoanIsNotPaid*LoanIsGood,PaymentDate,LoanStartDate), LoanStartDate)</t>
        </is>
      </c>
      <c r="G498" s="1" t="n">
        <v>47154</v>
      </c>
      <c r="H498" t="inlineStr"/>
      <c r="I498" t="inlineStr">
        <is>
          <t>mm-dd-yy</t>
        </is>
      </c>
      <c r="J498" t="b">
        <v>0</v>
      </c>
      <c r="K498" t="b">
        <v>0</v>
      </c>
      <c r="L498" t="n">
        <v>9</v>
      </c>
      <c r="M498" t="inlineStr">
        <is>
          <t>Values must be of type &lt;class 'str'&gt;</t>
        </is>
      </c>
      <c r="N498" t="inlineStr">
        <is>
          <t>00000000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S498" t="inlineStr">
        <is>
          <t>G000002</t>
        </is>
      </c>
      <c r="T498" t="inlineStr">
        <is>
          <t>Vertical</t>
        </is>
      </c>
      <c r="U498" t="n">
        <v>120</v>
      </c>
      <c r="V498" t="b">
        <v>1</v>
      </c>
      <c r="W498" t="inlineStr">
        <is>
          <t>Loan calculator!C17:C136</t>
        </is>
      </c>
      <c r="X498">
        <f>IFERROR(IF(LoanIsNotPaid*LoanIsGood,PaymentDate,LoanStartDate), LoanStartDate)</f>
        <v/>
      </c>
    </row>
    <row r="499">
      <c r="A499" t="inlineStr">
        <is>
          <t>Loan calculator</t>
        </is>
      </c>
      <c r="B499" t="inlineStr">
        <is>
          <t>D51</t>
        </is>
      </c>
      <c r="C499" t="n">
        <v>51</v>
      </c>
      <c r="D499" t="n">
        <v>4</v>
      </c>
      <c r="E499" t="inlineStr">
        <is>
          <t>Output</t>
        </is>
      </c>
      <c r="F499" t="inlineStr">
        <is>
          <t>'=IFERROR(IF(LoanIsNotPaid*LoanIsGood,LoanValue,""), "")</t>
        </is>
      </c>
      <c r="G499" t="n">
        <v>7699.07199105213</v>
      </c>
      <c r="H499" t="inlineStr"/>
      <c r="I499" t="inlineStr">
        <is>
          <t>"$"#,##0.00</t>
        </is>
      </c>
      <c r="J499" t="b">
        <v>0</v>
      </c>
      <c r="K499" t="b">
        <v>0</v>
      </c>
      <c r="L499" t="n">
        <v>9</v>
      </c>
      <c r="M499" t="inlineStr">
        <is>
          <t>Values must be of type &lt;class 'str'&gt;</t>
        </is>
      </c>
      <c r="N499" t="inlineStr">
        <is>
          <t>00000000</t>
        </is>
      </c>
      <c r="O499" t="inlineStr">
        <is>
          <t>center</t>
        </is>
      </c>
      <c r="P499" t="inlineStr">
        <is>
          <t>center</t>
        </is>
      </c>
      <c r="R499" t="b">
        <v>1</v>
      </c>
      <c r="S499" t="inlineStr">
        <is>
          <t>G000003</t>
        </is>
      </c>
      <c r="T499" t="inlineStr">
        <is>
          <t>Vertical</t>
        </is>
      </c>
      <c r="U499" t="n">
        <v>120</v>
      </c>
      <c r="V499" t="b">
        <v>1</v>
      </c>
      <c r="W499" t="inlineStr">
        <is>
          <t>Loan calculator!D17:D136</t>
        </is>
      </c>
      <c r="X499">
        <f>IFERROR(IF(LoanIsNotPaid*LoanIsGood,LoanValue,""), "")</f>
        <v/>
      </c>
    </row>
    <row r="500">
      <c r="A500" t="inlineStr">
        <is>
          <t>Loan calculator</t>
        </is>
      </c>
      <c r="B500" t="inlineStr">
        <is>
          <t>E51</t>
        </is>
      </c>
      <c r="C500" t="n">
        <v>51</v>
      </c>
      <c r="D500" t="n">
        <v>5</v>
      </c>
      <c r="E500" t="inlineStr">
        <is>
          <t>Output</t>
        </is>
      </c>
      <c r="F500" t="inlineStr">
        <is>
          <t>'=IFERROR(IF(LoanIsNotPaid*LoanIsGood,MonthlyPayment,0), 0)</t>
        </is>
      </c>
      <c r="G500" t="n">
        <v>108.5262779604807</v>
      </c>
      <c r="H500" t="inlineStr"/>
      <c r="I500" t="inlineStr">
        <is>
          <t>"$"#,##0.00</t>
        </is>
      </c>
      <c r="J500" t="b">
        <v>0</v>
      </c>
      <c r="K500" t="b">
        <v>0</v>
      </c>
      <c r="L500" t="n">
        <v>9</v>
      </c>
      <c r="M500" t="inlineStr">
        <is>
          <t>Values must be of type &lt;class 'str'&gt;</t>
        </is>
      </c>
      <c r="N500" t="inlineStr">
        <is>
          <t>00000000</t>
        </is>
      </c>
      <c r="O500" t="inlineStr">
        <is>
          <t>center</t>
        </is>
      </c>
      <c r="P500" t="inlineStr">
        <is>
          <t>center</t>
        </is>
      </c>
      <c r="R500" t="b">
        <v>1</v>
      </c>
      <c r="S500" t="inlineStr">
        <is>
          <t>G000004</t>
        </is>
      </c>
      <c r="T500" t="inlineStr">
        <is>
          <t>Vertical</t>
        </is>
      </c>
      <c r="U500" t="n">
        <v>120</v>
      </c>
      <c r="V500" t="b">
        <v>1</v>
      </c>
      <c r="W500" t="inlineStr">
        <is>
          <t>Loan calculator!E17:E136</t>
        </is>
      </c>
      <c r="X500">
        <f>IFERROR(IF(LoanIsNotPaid*LoanIsGood,MonthlyPayment,0), 0)</f>
        <v/>
      </c>
    </row>
    <row r="501">
      <c r="A501" t="inlineStr">
        <is>
          <t>Loan calculator</t>
        </is>
      </c>
      <c r="B501" t="inlineStr">
        <is>
          <t>F51</t>
        </is>
      </c>
      <c r="C501" t="n">
        <v>51</v>
      </c>
      <c r="D501" t="n">
        <v>6</v>
      </c>
      <c r="E501" t="inlineStr">
        <is>
          <t>Output</t>
        </is>
      </c>
      <c r="F501" t="inlineStr">
        <is>
          <t>'=IFERROR(IF(LoanIsNotPaid*LoanIsGood,Principal,0), 0)</t>
        </is>
      </c>
      <c r="G501" t="n">
        <v>73.23886466815844</v>
      </c>
      <c r="H501" t="inlineStr"/>
      <c r="I501" t="inlineStr">
        <is>
          <t>"$"#,##0.00</t>
        </is>
      </c>
      <c r="J501" t="b">
        <v>0</v>
      </c>
      <c r="K501" t="b">
        <v>0</v>
      </c>
      <c r="L501" t="n">
        <v>9</v>
      </c>
      <c r="M501" t="inlineStr">
        <is>
          <t>Values must be of type &lt;class 'str'&gt;</t>
        </is>
      </c>
      <c r="N501" t="inlineStr">
        <is>
          <t>00000000</t>
        </is>
      </c>
      <c r="O501" t="inlineStr">
        <is>
          <t>center</t>
        </is>
      </c>
      <c r="P501" t="inlineStr">
        <is>
          <t>center</t>
        </is>
      </c>
      <c r="R501" t="b">
        <v>1</v>
      </c>
      <c r="S501" t="inlineStr">
        <is>
          <t>G000005</t>
        </is>
      </c>
      <c r="T501" t="inlineStr">
        <is>
          <t>Vertical</t>
        </is>
      </c>
      <c r="U501" t="n">
        <v>120</v>
      </c>
      <c r="V501" t="b">
        <v>1</v>
      </c>
      <c r="W501" t="inlineStr">
        <is>
          <t>Loan calculator!F17:F136</t>
        </is>
      </c>
      <c r="X501">
        <f>IFERROR(IF(LoanIsNotPaid*LoanIsGood,Principal,0), 0)</f>
        <v/>
      </c>
    </row>
    <row r="502">
      <c r="A502" t="inlineStr">
        <is>
          <t>Loan calculator</t>
        </is>
      </c>
      <c r="B502" t="inlineStr">
        <is>
          <t>G51</t>
        </is>
      </c>
      <c r="C502" t="n">
        <v>51</v>
      </c>
      <c r="D502" t="n">
        <v>7</v>
      </c>
      <c r="E502" t="inlineStr">
        <is>
          <t>Output</t>
        </is>
      </c>
      <c r="F502" t="inlineStr">
        <is>
          <t>'=IFERROR(IF(LoanIsNotPaid*LoanIsGood,InterestAmt,0), 0)</t>
        </is>
      </c>
      <c r="G502" t="n">
        <v>35.28741329232228</v>
      </c>
      <c r="H502" t="inlineStr"/>
      <c r="I502" t="inlineStr">
        <is>
          <t>"$"#,##0.00</t>
        </is>
      </c>
      <c r="J502" t="b">
        <v>0</v>
      </c>
      <c r="K502" t="b">
        <v>0</v>
      </c>
      <c r="L502" t="n">
        <v>9</v>
      </c>
      <c r="M502" t="inlineStr">
        <is>
          <t>Values must be of type &lt;class 'str'&gt;</t>
        </is>
      </c>
      <c r="N502" t="inlineStr">
        <is>
          <t>00000000</t>
        </is>
      </c>
      <c r="O502" t="inlineStr">
        <is>
          <t>center</t>
        </is>
      </c>
      <c r="P502" t="inlineStr">
        <is>
          <t>center</t>
        </is>
      </c>
      <c r="R502" t="b">
        <v>1</v>
      </c>
      <c r="S502" t="inlineStr">
        <is>
          <t>G000006</t>
        </is>
      </c>
      <c r="T502" t="inlineStr">
        <is>
          <t>Vertical</t>
        </is>
      </c>
      <c r="U502" t="n">
        <v>120</v>
      </c>
      <c r="V502" t="b">
        <v>1</v>
      </c>
      <c r="W502" t="inlineStr">
        <is>
          <t>Loan calculator!G17:G136</t>
        </is>
      </c>
      <c r="X502">
        <f>IFERROR(IF(LoanIsNotPaid*LoanIsGood,InterestAmt,0), 0)</f>
        <v/>
      </c>
    </row>
    <row r="503">
      <c r="A503" t="inlineStr">
        <is>
          <t>Loan calculator</t>
        </is>
      </c>
      <c r="B503" t="inlineStr">
        <is>
          <t>H51</t>
        </is>
      </c>
      <c r="C503" t="n">
        <v>51</v>
      </c>
      <c r="D503" t="n">
        <v>8</v>
      </c>
      <c r="E503" t="inlineStr">
        <is>
          <t>Output</t>
        </is>
      </c>
      <c r="F503" t="inlineStr">
        <is>
          <t>'=IFERROR(IF(LoanIsNotPaid*LoanIsGood,EndingBalance,0), 0)</t>
        </is>
      </c>
      <c r="G503" t="n">
        <v>7625.833126383972</v>
      </c>
      <c r="H503" t="inlineStr"/>
      <c r="I503" t="inlineStr">
        <is>
          <t>"$"#,##0.00</t>
        </is>
      </c>
      <c r="J503" t="b">
        <v>0</v>
      </c>
      <c r="K503" t="b">
        <v>0</v>
      </c>
      <c r="L503" t="n">
        <v>9</v>
      </c>
      <c r="M503" t="inlineStr">
        <is>
          <t>Values must be of type &lt;class 'str'&gt;</t>
        </is>
      </c>
      <c r="N503" t="inlineStr">
        <is>
          <t>00000000</t>
        </is>
      </c>
      <c r="O503" t="inlineStr">
        <is>
          <t>center</t>
        </is>
      </c>
      <c r="P503" t="inlineStr">
        <is>
          <t>center</t>
        </is>
      </c>
      <c r="R503" t="b">
        <v>1</v>
      </c>
      <c r="S503" t="inlineStr">
        <is>
          <t>G000007</t>
        </is>
      </c>
      <c r="T503" t="inlineStr">
        <is>
          <t>Vertical</t>
        </is>
      </c>
      <c r="U503" t="n">
        <v>120</v>
      </c>
      <c r="V503" t="b">
        <v>1</v>
      </c>
      <c r="W503" t="inlineStr">
        <is>
          <t>Loan calculator!H17:H136</t>
        </is>
      </c>
      <c r="X503">
        <f>IFERROR(IF(LoanIsNotPaid*LoanIsGood,EndingBalance,0), 0)</f>
        <v/>
      </c>
    </row>
    <row r="504">
      <c r="A504" t="inlineStr">
        <is>
          <t>Loan calculator</t>
        </is>
      </c>
      <c r="B504" t="inlineStr">
        <is>
          <t>I51</t>
        </is>
      </c>
      <c r="C504" t="n">
        <v>51</v>
      </c>
      <c r="D504" t="n">
        <v>9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11</v>
      </c>
      <c r="M504" t="inlineStr">
        <is>
          <t>Values must be of type &lt;class 'str'&gt;</t>
        </is>
      </c>
      <c r="N504" t="inlineStr">
        <is>
          <t>Values must be of type &lt;class 'str'&gt;</t>
        </is>
      </c>
      <c r="O504" t="n">
        <v/>
      </c>
      <c r="P504" t="inlineStr">
        <is>
          <t>center</t>
        </is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</row>
    <row r="505">
      <c r="A505" t="inlineStr">
        <is>
          <t>Loan calculator</t>
        </is>
      </c>
      <c r="B505" t="inlineStr">
        <is>
          <t>A52</t>
        </is>
      </c>
      <c r="C505" t="n">
        <v>52</v>
      </c>
      <c r="D505" t="n">
        <v>1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11</v>
      </c>
      <c r="M505" t="inlineStr">
        <is>
          <t>Values must be of type &lt;class 'str'&gt;</t>
        </is>
      </c>
      <c r="N505" t="inlineStr">
        <is>
          <t>Values must be of type &lt;class 'str'&gt;</t>
        </is>
      </c>
      <c r="O505" t="n">
        <v/>
      </c>
      <c r="P505" t="inlineStr">
        <is>
          <t>center</t>
        </is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</row>
    <row r="506">
      <c r="A506" t="inlineStr">
        <is>
          <t>Loan calculator</t>
        </is>
      </c>
      <c r="B506" t="inlineStr">
        <is>
          <t>B52</t>
        </is>
      </c>
      <c r="C506" t="n">
        <v>52</v>
      </c>
      <c r="D506" t="n">
        <v>2</v>
      </c>
      <c r="E506" t="inlineStr">
        <is>
          <t>Output</t>
        </is>
      </c>
      <c r="F506" t="inlineStr">
        <is>
          <t>'=IFERROR(IF(LoanIsNotPaid*LoanIsGood,PaymentNumber,""), "")</t>
        </is>
      </c>
      <c r="G506" t="n">
        <v>36</v>
      </c>
      <c r="H506" t="inlineStr"/>
      <c r="I506" t="inlineStr">
        <is>
          <t>#,##0</t>
        </is>
      </c>
      <c r="J506" t="b">
        <v>0</v>
      </c>
      <c r="K506" t="b">
        <v>0</v>
      </c>
      <c r="L506" t="n">
        <v>9</v>
      </c>
      <c r="M506" t="inlineStr">
        <is>
          <t>Values must be of type &lt;class 'str'&gt;</t>
        </is>
      </c>
      <c r="N506" t="inlineStr">
        <is>
          <t>00000000</t>
        </is>
      </c>
      <c r="O506" t="inlineStr">
        <is>
          <t>center</t>
        </is>
      </c>
      <c r="P506" t="inlineStr">
        <is>
          <t>center</t>
        </is>
      </c>
      <c r="R506" t="b">
        <v>1</v>
      </c>
      <c r="S506" t="inlineStr">
        <is>
          <t>G000001</t>
        </is>
      </c>
      <c r="T506" t="inlineStr">
        <is>
          <t>Vertical</t>
        </is>
      </c>
      <c r="U506" t="n">
        <v>120</v>
      </c>
      <c r="V506" t="b">
        <v>1</v>
      </c>
      <c r="W506" t="inlineStr">
        <is>
          <t>Loan calculator!B17:B136</t>
        </is>
      </c>
      <c r="X506">
        <f>IFERROR(IF(LoanIsNotPaid*LoanIsGood,PaymentNumber,""), "")</f>
        <v/>
      </c>
    </row>
    <row r="507">
      <c r="A507" t="inlineStr">
        <is>
          <t>Loan calculator</t>
        </is>
      </c>
      <c r="B507" t="inlineStr">
        <is>
          <t>C52</t>
        </is>
      </c>
      <c r="C507" t="n">
        <v>52</v>
      </c>
      <c r="D507" t="n">
        <v>3</v>
      </c>
      <c r="E507" t="inlineStr">
        <is>
          <t>Output</t>
        </is>
      </c>
      <c r="F507" t="inlineStr">
        <is>
          <t>'=IFERROR(IF(LoanIsNotPaid*LoanIsGood,PaymentDate,LoanStartDate), LoanStartDate)</t>
        </is>
      </c>
      <c r="G507" s="1" t="n">
        <v>47182</v>
      </c>
      <c r="H507" t="inlineStr"/>
      <c r="I507" t="inlineStr">
        <is>
          <t>mm-dd-yy</t>
        </is>
      </c>
      <c r="J507" t="b">
        <v>0</v>
      </c>
      <c r="K507" t="b">
        <v>0</v>
      </c>
      <c r="L507" t="n">
        <v>9</v>
      </c>
      <c r="M507" t="inlineStr">
        <is>
          <t>Values must be of type &lt;class 'str'&gt;</t>
        </is>
      </c>
      <c r="N507" t="inlineStr">
        <is>
          <t>00000000</t>
        </is>
      </c>
      <c r="O507" t="inlineStr">
        <is>
          <t>center</t>
        </is>
      </c>
      <c r="P507" t="inlineStr">
        <is>
          <t>center</t>
        </is>
      </c>
      <c r="R507" t="b">
        <v>1</v>
      </c>
      <c r="S507" t="inlineStr">
        <is>
          <t>G000002</t>
        </is>
      </c>
      <c r="T507" t="inlineStr">
        <is>
          <t>Vertical</t>
        </is>
      </c>
      <c r="U507" t="n">
        <v>120</v>
      </c>
      <c r="V507" t="b">
        <v>1</v>
      </c>
      <c r="W507" t="inlineStr">
        <is>
          <t>Loan calculator!C17:C136</t>
        </is>
      </c>
      <c r="X507">
        <f>IFERROR(IF(LoanIsNotPaid*LoanIsGood,PaymentDate,LoanStartDate), LoanStartDate)</f>
        <v/>
      </c>
    </row>
    <row r="508">
      <c r="A508" t="inlineStr">
        <is>
          <t>Loan calculator</t>
        </is>
      </c>
      <c r="B508" t="inlineStr">
        <is>
          <t>D52</t>
        </is>
      </c>
      <c r="C508" t="n">
        <v>52</v>
      </c>
      <c r="D508" t="n">
        <v>4</v>
      </c>
      <c r="E508" t="inlineStr">
        <is>
          <t>Output</t>
        </is>
      </c>
      <c r="F508" t="inlineStr">
        <is>
          <t>'=IFERROR(IF(LoanIsNotPaid*LoanIsGood,LoanValue,""), "")</t>
        </is>
      </c>
      <c r="G508" t="n">
        <v>7625.833126383972</v>
      </c>
      <c r="H508" t="inlineStr"/>
      <c r="I508" t="inlineStr">
        <is>
          <t>"$"#,##0.00</t>
        </is>
      </c>
      <c r="J508" t="b">
        <v>0</v>
      </c>
      <c r="K508" t="b">
        <v>0</v>
      </c>
      <c r="L508" t="n">
        <v>9</v>
      </c>
      <c r="M508" t="inlineStr">
        <is>
          <t>Values must be of type &lt;class 'str'&gt;</t>
        </is>
      </c>
      <c r="N508" t="inlineStr">
        <is>
          <t>00000000</t>
        </is>
      </c>
      <c r="O508" t="inlineStr">
        <is>
          <t>center</t>
        </is>
      </c>
      <c r="P508" t="inlineStr">
        <is>
          <t>center</t>
        </is>
      </c>
      <c r="R508" t="b">
        <v>1</v>
      </c>
      <c r="S508" t="inlineStr">
        <is>
          <t>G000003</t>
        </is>
      </c>
      <c r="T508" t="inlineStr">
        <is>
          <t>Vertical</t>
        </is>
      </c>
      <c r="U508" t="n">
        <v>120</v>
      </c>
      <c r="V508" t="b">
        <v>1</v>
      </c>
      <c r="W508" t="inlineStr">
        <is>
          <t>Loan calculator!D17:D136</t>
        </is>
      </c>
      <c r="X508">
        <f>IFERROR(IF(LoanIsNotPaid*LoanIsGood,LoanValue,""), "")</f>
        <v/>
      </c>
    </row>
    <row r="509">
      <c r="A509" t="inlineStr">
        <is>
          <t>Loan calculator</t>
        </is>
      </c>
      <c r="B509" t="inlineStr">
        <is>
          <t>E52</t>
        </is>
      </c>
      <c r="C509" t="n">
        <v>52</v>
      </c>
      <c r="D509" t="n">
        <v>5</v>
      </c>
      <c r="E509" t="inlineStr">
        <is>
          <t>Output</t>
        </is>
      </c>
      <c r="F509" t="inlineStr">
        <is>
          <t>'=IFERROR(IF(LoanIsNotPaid*LoanIsGood,MonthlyPayment,0), 0)</t>
        </is>
      </c>
      <c r="G509" t="n">
        <v>108.5262779604807</v>
      </c>
      <c r="H509" t="inlineStr"/>
      <c r="I509" t="inlineStr">
        <is>
          <t>"$"#,##0.00</t>
        </is>
      </c>
      <c r="J509" t="b">
        <v>0</v>
      </c>
      <c r="K509" t="b">
        <v>0</v>
      </c>
      <c r="L509" t="n">
        <v>9</v>
      </c>
      <c r="M509" t="inlineStr">
        <is>
          <t>Values must be of type &lt;class 'str'&gt;</t>
        </is>
      </c>
      <c r="N509" t="inlineStr">
        <is>
          <t>00000000</t>
        </is>
      </c>
      <c r="O509" t="inlineStr">
        <is>
          <t>center</t>
        </is>
      </c>
      <c r="P509" t="inlineStr">
        <is>
          <t>center</t>
        </is>
      </c>
      <c r="R509" t="b">
        <v>1</v>
      </c>
      <c r="S509" t="inlineStr">
        <is>
          <t>G000004</t>
        </is>
      </c>
      <c r="T509" t="inlineStr">
        <is>
          <t>Vertical</t>
        </is>
      </c>
      <c r="U509" t="n">
        <v>120</v>
      </c>
      <c r="V509" t="b">
        <v>1</v>
      </c>
      <c r="W509" t="inlineStr">
        <is>
          <t>Loan calculator!E17:E136</t>
        </is>
      </c>
      <c r="X509">
        <f>IFERROR(IF(LoanIsNotPaid*LoanIsGood,MonthlyPayment,0), 0)</f>
        <v/>
      </c>
    </row>
    <row r="510">
      <c r="A510" t="inlineStr">
        <is>
          <t>Loan calculator</t>
        </is>
      </c>
      <c r="B510" t="inlineStr">
        <is>
          <t>F52</t>
        </is>
      </c>
      <c r="C510" t="n">
        <v>52</v>
      </c>
      <c r="D510" t="n">
        <v>6</v>
      </c>
      <c r="E510" t="inlineStr">
        <is>
          <t>Output</t>
        </is>
      </c>
      <c r="F510" t="inlineStr">
        <is>
          <t>'=IFERROR(IF(LoanIsNotPaid*LoanIsGood,Principal,0), 0)</t>
        </is>
      </c>
      <c r="G510" t="n">
        <v>73.5745427978875</v>
      </c>
      <c r="H510" t="inlineStr"/>
      <c r="I510" t="inlineStr">
        <is>
          <t>"$"#,##0.00</t>
        </is>
      </c>
      <c r="J510" t="b">
        <v>0</v>
      </c>
      <c r="K510" t="b">
        <v>0</v>
      </c>
      <c r="L510" t="n">
        <v>9</v>
      </c>
      <c r="M510" t="inlineStr">
        <is>
          <t>Values must be of type &lt;class 'str'&gt;</t>
        </is>
      </c>
      <c r="N510" t="inlineStr">
        <is>
          <t>00000000</t>
        </is>
      </c>
      <c r="O510" t="inlineStr">
        <is>
          <t>center</t>
        </is>
      </c>
      <c r="P510" t="inlineStr">
        <is>
          <t>center</t>
        </is>
      </c>
      <c r="R510" t="b">
        <v>1</v>
      </c>
      <c r="S510" t="inlineStr">
        <is>
          <t>G000005</t>
        </is>
      </c>
      <c r="T510" t="inlineStr">
        <is>
          <t>Vertical</t>
        </is>
      </c>
      <c r="U510" t="n">
        <v>120</v>
      </c>
      <c r="V510" t="b">
        <v>1</v>
      </c>
      <c r="W510" t="inlineStr">
        <is>
          <t>Loan calculator!F17:F136</t>
        </is>
      </c>
      <c r="X510">
        <f>IFERROR(IF(LoanIsNotPaid*LoanIsGood,Principal,0), 0)</f>
        <v/>
      </c>
    </row>
    <row r="511">
      <c r="A511" t="inlineStr">
        <is>
          <t>Loan calculator</t>
        </is>
      </c>
      <c r="B511" t="inlineStr">
        <is>
          <t>G52</t>
        </is>
      </c>
      <c r="C511" t="n">
        <v>52</v>
      </c>
      <c r="D511" t="n">
        <v>7</v>
      </c>
      <c r="E511" t="inlineStr">
        <is>
          <t>Output</t>
        </is>
      </c>
      <c r="F511" t="inlineStr">
        <is>
          <t>'=IFERROR(IF(LoanIsNotPaid*LoanIsGood,InterestAmt,0), 0)</t>
        </is>
      </c>
      <c r="G511" t="n">
        <v>34.95173516259322</v>
      </c>
      <c r="H511" t="inlineStr"/>
      <c r="I511" t="inlineStr">
        <is>
          <t>"$"#,##0.00</t>
        </is>
      </c>
      <c r="J511" t="b">
        <v>0</v>
      </c>
      <c r="K511" t="b">
        <v>0</v>
      </c>
      <c r="L511" t="n">
        <v>9</v>
      </c>
      <c r="M511" t="inlineStr">
        <is>
          <t>Values must be of type &lt;class 'str'&gt;</t>
        </is>
      </c>
      <c r="N511" t="inlineStr">
        <is>
          <t>00000000</t>
        </is>
      </c>
      <c r="O511" t="inlineStr">
        <is>
          <t>center</t>
        </is>
      </c>
      <c r="P511" t="inlineStr">
        <is>
          <t>center</t>
        </is>
      </c>
      <c r="R511" t="b">
        <v>1</v>
      </c>
      <c r="S511" t="inlineStr">
        <is>
          <t>G000006</t>
        </is>
      </c>
      <c r="T511" t="inlineStr">
        <is>
          <t>Vertical</t>
        </is>
      </c>
      <c r="U511" t="n">
        <v>120</v>
      </c>
      <c r="V511" t="b">
        <v>1</v>
      </c>
      <c r="W511" t="inlineStr">
        <is>
          <t>Loan calculator!G17:G136</t>
        </is>
      </c>
      <c r="X511">
        <f>IFERROR(IF(LoanIsNotPaid*LoanIsGood,InterestAmt,0), 0)</f>
        <v/>
      </c>
    </row>
    <row r="512">
      <c r="A512" t="inlineStr">
        <is>
          <t>Loan calculator</t>
        </is>
      </c>
      <c r="B512" t="inlineStr">
        <is>
          <t>H52</t>
        </is>
      </c>
      <c r="C512" t="n">
        <v>52</v>
      </c>
      <c r="D512" t="n">
        <v>8</v>
      </c>
      <c r="E512" t="inlineStr">
        <is>
          <t>Output</t>
        </is>
      </c>
      <c r="F512" t="inlineStr">
        <is>
          <t>'=IFERROR(IF(LoanIsNotPaid*LoanIsGood,EndingBalance,0), 0)</t>
        </is>
      </c>
      <c r="G512" t="n">
        <v>7552.258583586085</v>
      </c>
      <c r="H512" t="inlineStr"/>
      <c r="I512" t="inlineStr">
        <is>
          <t>"$"#,##0.00</t>
        </is>
      </c>
      <c r="J512" t="b">
        <v>0</v>
      </c>
      <c r="K512" t="b">
        <v>0</v>
      </c>
      <c r="L512" t="n">
        <v>9</v>
      </c>
      <c r="M512" t="inlineStr">
        <is>
          <t>Values must be of type &lt;class 'str'&gt;</t>
        </is>
      </c>
      <c r="N512" t="inlineStr">
        <is>
          <t>00000000</t>
        </is>
      </c>
      <c r="O512" t="inlineStr">
        <is>
          <t>center</t>
        </is>
      </c>
      <c r="P512" t="inlineStr">
        <is>
          <t>center</t>
        </is>
      </c>
      <c r="R512" t="b">
        <v>1</v>
      </c>
      <c r="S512" t="inlineStr">
        <is>
          <t>G000007</t>
        </is>
      </c>
      <c r="T512" t="inlineStr">
        <is>
          <t>Vertical</t>
        </is>
      </c>
      <c r="U512" t="n">
        <v>120</v>
      </c>
      <c r="V512" t="b">
        <v>1</v>
      </c>
      <c r="W512" t="inlineStr">
        <is>
          <t>Loan calculator!H17:H136</t>
        </is>
      </c>
      <c r="X512">
        <f>IFERROR(IF(LoanIsNotPaid*LoanIsGood,EndingBalance,0), 0)</f>
        <v/>
      </c>
    </row>
    <row r="513">
      <c r="A513" t="inlineStr">
        <is>
          <t>Loan calculator</t>
        </is>
      </c>
      <c r="B513" t="inlineStr">
        <is>
          <t>I52</t>
        </is>
      </c>
      <c r="C513" t="n">
        <v>52</v>
      </c>
      <c r="D513" t="n">
        <v>9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11</v>
      </c>
      <c r="M513" t="inlineStr">
        <is>
          <t>Values must be of type &lt;class 'str'&gt;</t>
        </is>
      </c>
      <c r="N513" t="inlineStr">
        <is>
          <t>Values must be of type &lt;class 'str'&gt;</t>
        </is>
      </c>
      <c r="O513" t="n">
        <v/>
      </c>
      <c r="P513" t="inlineStr">
        <is>
          <t>center</t>
        </is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</row>
    <row r="514">
      <c r="A514" t="inlineStr">
        <is>
          <t>Loan calculator</t>
        </is>
      </c>
      <c r="B514" t="inlineStr">
        <is>
          <t>A53</t>
        </is>
      </c>
      <c r="C514" t="n">
        <v>53</v>
      </c>
      <c r="D514" t="n">
        <v>1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11</v>
      </c>
      <c r="M514" t="inlineStr">
        <is>
          <t>Values must be of type &lt;class 'str'&gt;</t>
        </is>
      </c>
      <c r="N514" t="inlineStr">
        <is>
          <t>Values must be of type &lt;class 'str'&gt;</t>
        </is>
      </c>
      <c r="O514" t="n">
        <v/>
      </c>
      <c r="P514" t="inlineStr">
        <is>
          <t>center</t>
        </is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</row>
    <row r="515">
      <c r="A515" t="inlineStr">
        <is>
          <t>Loan calculator</t>
        </is>
      </c>
      <c r="B515" t="inlineStr">
        <is>
          <t>B53</t>
        </is>
      </c>
      <c r="C515" t="n">
        <v>53</v>
      </c>
      <c r="D515" t="n">
        <v>2</v>
      </c>
      <c r="E515" t="inlineStr">
        <is>
          <t>Output</t>
        </is>
      </c>
      <c r="F515" t="inlineStr">
        <is>
          <t>'=IFERROR(IF(LoanIsNotPaid*LoanIsGood,PaymentNumber,""), "")</t>
        </is>
      </c>
      <c r="G515" t="n">
        <v>37</v>
      </c>
      <c r="H515" t="inlineStr"/>
      <c r="I515" t="inlineStr">
        <is>
          <t>#,##0</t>
        </is>
      </c>
      <c r="J515" t="b">
        <v>0</v>
      </c>
      <c r="K515" t="b">
        <v>0</v>
      </c>
      <c r="L515" t="n">
        <v>9</v>
      </c>
      <c r="M515" t="inlineStr">
        <is>
          <t>Values must be of type &lt;class 'str'&gt;</t>
        </is>
      </c>
      <c r="N515" t="inlineStr">
        <is>
          <t>00000000</t>
        </is>
      </c>
      <c r="O515" t="inlineStr">
        <is>
          <t>center</t>
        </is>
      </c>
      <c r="P515" t="inlineStr">
        <is>
          <t>center</t>
        </is>
      </c>
      <c r="R515" t="b">
        <v>1</v>
      </c>
      <c r="S515" t="inlineStr">
        <is>
          <t>G000001</t>
        </is>
      </c>
      <c r="T515" t="inlineStr">
        <is>
          <t>Vertical</t>
        </is>
      </c>
      <c r="U515" t="n">
        <v>120</v>
      </c>
      <c r="V515" t="b">
        <v>1</v>
      </c>
      <c r="W515" t="inlineStr">
        <is>
          <t>Loan calculator!B17:B136</t>
        </is>
      </c>
      <c r="X515">
        <f>IFERROR(IF(LoanIsNotPaid*LoanIsGood,PaymentNumber,""), "")</f>
        <v/>
      </c>
    </row>
    <row r="516">
      <c r="A516" t="inlineStr">
        <is>
          <t>Loan calculator</t>
        </is>
      </c>
      <c r="B516" t="inlineStr">
        <is>
          <t>C53</t>
        </is>
      </c>
      <c r="C516" t="n">
        <v>53</v>
      </c>
      <c r="D516" t="n">
        <v>3</v>
      </c>
      <c r="E516" t="inlineStr">
        <is>
          <t>Output</t>
        </is>
      </c>
      <c r="F516" t="inlineStr">
        <is>
          <t>'=IFERROR(IF(LoanIsNotPaid*LoanIsGood,PaymentDate,LoanStartDate), LoanStartDate)</t>
        </is>
      </c>
      <c r="G516" s="1" t="n">
        <v>47213</v>
      </c>
      <c r="H516" t="inlineStr"/>
      <c r="I516" t="inlineStr">
        <is>
          <t>mm-dd-yy</t>
        </is>
      </c>
      <c r="J516" t="b">
        <v>0</v>
      </c>
      <c r="K516" t="b">
        <v>0</v>
      </c>
      <c r="L516" t="n">
        <v>9</v>
      </c>
      <c r="M516" t="inlineStr">
        <is>
          <t>Values must be of type &lt;class 'str'&gt;</t>
        </is>
      </c>
      <c r="N516" t="inlineStr">
        <is>
          <t>00000000</t>
        </is>
      </c>
      <c r="O516" t="inlineStr">
        <is>
          <t>center</t>
        </is>
      </c>
      <c r="P516" t="inlineStr">
        <is>
          <t>center</t>
        </is>
      </c>
      <c r="R516" t="b">
        <v>1</v>
      </c>
      <c r="S516" t="inlineStr">
        <is>
          <t>G000002</t>
        </is>
      </c>
      <c r="T516" t="inlineStr">
        <is>
          <t>Vertical</t>
        </is>
      </c>
      <c r="U516" t="n">
        <v>120</v>
      </c>
      <c r="V516" t="b">
        <v>1</v>
      </c>
      <c r="W516" t="inlineStr">
        <is>
          <t>Loan calculator!C17:C136</t>
        </is>
      </c>
      <c r="X516">
        <f>IFERROR(IF(LoanIsNotPaid*LoanIsGood,PaymentDate,LoanStartDate), LoanStartDate)</f>
        <v/>
      </c>
    </row>
    <row r="517">
      <c r="A517" t="inlineStr">
        <is>
          <t>Loan calculator</t>
        </is>
      </c>
      <c r="B517" t="inlineStr">
        <is>
          <t>D53</t>
        </is>
      </c>
      <c r="C517" t="n">
        <v>53</v>
      </c>
      <c r="D517" t="n">
        <v>4</v>
      </c>
      <c r="E517" t="inlineStr">
        <is>
          <t>Output</t>
        </is>
      </c>
      <c r="F517" t="inlineStr">
        <is>
          <t>'=IFERROR(IF(LoanIsNotPaid*LoanIsGood,LoanValue,""), "")</t>
        </is>
      </c>
      <c r="G517" t="n">
        <v>7552.258583586085</v>
      </c>
      <c r="H517" t="inlineStr"/>
      <c r="I517" t="inlineStr">
        <is>
          <t>"$"#,##0.00</t>
        </is>
      </c>
      <c r="J517" t="b">
        <v>0</v>
      </c>
      <c r="K517" t="b">
        <v>0</v>
      </c>
      <c r="L517" t="n">
        <v>9</v>
      </c>
      <c r="M517" t="inlineStr">
        <is>
          <t>Values must be of type &lt;class 'str'&gt;</t>
        </is>
      </c>
      <c r="N517" t="inlineStr">
        <is>
          <t>00000000</t>
        </is>
      </c>
      <c r="O517" t="inlineStr">
        <is>
          <t>center</t>
        </is>
      </c>
      <c r="P517" t="inlineStr">
        <is>
          <t>center</t>
        </is>
      </c>
      <c r="R517" t="b">
        <v>1</v>
      </c>
      <c r="S517" t="inlineStr">
        <is>
          <t>G000003</t>
        </is>
      </c>
      <c r="T517" t="inlineStr">
        <is>
          <t>Vertical</t>
        </is>
      </c>
      <c r="U517" t="n">
        <v>120</v>
      </c>
      <c r="V517" t="b">
        <v>1</v>
      </c>
      <c r="W517" t="inlineStr">
        <is>
          <t>Loan calculator!D17:D136</t>
        </is>
      </c>
      <c r="X517">
        <f>IFERROR(IF(LoanIsNotPaid*LoanIsGood,LoanValue,""), "")</f>
        <v/>
      </c>
    </row>
    <row r="518">
      <c r="A518" t="inlineStr">
        <is>
          <t>Loan calculator</t>
        </is>
      </c>
      <c r="B518" t="inlineStr">
        <is>
          <t>E53</t>
        </is>
      </c>
      <c r="C518" t="n">
        <v>53</v>
      </c>
      <c r="D518" t="n">
        <v>5</v>
      </c>
      <c r="E518" t="inlineStr">
        <is>
          <t>Output</t>
        </is>
      </c>
      <c r="F518" t="inlineStr">
        <is>
          <t>'=IFERROR(IF(LoanIsNotPaid*LoanIsGood,MonthlyPayment,0), 0)</t>
        </is>
      </c>
      <c r="G518" t="n">
        <v>108.5262779604807</v>
      </c>
      <c r="H518" t="inlineStr"/>
      <c r="I518" t="inlineStr">
        <is>
          <t>"$"#,##0.00</t>
        </is>
      </c>
      <c r="J518" t="b">
        <v>0</v>
      </c>
      <c r="K518" t="b">
        <v>0</v>
      </c>
      <c r="L518" t="n">
        <v>9</v>
      </c>
      <c r="M518" t="inlineStr">
        <is>
          <t>Values must be of type &lt;class 'str'&gt;</t>
        </is>
      </c>
      <c r="N518" t="inlineStr">
        <is>
          <t>00000000</t>
        </is>
      </c>
      <c r="O518" t="inlineStr">
        <is>
          <t>center</t>
        </is>
      </c>
      <c r="P518" t="inlineStr">
        <is>
          <t>center</t>
        </is>
      </c>
      <c r="R518" t="b">
        <v>1</v>
      </c>
      <c r="S518" t="inlineStr">
        <is>
          <t>G000004</t>
        </is>
      </c>
      <c r="T518" t="inlineStr">
        <is>
          <t>Vertical</t>
        </is>
      </c>
      <c r="U518" t="n">
        <v>120</v>
      </c>
      <c r="V518" t="b">
        <v>1</v>
      </c>
      <c r="W518" t="inlineStr">
        <is>
          <t>Loan calculator!E17:E136</t>
        </is>
      </c>
      <c r="X518">
        <f>IFERROR(IF(LoanIsNotPaid*LoanIsGood,MonthlyPayment,0), 0)</f>
        <v/>
      </c>
    </row>
    <row r="519">
      <c r="A519" t="inlineStr">
        <is>
          <t>Loan calculator</t>
        </is>
      </c>
      <c r="B519" t="inlineStr">
        <is>
          <t>F53</t>
        </is>
      </c>
      <c r="C519" t="n">
        <v>53</v>
      </c>
      <c r="D519" t="n">
        <v>6</v>
      </c>
      <c r="E519" t="inlineStr">
        <is>
          <t>Output</t>
        </is>
      </c>
      <c r="F519" t="inlineStr">
        <is>
          <t>'=IFERROR(IF(LoanIsNotPaid*LoanIsGood,Principal,0), 0)</t>
        </is>
      </c>
      <c r="G519" t="n">
        <v>73.91175945237782</v>
      </c>
      <c r="H519" t="inlineStr"/>
      <c r="I519" t="inlineStr">
        <is>
          <t>"$"#,##0.00</t>
        </is>
      </c>
      <c r="J519" t="b">
        <v>0</v>
      </c>
      <c r="K519" t="b">
        <v>0</v>
      </c>
      <c r="L519" t="n">
        <v>9</v>
      </c>
      <c r="M519" t="inlineStr">
        <is>
          <t>Values must be of type &lt;class 'str'&gt;</t>
        </is>
      </c>
      <c r="N519" t="inlineStr">
        <is>
          <t>00000000</t>
        </is>
      </c>
      <c r="O519" t="inlineStr">
        <is>
          <t>center</t>
        </is>
      </c>
      <c r="P519" t="inlineStr">
        <is>
          <t>center</t>
        </is>
      </c>
      <c r="R519" t="b">
        <v>1</v>
      </c>
      <c r="S519" t="inlineStr">
        <is>
          <t>G000005</t>
        </is>
      </c>
      <c r="T519" t="inlineStr">
        <is>
          <t>Vertical</t>
        </is>
      </c>
      <c r="U519" t="n">
        <v>120</v>
      </c>
      <c r="V519" t="b">
        <v>1</v>
      </c>
      <c r="W519" t="inlineStr">
        <is>
          <t>Loan calculator!F17:F136</t>
        </is>
      </c>
      <c r="X519">
        <f>IFERROR(IF(LoanIsNotPaid*LoanIsGood,Principal,0), 0)</f>
        <v/>
      </c>
    </row>
    <row r="520">
      <c r="A520" t="inlineStr">
        <is>
          <t>Loan calculator</t>
        </is>
      </c>
      <c r="B520" t="inlineStr">
        <is>
          <t>G53</t>
        </is>
      </c>
      <c r="C520" t="n">
        <v>53</v>
      </c>
      <c r="D520" t="n">
        <v>7</v>
      </c>
      <c r="E520" t="inlineStr">
        <is>
          <t>Output</t>
        </is>
      </c>
      <c r="F520" t="inlineStr">
        <is>
          <t>'=IFERROR(IF(LoanIsNotPaid*LoanIsGood,InterestAmt,0), 0)</t>
        </is>
      </c>
      <c r="G520" t="n">
        <v>34.6145185081029</v>
      </c>
      <c r="H520" t="inlineStr"/>
      <c r="I520" t="inlineStr">
        <is>
          <t>"$"#,##0.00</t>
        </is>
      </c>
      <c r="J520" t="b">
        <v>0</v>
      </c>
      <c r="K520" t="b">
        <v>0</v>
      </c>
      <c r="L520" t="n">
        <v>9</v>
      </c>
      <c r="M520" t="inlineStr">
        <is>
          <t>Values must be of type &lt;class 'str'&gt;</t>
        </is>
      </c>
      <c r="N520" t="inlineStr">
        <is>
          <t>00000000</t>
        </is>
      </c>
      <c r="O520" t="inlineStr">
        <is>
          <t>center</t>
        </is>
      </c>
      <c r="P520" t="inlineStr">
        <is>
          <t>center</t>
        </is>
      </c>
      <c r="R520" t="b">
        <v>1</v>
      </c>
      <c r="S520" t="inlineStr">
        <is>
          <t>G000006</t>
        </is>
      </c>
      <c r="T520" t="inlineStr">
        <is>
          <t>Vertical</t>
        </is>
      </c>
      <c r="U520" t="n">
        <v>120</v>
      </c>
      <c r="V520" t="b">
        <v>1</v>
      </c>
      <c r="W520" t="inlineStr">
        <is>
          <t>Loan calculator!G17:G136</t>
        </is>
      </c>
      <c r="X520">
        <f>IFERROR(IF(LoanIsNotPaid*LoanIsGood,InterestAmt,0), 0)</f>
        <v/>
      </c>
    </row>
    <row r="521">
      <c r="A521" t="inlineStr">
        <is>
          <t>Loan calculator</t>
        </is>
      </c>
      <c r="B521" t="inlineStr">
        <is>
          <t>H53</t>
        </is>
      </c>
      <c r="C521" t="n">
        <v>53</v>
      </c>
      <c r="D521" t="n">
        <v>8</v>
      </c>
      <c r="E521" t="inlineStr">
        <is>
          <t>Output</t>
        </is>
      </c>
      <c r="F521" t="inlineStr">
        <is>
          <t>'=IFERROR(IF(LoanIsNotPaid*LoanIsGood,EndingBalance,0), 0)</t>
        </is>
      </c>
      <c r="G521" t="n">
        <v>7478.346824133705</v>
      </c>
      <c r="H521" t="inlineStr"/>
      <c r="I521" t="inlineStr">
        <is>
          <t>"$"#,##0.00</t>
        </is>
      </c>
      <c r="J521" t="b">
        <v>0</v>
      </c>
      <c r="K521" t="b">
        <v>0</v>
      </c>
      <c r="L521" t="n">
        <v>9</v>
      </c>
      <c r="M521" t="inlineStr">
        <is>
          <t>Values must be of type &lt;class 'str'&gt;</t>
        </is>
      </c>
      <c r="N521" t="inlineStr">
        <is>
          <t>00000000</t>
        </is>
      </c>
      <c r="O521" t="inlineStr">
        <is>
          <t>center</t>
        </is>
      </c>
      <c r="P521" t="inlineStr">
        <is>
          <t>center</t>
        </is>
      </c>
      <c r="R521" t="b">
        <v>1</v>
      </c>
      <c r="S521" t="inlineStr">
        <is>
          <t>G000007</t>
        </is>
      </c>
      <c r="T521" t="inlineStr">
        <is>
          <t>Vertical</t>
        </is>
      </c>
      <c r="U521" t="n">
        <v>120</v>
      </c>
      <c r="V521" t="b">
        <v>1</v>
      </c>
      <c r="W521" t="inlineStr">
        <is>
          <t>Loan calculator!H17:H136</t>
        </is>
      </c>
      <c r="X521">
        <f>IFERROR(IF(LoanIsNotPaid*LoanIsGood,EndingBalance,0), 0)</f>
        <v/>
      </c>
    </row>
    <row r="522">
      <c r="A522" t="inlineStr">
        <is>
          <t>Loan calculator</t>
        </is>
      </c>
      <c r="B522" t="inlineStr">
        <is>
          <t>I53</t>
        </is>
      </c>
      <c r="C522" t="n">
        <v>53</v>
      </c>
      <c r="D522" t="n">
        <v>9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11</v>
      </c>
      <c r="M522" t="inlineStr">
        <is>
          <t>Values must be of type &lt;class 'str'&gt;</t>
        </is>
      </c>
      <c r="N522" t="inlineStr">
        <is>
          <t>Values must be of type &lt;class 'str'&gt;</t>
        </is>
      </c>
      <c r="O522" t="n">
        <v/>
      </c>
      <c r="P522" t="inlineStr">
        <is>
          <t>center</t>
        </is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</row>
    <row r="523">
      <c r="A523" t="inlineStr">
        <is>
          <t>Loan calculator</t>
        </is>
      </c>
      <c r="B523" t="inlineStr">
        <is>
          <t>A54</t>
        </is>
      </c>
      <c r="C523" t="n">
        <v>54</v>
      </c>
      <c r="D523" t="n">
        <v>1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11</v>
      </c>
      <c r="M523" t="inlineStr">
        <is>
          <t>Values must be of type &lt;class 'str'&gt;</t>
        </is>
      </c>
      <c r="N523" t="inlineStr">
        <is>
          <t>Values must be of type &lt;class 'str'&gt;</t>
        </is>
      </c>
      <c r="O523" t="n">
        <v/>
      </c>
      <c r="P523" t="inlineStr">
        <is>
          <t>center</t>
        </is>
      </c>
      <c r="R523" t="b">
        <v>0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</row>
    <row r="524">
      <c r="A524" t="inlineStr">
        <is>
          <t>Loan calculator</t>
        </is>
      </c>
      <c r="B524" t="inlineStr">
        <is>
          <t>B54</t>
        </is>
      </c>
      <c r="C524" t="n">
        <v>54</v>
      </c>
      <c r="D524" t="n">
        <v>2</v>
      </c>
      <c r="E524" t="inlineStr">
        <is>
          <t>Output</t>
        </is>
      </c>
      <c r="F524" t="inlineStr">
        <is>
          <t>'=IFERROR(IF(LoanIsNotPaid*LoanIsGood,PaymentNumber,""), "")</t>
        </is>
      </c>
      <c r="G524" t="n">
        <v>38</v>
      </c>
      <c r="H524" t="inlineStr"/>
      <c r="I524" t="inlineStr">
        <is>
          <t>#,##0</t>
        </is>
      </c>
      <c r="J524" t="b">
        <v>0</v>
      </c>
      <c r="K524" t="b">
        <v>0</v>
      </c>
      <c r="L524" t="n">
        <v>9</v>
      </c>
      <c r="M524" t="inlineStr">
        <is>
          <t>Values must be of type &lt;class 'str'&gt;</t>
        </is>
      </c>
      <c r="N524" t="inlineStr">
        <is>
          <t>00000000</t>
        </is>
      </c>
      <c r="O524" t="inlineStr">
        <is>
          <t>center</t>
        </is>
      </c>
      <c r="P524" t="inlineStr">
        <is>
          <t>center</t>
        </is>
      </c>
      <c r="R524" t="b">
        <v>1</v>
      </c>
      <c r="S524" t="inlineStr">
        <is>
          <t>G000001</t>
        </is>
      </c>
      <c r="T524" t="inlineStr">
        <is>
          <t>Vertical</t>
        </is>
      </c>
      <c r="U524" t="n">
        <v>120</v>
      </c>
      <c r="V524" t="b">
        <v>1</v>
      </c>
      <c r="W524" t="inlineStr">
        <is>
          <t>Loan calculator!B17:B136</t>
        </is>
      </c>
      <c r="X524">
        <f>IFERROR(IF(LoanIsNotPaid*LoanIsGood,PaymentNumber,""), "")</f>
        <v/>
      </c>
    </row>
    <row r="525">
      <c r="A525" t="inlineStr">
        <is>
          <t>Loan calculator</t>
        </is>
      </c>
      <c r="B525" t="inlineStr">
        <is>
          <t>C54</t>
        </is>
      </c>
      <c r="C525" t="n">
        <v>54</v>
      </c>
      <c r="D525" t="n">
        <v>3</v>
      </c>
      <c r="E525" t="inlineStr">
        <is>
          <t>Output</t>
        </is>
      </c>
      <c r="F525" t="inlineStr">
        <is>
          <t>'=IFERROR(IF(LoanIsNotPaid*LoanIsGood,PaymentDate,LoanStartDate), LoanStartDate)</t>
        </is>
      </c>
      <c r="G525" s="1" t="n">
        <v>47243</v>
      </c>
      <c r="H525" t="inlineStr"/>
      <c r="I525" t="inlineStr">
        <is>
          <t>mm-dd-yy</t>
        </is>
      </c>
      <c r="J525" t="b">
        <v>0</v>
      </c>
      <c r="K525" t="b">
        <v>0</v>
      </c>
      <c r="L525" t="n">
        <v>9</v>
      </c>
      <c r="M525" t="inlineStr">
        <is>
          <t>Values must be of type &lt;class 'str'&gt;</t>
        </is>
      </c>
      <c r="N525" t="inlineStr">
        <is>
          <t>00000000</t>
        </is>
      </c>
      <c r="O525" t="inlineStr">
        <is>
          <t>center</t>
        </is>
      </c>
      <c r="P525" t="inlineStr">
        <is>
          <t>center</t>
        </is>
      </c>
      <c r="R525" t="b">
        <v>1</v>
      </c>
      <c r="S525" t="inlineStr">
        <is>
          <t>G000002</t>
        </is>
      </c>
      <c r="T525" t="inlineStr">
        <is>
          <t>Vertical</t>
        </is>
      </c>
      <c r="U525" t="n">
        <v>120</v>
      </c>
      <c r="V525" t="b">
        <v>1</v>
      </c>
      <c r="W525" t="inlineStr">
        <is>
          <t>Loan calculator!C17:C136</t>
        </is>
      </c>
      <c r="X525">
        <f>IFERROR(IF(LoanIsNotPaid*LoanIsGood,PaymentDate,LoanStartDate), LoanStartDate)</f>
        <v/>
      </c>
    </row>
    <row r="526">
      <c r="A526" t="inlineStr">
        <is>
          <t>Loan calculator</t>
        </is>
      </c>
      <c r="B526" t="inlineStr">
        <is>
          <t>D54</t>
        </is>
      </c>
      <c r="C526" t="n">
        <v>54</v>
      </c>
      <c r="D526" t="n">
        <v>4</v>
      </c>
      <c r="E526" t="inlineStr">
        <is>
          <t>Output</t>
        </is>
      </c>
      <c r="F526" t="inlineStr">
        <is>
          <t>'=IFERROR(IF(LoanIsNotPaid*LoanIsGood,LoanValue,""), "")</t>
        </is>
      </c>
      <c r="G526" t="n">
        <v>7478.346824133705</v>
      </c>
      <c r="H526" t="inlineStr"/>
      <c r="I526" t="inlineStr">
        <is>
          <t>"$"#,##0.00</t>
        </is>
      </c>
      <c r="J526" t="b">
        <v>0</v>
      </c>
      <c r="K526" t="b">
        <v>0</v>
      </c>
      <c r="L526" t="n">
        <v>9</v>
      </c>
      <c r="M526" t="inlineStr">
        <is>
          <t>Values must be of type &lt;class 'str'&gt;</t>
        </is>
      </c>
      <c r="N526" t="inlineStr">
        <is>
          <t>00000000</t>
        </is>
      </c>
      <c r="O526" t="inlineStr">
        <is>
          <t>center</t>
        </is>
      </c>
      <c r="P526" t="inlineStr">
        <is>
          <t>center</t>
        </is>
      </c>
      <c r="R526" t="b">
        <v>1</v>
      </c>
      <c r="S526" t="inlineStr">
        <is>
          <t>G000003</t>
        </is>
      </c>
      <c r="T526" t="inlineStr">
        <is>
          <t>Vertical</t>
        </is>
      </c>
      <c r="U526" t="n">
        <v>120</v>
      </c>
      <c r="V526" t="b">
        <v>1</v>
      </c>
      <c r="W526" t="inlineStr">
        <is>
          <t>Loan calculator!D17:D136</t>
        </is>
      </c>
      <c r="X526">
        <f>IFERROR(IF(LoanIsNotPaid*LoanIsGood,LoanValue,""), "")</f>
        <v/>
      </c>
    </row>
    <row r="527">
      <c r="A527" t="inlineStr">
        <is>
          <t>Loan calculator</t>
        </is>
      </c>
      <c r="B527" t="inlineStr">
        <is>
          <t>E54</t>
        </is>
      </c>
      <c r="C527" t="n">
        <v>54</v>
      </c>
      <c r="D527" t="n">
        <v>5</v>
      </c>
      <c r="E527" t="inlineStr">
        <is>
          <t>Output</t>
        </is>
      </c>
      <c r="F527" t="inlineStr">
        <is>
          <t>'=IFERROR(IF(LoanIsNotPaid*LoanIsGood,MonthlyPayment,0), 0)</t>
        </is>
      </c>
      <c r="G527" t="n">
        <v>108.5262779604807</v>
      </c>
      <c r="H527" t="inlineStr"/>
      <c r="I527" t="inlineStr">
        <is>
          <t>"$"#,##0.00</t>
        </is>
      </c>
      <c r="J527" t="b">
        <v>0</v>
      </c>
      <c r="K527" t="b">
        <v>0</v>
      </c>
      <c r="L527" t="n">
        <v>9</v>
      </c>
      <c r="M527" t="inlineStr">
        <is>
          <t>Values must be of type &lt;class 'str'&gt;</t>
        </is>
      </c>
      <c r="N527" t="inlineStr">
        <is>
          <t>00000000</t>
        </is>
      </c>
      <c r="O527" t="inlineStr">
        <is>
          <t>center</t>
        </is>
      </c>
      <c r="P527" t="inlineStr">
        <is>
          <t>center</t>
        </is>
      </c>
      <c r="R527" t="b">
        <v>1</v>
      </c>
      <c r="S527" t="inlineStr">
        <is>
          <t>G000004</t>
        </is>
      </c>
      <c r="T527" t="inlineStr">
        <is>
          <t>Vertical</t>
        </is>
      </c>
      <c r="U527" t="n">
        <v>120</v>
      </c>
      <c r="V527" t="b">
        <v>1</v>
      </c>
      <c r="W527" t="inlineStr">
        <is>
          <t>Loan calculator!E17:E136</t>
        </is>
      </c>
      <c r="X527">
        <f>IFERROR(IF(LoanIsNotPaid*LoanIsGood,MonthlyPayment,0), 0)</f>
        <v/>
      </c>
    </row>
    <row r="528">
      <c r="A528" t="inlineStr">
        <is>
          <t>Loan calculator</t>
        </is>
      </c>
      <c r="B528" t="inlineStr">
        <is>
          <t>F54</t>
        </is>
      </c>
      <c r="C528" t="n">
        <v>54</v>
      </c>
      <c r="D528" t="n">
        <v>6</v>
      </c>
      <c r="E528" t="inlineStr">
        <is>
          <t>Output</t>
        </is>
      </c>
      <c r="F528" t="inlineStr">
        <is>
          <t>'=IFERROR(IF(LoanIsNotPaid*LoanIsGood,Principal,0), 0)</t>
        </is>
      </c>
      <c r="G528" t="n">
        <v>74.25052168320121</v>
      </c>
      <c r="H528" t="inlineStr"/>
      <c r="I528" t="inlineStr">
        <is>
          <t>"$"#,##0.00</t>
        </is>
      </c>
      <c r="J528" t="b">
        <v>0</v>
      </c>
      <c r="K528" t="b">
        <v>0</v>
      </c>
      <c r="L528" t="n">
        <v>9</v>
      </c>
      <c r="M528" t="inlineStr">
        <is>
          <t>Values must be of type &lt;class 'str'&gt;</t>
        </is>
      </c>
      <c r="N528" t="inlineStr">
        <is>
          <t>00000000</t>
        </is>
      </c>
      <c r="O528" t="inlineStr">
        <is>
          <t>center</t>
        </is>
      </c>
      <c r="P528" t="inlineStr">
        <is>
          <t>center</t>
        </is>
      </c>
      <c r="R528" t="b">
        <v>1</v>
      </c>
      <c r="S528" t="inlineStr">
        <is>
          <t>G000005</t>
        </is>
      </c>
      <c r="T528" t="inlineStr">
        <is>
          <t>Vertical</t>
        </is>
      </c>
      <c r="U528" t="n">
        <v>120</v>
      </c>
      <c r="V528" t="b">
        <v>1</v>
      </c>
      <c r="W528" t="inlineStr">
        <is>
          <t>Loan calculator!F17:F136</t>
        </is>
      </c>
      <c r="X528">
        <f>IFERROR(IF(LoanIsNotPaid*LoanIsGood,Principal,0), 0)</f>
        <v/>
      </c>
    </row>
    <row r="529">
      <c r="A529" t="inlineStr">
        <is>
          <t>Loan calculator</t>
        </is>
      </c>
      <c r="B529" t="inlineStr">
        <is>
          <t>G54</t>
        </is>
      </c>
      <c r="C529" t="n">
        <v>54</v>
      </c>
      <c r="D529" t="n">
        <v>7</v>
      </c>
      <c r="E529" t="inlineStr">
        <is>
          <t>Output</t>
        </is>
      </c>
      <c r="F529" t="inlineStr">
        <is>
          <t>'=IFERROR(IF(LoanIsNotPaid*LoanIsGood,InterestAmt,0), 0)</t>
        </is>
      </c>
      <c r="G529" t="n">
        <v>34.27575627727951</v>
      </c>
      <c r="H529" t="inlineStr"/>
      <c r="I529" t="inlineStr">
        <is>
          <t>"$"#,##0.00</t>
        </is>
      </c>
      <c r="J529" t="b">
        <v>0</v>
      </c>
      <c r="K529" t="b">
        <v>0</v>
      </c>
      <c r="L529" t="n">
        <v>9</v>
      </c>
      <c r="M529" t="inlineStr">
        <is>
          <t>Values must be of type &lt;class 'str'&gt;</t>
        </is>
      </c>
      <c r="N529" t="inlineStr">
        <is>
          <t>00000000</t>
        </is>
      </c>
      <c r="O529" t="inlineStr">
        <is>
          <t>center</t>
        </is>
      </c>
      <c r="P529" t="inlineStr">
        <is>
          <t>center</t>
        </is>
      </c>
      <c r="R529" t="b">
        <v>1</v>
      </c>
      <c r="S529" t="inlineStr">
        <is>
          <t>G000006</t>
        </is>
      </c>
      <c r="T529" t="inlineStr">
        <is>
          <t>Vertical</t>
        </is>
      </c>
      <c r="U529" t="n">
        <v>120</v>
      </c>
      <c r="V529" t="b">
        <v>1</v>
      </c>
      <c r="W529" t="inlineStr">
        <is>
          <t>Loan calculator!G17:G136</t>
        </is>
      </c>
      <c r="X529">
        <f>IFERROR(IF(LoanIsNotPaid*LoanIsGood,InterestAmt,0), 0)</f>
        <v/>
      </c>
    </row>
    <row r="530">
      <c r="A530" t="inlineStr">
        <is>
          <t>Loan calculator</t>
        </is>
      </c>
      <c r="B530" t="inlineStr">
        <is>
          <t>H54</t>
        </is>
      </c>
      <c r="C530" t="n">
        <v>54</v>
      </c>
      <c r="D530" t="n">
        <v>8</v>
      </c>
      <c r="E530" t="inlineStr">
        <is>
          <t>Output</t>
        </is>
      </c>
      <c r="F530" t="inlineStr">
        <is>
          <t>'=IFERROR(IF(LoanIsNotPaid*LoanIsGood,EndingBalance,0), 0)</t>
        </is>
      </c>
      <c r="G530" t="n">
        <v>7404.096302450503</v>
      </c>
      <c r="H530" t="inlineStr"/>
      <c r="I530" t="inlineStr">
        <is>
          <t>"$"#,##0.00</t>
        </is>
      </c>
      <c r="J530" t="b">
        <v>0</v>
      </c>
      <c r="K530" t="b">
        <v>0</v>
      </c>
      <c r="L530" t="n">
        <v>9</v>
      </c>
      <c r="M530" t="inlineStr">
        <is>
          <t>Values must be of type &lt;class 'str'&gt;</t>
        </is>
      </c>
      <c r="N530" t="inlineStr">
        <is>
          <t>00000000</t>
        </is>
      </c>
      <c r="O530" t="inlineStr">
        <is>
          <t>center</t>
        </is>
      </c>
      <c r="P530" t="inlineStr">
        <is>
          <t>center</t>
        </is>
      </c>
      <c r="R530" t="b">
        <v>1</v>
      </c>
      <c r="S530" t="inlineStr">
        <is>
          <t>G000007</t>
        </is>
      </c>
      <c r="T530" t="inlineStr">
        <is>
          <t>Vertical</t>
        </is>
      </c>
      <c r="U530" t="n">
        <v>120</v>
      </c>
      <c r="V530" t="b">
        <v>1</v>
      </c>
      <c r="W530" t="inlineStr">
        <is>
          <t>Loan calculator!H17:H136</t>
        </is>
      </c>
      <c r="X530">
        <f>IFERROR(IF(LoanIsNotPaid*LoanIsGood,EndingBalance,0), 0)</f>
        <v/>
      </c>
    </row>
    <row r="531">
      <c r="A531" t="inlineStr">
        <is>
          <t>Loan calculator</t>
        </is>
      </c>
      <c r="B531" t="inlineStr">
        <is>
          <t>I54</t>
        </is>
      </c>
      <c r="C531" t="n">
        <v>54</v>
      </c>
      <c r="D531" t="n">
        <v>9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11</v>
      </c>
      <c r="M531" t="inlineStr">
        <is>
          <t>Values must be of type &lt;class 'str'&gt;</t>
        </is>
      </c>
      <c r="N531" t="inlineStr">
        <is>
          <t>Values must be of type &lt;class 'str'&gt;</t>
        </is>
      </c>
      <c r="O531" t="n">
        <v/>
      </c>
      <c r="P531" t="inlineStr">
        <is>
          <t>center</t>
        </is>
      </c>
      <c r="R531" t="b">
        <v>0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</row>
    <row r="532">
      <c r="A532" t="inlineStr">
        <is>
          <t>Loan calculator</t>
        </is>
      </c>
      <c r="B532" t="inlineStr">
        <is>
          <t>A55</t>
        </is>
      </c>
      <c r="C532" t="n">
        <v>55</v>
      </c>
      <c r="D532" t="n">
        <v>1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11</v>
      </c>
      <c r="M532" t="inlineStr">
        <is>
          <t>Values must be of type &lt;class 'str'&gt;</t>
        </is>
      </c>
      <c r="N532" t="inlineStr">
        <is>
          <t>Values must be of type &lt;class 'str'&gt;</t>
        </is>
      </c>
      <c r="O532" t="n">
        <v/>
      </c>
      <c r="P532" t="inlineStr">
        <is>
          <t>center</t>
        </is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</row>
    <row r="533">
      <c r="A533" t="inlineStr">
        <is>
          <t>Loan calculator</t>
        </is>
      </c>
      <c r="B533" t="inlineStr">
        <is>
          <t>B55</t>
        </is>
      </c>
      <c r="C533" t="n">
        <v>55</v>
      </c>
      <c r="D533" t="n">
        <v>2</v>
      </c>
      <c r="E533" t="inlineStr">
        <is>
          <t>Output</t>
        </is>
      </c>
      <c r="F533" t="inlineStr">
        <is>
          <t>'=IFERROR(IF(LoanIsNotPaid*LoanIsGood,PaymentNumber,""), "")</t>
        </is>
      </c>
      <c r="G533" t="n">
        <v>39</v>
      </c>
      <c r="H533" t="inlineStr"/>
      <c r="I533" t="inlineStr">
        <is>
          <t>#,##0</t>
        </is>
      </c>
      <c r="J533" t="b">
        <v>0</v>
      </c>
      <c r="K533" t="b">
        <v>0</v>
      </c>
      <c r="L533" t="n">
        <v>9</v>
      </c>
      <c r="M533" t="inlineStr">
        <is>
          <t>Values must be of type &lt;class 'str'&gt;</t>
        </is>
      </c>
      <c r="N533" t="inlineStr">
        <is>
          <t>00000000</t>
        </is>
      </c>
      <c r="O533" t="inlineStr">
        <is>
          <t>center</t>
        </is>
      </c>
      <c r="P533" t="inlineStr">
        <is>
          <t>center</t>
        </is>
      </c>
      <c r="R533" t="b">
        <v>1</v>
      </c>
      <c r="S533" t="inlineStr">
        <is>
          <t>G000001</t>
        </is>
      </c>
      <c r="T533" t="inlineStr">
        <is>
          <t>Vertical</t>
        </is>
      </c>
      <c r="U533" t="n">
        <v>120</v>
      </c>
      <c r="V533" t="b">
        <v>1</v>
      </c>
      <c r="W533" t="inlineStr">
        <is>
          <t>Loan calculator!B17:B136</t>
        </is>
      </c>
      <c r="X533">
        <f>IFERROR(IF(LoanIsNotPaid*LoanIsGood,PaymentNumber,""), "")</f>
        <v/>
      </c>
    </row>
    <row r="534">
      <c r="A534" t="inlineStr">
        <is>
          <t>Loan calculator</t>
        </is>
      </c>
      <c r="B534" t="inlineStr">
        <is>
          <t>C55</t>
        </is>
      </c>
      <c r="C534" t="n">
        <v>55</v>
      </c>
      <c r="D534" t="n">
        <v>3</v>
      </c>
      <c r="E534" t="inlineStr">
        <is>
          <t>Output</t>
        </is>
      </c>
      <c r="F534" t="inlineStr">
        <is>
          <t>'=IFERROR(IF(LoanIsNotPaid*LoanIsGood,PaymentDate,LoanStartDate), LoanStartDate)</t>
        </is>
      </c>
      <c r="G534" s="1" t="n">
        <v>47274</v>
      </c>
      <c r="H534" t="inlineStr"/>
      <c r="I534" t="inlineStr">
        <is>
          <t>mm-dd-yy</t>
        </is>
      </c>
      <c r="J534" t="b">
        <v>0</v>
      </c>
      <c r="K534" t="b">
        <v>0</v>
      </c>
      <c r="L534" t="n">
        <v>9</v>
      </c>
      <c r="M534" t="inlineStr">
        <is>
          <t>Values must be of type &lt;class 'str'&gt;</t>
        </is>
      </c>
      <c r="N534" t="inlineStr">
        <is>
          <t>00000000</t>
        </is>
      </c>
      <c r="O534" t="inlineStr">
        <is>
          <t>center</t>
        </is>
      </c>
      <c r="P534" t="inlineStr">
        <is>
          <t>center</t>
        </is>
      </c>
      <c r="R534" t="b">
        <v>1</v>
      </c>
      <c r="S534" t="inlineStr">
        <is>
          <t>G000002</t>
        </is>
      </c>
      <c r="T534" t="inlineStr">
        <is>
          <t>Vertical</t>
        </is>
      </c>
      <c r="U534" t="n">
        <v>120</v>
      </c>
      <c r="V534" t="b">
        <v>1</v>
      </c>
      <c r="W534" t="inlineStr">
        <is>
          <t>Loan calculator!C17:C136</t>
        </is>
      </c>
      <c r="X534">
        <f>IFERROR(IF(LoanIsNotPaid*LoanIsGood,PaymentDate,LoanStartDate), LoanStartDate)</f>
        <v/>
      </c>
    </row>
    <row r="535">
      <c r="A535" t="inlineStr">
        <is>
          <t>Loan calculator</t>
        </is>
      </c>
      <c r="B535" t="inlineStr">
        <is>
          <t>D55</t>
        </is>
      </c>
      <c r="C535" t="n">
        <v>55</v>
      </c>
      <c r="D535" t="n">
        <v>4</v>
      </c>
      <c r="E535" t="inlineStr">
        <is>
          <t>Output</t>
        </is>
      </c>
      <c r="F535" t="inlineStr">
        <is>
          <t>'=IFERROR(IF(LoanIsNotPaid*LoanIsGood,LoanValue,""), "")</t>
        </is>
      </c>
      <c r="G535" t="n">
        <v>7404.096302450503</v>
      </c>
      <c r="H535" t="inlineStr"/>
      <c r="I535" t="inlineStr">
        <is>
          <t>"$"#,##0.00</t>
        </is>
      </c>
      <c r="J535" t="b">
        <v>0</v>
      </c>
      <c r="K535" t="b">
        <v>0</v>
      </c>
      <c r="L535" t="n">
        <v>9</v>
      </c>
      <c r="M535" t="inlineStr">
        <is>
          <t>Values must be of type &lt;class 'str'&gt;</t>
        </is>
      </c>
      <c r="N535" t="inlineStr">
        <is>
          <t>00000000</t>
        </is>
      </c>
      <c r="O535" t="inlineStr">
        <is>
          <t>center</t>
        </is>
      </c>
      <c r="P535" t="inlineStr">
        <is>
          <t>center</t>
        </is>
      </c>
      <c r="R535" t="b">
        <v>1</v>
      </c>
      <c r="S535" t="inlineStr">
        <is>
          <t>G000003</t>
        </is>
      </c>
      <c r="T535" t="inlineStr">
        <is>
          <t>Vertical</t>
        </is>
      </c>
      <c r="U535" t="n">
        <v>120</v>
      </c>
      <c r="V535" t="b">
        <v>1</v>
      </c>
      <c r="W535" t="inlineStr">
        <is>
          <t>Loan calculator!D17:D136</t>
        </is>
      </c>
      <c r="X535">
        <f>IFERROR(IF(LoanIsNotPaid*LoanIsGood,LoanValue,""), "")</f>
        <v/>
      </c>
    </row>
    <row r="536">
      <c r="A536" t="inlineStr">
        <is>
          <t>Loan calculator</t>
        </is>
      </c>
      <c r="B536" t="inlineStr">
        <is>
          <t>E55</t>
        </is>
      </c>
      <c r="C536" t="n">
        <v>55</v>
      </c>
      <c r="D536" t="n">
        <v>5</v>
      </c>
      <c r="E536" t="inlineStr">
        <is>
          <t>Output</t>
        </is>
      </c>
      <c r="F536" t="inlineStr">
        <is>
          <t>'=IFERROR(IF(LoanIsNotPaid*LoanIsGood,MonthlyPayment,0), 0)</t>
        </is>
      </c>
      <c r="G536" t="n">
        <v>108.5262779604807</v>
      </c>
      <c r="H536" t="inlineStr"/>
      <c r="I536" t="inlineStr">
        <is>
          <t>"$"#,##0.00</t>
        </is>
      </c>
      <c r="J536" t="b">
        <v>0</v>
      </c>
      <c r="K536" t="b">
        <v>0</v>
      </c>
      <c r="L536" t="n">
        <v>9</v>
      </c>
      <c r="M536" t="inlineStr">
        <is>
          <t>Values must be of type &lt;class 'str'&gt;</t>
        </is>
      </c>
      <c r="N536" t="inlineStr">
        <is>
          <t>00000000</t>
        </is>
      </c>
      <c r="O536" t="inlineStr">
        <is>
          <t>center</t>
        </is>
      </c>
      <c r="P536" t="inlineStr">
        <is>
          <t>center</t>
        </is>
      </c>
      <c r="R536" t="b">
        <v>1</v>
      </c>
      <c r="S536" t="inlineStr">
        <is>
          <t>G000004</t>
        </is>
      </c>
      <c r="T536" t="inlineStr">
        <is>
          <t>Vertical</t>
        </is>
      </c>
      <c r="U536" t="n">
        <v>120</v>
      </c>
      <c r="V536" t="b">
        <v>1</v>
      </c>
      <c r="W536" t="inlineStr">
        <is>
          <t>Loan calculator!E17:E136</t>
        </is>
      </c>
      <c r="X536">
        <f>IFERROR(IF(LoanIsNotPaid*LoanIsGood,MonthlyPayment,0), 0)</f>
        <v/>
      </c>
    </row>
    <row r="537">
      <c r="A537" t="inlineStr">
        <is>
          <t>Loan calculator</t>
        </is>
      </c>
      <c r="B537" t="inlineStr">
        <is>
          <t>F55</t>
        </is>
      </c>
      <c r="C537" t="n">
        <v>55</v>
      </c>
      <c r="D537" t="n">
        <v>6</v>
      </c>
      <c r="E537" t="inlineStr">
        <is>
          <t>Output</t>
        </is>
      </c>
      <c r="F537" t="inlineStr">
        <is>
          <t>'=IFERROR(IF(LoanIsNotPaid*LoanIsGood,Principal,0), 0)</t>
        </is>
      </c>
      <c r="G537" t="n">
        <v>74.59083657424922</v>
      </c>
      <c r="H537" t="inlineStr"/>
      <c r="I537" t="inlineStr">
        <is>
          <t>"$"#,##0.00</t>
        </is>
      </c>
      <c r="J537" t="b">
        <v>0</v>
      </c>
      <c r="K537" t="b">
        <v>0</v>
      </c>
      <c r="L537" t="n">
        <v>9</v>
      </c>
      <c r="M537" t="inlineStr">
        <is>
          <t>Values must be of type &lt;class 'str'&gt;</t>
        </is>
      </c>
      <c r="N537" t="inlineStr">
        <is>
          <t>00000000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inlineStr">
        <is>
          <t>G000005</t>
        </is>
      </c>
      <c r="T537" t="inlineStr">
        <is>
          <t>Vertical</t>
        </is>
      </c>
      <c r="U537" t="n">
        <v>120</v>
      </c>
      <c r="V537" t="b">
        <v>1</v>
      </c>
      <c r="W537" t="inlineStr">
        <is>
          <t>Loan calculator!F17:F136</t>
        </is>
      </c>
      <c r="X537">
        <f>IFERROR(IF(LoanIsNotPaid*LoanIsGood,Principal,0), 0)</f>
        <v/>
      </c>
    </row>
    <row r="538">
      <c r="A538" t="inlineStr">
        <is>
          <t>Loan calculator</t>
        </is>
      </c>
      <c r="B538" t="inlineStr">
        <is>
          <t>G55</t>
        </is>
      </c>
      <c r="C538" t="n">
        <v>55</v>
      </c>
      <c r="D538" t="n">
        <v>7</v>
      </c>
      <c r="E538" t="inlineStr">
        <is>
          <t>Output</t>
        </is>
      </c>
      <c r="F538" t="inlineStr">
        <is>
          <t>'=IFERROR(IF(LoanIsNotPaid*LoanIsGood,InterestAmt,0), 0)</t>
        </is>
      </c>
      <c r="G538" t="n">
        <v>33.9354413862315</v>
      </c>
      <c r="H538" t="inlineStr"/>
      <c r="I538" t="inlineStr">
        <is>
          <t>"$"#,##0.00</t>
        </is>
      </c>
      <c r="J538" t="b">
        <v>0</v>
      </c>
      <c r="K538" t="b">
        <v>0</v>
      </c>
      <c r="L538" t="n">
        <v>9</v>
      </c>
      <c r="M538" t="inlineStr">
        <is>
          <t>Values must be of type &lt;class 'str'&gt;</t>
        </is>
      </c>
      <c r="N538" t="inlineStr">
        <is>
          <t>00000000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inlineStr">
        <is>
          <t>G000006</t>
        </is>
      </c>
      <c r="T538" t="inlineStr">
        <is>
          <t>Vertical</t>
        </is>
      </c>
      <c r="U538" t="n">
        <v>120</v>
      </c>
      <c r="V538" t="b">
        <v>1</v>
      </c>
      <c r="W538" t="inlineStr">
        <is>
          <t>Loan calculator!G17:G136</t>
        </is>
      </c>
      <c r="X538">
        <f>IFERROR(IF(LoanIsNotPaid*LoanIsGood,InterestAmt,0), 0)</f>
        <v/>
      </c>
    </row>
    <row r="539">
      <c r="A539" t="inlineStr">
        <is>
          <t>Loan calculator</t>
        </is>
      </c>
      <c r="B539" t="inlineStr">
        <is>
          <t>H55</t>
        </is>
      </c>
      <c r="C539" t="n">
        <v>55</v>
      </c>
      <c r="D539" t="n">
        <v>8</v>
      </c>
      <c r="E539" t="inlineStr">
        <is>
          <t>Output</t>
        </is>
      </c>
      <c r="F539" t="inlineStr">
        <is>
          <t>'=IFERROR(IF(LoanIsNotPaid*LoanIsGood,EndingBalance,0), 0)</t>
        </is>
      </c>
      <c r="G539" t="n">
        <v>7329.505465876257</v>
      </c>
      <c r="H539" t="inlineStr"/>
      <c r="I539" t="inlineStr">
        <is>
          <t>"$"#,##0.00</t>
        </is>
      </c>
      <c r="J539" t="b">
        <v>0</v>
      </c>
      <c r="K539" t="b">
        <v>0</v>
      </c>
      <c r="L539" t="n">
        <v>9</v>
      </c>
      <c r="M539" t="inlineStr">
        <is>
          <t>Values must be of type &lt;class 'str'&gt;</t>
        </is>
      </c>
      <c r="N539" t="inlineStr">
        <is>
          <t>00000000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S539" t="inlineStr">
        <is>
          <t>G000007</t>
        </is>
      </c>
      <c r="T539" t="inlineStr">
        <is>
          <t>Vertical</t>
        </is>
      </c>
      <c r="U539" t="n">
        <v>120</v>
      </c>
      <c r="V539" t="b">
        <v>1</v>
      </c>
      <c r="W539" t="inlineStr">
        <is>
          <t>Loan calculator!H17:H136</t>
        </is>
      </c>
      <c r="X539">
        <f>IFERROR(IF(LoanIsNotPaid*LoanIsGood,EndingBalance,0), 0)</f>
        <v/>
      </c>
    </row>
    <row r="540">
      <c r="A540" t="inlineStr">
        <is>
          <t>Loan calculator</t>
        </is>
      </c>
      <c r="B540" t="inlineStr">
        <is>
          <t>I55</t>
        </is>
      </c>
      <c r="C540" t="n">
        <v>55</v>
      </c>
      <c r="D540" t="n">
        <v>9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11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n">
        <v/>
      </c>
      <c r="P540" t="inlineStr">
        <is>
          <t>center</t>
        </is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</row>
    <row r="541">
      <c r="A541" t="inlineStr">
        <is>
          <t>Loan calculator</t>
        </is>
      </c>
      <c r="B541" t="inlineStr">
        <is>
          <t>A56</t>
        </is>
      </c>
      <c r="C541" t="n">
        <v>56</v>
      </c>
      <c r="D541" t="n">
        <v>1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11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n">
        <v/>
      </c>
      <c r="P541" t="inlineStr">
        <is>
          <t>center</t>
        </is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</row>
    <row r="542">
      <c r="A542" t="inlineStr">
        <is>
          <t>Loan calculator</t>
        </is>
      </c>
      <c r="B542" t="inlineStr">
        <is>
          <t>B56</t>
        </is>
      </c>
      <c r="C542" t="n">
        <v>56</v>
      </c>
      <c r="D542" t="n">
        <v>2</v>
      </c>
      <c r="E542" t="inlineStr">
        <is>
          <t>Output</t>
        </is>
      </c>
      <c r="F542" t="inlineStr">
        <is>
          <t>'=IFERROR(IF(LoanIsNotPaid*LoanIsGood,PaymentNumber,""), "")</t>
        </is>
      </c>
      <c r="G542" t="n">
        <v>40</v>
      </c>
      <c r="H542" t="inlineStr"/>
      <c r="I542" t="inlineStr">
        <is>
          <t>#,##0</t>
        </is>
      </c>
      <c r="J542" t="b">
        <v>0</v>
      </c>
      <c r="K542" t="b">
        <v>0</v>
      </c>
      <c r="L542" t="n">
        <v>9</v>
      </c>
      <c r="M542" t="inlineStr">
        <is>
          <t>Values must be of type &lt;class 'str'&gt;</t>
        </is>
      </c>
      <c r="N542" t="inlineStr">
        <is>
          <t>00000000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S542" t="inlineStr">
        <is>
          <t>G000001</t>
        </is>
      </c>
      <c r="T542" t="inlineStr">
        <is>
          <t>Vertical</t>
        </is>
      </c>
      <c r="U542" t="n">
        <v>120</v>
      </c>
      <c r="V542" t="b">
        <v>1</v>
      </c>
      <c r="W542" t="inlineStr">
        <is>
          <t>Loan calculator!B17:B136</t>
        </is>
      </c>
      <c r="X542">
        <f>IFERROR(IF(LoanIsNotPaid*LoanIsGood,PaymentNumber,""), "")</f>
        <v/>
      </c>
    </row>
    <row r="543">
      <c r="A543" t="inlineStr">
        <is>
          <t>Loan calculator</t>
        </is>
      </c>
      <c r="B543" t="inlineStr">
        <is>
          <t>C56</t>
        </is>
      </c>
      <c r="C543" t="n">
        <v>56</v>
      </c>
      <c r="D543" t="n">
        <v>3</v>
      </c>
      <c r="E543" t="inlineStr">
        <is>
          <t>Output</t>
        </is>
      </c>
      <c r="F543" t="inlineStr">
        <is>
          <t>'=IFERROR(IF(LoanIsNotPaid*LoanIsGood,PaymentDate,LoanStartDate), LoanStartDate)</t>
        </is>
      </c>
      <c r="G543" s="1" t="n">
        <v>47304</v>
      </c>
      <c r="H543" t="inlineStr"/>
      <c r="I543" t="inlineStr">
        <is>
          <t>mm-dd-yy</t>
        </is>
      </c>
      <c r="J543" t="b">
        <v>0</v>
      </c>
      <c r="K543" t="b">
        <v>0</v>
      </c>
      <c r="L543" t="n">
        <v>9</v>
      </c>
      <c r="M543" t="inlineStr">
        <is>
          <t>Values must be of type &lt;class 'str'&gt;</t>
        </is>
      </c>
      <c r="N543" t="inlineStr">
        <is>
          <t>00000000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S543" t="inlineStr">
        <is>
          <t>G000002</t>
        </is>
      </c>
      <c r="T543" t="inlineStr">
        <is>
          <t>Vertical</t>
        </is>
      </c>
      <c r="U543" t="n">
        <v>120</v>
      </c>
      <c r="V543" t="b">
        <v>1</v>
      </c>
      <c r="W543" t="inlineStr">
        <is>
          <t>Loan calculator!C17:C136</t>
        </is>
      </c>
      <c r="X543">
        <f>IFERROR(IF(LoanIsNotPaid*LoanIsGood,PaymentDate,LoanStartDate), LoanStartDate)</f>
        <v/>
      </c>
    </row>
    <row r="544">
      <c r="A544" t="inlineStr">
        <is>
          <t>Loan calculator</t>
        </is>
      </c>
      <c r="B544" t="inlineStr">
        <is>
          <t>D56</t>
        </is>
      </c>
      <c r="C544" t="n">
        <v>56</v>
      </c>
      <c r="D544" t="n">
        <v>4</v>
      </c>
      <c r="E544" t="inlineStr">
        <is>
          <t>Output</t>
        </is>
      </c>
      <c r="F544" t="inlineStr">
        <is>
          <t>'=IFERROR(IF(LoanIsNotPaid*LoanIsGood,LoanValue,""), "")</t>
        </is>
      </c>
      <c r="G544" t="n">
        <v>7329.505465876257</v>
      </c>
      <c r="H544" t="inlineStr"/>
      <c r="I544" t="inlineStr">
        <is>
          <t>"$"#,##0.00</t>
        </is>
      </c>
      <c r="J544" t="b">
        <v>0</v>
      </c>
      <c r="K544" t="b">
        <v>0</v>
      </c>
      <c r="L544" t="n">
        <v>9</v>
      </c>
      <c r="M544" t="inlineStr">
        <is>
          <t>Values must be of type &lt;class 'str'&gt;</t>
        </is>
      </c>
      <c r="N544" t="inlineStr">
        <is>
          <t>00000000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S544" t="inlineStr">
        <is>
          <t>G000003</t>
        </is>
      </c>
      <c r="T544" t="inlineStr">
        <is>
          <t>Vertical</t>
        </is>
      </c>
      <c r="U544" t="n">
        <v>120</v>
      </c>
      <c r="V544" t="b">
        <v>1</v>
      </c>
      <c r="W544" t="inlineStr">
        <is>
          <t>Loan calculator!D17:D136</t>
        </is>
      </c>
      <c r="X544">
        <f>IFERROR(IF(LoanIsNotPaid*LoanIsGood,LoanValue,""), "")</f>
        <v/>
      </c>
    </row>
    <row r="545">
      <c r="A545" t="inlineStr">
        <is>
          <t>Loan calculator</t>
        </is>
      </c>
      <c r="B545" t="inlineStr">
        <is>
          <t>E56</t>
        </is>
      </c>
      <c r="C545" t="n">
        <v>56</v>
      </c>
      <c r="D545" t="n">
        <v>5</v>
      </c>
      <c r="E545" t="inlineStr">
        <is>
          <t>Output</t>
        </is>
      </c>
      <c r="F545" t="inlineStr">
        <is>
          <t>'=IFERROR(IF(LoanIsNotPaid*LoanIsGood,MonthlyPayment,0), 0)</t>
        </is>
      </c>
      <c r="G545" t="n">
        <v>108.5262779604807</v>
      </c>
      <c r="H545" t="inlineStr"/>
      <c r="I545" t="inlineStr">
        <is>
          <t>"$"#,##0.00</t>
        </is>
      </c>
      <c r="J545" t="b">
        <v>0</v>
      </c>
      <c r="K545" t="b">
        <v>0</v>
      </c>
      <c r="L545" t="n">
        <v>9</v>
      </c>
      <c r="M545" t="inlineStr">
        <is>
          <t>Values must be of type &lt;class 'str'&gt;</t>
        </is>
      </c>
      <c r="N545" t="inlineStr">
        <is>
          <t>00000000</t>
        </is>
      </c>
      <c r="O545" t="inlineStr">
        <is>
          <t>center</t>
        </is>
      </c>
      <c r="P545" t="inlineStr">
        <is>
          <t>center</t>
        </is>
      </c>
      <c r="R545" t="b">
        <v>1</v>
      </c>
      <c r="S545" t="inlineStr">
        <is>
          <t>G000004</t>
        </is>
      </c>
      <c r="T545" t="inlineStr">
        <is>
          <t>Vertical</t>
        </is>
      </c>
      <c r="U545" t="n">
        <v>120</v>
      </c>
      <c r="V545" t="b">
        <v>1</v>
      </c>
      <c r="W545" t="inlineStr">
        <is>
          <t>Loan calculator!E17:E136</t>
        </is>
      </c>
      <c r="X545">
        <f>IFERROR(IF(LoanIsNotPaid*LoanIsGood,MonthlyPayment,0), 0)</f>
        <v/>
      </c>
    </row>
    <row r="546">
      <c r="A546" t="inlineStr">
        <is>
          <t>Loan calculator</t>
        </is>
      </c>
      <c r="B546" t="inlineStr">
        <is>
          <t>F56</t>
        </is>
      </c>
      <c r="C546" t="n">
        <v>56</v>
      </c>
      <c r="D546" t="n">
        <v>6</v>
      </c>
      <c r="E546" t="inlineStr">
        <is>
          <t>Output</t>
        </is>
      </c>
      <c r="F546" t="inlineStr">
        <is>
          <t>'=IFERROR(IF(LoanIsNotPaid*LoanIsGood,Principal,0), 0)</t>
        </is>
      </c>
      <c r="G546" t="n">
        <v>74.93271124188119</v>
      </c>
      <c r="H546" t="inlineStr"/>
      <c r="I546" t="inlineStr">
        <is>
          <t>"$"#,##0.00</t>
        </is>
      </c>
      <c r="J546" t="b">
        <v>0</v>
      </c>
      <c r="K546" t="b">
        <v>0</v>
      </c>
      <c r="L546" t="n">
        <v>9</v>
      </c>
      <c r="M546" t="inlineStr">
        <is>
          <t>Values must be of type &lt;class 'str'&gt;</t>
        </is>
      </c>
      <c r="N546" t="inlineStr">
        <is>
          <t>00000000</t>
        </is>
      </c>
      <c r="O546" t="inlineStr">
        <is>
          <t>center</t>
        </is>
      </c>
      <c r="P546" t="inlineStr">
        <is>
          <t>center</t>
        </is>
      </c>
      <c r="R546" t="b">
        <v>1</v>
      </c>
      <c r="S546" t="inlineStr">
        <is>
          <t>G000005</t>
        </is>
      </c>
      <c r="T546" t="inlineStr">
        <is>
          <t>Vertical</t>
        </is>
      </c>
      <c r="U546" t="n">
        <v>120</v>
      </c>
      <c r="V546" t="b">
        <v>1</v>
      </c>
      <c r="W546" t="inlineStr">
        <is>
          <t>Loan calculator!F17:F136</t>
        </is>
      </c>
      <c r="X546">
        <f>IFERROR(IF(LoanIsNotPaid*LoanIsGood,Principal,0), 0)</f>
        <v/>
      </c>
    </row>
    <row r="547">
      <c r="A547" t="inlineStr">
        <is>
          <t>Loan calculator</t>
        </is>
      </c>
      <c r="B547" t="inlineStr">
        <is>
          <t>G56</t>
        </is>
      </c>
      <c r="C547" t="n">
        <v>56</v>
      </c>
      <c r="D547" t="n">
        <v>7</v>
      </c>
      <c r="E547" t="inlineStr">
        <is>
          <t>Output</t>
        </is>
      </c>
      <c r="F547" t="inlineStr">
        <is>
          <t>'=IFERROR(IF(LoanIsNotPaid*LoanIsGood,InterestAmt,0), 0)</t>
        </is>
      </c>
      <c r="G547" t="n">
        <v>33.59356671859953</v>
      </c>
      <c r="H547" t="inlineStr"/>
      <c r="I547" t="inlineStr">
        <is>
          <t>"$"#,##0.00</t>
        </is>
      </c>
      <c r="J547" t="b">
        <v>0</v>
      </c>
      <c r="K547" t="b">
        <v>0</v>
      </c>
      <c r="L547" t="n">
        <v>9</v>
      </c>
      <c r="M547" t="inlineStr">
        <is>
          <t>Values must be of type &lt;class 'str'&gt;</t>
        </is>
      </c>
      <c r="N547" t="inlineStr">
        <is>
          <t>00000000</t>
        </is>
      </c>
      <c r="O547" t="inlineStr">
        <is>
          <t>center</t>
        </is>
      </c>
      <c r="P547" t="inlineStr">
        <is>
          <t>center</t>
        </is>
      </c>
      <c r="R547" t="b">
        <v>1</v>
      </c>
      <c r="S547" t="inlineStr">
        <is>
          <t>G000006</t>
        </is>
      </c>
      <c r="T547" t="inlineStr">
        <is>
          <t>Vertical</t>
        </is>
      </c>
      <c r="U547" t="n">
        <v>120</v>
      </c>
      <c r="V547" t="b">
        <v>1</v>
      </c>
      <c r="W547" t="inlineStr">
        <is>
          <t>Loan calculator!G17:G136</t>
        </is>
      </c>
      <c r="X547">
        <f>IFERROR(IF(LoanIsNotPaid*LoanIsGood,InterestAmt,0), 0)</f>
        <v/>
      </c>
    </row>
    <row r="548">
      <c r="A548" t="inlineStr">
        <is>
          <t>Loan calculator</t>
        </is>
      </c>
      <c r="B548" t="inlineStr">
        <is>
          <t>H56</t>
        </is>
      </c>
      <c r="C548" t="n">
        <v>56</v>
      </c>
      <c r="D548" t="n">
        <v>8</v>
      </c>
      <c r="E548" t="inlineStr">
        <is>
          <t>Output</t>
        </is>
      </c>
      <c r="F548" t="inlineStr">
        <is>
          <t>'=IFERROR(IF(LoanIsNotPaid*LoanIsGood,EndingBalance,0), 0)</t>
        </is>
      </c>
      <c r="G548" t="n">
        <v>7254.572754634376</v>
      </c>
      <c r="H548" t="inlineStr"/>
      <c r="I548" t="inlineStr">
        <is>
          <t>"$"#,##0.00</t>
        </is>
      </c>
      <c r="J548" t="b">
        <v>0</v>
      </c>
      <c r="K548" t="b">
        <v>0</v>
      </c>
      <c r="L548" t="n">
        <v>9</v>
      </c>
      <c r="M548" t="inlineStr">
        <is>
          <t>Values must be of type &lt;class 'str'&gt;</t>
        </is>
      </c>
      <c r="N548" t="inlineStr">
        <is>
          <t>00000000</t>
        </is>
      </c>
      <c r="O548" t="inlineStr">
        <is>
          <t>center</t>
        </is>
      </c>
      <c r="P548" t="inlineStr">
        <is>
          <t>center</t>
        </is>
      </c>
      <c r="R548" t="b">
        <v>1</v>
      </c>
      <c r="S548" t="inlineStr">
        <is>
          <t>G000007</t>
        </is>
      </c>
      <c r="T548" t="inlineStr">
        <is>
          <t>Vertical</t>
        </is>
      </c>
      <c r="U548" t="n">
        <v>120</v>
      </c>
      <c r="V548" t="b">
        <v>1</v>
      </c>
      <c r="W548" t="inlineStr">
        <is>
          <t>Loan calculator!H17:H136</t>
        </is>
      </c>
      <c r="X548">
        <f>IFERROR(IF(LoanIsNotPaid*LoanIsGood,EndingBalance,0), 0)</f>
        <v/>
      </c>
    </row>
    <row r="549">
      <c r="A549" t="inlineStr">
        <is>
          <t>Loan calculator</t>
        </is>
      </c>
      <c r="B549" t="inlineStr">
        <is>
          <t>I56</t>
        </is>
      </c>
      <c r="C549" t="n">
        <v>56</v>
      </c>
      <c r="D549" t="n">
        <v>9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11</v>
      </c>
      <c r="M549" t="inlineStr">
        <is>
          <t>Values must be of type &lt;class 'str'&gt;</t>
        </is>
      </c>
      <c r="N549" t="inlineStr">
        <is>
          <t>Values must be of type &lt;class 'str'&gt;</t>
        </is>
      </c>
      <c r="O549" t="n">
        <v/>
      </c>
      <c r="P549" t="inlineStr">
        <is>
          <t>center</t>
        </is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</row>
    <row r="550">
      <c r="A550" t="inlineStr">
        <is>
          <t>Loan calculator</t>
        </is>
      </c>
      <c r="B550" t="inlineStr">
        <is>
          <t>A57</t>
        </is>
      </c>
      <c r="C550" t="n">
        <v>57</v>
      </c>
      <c r="D550" t="n">
        <v>1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11</v>
      </c>
      <c r="M550" t="inlineStr">
        <is>
          <t>Values must be of type &lt;class 'str'&gt;</t>
        </is>
      </c>
      <c r="N550" t="inlineStr">
        <is>
          <t>Values must be of type &lt;class 'str'&gt;</t>
        </is>
      </c>
      <c r="O550" t="n">
        <v/>
      </c>
      <c r="P550" t="inlineStr">
        <is>
          <t>center</t>
        </is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Loan calculator</t>
        </is>
      </c>
      <c r="B551" t="inlineStr">
        <is>
          <t>B57</t>
        </is>
      </c>
      <c r="C551" t="n">
        <v>57</v>
      </c>
      <c r="D551" t="n">
        <v>2</v>
      </c>
      <c r="E551" t="inlineStr">
        <is>
          <t>Output</t>
        </is>
      </c>
      <c r="F551" t="inlineStr">
        <is>
          <t>'=IFERROR(IF(LoanIsNotPaid*LoanIsGood,PaymentNumber,""), "")</t>
        </is>
      </c>
      <c r="G551" t="n">
        <v>41</v>
      </c>
      <c r="H551" t="inlineStr"/>
      <c r="I551" t="inlineStr">
        <is>
          <t>#,##0</t>
        </is>
      </c>
      <c r="J551" t="b">
        <v>0</v>
      </c>
      <c r="K551" t="b">
        <v>0</v>
      </c>
      <c r="L551" t="n">
        <v>9</v>
      </c>
      <c r="M551" t="inlineStr">
        <is>
          <t>Values must be of type &lt;class 'str'&gt;</t>
        </is>
      </c>
      <c r="N551" t="inlineStr">
        <is>
          <t>00000000</t>
        </is>
      </c>
      <c r="O551" t="inlineStr">
        <is>
          <t>center</t>
        </is>
      </c>
      <c r="P551" t="inlineStr">
        <is>
          <t>center</t>
        </is>
      </c>
      <c r="R551" t="b">
        <v>1</v>
      </c>
      <c r="S551" t="inlineStr">
        <is>
          <t>G000001</t>
        </is>
      </c>
      <c r="T551" t="inlineStr">
        <is>
          <t>Vertical</t>
        </is>
      </c>
      <c r="U551" t="n">
        <v>120</v>
      </c>
      <c r="V551" t="b">
        <v>1</v>
      </c>
      <c r="W551" t="inlineStr">
        <is>
          <t>Loan calculator!B17:B136</t>
        </is>
      </c>
      <c r="X551">
        <f>IFERROR(IF(LoanIsNotPaid*LoanIsGood,PaymentNumber,""), "")</f>
        <v/>
      </c>
    </row>
    <row r="552">
      <c r="A552" t="inlineStr">
        <is>
          <t>Loan calculator</t>
        </is>
      </c>
      <c r="B552" t="inlineStr">
        <is>
          <t>C57</t>
        </is>
      </c>
      <c r="C552" t="n">
        <v>57</v>
      </c>
      <c r="D552" t="n">
        <v>3</v>
      </c>
      <c r="E552" t="inlineStr">
        <is>
          <t>Output</t>
        </is>
      </c>
      <c r="F552" t="inlineStr">
        <is>
          <t>'=IFERROR(IF(LoanIsNotPaid*LoanIsGood,PaymentDate,LoanStartDate), LoanStartDate)</t>
        </is>
      </c>
      <c r="G552" s="1" t="n">
        <v>47335</v>
      </c>
      <c r="H552" t="inlineStr"/>
      <c r="I552" t="inlineStr">
        <is>
          <t>mm-dd-yy</t>
        </is>
      </c>
      <c r="J552" t="b">
        <v>0</v>
      </c>
      <c r="K552" t="b">
        <v>0</v>
      </c>
      <c r="L552" t="n">
        <v>9</v>
      </c>
      <c r="M552" t="inlineStr">
        <is>
          <t>Values must be of type &lt;class 'str'&gt;</t>
        </is>
      </c>
      <c r="N552" t="inlineStr">
        <is>
          <t>00000000</t>
        </is>
      </c>
      <c r="O552" t="inlineStr">
        <is>
          <t>center</t>
        </is>
      </c>
      <c r="P552" t="inlineStr">
        <is>
          <t>center</t>
        </is>
      </c>
      <c r="R552" t="b">
        <v>1</v>
      </c>
      <c r="S552" t="inlineStr">
        <is>
          <t>G000002</t>
        </is>
      </c>
      <c r="T552" t="inlineStr">
        <is>
          <t>Vertical</t>
        </is>
      </c>
      <c r="U552" t="n">
        <v>120</v>
      </c>
      <c r="V552" t="b">
        <v>1</v>
      </c>
      <c r="W552" t="inlineStr">
        <is>
          <t>Loan calculator!C17:C136</t>
        </is>
      </c>
      <c r="X552">
        <f>IFERROR(IF(LoanIsNotPaid*LoanIsGood,PaymentDate,LoanStartDate), LoanStartDate)</f>
        <v/>
      </c>
    </row>
    <row r="553">
      <c r="A553" t="inlineStr">
        <is>
          <t>Loan calculator</t>
        </is>
      </c>
      <c r="B553" t="inlineStr">
        <is>
          <t>D57</t>
        </is>
      </c>
      <c r="C553" t="n">
        <v>57</v>
      </c>
      <c r="D553" t="n">
        <v>4</v>
      </c>
      <c r="E553" t="inlineStr">
        <is>
          <t>Output</t>
        </is>
      </c>
      <c r="F553" t="inlineStr">
        <is>
          <t>'=IFERROR(IF(LoanIsNotPaid*LoanIsGood,LoanValue,""), "")</t>
        </is>
      </c>
      <c r="G553" t="n">
        <v>7254.572754634376</v>
      </c>
      <c r="H553" t="inlineStr"/>
      <c r="I553" t="inlineStr">
        <is>
          <t>"$"#,##0.00</t>
        </is>
      </c>
      <c r="J553" t="b">
        <v>0</v>
      </c>
      <c r="K553" t="b">
        <v>0</v>
      </c>
      <c r="L553" t="n">
        <v>9</v>
      </c>
      <c r="M553" t="inlineStr">
        <is>
          <t>Values must be of type &lt;class 'str'&gt;</t>
        </is>
      </c>
      <c r="N553" t="inlineStr">
        <is>
          <t>00000000</t>
        </is>
      </c>
      <c r="O553" t="inlineStr">
        <is>
          <t>center</t>
        </is>
      </c>
      <c r="P553" t="inlineStr">
        <is>
          <t>center</t>
        </is>
      </c>
      <c r="R553" t="b">
        <v>1</v>
      </c>
      <c r="S553" t="inlineStr">
        <is>
          <t>G000003</t>
        </is>
      </c>
      <c r="T553" t="inlineStr">
        <is>
          <t>Vertical</t>
        </is>
      </c>
      <c r="U553" t="n">
        <v>120</v>
      </c>
      <c r="V553" t="b">
        <v>1</v>
      </c>
      <c r="W553" t="inlineStr">
        <is>
          <t>Loan calculator!D17:D136</t>
        </is>
      </c>
      <c r="X553">
        <f>IFERROR(IF(LoanIsNotPaid*LoanIsGood,LoanValue,""), "")</f>
        <v/>
      </c>
    </row>
    <row r="554">
      <c r="A554" t="inlineStr">
        <is>
          <t>Loan calculator</t>
        </is>
      </c>
      <c r="B554" t="inlineStr">
        <is>
          <t>E57</t>
        </is>
      </c>
      <c r="C554" t="n">
        <v>57</v>
      </c>
      <c r="D554" t="n">
        <v>5</v>
      </c>
      <c r="E554" t="inlineStr">
        <is>
          <t>Output</t>
        </is>
      </c>
      <c r="F554" t="inlineStr">
        <is>
          <t>'=IFERROR(IF(LoanIsNotPaid*LoanIsGood,MonthlyPayment,0), 0)</t>
        </is>
      </c>
      <c r="G554" t="n">
        <v>108.5262779604807</v>
      </c>
      <c r="H554" t="inlineStr"/>
      <c r="I554" t="inlineStr">
        <is>
          <t>"$"#,##0.00</t>
        </is>
      </c>
      <c r="J554" t="b">
        <v>0</v>
      </c>
      <c r="K554" t="b">
        <v>0</v>
      </c>
      <c r="L554" t="n">
        <v>9</v>
      </c>
      <c r="M554" t="inlineStr">
        <is>
          <t>Values must be of type &lt;class 'str'&gt;</t>
        </is>
      </c>
      <c r="N554" t="inlineStr">
        <is>
          <t>00000000</t>
        </is>
      </c>
      <c r="O554" t="inlineStr">
        <is>
          <t>center</t>
        </is>
      </c>
      <c r="P554" t="inlineStr">
        <is>
          <t>center</t>
        </is>
      </c>
      <c r="R554" t="b">
        <v>1</v>
      </c>
      <c r="S554" t="inlineStr">
        <is>
          <t>G000004</t>
        </is>
      </c>
      <c r="T554" t="inlineStr">
        <is>
          <t>Vertical</t>
        </is>
      </c>
      <c r="U554" t="n">
        <v>120</v>
      </c>
      <c r="V554" t="b">
        <v>1</v>
      </c>
      <c r="W554" t="inlineStr">
        <is>
          <t>Loan calculator!E17:E136</t>
        </is>
      </c>
      <c r="X554">
        <f>IFERROR(IF(LoanIsNotPaid*LoanIsGood,MonthlyPayment,0), 0)</f>
        <v/>
      </c>
    </row>
    <row r="555">
      <c r="A555" t="inlineStr">
        <is>
          <t>Loan calculator</t>
        </is>
      </c>
      <c r="B555" t="inlineStr">
        <is>
          <t>F57</t>
        </is>
      </c>
      <c r="C555" t="n">
        <v>57</v>
      </c>
      <c r="D555" t="n">
        <v>6</v>
      </c>
      <c r="E555" t="inlineStr">
        <is>
          <t>Output</t>
        </is>
      </c>
      <c r="F555" t="inlineStr">
        <is>
          <t>'=IFERROR(IF(LoanIsNotPaid*LoanIsGood,Principal,0), 0)</t>
        </is>
      </c>
      <c r="G555" t="n">
        <v>75.27615283507315</v>
      </c>
      <c r="H555" t="inlineStr"/>
      <c r="I555" t="inlineStr">
        <is>
          <t>"$"#,##0.00</t>
        </is>
      </c>
      <c r="J555" t="b">
        <v>0</v>
      </c>
      <c r="K555" t="b">
        <v>0</v>
      </c>
      <c r="L555" t="n">
        <v>9</v>
      </c>
      <c r="M555" t="inlineStr">
        <is>
          <t>Values must be of type &lt;class 'str'&gt;</t>
        </is>
      </c>
      <c r="N555" t="inlineStr">
        <is>
          <t>00000000</t>
        </is>
      </c>
      <c r="O555" t="inlineStr">
        <is>
          <t>center</t>
        </is>
      </c>
      <c r="P555" t="inlineStr">
        <is>
          <t>center</t>
        </is>
      </c>
      <c r="R555" t="b">
        <v>1</v>
      </c>
      <c r="S555" t="inlineStr">
        <is>
          <t>G000005</t>
        </is>
      </c>
      <c r="T555" t="inlineStr">
        <is>
          <t>Vertical</t>
        </is>
      </c>
      <c r="U555" t="n">
        <v>120</v>
      </c>
      <c r="V555" t="b">
        <v>1</v>
      </c>
      <c r="W555" t="inlineStr">
        <is>
          <t>Loan calculator!F17:F136</t>
        </is>
      </c>
      <c r="X555">
        <f>IFERROR(IF(LoanIsNotPaid*LoanIsGood,Principal,0), 0)</f>
        <v/>
      </c>
    </row>
    <row r="556">
      <c r="A556" t="inlineStr">
        <is>
          <t>Loan calculator</t>
        </is>
      </c>
      <c r="B556" t="inlineStr">
        <is>
          <t>G57</t>
        </is>
      </c>
      <c r="C556" t="n">
        <v>57</v>
      </c>
      <c r="D556" t="n">
        <v>7</v>
      </c>
      <c r="E556" t="inlineStr">
        <is>
          <t>Output</t>
        </is>
      </c>
      <c r="F556" t="inlineStr">
        <is>
          <t>'=IFERROR(IF(LoanIsNotPaid*LoanIsGood,InterestAmt,0), 0)</t>
        </is>
      </c>
      <c r="G556" t="n">
        <v>33.25012512540757</v>
      </c>
      <c r="H556" t="inlineStr"/>
      <c r="I556" t="inlineStr">
        <is>
          <t>"$"#,##0.00</t>
        </is>
      </c>
      <c r="J556" t="b">
        <v>0</v>
      </c>
      <c r="K556" t="b">
        <v>0</v>
      </c>
      <c r="L556" t="n">
        <v>9</v>
      </c>
      <c r="M556" t="inlineStr">
        <is>
          <t>Values must be of type &lt;class 'str'&gt;</t>
        </is>
      </c>
      <c r="N556" t="inlineStr">
        <is>
          <t>00000000</t>
        </is>
      </c>
      <c r="O556" t="inlineStr">
        <is>
          <t>center</t>
        </is>
      </c>
      <c r="P556" t="inlineStr">
        <is>
          <t>center</t>
        </is>
      </c>
      <c r="R556" t="b">
        <v>1</v>
      </c>
      <c r="S556" t="inlineStr">
        <is>
          <t>G000006</t>
        </is>
      </c>
      <c r="T556" t="inlineStr">
        <is>
          <t>Vertical</t>
        </is>
      </c>
      <c r="U556" t="n">
        <v>120</v>
      </c>
      <c r="V556" t="b">
        <v>1</v>
      </c>
      <c r="W556" t="inlineStr">
        <is>
          <t>Loan calculator!G17:G136</t>
        </is>
      </c>
      <c r="X556">
        <f>IFERROR(IF(LoanIsNotPaid*LoanIsGood,InterestAmt,0), 0)</f>
        <v/>
      </c>
    </row>
    <row r="557">
      <c r="A557" t="inlineStr">
        <is>
          <t>Loan calculator</t>
        </is>
      </c>
      <c r="B557" t="inlineStr">
        <is>
          <t>H57</t>
        </is>
      </c>
      <c r="C557" t="n">
        <v>57</v>
      </c>
      <c r="D557" t="n">
        <v>8</v>
      </c>
      <c r="E557" t="inlineStr">
        <is>
          <t>Output</t>
        </is>
      </c>
      <c r="F557" t="inlineStr">
        <is>
          <t>'=IFERROR(IF(LoanIsNotPaid*LoanIsGood,EndingBalance,0), 0)</t>
        </is>
      </c>
      <c r="G557" t="n">
        <v>7179.296601799301</v>
      </c>
      <c r="H557" t="inlineStr"/>
      <c r="I557" t="inlineStr">
        <is>
          <t>"$"#,##0.00</t>
        </is>
      </c>
      <c r="J557" t="b">
        <v>0</v>
      </c>
      <c r="K557" t="b">
        <v>0</v>
      </c>
      <c r="L557" t="n">
        <v>9</v>
      </c>
      <c r="M557" t="inlineStr">
        <is>
          <t>Values must be of type &lt;class 'str'&gt;</t>
        </is>
      </c>
      <c r="N557" t="inlineStr">
        <is>
          <t>00000000</t>
        </is>
      </c>
      <c r="O557" t="inlineStr">
        <is>
          <t>center</t>
        </is>
      </c>
      <c r="P557" t="inlineStr">
        <is>
          <t>center</t>
        </is>
      </c>
      <c r="R557" t="b">
        <v>1</v>
      </c>
      <c r="S557" t="inlineStr">
        <is>
          <t>G000007</t>
        </is>
      </c>
      <c r="T557" t="inlineStr">
        <is>
          <t>Vertical</t>
        </is>
      </c>
      <c r="U557" t="n">
        <v>120</v>
      </c>
      <c r="V557" t="b">
        <v>1</v>
      </c>
      <c r="W557" t="inlineStr">
        <is>
          <t>Loan calculator!H17:H136</t>
        </is>
      </c>
      <c r="X557">
        <f>IFERROR(IF(LoanIsNotPaid*LoanIsGood,EndingBalance,0), 0)</f>
        <v/>
      </c>
    </row>
    <row r="558">
      <c r="A558" t="inlineStr">
        <is>
          <t>Loan calculator</t>
        </is>
      </c>
      <c r="B558" t="inlineStr">
        <is>
          <t>I57</t>
        </is>
      </c>
      <c r="C558" t="n">
        <v>57</v>
      </c>
      <c r="D558" t="n">
        <v>9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11</v>
      </c>
      <c r="M558" t="inlineStr">
        <is>
          <t>Values must be of type &lt;class 'str'&gt;</t>
        </is>
      </c>
      <c r="N558" t="inlineStr">
        <is>
          <t>Values must be of type &lt;class 'str'&gt;</t>
        </is>
      </c>
      <c r="O558" t="n">
        <v/>
      </c>
      <c r="P558" t="inlineStr">
        <is>
          <t>center</t>
        </is>
      </c>
      <c r="R558" t="b">
        <v>0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</row>
    <row r="559">
      <c r="A559" t="inlineStr">
        <is>
          <t>Loan calculator</t>
        </is>
      </c>
      <c r="B559" t="inlineStr">
        <is>
          <t>A58</t>
        </is>
      </c>
      <c r="C559" t="n">
        <v>58</v>
      </c>
      <c r="D559" t="n">
        <v>1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11</v>
      </c>
      <c r="M559" t="inlineStr">
        <is>
          <t>Values must be of type &lt;class 'str'&gt;</t>
        </is>
      </c>
      <c r="N559" t="inlineStr">
        <is>
          <t>Values must be of type &lt;class 'str'&gt;</t>
        </is>
      </c>
      <c r="O559" t="n">
        <v/>
      </c>
      <c r="P559" t="inlineStr">
        <is>
          <t>center</t>
        </is>
      </c>
      <c r="R559" t="b">
        <v>0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</row>
    <row r="560">
      <c r="A560" t="inlineStr">
        <is>
          <t>Loan calculator</t>
        </is>
      </c>
      <c r="B560" t="inlineStr">
        <is>
          <t>B58</t>
        </is>
      </c>
      <c r="C560" t="n">
        <v>58</v>
      </c>
      <c r="D560" t="n">
        <v>2</v>
      </c>
      <c r="E560" t="inlineStr">
        <is>
          <t>Output</t>
        </is>
      </c>
      <c r="F560" t="inlineStr">
        <is>
          <t>'=IFERROR(IF(LoanIsNotPaid*LoanIsGood,PaymentNumber,""), "")</t>
        </is>
      </c>
      <c r="G560" t="n">
        <v>42</v>
      </c>
      <c r="H560" t="inlineStr"/>
      <c r="I560" t="inlineStr">
        <is>
          <t>#,##0</t>
        </is>
      </c>
      <c r="J560" t="b">
        <v>0</v>
      </c>
      <c r="K560" t="b">
        <v>0</v>
      </c>
      <c r="L560" t="n">
        <v>9</v>
      </c>
      <c r="M560" t="inlineStr">
        <is>
          <t>Values must be of type &lt;class 'str'&gt;</t>
        </is>
      </c>
      <c r="N560" t="inlineStr">
        <is>
          <t>00000000</t>
        </is>
      </c>
      <c r="O560" t="inlineStr">
        <is>
          <t>center</t>
        </is>
      </c>
      <c r="P560" t="inlineStr">
        <is>
          <t>center</t>
        </is>
      </c>
      <c r="R560" t="b">
        <v>1</v>
      </c>
      <c r="S560" t="inlineStr">
        <is>
          <t>G000001</t>
        </is>
      </c>
      <c r="T560" t="inlineStr">
        <is>
          <t>Vertical</t>
        </is>
      </c>
      <c r="U560" t="n">
        <v>120</v>
      </c>
      <c r="V560" t="b">
        <v>1</v>
      </c>
      <c r="W560" t="inlineStr">
        <is>
          <t>Loan calculator!B17:B136</t>
        </is>
      </c>
      <c r="X560">
        <f>IFERROR(IF(LoanIsNotPaid*LoanIsGood,PaymentNumber,""), "")</f>
        <v/>
      </c>
    </row>
    <row r="561">
      <c r="A561" t="inlineStr">
        <is>
          <t>Loan calculator</t>
        </is>
      </c>
      <c r="B561" t="inlineStr">
        <is>
          <t>C58</t>
        </is>
      </c>
      <c r="C561" t="n">
        <v>58</v>
      </c>
      <c r="D561" t="n">
        <v>3</v>
      </c>
      <c r="E561" t="inlineStr">
        <is>
          <t>Output</t>
        </is>
      </c>
      <c r="F561" t="inlineStr">
        <is>
          <t>'=IFERROR(IF(LoanIsNotPaid*LoanIsGood,PaymentDate,LoanStartDate), LoanStartDate)</t>
        </is>
      </c>
      <c r="G561" s="1" t="n">
        <v>47366</v>
      </c>
      <c r="H561" t="inlineStr"/>
      <c r="I561" t="inlineStr">
        <is>
          <t>mm-dd-yy</t>
        </is>
      </c>
      <c r="J561" t="b">
        <v>0</v>
      </c>
      <c r="K561" t="b">
        <v>0</v>
      </c>
      <c r="L561" t="n">
        <v>9</v>
      </c>
      <c r="M561" t="inlineStr">
        <is>
          <t>Values must be of type &lt;class 'str'&gt;</t>
        </is>
      </c>
      <c r="N561" t="inlineStr">
        <is>
          <t>00000000</t>
        </is>
      </c>
      <c r="O561" t="inlineStr">
        <is>
          <t>center</t>
        </is>
      </c>
      <c r="P561" t="inlineStr">
        <is>
          <t>center</t>
        </is>
      </c>
      <c r="R561" t="b">
        <v>1</v>
      </c>
      <c r="S561" t="inlineStr">
        <is>
          <t>G000002</t>
        </is>
      </c>
      <c r="T561" t="inlineStr">
        <is>
          <t>Vertical</t>
        </is>
      </c>
      <c r="U561" t="n">
        <v>120</v>
      </c>
      <c r="V561" t="b">
        <v>1</v>
      </c>
      <c r="W561" t="inlineStr">
        <is>
          <t>Loan calculator!C17:C136</t>
        </is>
      </c>
      <c r="X561">
        <f>IFERROR(IF(LoanIsNotPaid*LoanIsGood,PaymentDate,LoanStartDate), LoanStartDate)</f>
        <v/>
      </c>
    </row>
    <row r="562">
      <c r="A562" t="inlineStr">
        <is>
          <t>Loan calculator</t>
        </is>
      </c>
      <c r="B562" t="inlineStr">
        <is>
          <t>D58</t>
        </is>
      </c>
      <c r="C562" t="n">
        <v>58</v>
      </c>
      <c r="D562" t="n">
        <v>4</v>
      </c>
      <c r="E562" t="inlineStr">
        <is>
          <t>Output</t>
        </is>
      </c>
      <c r="F562" t="inlineStr">
        <is>
          <t>'=IFERROR(IF(LoanIsNotPaid*LoanIsGood,LoanValue,""), "")</t>
        </is>
      </c>
      <c r="G562" t="n">
        <v>7179.296601799301</v>
      </c>
      <c r="H562" t="inlineStr"/>
      <c r="I562" t="inlineStr">
        <is>
          <t>"$"#,##0.00</t>
        </is>
      </c>
      <c r="J562" t="b">
        <v>0</v>
      </c>
      <c r="K562" t="b">
        <v>0</v>
      </c>
      <c r="L562" t="n">
        <v>9</v>
      </c>
      <c r="M562" t="inlineStr">
        <is>
          <t>Values must be of type &lt;class 'str'&gt;</t>
        </is>
      </c>
      <c r="N562" t="inlineStr">
        <is>
          <t>00000000</t>
        </is>
      </c>
      <c r="O562" t="inlineStr">
        <is>
          <t>center</t>
        </is>
      </c>
      <c r="P562" t="inlineStr">
        <is>
          <t>center</t>
        </is>
      </c>
      <c r="R562" t="b">
        <v>1</v>
      </c>
      <c r="S562" t="inlineStr">
        <is>
          <t>G000003</t>
        </is>
      </c>
      <c r="T562" t="inlineStr">
        <is>
          <t>Vertical</t>
        </is>
      </c>
      <c r="U562" t="n">
        <v>120</v>
      </c>
      <c r="V562" t="b">
        <v>1</v>
      </c>
      <c r="W562" t="inlineStr">
        <is>
          <t>Loan calculator!D17:D136</t>
        </is>
      </c>
      <c r="X562">
        <f>IFERROR(IF(LoanIsNotPaid*LoanIsGood,LoanValue,""), "")</f>
        <v/>
      </c>
    </row>
    <row r="563">
      <c r="A563" t="inlineStr">
        <is>
          <t>Loan calculator</t>
        </is>
      </c>
      <c r="B563" t="inlineStr">
        <is>
          <t>E58</t>
        </is>
      </c>
      <c r="C563" t="n">
        <v>58</v>
      </c>
      <c r="D563" t="n">
        <v>5</v>
      </c>
      <c r="E563" t="inlineStr">
        <is>
          <t>Output</t>
        </is>
      </c>
      <c r="F563" t="inlineStr">
        <is>
          <t>'=IFERROR(IF(LoanIsNotPaid*LoanIsGood,MonthlyPayment,0), 0)</t>
        </is>
      </c>
      <c r="G563" t="n">
        <v>108.5262779604807</v>
      </c>
      <c r="H563" t="inlineStr"/>
      <c r="I563" t="inlineStr">
        <is>
          <t>"$"#,##0.00</t>
        </is>
      </c>
      <c r="J563" t="b">
        <v>0</v>
      </c>
      <c r="K563" t="b">
        <v>0</v>
      </c>
      <c r="L563" t="n">
        <v>9</v>
      </c>
      <c r="M563" t="inlineStr">
        <is>
          <t>Values must be of type &lt;class 'str'&gt;</t>
        </is>
      </c>
      <c r="N563" t="inlineStr">
        <is>
          <t>00000000</t>
        </is>
      </c>
      <c r="O563" t="inlineStr">
        <is>
          <t>center</t>
        </is>
      </c>
      <c r="P563" t="inlineStr">
        <is>
          <t>center</t>
        </is>
      </c>
      <c r="R563" t="b">
        <v>1</v>
      </c>
      <c r="S563" t="inlineStr">
        <is>
          <t>G000004</t>
        </is>
      </c>
      <c r="T563" t="inlineStr">
        <is>
          <t>Vertical</t>
        </is>
      </c>
      <c r="U563" t="n">
        <v>120</v>
      </c>
      <c r="V563" t="b">
        <v>1</v>
      </c>
      <c r="W563" t="inlineStr">
        <is>
          <t>Loan calculator!E17:E136</t>
        </is>
      </c>
      <c r="X563">
        <f>IFERROR(IF(LoanIsNotPaid*LoanIsGood,MonthlyPayment,0), 0)</f>
        <v/>
      </c>
    </row>
    <row r="564">
      <c r="A564" t="inlineStr">
        <is>
          <t>Loan calculator</t>
        </is>
      </c>
      <c r="B564" t="inlineStr">
        <is>
          <t>F58</t>
        </is>
      </c>
      <c r="C564" t="n">
        <v>58</v>
      </c>
      <c r="D564" t="n">
        <v>6</v>
      </c>
      <c r="E564" t="inlineStr">
        <is>
          <t>Output</t>
        </is>
      </c>
      <c r="F564" t="inlineStr">
        <is>
          <t>'=IFERROR(IF(LoanIsNotPaid*LoanIsGood,Principal,0), 0)</t>
        </is>
      </c>
      <c r="G564" t="n">
        <v>75.62116853556724</v>
      </c>
      <c r="H564" t="inlineStr"/>
      <c r="I564" t="inlineStr">
        <is>
          <t>"$"#,##0.00</t>
        </is>
      </c>
      <c r="J564" t="b">
        <v>0</v>
      </c>
      <c r="K564" t="b">
        <v>0</v>
      </c>
      <c r="L564" t="n">
        <v>9</v>
      </c>
      <c r="M564" t="inlineStr">
        <is>
          <t>Values must be of type &lt;class 'str'&gt;</t>
        </is>
      </c>
      <c r="N564" t="inlineStr">
        <is>
          <t>00000000</t>
        </is>
      </c>
      <c r="O564" t="inlineStr">
        <is>
          <t>center</t>
        </is>
      </c>
      <c r="P564" t="inlineStr">
        <is>
          <t>center</t>
        </is>
      </c>
      <c r="R564" t="b">
        <v>1</v>
      </c>
      <c r="S564" t="inlineStr">
        <is>
          <t>G000005</t>
        </is>
      </c>
      <c r="T564" t="inlineStr">
        <is>
          <t>Vertical</t>
        </is>
      </c>
      <c r="U564" t="n">
        <v>120</v>
      </c>
      <c r="V564" t="b">
        <v>1</v>
      </c>
      <c r="W564" t="inlineStr">
        <is>
          <t>Loan calculator!F17:F136</t>
        </is>
      </c>
      <c r="X564">
        <f>IFERROR(IF(LoanIsNotPaid*LoanIsGood,Principal,0), 0)</f>
        <v/>
      </c>
    </row>
    <row r="565">
      <c r="A565" t="inlineStr">
        <is>
          <t>Loan calculator</t>
        </is>
      </c>
      <c r="B565" t="inlineStr">
        <is>
          <t>G58</t>
        </is>
      </c>
      <c r="C565" t="n">
        <v>58</v>
      </c>
      <c r="D565" t="n">
        <v>7</v>
      </c>
      <c r="E565" t="inlineStr">
        <is>
          <t>Output</t>
        </is>
      </c>
      <c r="F565" t="inlineStr">
        <is>
          <t>'=IFERROR(IF(LoanIsNotPaid*LoanIsGood,InterestAmt,0), 0)</t>
        </is>
      </c>
      <c r="G565" t="n">
        <v>32.90510942491348</v>
      </c>
      <c r="H565" t="inlineStr"/>
      <c r="I565" t="inlineStr">
        <is>
          <t>"$"#,##0.00</t>
        </is>
      </c>
      <c r="J565" t="b">
        <v>0</v>
      </c>
      <c r="K565" t="b">
        <v>0</v>
      </c>
      <c r="L565" t="n">
        <v>9</v>
      </c>
      <c r="M565" t="inlineStr">
        <is>
          <t>Values must be of type &lt;class 'str'&gt;</t>
        </is>
      </c>
      <c r="N565" t="inlineStr">
        <is>
          <t>00000000</t>
        </is>
      </c>
      <c r="O565" t="inlineStr">
        <is>
          <t>center</t>
        </is>
      </c>
      <c r="P565" t="inlineStr">
        <is>
          <t>center</t>
        </is>
      </c>
      <c r="R565" t="b">
        <v>1</v>
      </c>
      <c r="S565" t="inlineStr">
        <is>
          <t>G000006</t>
        </is>
      </c>
      <c r="T565" t="inlineStr">
        <is>
          <t>Vertical</t>
        </is>
      </c>
      <c r="U565" t="n">
        <v>120</v>
      </c>
      <c r="V565" t="b">
        <v>1</v>
      </c>
      <c r="W565" t="inlineStr">
        <is>
          <t>Loan calculator!G17:G136</t>
        </is>
      </c>
      <c r="X565">
        <f>IFERROR(IF(LoanIsNotPaid*LoanIsGood,InterestAmt,0), 0)</f>
        <v/>
      </c>
    </row>
    <row r="566">
      <c r="A566" t="inlineStr">
        <is>
          <t>Loan calculator</t>
        </is>
      </c>
      <c r="B566" t="inlineStr">
        <is>
          <t>H58</t>
        </is>
      </c>
      <c r="C566" t="n">
        <v>58</v>
      </c>
      <c r="D566" t="n">
        <v>8</v>
      </c>
      <c r="E566" t="inlineStr">
        <is>
          <t>Output</t>
        </is>
      </c>
      <c r="F566" t="inlineStr">
        <is>
          <t>'=IFERROR(IF(LoanIsNotPaid*LoanIsGood,EndingBalance,0), 0)</t>
        </is>
      </c>
      <c r="G566" t="n">
        <v>7103.675433263734</v>
      </c>
      <c r="H566" t="inlineStr"/>
      <c r="I566" t="inlineStr">
        <is>
          <t>"$"#,##0.00</t>
        </is>
      </c>
      <c r="J566" t="b">
        <v>0</v>
      </c>
      <c r="K566" t="b">
        <v>0</v>
      </c>
      <c r="L566" t="n">
        <v>9</v>
      </c>
      <c r="M566" t="inlineStr">
        <is>
          <t>Values must be of type &lt;class 'str'&gt;</t>
        </is>
      </c>
      <c r="N566" t="inlineStr">
        <is>
          <t>00000000</t>
        </is>
      </c>
      <c r="O566" t="inlineStr">
        <is>
          <t>center</t>
        </is>
      </c>
      <c r="P566" t="inlineStr">
        <is>
          <t>center</t>
        </is>
      </c>
      <c r="R566" t="b">
        <v>1</v>
      </c>
      <c r="S566" t="inlineStr">
        <is>
          <t>G000007</t>
        </is>
      </c>
      <c r="T566" t="inlineStr">
        <is>
          <t>Vertical</t>
        </is>
      </c>
      <c r="U566" t="n">
        <v>120</v>
      </c>
      <c r="V566" t="b">
        <v>1</v>
      </c>
      <c r="W566" t="inlineStr">
        <is>
          <t>Loan calculator!H17:H136</t>
        </is>
      </c>
      <c r="X566">
        <f>IFERROR(IF(LoanIsNotPaid*LoanIsGood,EndingBalance,0), 0)</f>
        <v/>
      </c>
    </row>
    <row r="567">
      <c r="A567" t="inlineStr">
        <is>
          <t>Loan calculator</t>
        </is>
      </c>
      <c r="B567" t="inlineStr">
        <is>
          <t>I58</t>
        </is>
      </c>
      <c r="C567" t="n">
        <v>58</v>
      </c>
      <c r="D567" t="n">
        <v>9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11</v>
      </c>
      <c r="M567" t="inlineStr">
        <is>
          <t>Values must be of type &lt;class 'str'&gt;</t>
        </is>
      </c>
      <c r="N567" t="inlineStr">
        <is>
          <t>Values must be of type &lt;class 'str'&gt;</t>
        </is>
      </c>
      <c r="O567" t="n">
        <v/>
      </c>
      <c r="P567" t="inlineStr">
        <is>
          <t>center</t>
        </is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</row>
    <row r="568">
      <c r="A568" t="inlineStr">
        <is>
          <t>Loan calculator</t>
        </is>
      </c>
      <c r="B568" t="inlineStr">
        <is>
          <t>A59</t>
        </is>
      </c>
      <c r="C568" t="n">
        <v>59</v>
      </c>
      <c r="D568" t="n">
        <v>1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11</v>
      </c>
      <c r="M568" t="inlineStr">
        <is>
          <t>Values must be of type &lt;class 'str'&gt;</t>
        </is>
      </c>
      <c r="N568" t="inlineStr">
        <is>
          <t>Values must be of type &lt;class 'str'&gt;</t>
        </is>
      </c>
      <c r="O568" t="n">
        <v/>
      </c>
      <c r="P568" t="inlineStr">
        <is>
          <t>center</t>
        </is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</row>
    <row r="569">
      <c r="A569" t="inlineStr">
        <is>
          <t>Loan calculator</t>
        </is>
      </c>
      <c r="B569" t="inlineStr">
        <is>
          <t>B59</t>
        </is>
      </c>
      <c r="C569" t="n">
        <v>59</v>
      </c>
      <c r="D569" t="n">
        <v>2</v>
      </c>
      <c r="E569" t="inlineStr">
        <is>
          <t>Output</t>
        </is>
      </c>
      <c r="F569" t="inlineStr">
        <is>
          <t>'=IFERROR(IF(LoanIsNotPaid*LoanIsGood,PaymentNumber,""), "")</t>
        </is>
      </c>
      <c r="G569" t="n">
        <v>43</v>
      </c>
      <c r="H569" t="inlineStr"/>
      <c r="I569" t="inlineStr">
        <is>
          <t>#,##0</t>
        </is>
      </c>
      <c r="J569" t="b">
        <v>0</v>
      </c>
      <c r="K569" t="b">
        <v>0</v>
      </c>
      <c r="L569" t="n">
        <v>9</v>
      </c>
      <c r="M569" t="inlineStr">
        <is>
          <t>Values must be of type &lt;class 'str'&gt;</t>
        </is>
      </c>
      <c r="N569" t="inlineStr">
        <is>
          <t>00000000</t>
        </is>
      </c>
      <c r="O569" t="inlineStr">
        <is>
          <t>center</t>
        </is>
      </c>
      <c r="P569" t="inlineStr">
        <is>
          <t>center</t>
        </is>
      </c>
      <c r="R569" t="b">
        <v>1</v>
      </c>
      <c r="S569" t="inlineStr">
        <is>
          <t>G000001</t>
        </is>
      </c>
      <c r="T569" t="inlineStr">
        <is>
          <t>Vertical</t>
        </is>
      </c>
      <c r="U569" t="n">
        <v>120</v>
      </c>
      <c r="V569" t="b">
        <v>1</v>
      </c>
      <c r="W569" t="inlineStr">
        <is>
          <t>Loan calculator!B17:B136</t>
        </is>
      </c>
      <c r="X569">
        <f>IFERROR(IF(LoanIsNotPaid*LoanIsGood,PaymentNumber,""), "")</f>
        <v/>
      </c>
    </row>
    <row r="570">
      <c r="A570" t="inlineStr">
        <is>
          <t>Loan calculator</t>
        </is>
      </c>
      <c r="B570" t="inlineStr">
        <is>
          <t>C59</t>
        </is>
      </c>
      <c r="C570" t="n">
        <v>59</v>
      </c>
      <c r="D570" t="n">
        <v>3</v>
      </c>
      <c r="E570" t="inlineStr">
        <is>
          <t>Output</t>
        </is>
      </c>
      <c r="F570" t="inlineStr">
        <is>
          <t>'=IFERROR(IF(LoanIsNotPaid*LoanIsGood,PaymentDate,LoanStartDate), LoanStartDate)</t>
        </is>
      </c>
      <c r="G570" s="1" t="n">
        <v>47396</v>
      </c>
      <c r="H570" t="inlineStr"/>
      <c r="I570" t="inlineStr">
        <is>
          <t>mm-dd-yy</t>
        </is>
      </c>
      <c r="J570" t="b">
        <v>0</v>
      </c>
      <c r="K570" t="b">
        <v>0</v>
      </c>
      <c r="L570" t="n">
        <v>9</v>
      </c>
      <c r="M570" t="inlineStr">
        <is>
          <t>Values must be of type &lt;class 'str'&gt;</t>
        </is>
      </c>
      <c r="N570" t="inlineStr">
        <is>
          <t>00000000</t>
        </is>
      </c>
      <c r="O570" t="inlineStr">
        <is>
          <t>center</t>
        </is>
      </c>
      <c r="P570" t="inlineStr">
        <is>
          <t>center</t>
        </is>
      </c>
      <c r="R570" t="b">
        <v>1</v>
      </c>
      <c r="S570" t="inlineStr">
        <is>
          <t>G000002</t>
        </is>
      </c>
      <c r="T570" t="inlineStr">
        <is>
          <t>Vertical</t>
        </is>
      </c>
      <c r="U570" t="n">
        <v>120</v>
      </c>
      <c r="V570" t="b">
        <v>1</v>
      </c>
      <c r="W570" t="inlineStr">
        <is>
          <t>Loan calculator!C17:C136</t>
        </is>
      </c>
      <c r="X570">
        <f>IFERROR(IF(LoanIsNotPaid*LoanIsGood,PaymentDate,LoanStartDate), LoanStartDate)</f>
        <v/>
      </c>
    </row>
    <row r="571">
      <c r="A571" t="inlineStr">
        <is>
          <t>Loan calculator</t>
        </is>
      </c>
      <c r="B571" t="inlineStr">
        <is>
          <t>D59</t>
        </is>
      </c>
      <c r="C571" t="n">
        <v>59</v>
      </c>
      <c r="D571" t="n">
        <v>4</v>
      </c>
      <c r="E571" t="inlineStr">
        <is>
          <t>Output</t>
        </is>
      </c>
      <c r="F571" t="inlineStr">
        <is>
          <t>'=IFERROR(IF(LoanIsNotPaid*LoanIsGood,LoanValue,""), "")</t>
        </is>
      </c>
      <c r="G571" t="n">
        <v>7103.675433263734</v>
      </c>
      <c r="H571" t="inlineStr"/>
      <c r="I571" t="inlineStr">
        <is>
          <t>"$"#,##0.00</t>
        </is>
      </c>
      <c r="J571" t="b">
        <v>0</v>
      </c>
      <c r="K571" t="b">
        <v>0</v>
      </c>
      <c r="L571" t="n">
        <v>9</v>
      </c>
      <c r="M571" t="inlineStr">
        <is>
          <t>Values must be of type &lt;class 'str'&gt;</t>
        </is>
      </c>
      <c r="N571" t="inlineStr">
        <is>
          <t>00000000</t>
        </is>
      </c>
      <c r="O571" t="inlineStr">
        <is>
          <t>center</t>
        </is>
      </c>
      <c r="P571" t="inlineStr">
        <is>
          <t>center</t>
        </is>
      </c>
      <c r="R571" t="b">
        <v>1</v>
      </c>
      <c r="S571" t="inlineStr">
        <is>
          <t>G000003</t>
        </is>
      </c>
      <c r="T571" t="inlineStr">
        <is>
          <t>Vertical</t>
        </is>
      </c>
      <c r="U571" t="n">
        <v>120</v>
      </c>
      <c r="V571" t="b">
        <v>1</v>
      </c>
      <c r="W571" t="inlineStr">
        <is>
          <t>Loan calculator!D17:D136</t>
        </is>
      </c>
      <c r="X571">
        <f>IFERROR(IF(LoanIsNotPaid*LoanIsGood,LoanValue,""), "")</f>
        <v/>
      </c>
    </row>
    <row r="572">
      <c r="A572" t="inlineStr">
        <is>
          <t>Loan calculator</t>
        </is>
      </c>
      <c r="B572" t="inlineStr">
        <is>
          <t>E59</t>
        </is>
      </c>
      <c r="C572" t="n">
        <v>59</v>
      </c>
      <c r="D572" t="n">
        <v>5</v>
      </c>
      <c r="E572" t="inlineStr">
        <is>
          <t>Output</t>
        </is>
      </c>
      <c r="F572" t="inlineStr">
        <is>
          <t>'=IFERROR(IF(LoanIsNotPaid*LoanIsGood,MonthlyPayment,0), 0)</t>
        </is>
      </c>
      <c r="G572" t="n">
        <v>108.5262779604807</v>
      </c>
      <c r="H572" t="inlineStr"/>
      <c r="I572" t="inlineStr">
        <is>
          <t>"$"#,##0.00</t>
        </is>
      </c>
      <c r="J572" t="b">
        <v>0</v>
      </c>
      <c r="K572" t="b">
        <v>0</v>
      </c>
      <c r="L572" t="n">
        <v>9</v>
      </c>
      <c r="M572" t="inlineStr">
        <is>
          <t>Values must be of type &lt;class 'str'&gt;</t>
        </is>
      </c>
      <c r="N572" t="inlineStr">
        <is>
          <t>00000000</t>
        </is>
      </c>
      <c r="O572" t="inlineStr">
        <is>
          <t>center</t>
        </is>
      </c>
      <c r="P572" t="inlineStr">
        <is>
          <t>center</t>
        </is>
      </c>
      <c r="R572" t="b">
        <v>1</v>
      </c>
      <c r="S572" t="inlineStr">
        <is>
          <t>G000004</t>
        </is>
      </c>
      <c r="T572" t="inlineStr">
        <is>
          <t>Vertical</t>
        </is>
      </c>
      <c r="U572" t="n">
        <v>120</v>
      </c>
      <c r="V572" t="b">
        <v>1</v>
      </c>
      <c r="W572" t="inlineStr">
        <is>
          <t>Loan calculator!E17:E136</t>
        </is>
      </c>
      <c r="X572">
        <f>IFERROR(IF(LoanIsNotPaid*LoanIsGood,MonthlyPayment,0), 0)</f>
        <v/>
      </c>
    </row>
    <row r="573">
      <c r="A573" t="inlineStr">
        <is>
          <t>Loan calculator</t>
        </is>
      </c>
      <c r="B573" t="inlineStr">
        <is>
          <t>F59</t>
        </is>
      </c>
      <c r="C573" t="n">
        <v>59</v>
      </c>
      <c r="D573" t="n">
        <v>6</v>
      </c>
      <c r="E573" t="inlineStr">
        <is>
          <t>Output</t>
        </is>
      </c>
      <c r="F573" t="inlineStr">
        <is>
          <t>'=IFERROR(IF(LoanIsNotPaid*LoanIsGood,Principal,0), 0)</t>
        </is>
      </c>
      <c r="G573" t="n">
        <v>75.96776555802192</v>
      </c>
      <c r="H573" t="inlineStr"/>
      <c r="I573" t="inlineStr">
        <is>
          <t>"$"#,##0.00</t>
        </is>
      </c>
      <c r="J573" t="b">
        <v>0</v>
      </c>
      <c r="K573" t="b">
        <v>0</v>
      </c>
      <c r="L573" t="n">
        <v>9</v>
      </c>
      <c r="M573" t="inlineStr">
        <is>
          <t>Values must be of type &lt;class 'str'&gt;</t>
        </is>
      </c>
      <c r="N573" t="inlineStr">
        <is>
          <t>00000000</t>
        </is>
      </c>
      <c r="O573" t="inlineStr">
        <is>
          <t>center</t>
        </is>
      </c>
      <c r="P573" t="inlineStr">
        <is>
          <t>center</t>
        </is>
      </c>
      <c r="R573" t="b">
        <v>1</v>
      </c>
      <c r="S573" t="inlineStr">
        <is>
          <t>G000005</t>
        </is>
      </c>
      <c r="T573" t="inlineStr">
        <is>
          <t>Vertical</t>
        </is>
      </c>
      <c r="U573" t="n">
        <v>120</v>
      </c>
      <c r="V573" t="b">
        <v>1</v>
      </c>
      <c r="W573" t="inlineStr">
        <is>
          <t>Loan calculator!F17:F136</t>
        </is>
      </c>
      <c r="X573">
        <f>IFERROR(IF(LoanIsNotPaid*LoanIsGood,Principal,0), 0)</f>
        <v/>
      </c>
    </row>
    <row r="574">
      <c r="A574" t="inlineStr">
        <is>
          <t>Loan calculator</t>
        </is>
      </c>
      <c r="B574" t="inlineStr">
        <is>
          <t>G59</t>
        </is>
      </c>
      <c r="C574" t="n">
        <v>59</v>
      </c>
      <c r="D574" t="n">
        <v>7</v>
      </c>
      <c r="E574" t="inlineStr">
        <is>
          <t>Output</t>
        </is>
      </c>
      <c r="F574" t="inlineStr">
        <is>
          <t>'=IFERROR(IF(LoanIsNotPaid*LoanIsGood,InterestAmt,0), 0)</t>
        </is>
      </c>
      <c r="G574" t="n">
        <v>32.5585124024588</v>
      </c>
      <c r="H574" t="inlineStr"/>
      <c r="I574" t="inlineStr">
        <is>
          <t>"$"#,##0.00</t>
        </is>
      </c>
      <c r="J574" t="b">
        <v>0</v>
      </c>
      <c r="K574" t="b">
        <v>0</v>
      </c>
      <c r="L574" t="n">
        <v>9</v>
      </c>
      <c r="M574" t="inlineStr">
        <is>
          <t>Values must be of type &lt;class 'str'&gt;</t>
        </is>
      </c>
      <c r="N574" t="inlineStr">
        <is>
          <t>00000000</t>
        </is>
      </c>
      <c r="O574" t="inlineStr">
        <is>
          <t>center</t>
        </is>
      </c>
      <c r="P574" t="inlineStr">
        <is>
          <t>center</t>
        </is>
      </c>
      <c r="R574" t="b">
        <v>1</v>
      </c>
      <c r="S574" t="inlineStr">
        <is>
          <t>G000006</t>
        </is>
      </c>
      <c r="T574" t="inlineStr">
        <is>
          <t>Vertical</t>
        </is>
      </c>
      <c r="U574" t="n">
        <v>120</v>
      </c>
      <c r="V574" t="b">
        <v>1</v>
      </c>
      <c r="W574" t="inlineStr">
        <is>
          <t>Loan calculator!G17:G136</t>
        </is>
      </c>
      <c r="X574">
        <f>IFERROR(IF(LoanIsNotPaid*LoanIsGood,InterestAmt,0), 0)</f>
        <v/>
      </c>
    </row>
    <row r="575">
      <c r="A575" t="inlineStr">
        <is>
          <t>Loan calculator</t>
        </is>
      </c>
      <c r="B575" t="inlineStr">
        <is>
          <t>H59</t>
        </is>
      </c>
      <c r="C575" t="n">
        <v>59</v>
      </c>
      <c r="D575" t="n">
        <v>8</v>
      </c>
      <c r="E575" t="inlineStr">
        <is>
          <t>Output</t>
        </is>
      </c>
      <c r="F575" t="inlineStr">
        <is>
          <t>'=IFERROR(IF(LoanIsNotPaid*LoanIsGood,EndingBalance,0), 0)</t>
        </is>
      </c>
      <c r="G575" t="n">
        <v>7027.707667705709</v>
      </c>
      <c r="H575" t="inlineStr"/>
      <c r="I575" t="inlineStr">
        <is>
          <t>"$"#,##0.00</t>
        </is>
      </c>
      <c r="J575" t="b">
        <v>0</v>
      </c>
      <c r="K575" t="b">
        <v>0</v>
      </c>
      <c r="L575" t="n">
        <v>9</v>
      </c>
      <c r="M575" t="inlineStr">
        <is>
          <t>Values must be of type &lt;class 'str'&gt;</t>
        </is>
      </c>
      <c r="N575" t="inlineStr">
        <is>
          <t>00000000</t>
        </is>
      </c>
      <c r="O575" t="inlineStr">
        <is>
          <t>center</t>
        </is>
      </c>
      <c r="P575" t="inlineStr">
        <is>
          <t>center</t>
        </is>
      </c>
      <c r="R575" t="b">
        <v>1</v>
      </c>
      <c r="S575" t="inlineStr">
        <is>
          <t>G000007</t>
        </is>
      </c>
      <c r="T575" t="inlineStr">
        <is>
          <t>Vertical</t>
        </is>
      </c>
      <c r="U575" t="n">
        <v>120</v>
      </c>
      <c r="V575" t="b">
        <v>1</v>
      </c>
      <c r="W575" t="inlineStr">
        <is>
          <t>Loan calculator!H17:H136</t>
        </is>
      </c>
      <c r="X575">
        <f>IFERROR(IF(LoanIsNotPaid*LoanIsGood,EndingBalance,0), 0)</f>
        <v/>
      </c>
    </row>
    <row r="576">
      <c r="A576" t="inlineStr">
        <is>
          <t>Loan calculator</t>
        </is>
      </c>
      <c r="B576" t="inlineStr">
        <is>
          <t>I59</t>
        </is>
      </c>
      <c r="C576" t="n">
        <v>59</v>
      </c>
      <c r="D576" t="n">
        <v>9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11</v>
      </c>
      <c r="M576" t="inlineStr">
        <is>
          <t>Values must be of type &lt;class 'str'&gt;</t>
        </is>
      </c>
      <c r="N576" t="inlineStr">
        <is>
          <t>Values must be of type &lt;class 'str'&gt;</t>
        </is>
      </c>
      <c r="O576" t="n">
        <v/>
      </c>
      <c r="P576" t="inlineStr">
        <is>
          <t>center</t>
        </is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</row>
    <row r="577">
      <c r="A577" t="inlineStr">
        <is>
          <t>Loan calculator</t>
        </is>
      </c>
      <c r="B577" t="inlineStr">
        <is>
          <t>A60</t>
        </is>
      </c>
      <c r="C577" t="n">
        <v>60</v>
      </c>
      <c r="D577" t="n">
        <v>1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11</v>
      </c>
      <c r="M577" t="inlineStr">
        <is>
          <t>Values must be of type &lt;class 'str'&gt;</t>
        </is>
      </c>
      <c r="N577" t="inlineStr">
        <is>
          <t>Values must be of type &lt;class 'str'&gt;</t>
        </is>
      </c>
      <c r="O577" t="n">
        <v/>
      </c>
      <c r="P577" t="inlineStr">
        <is>
          <t>center</t>
        </is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</row>
    <row r="578">
      <c r="A578" t="inlineStr">
        <is>
          <t>Loan calculator</t>
        </is>
      </c>
      <c r="B578" t="inlineStr">
        <is>
          <t>B60</t>
        </is>
      </c>
      <c r="C578" t="n">
        <v>60</v>
      </c>
      <c r="D578" t="n">
        <v>2</v>
      </c>
      <c r="E578" t="inlineStr">
        <is>
          <t>Output</t>
        </is>
      </c>
      <c r="F578" t="inlineStr">
        <is>
          <t>'=IFERROR(IF(LoanIsNotPaid*LoanIsGood,PaymentNumber,""), "")</t>
        </is>
      </c>
      <c r="G578" t="n">
        <v>44</v>
      </c>
      <c r="H578" t="inlineStr"/>
      <c r="I578" t="inlineStr">
        <is>
          <t>#,##0</t>
        </is>
      </c>
      <c r="J578" t="b">
        <v>0</v>
      </c>
      <c r="K578" t="b">
        <v>0</v>
      </c>
      <c r="L578" t="n">
        <v>9</v>
      </c>
      <c r="M578" t="inlineStr">
        <is>
          <t>Values must be of type &lt;class 'str'&gt;</t>
        </is>
      </c>
      <c r="N578" t="inlineStr">
        <is>
          <t>00000000</t>
        </is>
      </c>
      <c r="O578" t="inlineStr">
        <is>
          <t>center</t>
        </is>
      </c>
      <c r="P578" t="inlineStr">
        <is>
          <t>center</t>
        </is>
      </c>
      <c r="R578" t="b">
        <v>1</v>
      </c>
      <c r="S578" t="inlineStr">
        <is>
          <t>G000001</t>
        </is>
      </c>
      <c r="T578" t="inlineStr">
        <is>
          <t>Vertical</t>
        </is>
      </c>
      <c r="U578" t="n">
        <v>120</v>
      </c>
      <c r="V578" t="b">
        <v>1</v>
      </c>
      <c r="W578" t="inlineStr">
        <is>
          <t>Loan calculator!B17:B136</t>
        </is>
      </c>
      <c r="X578">
        <f>IFERROR(IF(LoanIsNotPaid*LoanIsGood,PaymentNumber,""), "")</f>
        <v/>
      </c>
    </row>
    <row r="579">
      <c r="A579" t="inlineStr">
        <is>
          <t>Loan calculator</t>
        </is>
      </c>
      <c r="B579" t="inlineStr">
        <is>
          <t>C60</t>
        </is>
      </c>
      <c r="C579" t="n">
        <v>60</v>
      </c>
      <c r="D579" t="n">
        <v>3</v>
      </c>
      <c r="E579" t="inlineStr">
        <is>
          <t>Output</t>
        </is>
      </c>
      <c r="F579" t="inlineStr">
        <is>
          <t>'=IFERROR(IF(LoanIsNotPaid*LoanIsGood,PaymentDate,LoanStartDate), LoanStartDate)</t>
        </is>
      </c>
      <c r="G579" s="1" t="n">
        <v>47427</v>
      </c>
      <c r="H579" t="inlineStr"/>
      <c r="I579" t="inlineStr">
        <is>
          <t>mm-dd-yy</t>
        </is>
      </c>
      <c r="J579" t="b">
        <v>0</v>
      </c>
      <c r="K579" t="b">
        <v>0</v>
      </c>
      <c r="L579" t="n">
        <v>9</v>
      </c>
      <c r="M579" t="inlineStr">
        <is>
          <t>Values must be of type &lt;class 'str'&gt;</t>
        </is>
      </c>
      <c r="N579" t="inlineStr">
        <is>
          <t>00000000</t>
        </is>
      </c>
      <c r="O579" t="inlineStr">
        <is>
          <t>center</t>
        </is>
      </c>
      <c r="P579" t="inlineStr">
        <is>
          <t>center</t>
        </is>
      </c>
      <c r="R579" t="b">
        <v>1</v>
      </c>
      <c r="S579" t="inlineStr">
        <is>
          <t>G000002</t>
        </is>
      </c>
      <c r="T579" t="inlineStr">
        <is>
          <t>Vertical</t>
        </is>
      </c>
      <c r="U579" t="n">
        <v>120</v>
      </c>
      <c r="V579" t="b">
        <v>1</v>
      </c>
      <c r="W579" t="inlineStr">
        <is>
          <t>Loan calculator!C17:C136</t>
        </is>
      </c>
      <c r="X579">
        <f>IFERROR(IF(LoanIsNotPaid*LoanIsGood,PaymentDate,LoanStartDate), LoanStartDate)</f>
        <v/>
      </c>
    </row>
    <row r="580">
      <c r="A580" t="inlineStr">
        <is>
          <t>Loan calculator</t>
        </is>
      </c>
      <c r="B580" t="inlineStr">
        <is>
          <t>D60</t>
        </is>
      </c>
      <c r="C580" t="n">
        <v>60</v>
      </c>
      <c r="D580" t="n">
        <v>4</v>
      </c>
      <c r="E580" t="inlineStr">
        <is>
          <t>Output</t>
        </is>
      </c>
      <c r="F580" t="inlineStr">
        <is>
          <t>'=IFERROR(IF(LoanIsNotPaid*LoanIsGood,LoanValue,""), "")</t>
        </is>
      </c>
      <c r="G580" t="n">
        <v>7027.707667705709</v>
      </c>
      <c r="H580" t="inlineStr"/>
      <c r="I580" t="inlineStr">
        <is>
          <t>"$"#,##0.00</t>
        </is>
      </c>
      <c r="J580" t="b">
        <v>0</v>
      </c>
      <c r="K580" t="b">
        <v>0</v>
      </c>
      <c r="L580" t="n">
        <v>9</v>
      </c>
      <c r="M580" t="inlineStr">
        <is>
          <t>Values must be of type &lt;class 'str'&gt;</t>
        </is>
      </c>
      <c r="N580" t="inlineStr">
        <is>
          <t>00000000</t>
        </is>
      </c>
      <c r="O580" t="inlineStr">
        <is>
          <t>center</t>
        </is>
      </c>
      <c r="P580" t="inlineStr">
        <is>
          <t>center</t>
        </is>
      </c>
      <c r="R580" t="b">
        <v>1</v>
      </c>
      <c r="S580" t="inlineStr">
        <is>
          <t>G000003</t>
        </is>
      </c>
      <c r="T580" t="inlineStr">
        <is>
          <t>Vertical</t>
        </is>
      </c>
      <c r="U580" t="n">
        <v>120</v>
      </c>
      <c r="V580" t="b">
        <v>1</v>
      </c>
      <c r="W580" t="inlineStr">
        <is>
          <t>Loan calculator!D17:D136</t>
        </is>
      </c>
      <c r="X580">
        <f>IFERROR(IF(LoanIsNotPaid*LoanIsGood,LoanValue,""), "")</f>
        <v/>
      </c>
    </row>
    <row r="581">
      <c r="A581" t="inlineStr">
        <is>
          <t>Loan calculator</t>
        </is>
      </c>
      <c r="B581" t="inlineStr">
        <is>
          <t>E60</t>
        </is>
      </c>
      <c r="C581" t="n">
        <v>60</v>
      </c>
      <c r="D581" t="n">
        <v>5</v>
      </c>
      <c r="E581" t="inlineStr">
        <is>
          <t>Output</t>
        </is>
      </c>
      <c r="F581" t="inlineStr">
        <is>
          <t>'=IFERROR(IF(LoanIsNotPaid*LoanIsGood,MonthlyPayment,0), 0)</t>
        </is>
      </c>
      <c r="G581" t="n">
        <v>108.5262779604807</v>
      </c>
      <c r="H581" t="inlineStr"/>
      <c r="I581" t="inlineStr">
        <is>
          <t>"$"#,##0.00</t>
        </is>
      </c>
      <c r="J581" t="b">
        <v>0</v>
      </c>
      <c r="K581" t="b">
        <v>0</v>
      </c>
      <c r="L581" t="n">
        <v>9</v>
      </c>
      <c r="M581" t="inlineStr">
        <is>
          <t>Values must be of type &lt;class 'str'&gt;</t>
        </is>
      </c>
      <c r="N581" t="inlineStr">
        <is>
          <t>00000000</t>
        </is>
      </c>
      <c r="O581" t="inlineStr">
        <is>
          <t>center</t>
        </is>
      </c>
      <c r="P581" t="inlineStr">
        <is>
          <t>center</t>
        </is>
      </c>
      <c r="R581" t="b">
        <v>1</v>
      </c>
      <c r="S581" t="inlineStr">
        <is>
          <t>G000004</t>
        </is>
      </c>
      <c r="T581" t="inlineStr">
        <is>
          <t>Vertical</t>
        </is>
      </c>
      <c r="U581" t="n">
        <v>120</v>
      </c>
      <c r="V581" t="b">
        <v>1</v>
      </c>
      <c r="W581" t="inlineStr">
        <is>
          <t>Loan calculator!E17:E136</t>
        </is>
      </c>
      <c r="X581">
        <f>IFERROR(IF(LoanIsNotPaid*LoanIsGood,MonthlyPayment,0), 0)</f>
        <v/>
      </c>
    </row>
    <row r="582">
      <c r="A582" t="inlineStr">
        <is>
          <t>Loan calculator</t>
        </is>
      </c>
      <c r="B582" t="inlineStr">
        <is>
          <t>F60</t>
        </is>
      </c>
      <c r="C582" t="n">
        <v>60</v>
      </c>
      <c r="D582" t="n">
        <v>6</v>
      </c>
      <c r="E582" t="inlineStr">
        <is>
          <t>Output</t>
        </is>
      </c>
      <c r="F582" t="inlineStr">
        <is>
          <t>'=IFERROR(IF(LoanIsNotPaid*LoanIsGood,Principal,0), 0)</t>
        </is>
      </c>
      <c r="G582" t="n">
        <v>76.31595115016286</v>
      </c>
      <c r="H582" t="inlineStr"/>
      <c r="I582" t="inlineStr">
        <is>
          <t>"$"#,##0.00</t>
        </is>
      </c>
      <c r="J582" t="b">
        <v>0</v>
      </c>
      <c r="K582" t="b">
        <v>0</v>
      </c>
      <c r="L582" t="n">
        <v>9</v>
      </c>
      <c r="M582" t="inlineStr">
        <is>
          <t>Values must be of type &lt;class 'str'&gt;</t>
        </is>
      </c>
      <c r="N582" t="inlineStr">
        <is>
          <t>00000000</t>
        </is>
      </c>
      <c r="O582" t="inlineStr">
        <is>
          <t>center</t>
        </is>
      </c>
      <c r="P582" t="inlineStr">
        <is>
          <t>center</t>
        </is>
      </c>
      <c r="R582" t="b">
        <v>1</v>
      </c>
      <c r="S582" t="inlineStr">
        <is>
          <t>G000005</t>
        </is>
      </c>
      <c r="T582" t="inlineStr">
        <is>
          <t>Vertical</t>
        </is>
      </c>
      <c r="U582" t="n">
        <v>120</v>
      </c>
      <c r="V582" t="b">
        <v>1</v>
      </c>
      <c r="W582" t="inlineStr">
        <is>
          <t>Loan calculator!F17:F136</t>
        </is>
      </c>
      <c r="X582">
        <f>IFERROR(IF(LoanIsNotPaid*LoanIsGood,Principal,0), 0)</f>
        <v/>
      </c>
    </row>
    <row r="583">
      <c r="A583" t="inlineStr">
        <is>
          <t>Loan calculator</t>
        </is>
      </c>
      <c r="B583" t="inlineStr">
        <is>
          <t>G60</t>
        </is>
      </c>
      <c r="C583" t="n">
        <v>60</v>
      </c>
      <c r="D583" t="n">
        <v>7</v>
      </c>
      <c r="E583" t="inlineStr">
        <is>
          <t>Output</t>
        </is>
      </c>
      <c r="F583" t="inlineStr">
        <is>
          <t>'=IFERROR(IF(LoanIsNotPaid*LoanIsGood,InterestAmt,0), 0)</t>
        </is>
      </c>
      <c r="G583" t="n">
        <v>32.21032681031787</v>
      </c>
      <c r="H583" t="inlineStr"/>
      <c r="I583" t="inlineStr">
        <is>
          <t>"$"#,##0.00</t>
        </is>
      </c>
      <c r="J583" t="b">
        <v>0</v>
      </c>
      <c r="K583" t="b">
        <v>0</v>
      </c>
      <c r="L583" t="n">
        <v>9</v>
      </c>
      <c r="M583" t="inlineStr">
        <is>
          <t>Values must be of type &lt;class 'str'&gt;</t>
        </is>
      </c>
      <c r="N583" t="inlineStr">
        <is>
          <t>00000000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inlineStr">
        <is>
          <t>G000006</t>
        </is>
      </c>
      <c r="T583" t="inlineStr">
        <is>
          <t>Vertical</t>
        </is>
      </c>
      <c r="U583" t="n">
        <v>120</v>
      </c>
      <c r="V583" t="b">
        <v>1</v>
      </c>
      <c r="W583" t="inlineStr">
        <is>
          <t>Loan calculator!G17:G136</t>
        </is>
      </c>
      <c r="X583">
        <f>IFERROR(IF(LoanIsNotPaid*LoanIsGood,InterestAmt,0), 0)</f>
        <v/>
      </c>
    </row>
    <row r="584">
      <c r="A584" t="inlineStr">
        <is>
          <t>Loan calculator</t>
        </is>
      </c>
      <c r="B584" t="inlineStr">
        <is>
          <t>H60</t>
        </is>
      </c>
      <c r="C584" t="n">
        <v>60</v>
      </c>
      <c r="D584" t="n">
        <v>8</v>
      </c>
      <c r="E584" t="inlineStr">
        <is>
          <t>Output</t>
        </is>
      </c>
      <c r="F584" t="inlineStr">
        <is>
          <t>'=IFERROR(IF(LoanIsNotPaid*LoanIsGood,EndingBalance,0), 0)</t>
        </is>
      </c>
      <c r="G584" t="n">
        <v>6951.391716555551</v>
      </c>
      <c r="H584" t="inlineStr"/>
      <c r="I584" t="inlineStr">
        <is>
          <t>"$"#,##0.00</t>
        </is>
      </c>
      <c r="J584" t="b">
        <v>0</v>
      </c>
      <c r="K584" t="b">
        <v>0</v>
      </c>
      <c r="L584" t="n">
        <v>9</v>
      </c>
      <c r="M584" t="inlineStr">
        <is>
          <t>Values must be of type &lt;class 'str'&gt;</t>
        </is>
      </c>
      <c r="N584" t="inlineStr">
        <is>
          <t>00000000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S584" t="inlineStr">
        <is>
          <t>G000007</t>
        </is>
      </c>
      <c r="T584" t="inlineStr">
        <is>
          <t>Vertical</t>
        </is>
      </c>
      <c r="U584" t="n">
        <v>120</v>
      </c>
      <c r="V584" t="b">
        <v>1</v>
      </c>
      <c r="W584" t="inlineStr">
        <is>
          <t>Loan calculator!H17:H136</t>
        </is>
      </c>
      <c r="X584">
        <f>IFERROR(IF(LoanIsNotPaid*LoanIsGood,EndingBalance,0), 0)</f>
        <v/>
      </c>
    </row>
    <row r="585">
      <c r="A585" t="inlineStr">
        <is>
          <t>Loan calculator</t>
        </is>
      </c>
      <c r="B585" t="inlineStr">
        <is>
          <t>I60</t>
        </is>
      </c>
      <c r="C585" t="n">
        <v>60</v>
      </c>
      <c r="D585" t="n">
        <v>9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11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n">
        <v/>
      </c>
      <c r="P585" t="inlineStr">
        <is>
          <t>center</t>
        </is>
      </c>
      <c r="R585" t="b">
        <v>0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</row>
    <row r="586">
      <c r="A586" t="inlineStr">
        <is>
          <t>Loan calculator</t>
        </is>
      </c>
      <c r="B586" t="inlineStr">
        <is>
          <t>A61</t>
        </is>
      </c>
      <c r="C586" t="n">
        <v>61</v>
      </c>
      <c r="D586" t="n">
        <v>1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11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n">
        <v/>
      </c>
      <c r="P586" t="inlineStr">
        <is>
          <t>center</t>
        </is>
      </c>
      <c r="R586" t="b">
        <v>0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</row>
    <row r="587">
      <c r="A587" t="inlineStr">
        <is>
          <t>Loan calculator</t>
        </is>
      </c>
      <c r="B587" t="inlineStr">
        <is>
          <t>B61</t>
        </is>
      </c>
      <c r="C587" t="n">
        <v>61</v>
      </c>
      <c r="D587" t="n">
        <v>2</v>
      </c>
      <c r="E587" t="inlineStr">
        <is>
          <t>Output</t>
        </is>
      </c>
      <c r="F587" t="inlineStr">
        <is>
          <t>'=IFERROR(IF(LoanIsNotPaid*LoanIsGood,PaymentNumber,""), "")</t>
        </is>
      </c>
      <c r="G587" t="n">
        <v>45</v>
      </c>
      <c r="H587" t="inlineStr"/>
      <c r="I587" t="inlineStr">
        <is>
          <t>#,##0</t>
        </is>
      </c>
      <c r="J587" t="b">
        <v>0</v>
      </c>
      <c r="K587" t="b">
        <v>0</v>
      </c>
      <c r="L587" t="n">
        <v>9</v>
      </c>
      <c r="M587" t="inlineStr">
        <is>
          <t>Values must be of type &lt;class 'str'&gt;</t>
        </is>
      </c>
      <c r="N587" t="inlineStr">
        <is>
          <t>00000000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inlineStr">
        <is>
          <t>G000001</t>
        </is>
      </c>
      <c r="T587" t="inlineStr">
        <is>
          <t>Vertical</t>
        </is>
      </c>
      <c r="U587" t="n">
        <v>120</v>
      </c>
      <c r="V587" t="b">
        <v>1</v>
      </c>
      <c r="W587" t="inlineStr">
        <is>
          <t>Loan calculator!B17:B136</t>
        </is>
      </c>
      <c r="X587">
        <f>IFERROR(IF(LoanIsNotPaid*LoanIsGood,PaymentNumber,""), "")</f>
        <v/>
      </c>
    </row>
    <row r="588">
      <c r="A588" t="inlineStr">
        <is>
          <t>Loan calculator</t>
        </is>
      </c>
      <c r="B588" t="inlineStr">
        <is>
          <t>C61</t>
        </is>
      </c>
      <c r="C588" t="n">
        <v>61</v>
      </c>
      <c r="D588" t="n">
        <v>3</v>
      </c>
      <c r="E588" t="inlineStr">
        <is>
          <t>Output</t>
        </is>
      </c>
      <c r="F588" t="inlineStr">
        <is>
          <t>'=IFERROR(IF(LoanIsNotPaid*LoanIsGood,PaymentDate,LoanStartDate), LoanStartDate)</t>
        </is>
      </c>
      <c r="G588" s="1" t="n">
        <v>47457</v>
      </c>
      <c r="H588" t="inlineStr"/>
      <c r="I588" t="inlineStr">
        <is>
          <t>mm-dd-yy</t>
        </is>
      </c>
      <c r="J588" t="b">
        <v>0</v>
      </c>
      <c r="K588" t="b">
        <v>0</v>
      </c>
      <c r="L588" t="n">
        <v>9</v>
      </c>
      <c r="M588" t="inlineStr">
        <is>
          <t>Values must be of type &lt;class 'str'&gt;</t>
        </is>
      </c>
      <c r="N588" t="inlineStr">
        <is>
          <t>00000000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inlineStr">
        <is>
          <t>G000002</t>
        </is>
      </c>
      <c r="T588" t="inlineStr">
        <is>
          <t>Vertical</t>
        </is>
      </c>
      <c r="U588" t="n">
        <v>120</v>
      </c>
      <c r="V588" t="b">
        <v>1</v>
      </c>
      <c r="W588" t="inlineStr">
        <is>
          <t>Loan calculator!C17:C136</t>
        </is>
      </c>
      <c r="X588">
        <f>IFERROR(IF(LoanIsNotPaid*LoanIsGood,PaymentDate,LoanStartDate), LoanStartDate)</f>
        <v/>
      </c>
    </row>
    <row r="589">
      <c r="A589" t="inlineStr">
        <is>
          <t>Loan calculator</t>
        </is>
      </c>
      <c r="B589" t="inlineStr">
        <is>
          <t>D61</t>
        </is>
      </c>
      <c r="C589" t="n">
        <v>61</v>
      </c>
      <c r="D589" t="n">
        <v>4</v>
      </c>
      <c r="E589" t="inlineStr">
        <is>
          <t>Output</t>
        </is>
      </c>
      <c r="F589" t="inlineStr">
        <is>
          <t>'=IFERROR(IF(LoanIsNotPaid*LoanIsGood,LoanValue,""), "")</t>
        </is>
      </c>
      <c r="G589" t="n">
        <v>6951.391716555551</v>
      </c>
      <c r="H589" t="inlineStr"/>
      <c r="I589" t="inlineStr">
        <is>
          <t>"$"#,##0.00</t>
        </is>
      </c>
      <c r="J589" t="b">
        <v>0</v>
      </c>
      <c r="K589" t="b">
        <v>0</v>
      </c>
      <c r="L589" t="n">
        <v>9</v>
      </c>
      <c r="M589" t="inlineStr">
        <is>
          <t>Values must be of type &lt;class 'str'&gt;</t>
        </is>
      </c>
      <c r="N589" t="inlineStr">
        <is>
          <t>00000000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inlineStr">
        <is>
          <t>G000003</t>
        </is>
      </c>
      <c r="T589" t="inlineStr">
        <is>
          <t>Vertical</t>
        </is>
      </c>
      <c r="U589" t="n">
        <v>120</v>
      </c>
      <c r="V589" t="b">
        <v>1</v>
      </c>
      <c r="W589" t="inlineStr">
        <is>
          <t>Loan calculator!D17:D136</t>
        </is>
      </c>
      <c r="X589">
        <f>IFERROR(IF(LoanIsNotPaid*LoanIsGood,LoanValue,""), "")</f>
        <v/>
      </c>
    </row>
    <row r="590">
      <c r="A590" t="inlineStr">
        <is>
          <t>Loan calculator</t>
        </is>
      </c>
      <c r="B590" t="inlineStr">
        <is>
          <t>E61</t>
        </is>
      </c>
      <c r="C590" t="n">
        <v>61</v>
      </c>
      <c r="D590" t="n">
        <v>5</v>
      </c>
      <c r="E590" t="inlineStr">
        <is>
          <t>Output</t>
        </is>
      </c>
      <c r="F590" t="inlineStr">
        <is>
          <t>'=IFERROR(IF(LoanIsNotPaid*LoanIsGood,MonthlyPayment,0), 0)</t>
        </is>
      </c>
      <c r="G590" t="n">
        <v>108.5262779604807</v>
      </c>
      <c r="H590" t="inlineStr"/>
      <c r="I590" t="inlineStr">
        <is>
          <t>"$"#,##0.00</t>
        </is>
      </c>
      <c r="J590" t="b">
        <v>0</v>
      </c>
      <c r="K590" t="b">
        <v>0</v>
      </c>
      <c r="L590" t="n">
        <v>9</v>
      </c>
      <c r="M590" t="inlineStr">
        <is>
          <t>Values must be of type &lt;class 'str'&gt;</t>
        </is>
      </c>
      <c r="N590" t="inlineStr">
        <is>
          <t>00000000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inlineStr">
        <is>
          <t>G000004</t>
        </is>
      </c>
      <c r="T590" t="inlineStr">
        <is>
          <t>Vertical</t>
        </is>
      </c>
      <c r="U590" t="n">
        <v>120</v>
      </c>
      <c r="V590" t="b">
        <v>1</v>
      </c>
      <c r="W590" t="inlineStr">
        <is>
          <t>Loan calculator!E17:E136</t>
        </is>
      </c>
      <c r="X590">
        <f>IFERROR(IF(LoanIsNotPaid*LoanIsGood,MonthlyPayment,0), 0)</f>
        <v/>
      </c>
    </row>
    <row r="591">
      <c r="A591" t="inlineStr">
        <is>
          <t>Loan calculator</t>
        </is>
      </c>
      <c r="B591" t="inlineStr">
        <is>
          <t>F61</t>
        </is>
      </c>
      <c r="C591" t="n">
        <v>61</v>
      </c>
      <c r="D591" t="n">
        <v>6</v>
      </c>
      <c r="E591" t="inlineStr">
        <is>
          <t>Output</t>
        </is>
      </c>
      <c r="F591" t="inlineStr">
        <is>
          <t>'=IFERROR(IF(LoanIsNotPaid*LoanIsGood,Principal,0), 0)</t>
        </is>
      </c>
      <c r="G591" t="n">
        <v>76.66573259293443</v>
      </c>
      <c r="H591" t="inlineStr"/>
      <c r="I591" t="inlineStr">
        <is>
          <t>"$"#,##0.00</t>
        </is>
      </c>
      <c r="J591" t="b">
        <v>0</v>
      </c>
      <c r="K591" t="b">
        <v>0</v>
      </c>
      <c r="L591" t="n">
        <v>9</v>
      </c>
      <c r="M591" t="inlineStr">
        <is>
          <t>Values must be of type &lt;class 'str'&gt;</t>
        </is>
      </c>
      <c r="N591" t="inlineStr">
        <is>
          <t>00000000</t>
        </is>
      </c>
      <c r="O591" t="inlineStr">
        <is>
          <t>center</t>
        </is>
      </c>
      <c r="P591" t="inlineStr">
        <is>
          <t>center</t>
        </is>
      </c>
      <c r="R591" t="b">
        <v>1</v>
      </c>
      <c r="S591" t="inlineStr">
        <is>
          <t>G000005</t>
        </is>
      </c>
      <c r="T591" t="inlineStr">
        <is>
          <t>Vertical</t>
        </is>
      </c>
      <c r="U591" t="n">
        <v>120</v>
      </c>
      <c r="V591" t="b">
        <v>1</v>
      </c>
      <c r="W591" t="inlineStr">
        <is>
          <t>Loan calculator!F17:F136</t>
        </is>
      </c>
      <c r="X591">
        <f>IFERROR(IF(LoanIsNotPaid*LoanIsGood,Principal,0), 0)</f>
        <v/>
      </c>
    </row>
    <row r="592">
      <c r="A592" t="inlineStr">
        <is>
          <t>Loan calculator</t>
        </is>
      </c>
      <c r="B592" t="inlineStr">
        <is>
          <t>G61</t>
        </is>
      </c>
      <c r="C592" t="n">
        <v>61</v>
      </c>
      <c r="D592" t="n">
        <v>7</v>
      </c>
      <c r="E592" t="inlineStr">
        <is>
          <t>Output</t>
        </is>
      </c>
      <c r="F592" t="inlineStr">
        <is>
          <t>'=IFERROR(IF(LoanIsNotPaid*LoanIsGood,InterestAmt,0), 0)</t>
        </is>
      </c>
      <c r="G592" t="n">
        <v>31.86054536754629</v>
      </c>
      <c r="H592" t="inlineStr"/>
      <c r="I592" t="inlineStr">
        <is>
          <t>"$"#,##0.00</t>
        </is>
      </c>
      <c r="J592" t="b">
        <v>0</v>
      </c>
      <c r="K592" t="b">
        <v>0</v>
      </c>
      <c r="L592" t="n">
        <v>9</v>
      </c>
      <c r="M592" t="inlineStr">
        <is>
          <t>Values must be of type &lt;class 'str'&gt;</t>
        </is>
      </c>
      <c r="N592" t="inlineStr">
        <is>
          <t>00000000</t>
        </is>
      </c>
      <c r="O592" t="inlineStr">
        <is>
          <t>center</t>
        </is>
      </c>
      <c r="P592" t="inlineStr">
        <is>
          <t>center</t>
        </is>
      </c>
      <c r="R592" t="b">
        <v>1</v>
      </c>
      <c r="S592" t="inlineStr">
        <is>
          <t>G000006</t>
        </is>
      </c>
      <c r="T592" t="inlineStr">
        <is>
          <t>Vertical</t>
        </is>
      </c>
      <c r="U592" t="n">
        <v>120</v>
      </c>
      <c r="V592" t="b">
        <v>1</v>
      </c>
      <c r="W592" t="inlineStr">
        <is>
          <t>Loan calculator!G17:G136</t>
        </is>
      </c>
      <c r="X592">
        <f>IFERROR(IF(LoanIsNotPaid*LoanIsGood,InterestAmt,0), 0)</f>
        <v/>
      </c>
    </row>
    <row r="593">
      <c r="A593" t="inlineStr">
        <is>
          <t>Loan calculator</t>
        </is>
      </c>
      <c r="B593" t="inlineStr">
        <is>
          <t>H61</t>
        </is>
      </c>
      <c r="C593" t="n">
        <v>61</v>
      </c>
      <c r="D593" t="n">
        <v>8</v>
      </c>
      <c r="E593" t="inlineStr">
        <is>
          <t>Output</t>
        </is>
      </c>
      <c r="F593" t="inlineStr">
        <is>
          <t>'=IFERROR(IF(LoanIsNotPaid*LoanIsGood,EndingBalance,0), 0)</t>
        </is>
      </c>
      <c r="G593" t="n">
        <v>6874.725983962615</v>
      </c>
      <c r="H593" t="inlineStr"/>
      <c r="I593" t="inlineStr">
        <is>
          <t>"$"#,##0.00</t>
        </is>
      </c>
      <c r="J593" t="b">
        <v>0</v>
      </c>
      <c r="K593" t="b">
        <v>0</v>
      </c>
      <c r="L593" t="n">
        <v>9</v>
      </c>
      <c r="M593" t="inlineStr">
        <is>
          <t>Values must be of type &lt;class 'str'&gt;</t>
        </is>
      </c>
      <c r="N593" t="inlineStr">
        <is>
          <t>00000000</t>
        </is>
      </c>
      <c r="O593" t="inlineStr">
        <is>
          <t>center</t>
        </is>
      </c>
      <c r="P593" t="inlineStr">
        <is>
          <t>center</t>
        </is>
      </c>
      <c r="R593" t="b">
        <v>1</v>
      </c>
      <c r="S593" t="inlineStr">
        <is>
          <t>G000007</t>
        </is>
      </c>
      <c r="T593" t="inlineStr">
        <is>
          <t>Vertical</t>
        </is>
      </c>
      <c r="U593" t="n">
        <v>120</v>
      </c>
      <c r="V593" t="b">
        <v>1</v>
      </c>
      <c r="W593" t="inlineStr">
        <is>
          <t>Loan calculator!H17:H136</t>
        </is>
      </c>
      <c r="X593">
        <f>IFERROR(IF(LoanIsNotPaid*LoanIsGood,EndingBalance,0), 0)</f>
        <v/>
      </c>
    </row>
    <row r="594">
      <c r="A594" t="inlineStr">
        <is>
          <t>Loan calculator</t>
        </is>
      </c>
      <c r="B594" t="inlineStr">
        <is>
          <t>I61</t>
        </is>
      </c>
      <c r="C594" t="n">
        <v>61</v>
      </c>
      <c r="D594" t="n">
        <v>9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11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n">
        <v/>
      </c>
      <c r="P594" t="inlineStr">
        <is>
          <t>center</t>
        </is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</row>
    <row r="595">
      <c r="A595" t="inlineStr">
        <is>
          <t>Loan calculator</t>
        </is>
      </c>
      <c r="B595" t="inlineStr">
        <is>
          <t>A62</t>
        </is>
      </c>
      <c r="C595" t="n">
        <v>62</v>
      </c>
      <c r="D595" t="n">
        <v>1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11</v>
      </c>
      <c r="M595" t="inlineStr">
        <is>
          <t>Values must be of type &lt;class 'str'&gt;</t>
        </is>
      </c>
      <c r="N595" t="inlineStr">
        <is>
          <t>Values must be of type &lt;class 'str'&gt;</t>
        </is>
      </c>
      <c r="O595" t="n">
        <v/>
      </c>
      <c r="P595" t="inlineStr">
        <is>
          <t>center</t>
        </is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</row>
    <row r="596">
      <c r="A596" t="inlineStr">
        <is>
          <t>Loan calculator</t>
        </is>
      </c>
      <c r="B596" t="inlineStr">
        <is>
          <t>B62</t>
        </is>
      </c>
      <c r="C596" t="n">
        <v>62</v>
      </c>
      <c r="D596" t="n">
        <v>2</v>
      </c>
      <c r="E596" t="inlineStr">
        <is>
          <t>Output</t>
        </is>
      </c>
      <c r="F596" t="inlineStr">
        <is>
          <t>'=IFERROR(IF(LoanIsNotPaid*LoanIsGood,PaymentNumber,""), "")</t>
        </is>
      </c>
      <c r="G596" t="n">
        <v>46</v>
      </c>
      <c r="H596" t="inlineStr"/>
      <c r="I596" t="inlineStr">
        <is>
          <t>#,##0</t>
        </is>
      </c>
      <c r="J596" t="b">
        <v>0</v>
      </c>
      <c r="K596" t="b">
        <v>0</v>
      </c>
      <c r="L596" t="n">
        <v>9</v>
      </c>
      <c r="M596" t="inlineStr">
        <is>
          <t>Values must be of type &lt;class 'str'&gt;</t>
        </is>
      </c>
      <c r="N596" t="inlineStr">
        <is>
          <t>00000000</t>
        </is>
      </c>
      <c r="O596" t="inlineStr">
        <is>
          <t>center</t>
        </is>
      </c>
      <c r="P596" t="inlineStr">
        <is>
          <t>center</t>
        </is>
      </c>
      <c r="R596" t="b">
        <v>1</v>
      </c>
      <c r="S596" t="inlineStr">
        <is>
          <t>G000001</t>
        </is>
      </c>
      <c r="T596" t="inlineStr">
        <is>
          <t>Vertical</t>
        </is>
      </c>
      <c r="U596" t="n">
        <v>120</v>
      </c>
      <c r="V596" t="b">
        <v>1</v>
      </c>
      <c r="W596" t="inlineStr">
        <is>
          <t>Loan calculator!B17:B136</t>
        </is>
      </c>
      <c r="X596">
        <f>IFERROR(IF(LoanIsNotPaid*LoanIsGood,PaymentNumber,""), "")</f>
        <v/>
      </c>
    </row>
    <row r="597">
      <c r="A597" t="inlineStr">
        <is>
          <t>Loan calculator</t>
        </is>
      </c>
      <c r="B597" t="inlineStr">
        <is>
          <t>C62</t>
        </is>
      </c>
      <c r="C597" t="n">
        <v>62</v>
      </c>
      <c r="D597" t="n">
        <v>3</v>
      </c>
      <c r="E597" t="inlineStr">
        <is>
          <t>Output</t>
        </is>
      </c>
      <c r="F597" t="inlineStr">
        <is>
          <t>'=IFERROR(IF(LoanIsNotPaid*LoanIsGood,PaymentDate,LoanStartDate), LoanStartDate)</t>
        </is>
      </c>
      <c r="G597" s="1" t="n">
        <v>47488</v>
      </c>
      <c r="H597" t="inlineStr"/>
      <c r="I597" t="inlineStr">
        <is>
          <t>mm-dd-yy</t>
        </is>
      </c>
      <c r="J597" t="b">
        <v>0</v>
      </c>
      <c r="K597" t="b">
        <v>0</v>
      </c>
      <c r="L597" t="n">
        <v>9</v>
      </c>
      <c r="M597" t="inlineStr">
        <is>
          <t>Values must be of type &lt;class 'str'&gt;</t>
        </is>
      </c>
      <c r="N597" t="inlineStr">
        <is>
          <t>00000000</t>
        </is>
      </c>
      <c r="O597" t="inlineStr">
        <is>
          <t>center</t>
        </is>
      </c>
      <c r="P597" t="inlineStr">
        <is>
          <t>center</t>
        </is>
      </c>
      <c r="R597" t="b">
        <v>1</v>
      </c>
      <c r="S597" t="inlineStr">
        <is>
          <t>G000002</t>
        </is>
      </c>
      <c r="T597" t="inlineStr">
        <is>
          <t>Vertical</t>
        </is>
      </c>
      <c r="U597" t="n">
        <v>120</v>
      </c>
      <c r="V597" t="b">
        <v>1</v>
      </c>
      <c r="W597" t="inlineStr">
        <is>
          <t>Loan calculator!C17:C136</t>
        </is>
      </c>
      <c r="X597">
        <f>IFERROR(IF(LoanIsNotPaid*LoanIsGood,PaymentDate,LoanStartDate), LoanStartDate)</f>
        <v/>
      </c>
    </row>
    <row r="598">
      <c r="A598" t="inlineStr">
        <is>
          <t>Loan calculator</t>
        </is>
      </c>
      <c r="B598" t="inlineStr">
        <is>
          <t>D62</t>
        </is>
      </c>
      <c r="C598" t="n">
        <v>62</v>
      </c>
      <c r="D598" t="n">
        <v>4</v>
      </c>
      <c r="E598" t="inlineStr">
        <is>
          <t>Output</t>
        </is>
      </c>
      <c r="F598" t="inlineStr">
        <is>
          <t>'=IFERROR(IF(LoanIsNotPaid*LoanIsGood,LoanValue,""), "")</t>
        </is>
      </c>
      <c r="G598" t="n">
        <v>6874.725983962615</v>
      </c>
      <c r="H598" t="inlineStr"/>
      <c r="I598" t="inlineStr">
        <is>
          <t>"$"#,##0.00</t>
        </is>
      </c>
      <c r="J598" t="b">
        <v>0</v>
      </c>
      <c r="K598" t="b">
        <v>0</v>
      </c>
      <c r="L598" t="n">
        <v>9</v>
      </c>
      <c r="M598" t="inlineStr">
        <is>
          <t>Values must be of type &lt;class 'str'&gt;</t>
        </is>
      </c>
      <c r="N598" t="inlineStr">
        <is>
          <t>00000000</t>
        </is>
      </c>
      <c r="O598" t="inlineStr">
        <is>
          <t>center</t>
        </is>
      </c>
      <c r="P598" t="inlineStr">
        <is>
          <t>center</t>
        </is>
      </c>
      <c r="R598" t="b">
        <v>1</v>
      </c>
      <c r="S598" t="inlineStr">
        <is>
          <t>G000003</t>
        </is>
      </c>
      <c r="T598" t="inlineStr">
        <is>
          <t>Vertical</t>
        </is>
      </c>
      <c r="U598" t="n">
        <v>120</v>
      </c>
      <c r="V598" t="b">
        <v>1</v>
      </c>
      <c r="W598" t="inlineStr">
        <is>
          <t>Loan calculator!D17:D136</t>
        </is>
      </c>
      <c r="X598">
        <f>IFERROR(IF(LoanIsNotPaid*LoanIsGood,LoanValue,""), "")</f>
        <v/>
      </c>
    </row>
    <row r="599">
      <c r="A599" t="inlineStr">
        <is>
          <t>Loan calculator</t>
        </is>
      </c>
      <c r="B599" t="inlineStr">
        <is>
          <t>E62</t>
        </is>
      </c>
      <c r="C599" t="n">
        <v>62</v>
      </c>
      <c r="D599" t="n">
        <v>5</v>
      </c>
      <c r="E599" t="inlineStr">
        <is>
          <t>Output</t>
        </is>
      </c>
      <c r="F599" t="inlineStr">
        <is>
          <t>'=IFERROR(IF(LoanIsNotPaid*LoanIsGood,MonthlyPayment,0), 0)</t>
        </is>
      </c>
      <c r="G599" t="n">
        <v>108.5262779604807</v>
      </c>
      <c r="H599" t="inlineStr"/>
      <c r="I599" t="inlineStr">
        <is>
          <t>"$"#,##0.00</t>
        </is>
      </c>
      <c r="J599" t="b">
        <v>0</v>
      </c>
      <c r="K599" t="b">
        <v>0</v>
      </c>
      <c r="L599" t="n">
        <v>9</v>
      </c>
      <c r="M599" t="inlineStr">
        <is>
          <t>Values must be of type &lt;class 'str'&gt;</t>
        </is>
      </c>
      <c r="N599" t="inlineStr">
        <is>
          <t>00000000</t>
        </is>
      </c>
      <c r="O599" t="inlineStr">
        <is>
          <t>center</t>
        </is>
      </c>
      <c r="P599" t="inlineStr">
        <is>
          <t>center</t>
        </is>
      </c>
      <c r="R599" t="b">
        <v>1</v>
      </c>
      <c r="S599" t="inlineStr">
        <is>
          <t>G000004</t>
        </is>
      </c>
      <c r="T599" t="inlineStr">
        <is>
          <t>Vertical</t>
        </is>
      </c>
      <c r="U599" t="n">
        <v>120</v>
      </c>
      <c r="V599" t="b">
        <v>1</v>
      </c>
      <c r="W599" t="inlineStr">
        <is>
          <t>Loan calculator!E17:E136</t>
        </is>
      </c>
      <c r="X599">
        <f>IFERROR(IF(LoanIsNotPaid*LoanIsGood,MonthlyPayment,0), 0)</f>
        <v/>
      </c>
    </row>
    <row r="600">
      <c r="A600" t="inlineStr">
        <is>
          <t>Loan calculator</t>
        </is>
      </c>
      <c r="B600" t="inlineStr">
        <is>
          <t>F62</t>
        </is>
      </c>
      <c r="C600" t="n">
        <v>62</v>
      </c>
      <c r="D600" t="n">
        <v>6</v>
      </c>
      <c r="E600" t="inlineStr">
        <is>
          <t>Output</t>
        </is>
      </c>
      <c r="F600" t="inlineStr">
        <is>
          <t>'=IFERROR(IF(LoanIsNotPaid*LoanIsGood,Principal,0), 0)</t>
        </is>
      </c>
      <c r="G600" t="n">
        <v>77.01711720065207</v>
      </c>
      <c r="H600" t="inlineStr"/>
      <c r="I600" t="inlineStr">
        <is>
          <t>"$"#,##0.00</t>
        </is>
      </c>
      <c r="J600" t="b">
        <v>0</v>
      </c>
      <c r="K600" t="b">
        <v>0</v>
      </c>
      <c r="L600" t="n">
        <v>9</v>
      </c>
      <c r="M600" t="inlineStr">
        <is>
          <t>Values must be of type &lt;class 'str'&gt;</t>
        </is>
      </c>
      <c r="N600" t="inlineStr">
        <is>
          <t>00000000</t>
        </is>
      </c>
      <c r="O600" t="inlineStr">
        <is>
          <t>center</t>
        </is>
      </c>
      <c r="P600" t="inlineStr">
        <is>
          <t>center</t>
        </is>
      </c>
      <c r="R600" t="b">
        <v>1</v>
      </c>
      <c r="S600" t="inlineStr">
        <is>
          <t>G000005</t>
        </is>
      </c>
      <c r="T600" t="inlineStr">
        <is>
          <t>Vertical</t>
        </is>
      </c>
      <c r="U600" t="n">
        <v>120</v>
      </c>
      <c r="V600" t="b">
        <v>1</v>
      </c>
      <c r="W600" t="inlineStr">
        <is>
          <t>Loan calculator!F17:F136</t>
        </is>
      </c>
      <c r="X600">
        <f>IFERROR(IF(LoanIsNotPaid*LoanIsGood,Principal,0), 0)</f>
        <v/>
      </c>
    </row>
    <row r="601">
      <c r="A601" t="inlineStr">
        <is>
          <t>Loan calculator</t>
        </is>
      </c>
      <c r="B601" t="inlineStr">
        <is>
          <t>G62</t>
        </is>
      </c>
      <c r="C601" t="n">
        <v>62</v>
      </c>
      <c r="D601" t="n">
        <v>7</v>
      </c>
      <c r="E601" t="inlineStr">
        <is>
          <t>Output</t>
        </is>
      </c>
      <c r="F601" t="inlineStr">
        <is>
          <t>'=IFERROR(IF(LoanIsNotPaid*LoanIsGood,InterestAmt,0), 0)</t>
        </is>
      </c>
      <c r="G601" t="n">
        <v>31.50916075982867</v>
      </c>
      <c r="H601" t="inlineStr"/>
      <c r="I601" t="inlineStr">
        <is>
          <t>"$"#,##0.00</t>
        </is>
      </c>
      <c r="J601" t="b">
        <v>0</v>
      </c>
      <c r="K601" t="b">
        <v>0</v>
      </c>
      <c r="L601" t="n">
        <v>9</v>
      </c>
      <c r="M601" t="inlineStr">
        <is>
          <t>Values must be of type &lt;class 'str'&gt;</t>
        </is>
      </c>
      <c r="N601" t="inlineStr">
        <is>
          <t>00000000</t>
        </is>
      </c>
      <c r="O601" t="inlineStr">
        <is>
          <t>center</t>
        </is>
      </c>
      <c r="P601" t="inlineStr">
        <is>
          <t>center</t>
        </is>
      </c>
      <c r="R601" t="b">
        <v>1</v>
      </c>
      <c r="S601" t="inlineStr">
        <is>
          <t>G000006</t>
        </is>
      </c>
      <c r="T601" t="inlineStr">
        <is>
          <t>Vertical</t>
        </is>
      </c>
      <c r="U601" t="n">
        <v>120</v>
      </c>
      <c r="V601" t="b">
        <v>1</v>
      </c>
      <c r="W601" t="inlineStr">
        <is>
          <t>Loan calculator!G17:G136</t>
        </is>
      </c>
      <c r="X601">
        <f>IFERROR(IF(LoanIsNotPaid*LoanIsGood,InterestAmt,0), 0)</f>
        <v/>
      </c>
    </row>
    <row r="602">
      <c r="A602" t="inlineStr">
        <is>
          <t>Loan calculator</t>
        </is>
      </c>
      <c r="B602" t="inlineStr">
        <is>
          <t>H62</t>
        </is>
      </c>
      <c r="C602" t="n">
        <v>62</v>
      </c>
      <c r="D602" t="n">
        <v>8</v>
      </c>
      <c r="E602" t="inlineStr">
        <is>
          <t>Output</t>
        </is>
      </c>
      <c r="F602" t="inlineStr">
        <is>
          <t>'=IFERROR(IF(LoanIsNotPaid*LoanIsGood,EndingBalance,0), 0)</t>
        </is>
      </c>
      <c r="G602" t="n">
        <v>6797.70886676196</v>
      </c>
      <c r="H602" t="inlineStr"/>
      <c r="I602" t="inlineStr">
        <is>
          <t>"$"#,##0.00</t>
        </is>
      </c>
      <c r="J602" t="b">
        <v>0</v>
      </c>
      <c r="K602" t="b">
        <v>0</v>
      </c>
      <c r="L602" t="n">
        <v>9</v>
      </c>
      <c r="M602" t="inlineStr">
        <is>
          <t>Values must be of type &lt;class 'str'&gt;</t>
        </is>
      </c>
      <c r="N602" t="inlineStr">
        <is>
          <t>00000000</t>
        </is>
      </c>
      <c r="O602" t="inlineStr">
        <is>
          <t>center</t>
        </is>
      </c>
      <c r="P602" t="inlineStr">
        <is>
          <t>center</t>
        </is>
      </c>
      <c r="R602" t="b">
        <v>1</v>
      </c>
      <c r="S602" t="inlineStr">
        <is>
          <t>G000007</t>
        </is>
      </c>
      <c r="T602" t="inlineStr">
        <is>
          <t>Vertical</t>
        </is>
      </c>
      <c r="U602" t="n">
        <v>120</v>
      </c>
      <c r="V602" t="b">
        <v>1</v>
      </c>
      <c r="W602" t="inlineStr">
        <is>
          <t>Loan calculator!H17:H136</t>
        </is>
      </c>
      <c r="X602">
        <f>IFERROR(IF(LoanIsNotPaid*LoanIsGood,EndingBalance,0), 0)</f>
        <v/>
      </c>
    </row>
    <row r="603">
      <c r="A603" t="inlineStr">
        <is>
          <t>Loan calculator</t>
        </is>
      </c>
      <c r="B603" t="inlineStr">
        <is>
          <t>I62</t>
        </is>
      </c>
      <c r="C603" t="n">
        <v>62</v>
      </c>
      <c r="D603" t="n">
        <v>9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11</v>
      </c>
      <c r="M603" t="inlineStr">
        <is>
          <t>Values must be of type &lt;class 'str'&gt;</t>
        </is>
      </c>
      <c r="N603" t="inlineStr">
        <is>
          <t>Values must be of type &lt;class 'str'&gt;</t>
        </is>
      </c>
      <c r="O603" t="n">
        <v/>
      </c>
      <c r="P603" t="inlineStr">
        <is>
          <t>center</t>
        </is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</row>
    <row r="604">
      <c r="A604" t="inlineStr">
        <is>
          <t>Loan calculator</t>
        </is>
      </c>
      <c r="B604" t="inlineStr">
        <is>
          <t>A63</t>
        </is>
      </c>
      <c r="C604" t="n">
        <v>63</v>
      </c>
      <c r="D604" t="n">
        <v>1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11</v>
      </c>
      <c r="M604" t="inlineStr">
        <is>
          <t>Values must be of type &lt;class 'str'&gt;</t>
        </is>
      </c>
      <c r="N604" t="inlineStr">
        <is>
          <t>Values must be of type &lt;class 'str'&gt;</t>
        </is>
      </c>
      <c r="O604" t="n">
        <v/>
      </c>
      <c r="P604" t="inlineStr">
        <is>
          <t>center</t>
        </is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</row>
    <row r="605">
      <c r="A605" t="inlineStr">
        <is>
          <t>Loan calculator</t>
        </is>
      </c>
      <c r="B605" t="inlineStr">
        <is>
          <t>B63</t>
        </is>
      </c>
      <c r="C605" t="n">
        <v>63</v>
      </c>
      <c r="D605" t="n">
        <v>2</v>
      </c>
      <c r="E605" t="inlineStr">
        <is>
          <t>Output</t>
        </is>
      </c>
      <c r="F605" t="inlineStr">
        <is>
          <t>'=IFERROR(IF(LoanIsNotPaid*LoanIsGood,PaymentNumber,""), "")</t>
        </is>
      </c>
      <c r="G605" t="n">
        <v>47</v>
      </c>
      <c r="H605" t="inlineStr"/>
      <c r="I605" t="inlineStr">
        <is>
          <t>#,##0</t>
        </is>
      </c>
      <c r="J605" t="b">
        <v>0</v>
      </c>
      <c r="K605" t="b">
        <v>0</v>
      </c>
      <c r="L605" t="n">
        <v>9</v>
      </c>
      <c r="M605" t="inlineStr">
        <is>
          <t>Values must be of type &lt;class 'str'&gt;</t>
        </is>
      </c>
      <c r="N605" t="inlineStr">
        <is>
          <t>00000000</t>
        </is>
      </c>
      <c r="O605" t="inlineStr">
        <is>
          <t>center</t>
        </is>
      </c>
      <c r="P605" t="inlineStr">
        <is>
          <t>center</t>
        </is>
      </c>
      <c r="R605" t="b">
        <v>1</v>
      </c>
      <c r="S605" t="inlineStr">
        <is>
          <t>G000001</t>
        </is>
      </c>
      <c r="T605" t="inlineStr">
        <is>
          <t>Vertical</t>
        </is>
      </c>
      <c r="U605" t="n">
        <v>120</v>
      </c>
      <c r="V605" t="b">
        <v>1</v>
      </c>
      <c r="W605" t="inlineStr">
        <is>
          <t>Loan calculator!B17:B136</t>
        </is>
      </c>
      <c r="X605">
        <f>IFERROR(IF(LoanIsNotPaid*LoanIsGood,PaymentNumber,""), "")</f>
        <v/>
      </c>
    </row>
    <row r="606">
      <c r="A606" t="inlineStr">
        <is>
          <t>Loan calculator</t>
        </is>
      </c>
      <c r="B606" t="inlineStr">
        <is>
          <t>C63</t>
        </is>
      </c>
      <c r="C606" t="n">
        <v>63</v>
      </c>
      <c r="D606" t="n">
        <v>3</v>
      </c>
      <c r="E606" t="inlineStr">
        <is>
          <t>Output</t>
        </is>
      </c>
      <c r="F606" t="inlineStr">
        <is>
          <t>'=IFERROR(IF(LoanIsNotPaid*LoanIsGood,PaymentDate,LoanStartDate), LoanStartDate)</t>
        </is>
      </c>
      <c r="G606" s="1" t="n">
        <v>47519</v>
      </c>
      <c r="H606" t="inlineStr"/>
      <c r="I606" t="inlineStr">
        <is>
          <t>mm-dd-yy</t>
        </is>
      </c>
      <c r="J606" t="b">
        <v>0</v>
      </c>
      <c r="K606" t="b">
        <v>0</v>
      </c>
      <c r="L606" t="n">
        <v>9</v>
      </c>
      <c r="M606" t="inlineStr">
        <is>
          <t>Values must be of type &lt;class 'str'&gt;</t>
        </is>
      </c>
      <c r="N606" t="inlineStr">
        <is>
          <t>00000000</t>
        </is>
      </c>
      <c r="O606" t="inlineStr">
        <is>
          <t>center</t>
        </is>
      </c>
      <c r="P606" t="inlineStr">
        <is>
          <t>center</t>
        </is>
      </c>
      <c r="R606" t="b">
        <v>1</v>
      </c>
      <c r="S606" t="inlineStr">
        <is>
          <t>G000002</t>
        </is>
      </c>
      <c r="T606" t="inlineStr">
        <is>
          <t>Vertical</t>
        </is>
      </c>
      <c r="U606" t="n">
        <v>120</v>
      </c>
      <c r="V606" t="b">
        <v>1</v>
      </c>
      <c r="W606" t="inlineStr">
        <is>
          <t>Loan calculator!C17:C136</t>
        </is>
      </c>
      <c r="X606">
        <f>IFERROR(IF(LoanIsNotPaid*LoanIsGood,PaymentDate,LoanStartDate), LoanStartDate)</f>
        <v/>
      </c>
    </row>
    <row r="607">
      <c r="A607" t="inlineStr">
        <is>
          <t>Loan calculator</t>
        </is>
      </c>
      <c r="B607" t="inlineStr">
        <is>
          <t>D63</t>
        </is>
      </c>
      <c r="C607" t="n">
        <v>63</v>
      </c>
      <c r="D607" t="n">
        <v>4</v>
      </c>
      <c r="E607" t="inlineStr">
        <is>
          <t>Output</t>
        </is>
      </c>
      <c r="F607" t="inlineStr">
        <is>
          <t>'=IFERROR(IF(LoanIsNotPaid*LoanIsGood,LoanValue,""), "")</t>
        </is>
      </c>
      <c r="G607" t="n">
        <v>6797.70886676196</v>
      </c>
      <c r="H607" t="inlineStr"/>
      <c r="I607" t="inlineStr">
        <is>
          <t>"$"#,##0.00</t>
        </is>
      </c>
      <c r="J607" t="b">
        <v>0</v>
      </c>
      <c r="K607" t="b">
        <v>0</v>
      </c>
      <c r="L607" t="n">
        <v>9</v>
      </c>
      <c r="M607" t="inlineStr">
        <is>
          <t>Values must be of type &lt;class 'str'&gt;</t>
        </is>
      </c>
      <c r="N607" t="inlineStr">
        <is>
          <t>00000000</t>
        </is>
      </c>
      <c r="O607" t="inlineStr">
        <is>
          <t>center</t>
        </is>
      </c>
      <c r="P607" t="inlineStr">
        <is>
          <t>center</t>
        </is>
      </c>
      <c r="R607" t="b">
        <v>1</v>
      </c>
      <c r="S607" t="inlineStr">
        <is>
          <t>G000003</t>
        </is>
      </c>
      <c r="T607" t="inlineStr">
        <is>
          <t>Vertical</t>
        </is>
      </c>
      <c r="U607" t="n">
        <v>120</v>
      </c>
      <c r="V607" t="b">
        <v>1</v>
      </c>
      <c r="W607" t="inlineStr">
        <is>
          <t>Loan calculator!D17:D136</t>
        </is>
      </c>
      <c r="X607">
        <f>IFERROR(IF(LoanIsNotPaid*LoanIsGood,LoanValue,""), "")</f>
        <v/>
      </c>
    </row>
    <row r="608">
      <c r="A608" t="inlineStr">
        <is>
          <t>Loan calculator</t>
        </is>
      </c>
      <c r="B608" t="inlineStr">
        <is>
          <t>E63</t>
        </is>
      </c>
      <c r="C608" t="n">
        <v>63</v>
      </c>
      <c r="D608" t="n">
        <v>5</v>
      </c>
      <c r="E608" t="inlineStr">
        <is>
          <t>Output</t>
        </is>
      </c>
      <c r="F608" t="inlineStr">
        <is>
          <t>'=IFERROR(IF(LoanIsNotPaid*LoanIsGood,MonthlyPayment,0), 0)</t>
        </is>
      </c>
      <c r="G608" t="n">
        <v>108.5262779604807</v>
      </c>
      <c r="H608" t="inlineStr"/>
      <c r="I608" t="inlineStr">
        <is>
          <t>"$"#,##0.00</t>
        </is>
      </c>
      <c r="J608" t="b">
        <v>0</v>
      </c>
      <c r="K608" t="b">
        <v>0</v>
      </c>
      <c r="L608" t="n">
        <v>9</v>
      </c>
      <c r="M608" t="inlineStr">
        <is>
          <t>Values must be of type &lt;class 'str'&gt;</t>
        </is>
      </c>
      <c r="N608" t="inlineStr">
        <is>
          <t>00000000</t>
        </is>
      </c>
      <c r="O608" t="inlineStr">
        <is>
          <t>center</t>
        </is>
      </c>
      <c r="P608" t="inlineStr">
        <is>
          <t>center</t>
        </is>
      </c>
      <c r="R608" t="b">
        <v>1</v>
      </c>
      <c r="S608" t="inlineStr">
        <is>
          <t>G000004</t>
        </is>
      </c>
      <c r="T608" t="inlineStr">
        <is>
          <t>Vertical</t>
        </is>
      </c>
      <c r="U608" t="n">
        <v>120</v>
      </c>
      <c r="V608" t="b">
        <v>1</v>
      </c>
      <c r="W608" t="inlineStr">
        <is>
          <t>Loan calculator!E17:E136</t>
        </is>
      </c>
      <c r="X608">
        <f>IFERROR(IF(LoanIsNotPaid*LoanIsGood,MonthlyPayment,0), 0)</f>
        <v/>
      </c>
    </row>
    <row r="609">
      <c r="A609" t="inlineStr">
        <is>
          <t>Loan calculator</t>
        </is>
      </c>
      <c r="B609" t="inlineStr">
        <is>
          <t>F63</t>
        </is>
      </c>
      <c r="C609" t="n">
        <v>63</v>
      </c>
      <c r="D609" t="n">
        <v>6</v>
      </c>
      <c r="E609" t="inlineStr">
        <is>
          <t>Output</t>
        </is>
      </c>
      <c r="F609" t="inlineStr">
        <is>
          <t>'=IFERROR(IF(LoanIsNotPaid*LoanIsGood,Principal,0), 0)</t>
        </is>
      </c>
      <c r="G609" t="n">
        <v>77.37011232115503</v>
      </c>
      <c r="H609" t="inlineStr"/>
      <c r="I609" t="inlineStr">
        <is>
          <t>"$"#,##0.00</t>
        </is>
      </c>
      <c r="J609" t="b">
        <v>0</v>
      </c>
      <c r="K609" t="b">
        <v>0</v>
      </c>
      <c r="L609" t="n">
        <v>9</v>
      </c>
      <c r="M609" t="inlineStr">
        <is>
          <t>Values must be of type &lt;class 'str'&gt;</t>
        </is>
      </c>
      <c r="N609" t="inlineStr">
        <is>
          <t>00000000</t>
        </is>
      </c>
      <c r="O609" t="inlineStr">
        <is>
          <t>center</t>
        </is>
      </c>
      <c r="P609" t="inlineStr">
        <is>
          <t>center</t>
        </is>
      </c>
      <c r="R609" t="b">
        <v>1</v>
      </c>
      <c r="S609" t="inlineStr">
        <is>
          <t>G000005</t>
        </is>
      </c>
      <c r="T609" t="inlineStr">
        <is>
          <t>Vertical</t>
        </is>
      </c>
      <c r="U609" t="n">
        <v>120</v>
      </c>
      <c r="V609" t="b">
        <v>1</v>
      </c>
      <c r="W609" t="inlineStr">
        <is>
          <t>Loan calculator!F17:F136</t>
        </is>
      </c>
      <c r="X609">
        <f>IFERROR(IF(LoanIsNotPaid*LoanIsGood,Principal,0), 0)</f>
        <v/>
      </c>
    </row>
    <row r="610">
      <c r="A610" t="inlineStr">
        <is>
          <t>Loan calculator</t>
        </is>
      </c>
      <c r="B610" t="inlineStr">
        <is>
          <t>G63</t>
        </is>
      </c>
      <c r="C610" t="n">
        <v>63</v>
      </c>
      <c r="D610" t="n">
        <v>7</v>
      </c>
      <c r="E610" t="inlineStr">
        <is>
          <t>Output</t>
        </is>
      </c>
      <c r="F610" t="inlineStr">
        <is>
          <t>'=IFERROR(IF(LoanIsNotPaid*LoanIsGood,InterestAmt,0), 0)</t>
        </is>
      </c>
      <c r="G610" t="n">
        <v>31.15616563932568</v>
      </c>
      <c r="H610" t="inlineStr"/>
      <c r="I610" t="inlineStr">
        <is>
          <t>"$"#,##0.00</t>
        </is>
      </c>
      <c r="J610" t="b">
        <v>0</v>
      </c>
      <c r="K610" t="b">
        <v>0</v>
      </c>
      <c r="L610" t="n">
        <v>9</v>
      </c>
      <c r="M610" t="inlineStr">
        <is>
          <t>Values must be of type &lt;class 'str'&gt;</t>
        </is>
      </c>
      <c r="N610" t="inlineStr">
        <is>
          <t>00000000</t>
        </is>
      </c>
      <c r="O610" t="inlineStr">
        <is>
          <t>center</t>
        </is>
      </c>
      <c r="P610" t="inlineStr">
        <is>
          <t>center</t>
        </is>
      </c>
      <c r="R610" t="b">
        <v>1</v>
      </c>
      <c r="S610" t="inlineStr">
        <is>
          <t>G000006</t>
        </is>
      </c>
      <c r="T610" t="inlineStr">
        <is>
          <t>Vertical</t>
        </is>
      </c>
      <c r="U610" t="n">
        <v>120</v>
      </c>
      <c r="V610" t="b">
        <v>1</v>
      </c>
      <c r="W610" t="inlineStr">
        <is>
          <t>Loan calculator!G17:G136</t>
        </is>
      </c>
      <c r="X610">
        <f>IFERROR(IF(LoanIsNotPaid*LoanIsGood,InterestAmt,0), 0)</f>
        <v/>
      </c>
    </row>
    <row r="611">
      <c r="A611" t="inlineStr">
        <is>
          <t>Loan calculator</t>
        </is>
      </c>
      <c r="B611" t="inlineStr">
        <is>
          <t>H63</t>
        </is>
      </c>
      <c r="C611" t="n">
        <v>63</v>
      </c>
      <c r="D611" t="n">
        <v>8</v>
      </c>
      <c r="E611" t="inlineStr">
        <is>
          <t>Output</t>
        </is>
      </c>
      <c r="F611" t="inlineStr">
        <is>
          <t>'=IFERROR(IF(LoanIsNotPaid*LoanIsGood,EndingBalance,0), 0)</t>
        </is>
      </c>
      <c r="G611" t="n">
        <v>6720.338754440809</v>
      </c>
      <c r="H611" t="inlineStr"/>
      <c r="I611" t="inlineStr">
        <is>
          <t>"$"#,##0.00</t>
        </is>
      </c>
      <c r="J611" t="b">
        <v>0</v>
      </c>
      <c r="K611" t="b">
        <v>0</v>
      </c>
      <c r="L611" t="n">
        <v>9</v>
      </c>
      <c r="M611" t="inlineStr">
        <is>
          <t>Values must be of type &lt;class 'str'&gt;</t>
        </is>
      </c>
      <c r="N611" t="inlineStr">
        <is>
          <t>00000000</t>
        </is>
      </c>
      <c r="O611" t="inlineStr">
        <is>
          <t>center</t>
        </is>
      </c>
      <c r="P611" t="inlineStr">
        <is>
          <t>center</t>
        </is>
      </c>
      <c r="R611" t="b">
        <v>1</v>
      </c>
      <c r="S611" t="inlineStr">
        <is>
          <t>G000007</t>
        </is>
      </c>
      <c r="T611" t="inlineStr">
        <is>
          <t>Vertical</t>
        </is>
      </c>
      <c r="U611" t="n">
        <v>120</v>
      </c>
      <c r="V611" t="b">
        <v>1</v>
      </c>
      <c r="W611" t="inlineStr">
        <is>
          <t>Loan calculator!H17:H136</t>
        </is>
      </c>
      <c r="X611">
        <f>IFERROR(IF(LoanIsNotPaid*LoanIsGood,EndingBalance,0), 0)</f>
        <v/>
      </c>
    </row>
    <row r="612">
      <c r="A612" t="inlineStr">
        <is>
          <t>Loan calculator</t>
        </is>
      </c>
      <c r="B612" t="inlineStr">
        <is>
          <t>I63</t>
        </is>
      </c>
      <c r="C612" t="n">
        <v>63</v>
      </c>
      <c r="D612" t="n">
        <v>9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11</v>
      </c>
      <c r="M612" t="inlineStr">
        <is>
          <t>Values must be of type &lt;class 'str'&gt;</t>
        </is>
      </c>
      <c r="N612" t="inlineStr">
        <is>
          <t>Values must be of type &lt;class 'str'&gt;</t>
        </is>
      </c>
      <c r="O612" t="n">
        <v/>
      </c>
      <c r="P612" t="inlineStr">
        <is>
          <t>center</t>
        </is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</row>
    <row r="613">
      <c r="A613" t="inlineStr">
        <is>
          <t>Loan calculator</t>
        </is>
      </c>
      <c r="B613" t="inlineStr">
        <is>
          <t>A64</t>
        </is>
      </c>
      <c r="C613" t="n">
        <v>64</v>
      </c>
      <c r="D613" t="n">
        <v>1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11</v>
      </c>
      <c r="M613" t="inlineStr">
        <is>
          <t>Values must be of type &lt;class 'str'&gt;</t>
        </is>
      </c>
      <c r="N613" t="inlineStr">
        <is>
          <t>Values must be of type &lt;class 'str'&gt;</t>
        </is>
      </c>
      <c r="O613" t="n">
        <v/>
      </c>
      <c r="P613" t="inlineStr">
        <is>
          <t>center</t>
        </is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</row>
    <row r="614">
      <c r="A614" t="inlineStr">
        <is>
          <t>Loan calculator</t>
        </is>
      </c>
      <c r="B614" t="inlineStr">
        <is>
          <t>B64</t>
        </is>
      </c>
      <c r="C614" t="n">
        <v>64</v>
      </c>
      <c r="D614" t="n">
        <v>2</v>
      </c>
      <c r="E614" t="inlineStr">
        <is>
          <t>Output</t>
        </is>
      </c>
      <c r="F614" t="inlineStr">
        <is>
          <t>'=IFERROR(IF(LoanIsNotPaid*LoanIsGood,PaymentNumber,""), "")</t>
        </is>
      </c>
      <c r="G614" t="n">
        <v>48</v>
      </c>
      <c r="H614" t="inlineStr"/>
      <c r="I614" t="inlineStr">
        <is>
          <t>#,##0</t>
        </is>
      </c>
      <c r="J614" t="b">
        <v>0</v>
      </c>
      <c r="K614" t="b">
        <v>0</v>
      </c>
      <c r="L614" t="n">
        <v>9</v>
      </c>
      <c r="M614" t="inlineStr">
        <is>
          <t>Values must be of type &lt;class 'str'&gt;</t>
        </is>
      </c>
      <c r="N614" t="inlineStr">
        <is>
          <t>00000000</t>
        </is>
      </c>
      <c r="O614" t="inlineStr">
        <is>
          <t>center</t>
        </is>
      </c>
      <c r="P614" t="inlineStr">
        <is>
          <t>center</t>
        </is>
      </c>
      <c r="R614" t="b">
        <v>1</v>
      </c>
      <c r="S614" t="inlineStr">
        <is>
          <t>G000001</t>
        </is>
      </c>
      <c r="T614" t="inlineStr">
        <is>
          <t>Vertical</t>
        </is>
      </c>
      <c r="U614" t="n">
        <v>120</v>
      </c>
      <c r="V614" t="b">
        <v>1</v>
      </c>
      <c r="W614" t="inlineStr">
        <is>
          <t>Loan calculator!B17:B136</t>
        </is>
      </c>
      <c r="X614">
        <f>IFERROR(IF(LoanIsNotPaid*LoanIsGood,PaymentNumber,""), "")</f>
        <v/>
      </c>
    </row>
    <row r="615">
      <c r="A615" t="inlineStr">
        <is>
          <t>Loan calculator</t>
        </is>
      </c>
      <c r="B615" t="inlineStr">
        <is>
          <t>C64</t>
        </is>
      </c>
      <c r="C615" t="n">
        <v>64</v>
      </c>
      <c r="D615" t="n">
        <v>3</v>
      </c>
      <c r="E615" t="inlineStr">
        <is>
          <t>Output</t>
        </is>
      </c>
      <c r="F615" t="inlineStr">
        <is>
          <t>'=IFERROR(IF(LoanIsNotPaid*LoanIsGood,PaymentDate,LoanStartDate), LoanStartDate)</t>
        </is>
      </c>
      <c r="G615" s="1" t="n">
        <v>47547</v>
      </c>
      <c r="H615" t="inlineStr"/>
      <c r="I615" t="inlineStr">
        <is>
          <t>mm-dd-yy</t>
        </is>
      </c>
      <c r="J615" t="b">
        <v>0</v>
      </c>
      <c r="K615" t="b">
        <v>0</v>
      </c>
      <c r="L615" t="n">
        <v>9</v>
      </c>
      <c r="M615" t="inlineStr">
        <is>
          <t>Values must be of type &lt;class 'str'&gt;</t>
        </is>
      </c>
      <c r="N615" t="inlineStr">
        <is>
          <t>00000000</t>
        </is>
      </c>
      <c r="O615" t="inlineStr">
        <is>
          <t>center</t>
        </is>
      </c>
      <c r="P615" t="inlineStr">
        <is>
          <t>center</t>
        </is>
      </c>
      <c r="R615" t="b">
        <v>1</v>
      </c>
      <c r="S615" t="inlineStr">
        <is>
          <t>G000002</t>
        </is>
      </c>
      <c r="T615" t="inlineStr">
        <is>
          <t>Vertical</t>
        </is>
      </c>
      <c r="U615" t="n">
        <v>120</v>
      </c>
      <c r="V615" t="b">
        <v>1</v>
      </c>
      <c r="W615" t="inlineStr">
        <is>
          <t>Loan calculator!C17:C136</t>
        </is>
      </c>
      <c r="X615">
        <f>IFERROR(IF(LoanIsNotPaid*LoanIsGood,PaymentDate,LoanStartDate), LoanStartDate)</f>
        <v/>
      </c>
    </row>
    <row r="616">
      <c r="A616" t="inlineStr">
        <is>
          <t>Loan calculator</t>
        </is>
      </c>
      <c r="B616" t="inlineStr">
        <is>
          <t>D64</t>
        </is>
      </c>
      <c r="C616" t="n">
        <v>64</v>
      </c>
      <c r="D616" t="n">
        <v>4</v>
      </c>
      <c r="E616" t="inlineStr">
        <is>
          <t>Output</t>
        </is>
      </c>
      <c r="F616" t="inlineStr">
        <is>
          <t>'=IFERROR(IF(LoanIsNotPaid*LoanIsGood,LoanValue,""), "")</t>
        </is>
      </c>
      <c r="G616" t="n">
        <v>6720.338754440809</v>
      </c>
      <c r="H616" t="inlineStr"/>
      <c r="I616" t="inlineStr">
        <is>
          <t>"$"#,##0.00</t>
        </is>
      </c>
      <c r="J616" t="b">
        <v>0</v>
      </c>
      <c r="K616" t="b">
        <v>0</v>
      </c>
      <c r="L616" t="n">
        <v>9</v>
      </c>
      <c r="M616" t="inlineStr">
        <is>
          <t>Values must be of type &lt;class 'str'&gt;</t>
        </is>
      </c>
      <c r="N616" t="inlineStr">
        <is>
          <t>00000000</t>
        </is>
      </c>
      <c r="O616" t="inlineStr">
        <is>
          <t>center</t>
        </is>
      </c>
      <c r="P616" t="inlineStr">
        <is>
          <t>center</t>
        </is>
      </c>
      <c r="R616" t="b">
        <v>1</v>
      </c>
      <c r="S616" t="inlineStr">
        <is>
          <t>G000003</t>
        </is>
      </c>
      <c r="T616" t="inlineStr">
        <is>
          <t>Vertical</t>
        </is>
      </c>
      <c r="U616" t="n">
        <v>120</v>
      </c>
      <c r="V616" t="b">
        <v>1</v>
      </c>
      <c r="W616" t="inlineStr">
        <is>
          <t>Loan calculator!D17:D136</t>
        </is>
      </c>
      <c r="X616">
        <f>IFERROR(IF(LoanIsNotPaid*LoanIsGood,LoanValue,""), "")</f>
        <v/>
      </c>
    </row>
    <row r="617">
      <c r="A617" t="inlineStr">
        <is>
          <t>Loan calculator</t>
        </is>
      </c>
      <c r="B617" t="inlineStr">
        <is>
          <t>E64</t>
        </is>
      </c>
      <c r="C617" t="n">
        <v>64</v>
      </c>
      <c r="D617" t="n">
        <v>5</v>
      </c>
      <c r="E617" t="inlineStr">
        <is>
          <t>Output</t>
        </is>
      </c>
      <c r="F617" t="inlineStr">
        <is>
          <t>'=IFERROR(IF(LoanIsNotPaid*LoanIsGood,MonthlyPayment,0), 0)</t>
        </is>
      </c>
      <c r="G617" t="n">
        <v>108.5262779604807</v>
      </c>
      <c r="H617" t="inlineStr"/>
      <c r="I617" t="inlineStr">
        <is>
          <t>"$"#,##0.00</t>
        </is>
      </c>
      <c r="J617" t="b">
        <v>0</v>
      </c>
      <c r="K617" t="b">
        <v>0</v>
      </c>
      <c r="L617" t="n">
        <v>9</v>
      </c>
      <c r="M617" t="inlineStr">
        <is>
          <t>Values must be of type &lt;class 'str'&gt;</t>
        </is>
      </c>
      <c r="N617" t="inlineStr">
        <is>
          <t>00000000</t>
        </is>
      </c>
      <c r="O617" t="inlineStr">
        <is>
          <t>center</t>
        </is>
      </c>
      <c r="P617" t="inlineStr">
        <is>
          <t>center</t>
        </is>
      </c>
      <c r="R617" t="b">
        <v>1</v>
      </c>
      <c r="S617" t="inlineStr">
        <is>
          <t>G000004</t>
        </is>
      </c>
      <c r="T617" t="inlineStr">
        <is>
          <t>Vertical</t>
        </is>
      </c>
      <c r="U617" t="n">
        <v>120</v>
      </c>
      <c r="V617" t="b">
        <v>1</v>
      </c>
      <c r="W617" t="inlineStr">
        <is>
          <t>Loan calculator!E17:E136</t>
        </is>
      </c>
      <c r="X617">
        <f>IFERROR(IF(LoanIsNotPaid*LoanIsGood,MonthlyPayment,0), 0)</f>
        <v/>
      </c>
    </row>
    <row r="618">
      <c r="A618" t="inlineStr">
        <is>
          <t>Loan calculator</t>
        </is>
      </c>
      <c r="B618" t="inlineStr">
        <is>
          <t>F64</t>
        </is>
      </c>
      <c r="C618" t="n">
        <v>64</v>
      </c>
      <c r="D618" t="n">
        <v>6</v>
      </c>
      <c r="E618" t="inlineStr">
        <is>
          <t>Output</t>
        </is>
      </c>
      <c r="F618" t="inlineStr">
        <is>
          <t>'=IFERROR(IF(LoanIsNotPaid*LoanIsGood,Principal,0), 0)</t>
        </is>
      </c>
      <c r="G618" t="n">
        <v>77.72472533596034</v>
      </c>
      <c r="H618" t="inlineStr"/>
      <c r="I618" t="inlineStr">
        <is>
          <t>"$"#,##0.00</t>
        </is>
      </c>
      <c r="J618" t="b">
        <v>0</v>
      </c>
      <c r="K618" t="b">
        <v>0</v>
      </c>
      <c r="L618" t="n">
        <v>9</v>
      </c>
      <c r="M618" t="inlineStr">
        <is>
          <t>Values must be of type &lt;class 'str'&gt;</t>
        </is>
      </c>
      <c r="N618" t="inlineStr">
        <is>
          <t>00000000</t>
        </is>
      </c>
      <c r="O618" t="inlineStr">
        <is>
          <t>center</t>
        </is>
      </c>
      <c r="P618" t="inlineStr">
        <is>
          <t>center</t>
        </is>
      </c>
      <c r="R618" t="b">
        <v>1</v>
      </c>
      <c r="S618" t="inlineStr">
        <is>
          <t>G000005</t>
        </is>
      </c>
      <c r="T618" t="inlineStr">
        <is>
          <t>Vertical</t>
        </is>
      </c>
      <c r="U618" t="n">
        <v>120</v>
      </c>
      <c r="V618" t="b">
        <v>1</v>
      </c>
      <c r="W618" t="inlineStr">
        <is>
          <t>Loan calculator!F17:F136</t>
        </is>
      </c>
      <c r="X618">
        <f>IFERROR(IF(LoanIsNotPaid*LoanIsGood,Principal,0), 0)</f>
        <v/>
      </c>
    </row>
    <row r="619">
      <c r="A619" t="inlineStr">
        <is>
          <t>Loan calculator</t>
        </is>
      </c>
      <c r="B619" t="inlineStr">
        <is>
          <t>G64</t>
        </is>
      </c>
      <c r="C619" t="n">
        <v>64</v>
      </c>
      <c r="D619" t="n">
        <v>7</v>
      </c>
      <c r="E619" t="inlineStr">
        <is>
          <t>Output</t>
        </is>
      </c>
      <c r="F619" t="inlineStr">
        <is>
          <t>'=IFERROR(IF(LoanIsNotPaid*LoanIsGood,InterestAmt,0), 0)</t>
        </is>
      </c>
      <c r="G619" t="n">
        <v>30.80155262452039</v>
      </c>
      <c r="H619" t="inlineStr"/>
      <c r="I619" t="inlineStr">
        <is>
          <t>"$"#,##0.00</t>
        </is>
      </c>
      <c r="J619" t="b">
        <v>0</v>
      </c>
      <c r="K619" t="b">
        <v>0</v>
      </c>
      <c r="L619" t="n">
        <v>9</v>
      </c>
      <c r="M619" t="inlineStr">
        <is>
          <t>Values must be of type &lt;class 'str'&gt;</t>
        </is>
      </c>
      <c r="N619" t="inlineStr">
        <is>
          <t>00000000</t>
        </is>
      </c>
      <c r="O619" t="inlineStr">
        <is>
          <t>center</t>
        </is>
      </c>
      <c r="P619" t="inlineStr">
        <is>
          <t>center</t>
        </is>
      </c>
      <c r="R619" t="b">
        <v>1</v>
      </c>
      <c r="S619" t="inlineStr">
        <is>
          <t>G000006</t>
        </is>
      </c>
      <c r="T619" t="inlineStr">
        <is>
          <t>Vertical</t>
        </is>
      </c>
      <c r="U619" t="n">
        <v>120</v>
      </c>
      <c r="V619" t="b">
        <v>1</v>
      </c>
      <c r="W619" t="inlineStr">
        <is>
          <t>Loan calculator!G17:G136</t>
        </is>
      </c>
      <c r="X619">
        <f>IFERROR(IF(LoanIsNotPaid*LoanIsGood,InterestAmt,0), 0)</f>
        <v/>
      </c>
    </row>
    <row r="620">
      <c r="A620" t="inlineStr">
        <is>
          <t>Loan calculator</t>
        </is>
      </c>
      <c r="B620" t="inlineStr">
        <is>
          <t>H64</t>
        </is>
      </c>
      <c r="C620" t="n">
        <v>64</v>
      </c>
      <c r="D620" t="n">
        <v>8</v>
      </c>
      <c r="E620" t="inlineStr">
        <is>
          <t>Output</t>
        </is>
      </c>
      <c r="F620" t="inlineStr">
        <is>
          <t>'=IFERROR(IF(LoanIsNotPaid*LoanIsGood,EndingBalance,0), 0)</t>
        </is>
      </c>
      <c r="G620" t="n">
        <v>6642.614029104847</v>
      </c>
      <c r="H620" t="inlineStr"/>
      <c r="I620" t="inlineStr">
        <is>
          <t>"$"#,##0.00</t>
        </is>
      </c>
      <c r="J620" t="b">
        <v>0</v>
      </c>
      <c r="K620" t="b">
        <v>0</v>
      </c>
      <c r="L620" t="n">
        <v>9</v>
      </c>
      <c r="M620" t="inlineStr">
        <is>
          <t>Values must be of type &lt;class 'str'&gt;</t>
        </is>
      </c>
      <c r="N620" t="inlineStr">
        <is>
          <t>00000000</t>
        </is>
      </c>
      <c r="O620" t="inlineStr">
        <is>
          <t>center</t>
        </is>
      </c>
      <c r="P620" t="inlineStr">
        <is>
          <t>center</t>
        </is>
      </c>
      <c r="R620" t="b">
        <v>1</v>
      </c>
      <c r="S620" t="inlineStr">
        <is>
          <t>G000007</t>
        </is>
      </c>
      <c r="T620" t="inlineStr">
        <is>
          <t>Vertical</t>
        </is>
      </c>
      <c r="U620" t="n">
        <v>120</v>
      </c>
      <c r="V620" t="b">
        <v>1</v>
      </c>
      <c r="W620" t="inlineStr">
        <is>
          <t>Loan calculator!H17:H136</t>
        </is>
      </c>
      <c r="X620">
        <f>IFERROR(IF(LoanIsNotPaid*LoanIsGood,EndingBalance,0), 0)</f>
        <v/>
      </c>
    </row>
    <row r="621">
      <c r="A621" t="inlineStr">
        <is>
          <t>Loan calculator</t>
        </is>
      </c>
      <c r="B621" t="inlineStr">
        <is>
          <t>I64</t>
        </is>
      </c>
      <c r="C621" t="n">
        <v>64</v>
      </c>
      <c r="D621" t="n">
        <v>9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11</v>
      </c>
      <c r="M621" t="inlineStr">
        <is>
          <t>Values must be of type &lt;class 'str'&gt;</t>
        </is>
      </c>
      <c r="N621" t="inlineStr">
        <is>
          <t>Values must be of type &lt;class 'str'&gt;</t>
        </is>
      </c>
      <c r="O621" t="n">
        <v/>
      </c>
      <c r="P621" t="inlineStr">
        <is>
          <t>center</t>
        </is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</row>
    <row r="622">
      <c r="A622" t="inlineStr">
        <is>
          <t>Loan calculator</t>
        </is>
      </c>
      <c r="B622" t="inlineStr">
        <is>
          <t>A65</t>
        </is>
      </c>
      <c r="C622" t="n">
        <v>65</v>
      </c>
      <c r="D622" t="n">
        <v>1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11</v>
      </c>
      <c r="M622" t="inlineStr">
        <is>
          <t>Values must be of type &lt;class 'str'&gt;</t>
        </is>
      </c>
      <c r="N622" t="inlineStr">
        <is>
          <t>Values must be of type &lt;class 'str'&gt;</t>
        </is>
      </c>
      <c r="O622" t="n">
        <v/>
      </c>
      <c r="P622" t="inlineStr">
        <is>
          <t>center</t>
        </is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</row>
    <row r="623">
      <c r="A623" t="inlineStr">
        <is>
          <t>Loan calculator</t>
        </is>
      </c>
      <c r="B623" t="inlineStr">
        <is>
          <t>B65</t>
        </is>
      </c>
      <c r="C623" t="n">
        <v>65</v>
      </c>
      <c r="D623" t="n">
        <v>2</v>
      </c>
      <c r="E623" t="inlineStr">
        <is>
          <t>Output</t>
        </is>
      </c>
      <c r="F623" t="inlineStr">
        <is>
          <t>'=IFERROR(IF(LoanIsNotPaid*LoanIsGood,PaymentNumber,""), "")</t>
        </is>
      </c>
      <c r="G623" t="n">
        <v>49</v>
      </c>
      <c r="H623" t="inlineStr"/>
      <c r="I623" t="inlineStr">
        <is>
          <t>#,##0</t>
        </is>
      </c>
      <c r="J623" t="b">
        <v>0</v>
      </c>
      <c r="K623" t="b">
        <v>0</v>
      </c>
      <c r="L623" t="n">
        <v>9</v>
      </c>
      <c r="M623" t="inlineStr">
        <is>
          <t>Values must be of type &lt;class 'str'&gt;</t>
        </is>
      </c>
      <c r="N623" t="inlineStr">
        <is>
          <t>00000000</t>
        </is>
      </c>
      <c r="O623" t="inlineStr">
        <is>
          <t>center</t>
        </is>
      </c>
      <c r="P623" t="inlineStr">
        <is>
          <t>center</t>
        </is>
      </c>
      <c r="R623" t="b">
        <v>1</v>
      </c>
      <c r="S623" t="inlineStr">
        <is>
          <t>G000001</t>
        </is>
      </c>
      <c r="T623" t="inlineStr">
        <is>
          <t>Vertical</t>
        </is>
      </c>
      <c r="U623" t="n">
        <v>120</v>
      </c>
      <c r="V623" t="b">
        <v>1</v>
      </c>
      <c r="W623" t="inlineStr">
        <is>
          <t>Loan calculator!B17:B136</t>
        </is>
      </c>
      <c r="X623">
        <f>IFERROR(IF(LoanIsNotPaid*LoanIsGood,PaymentNumber,""), "")</f>
        <v/>
      </c>
    </row>
    <row r="624">
      <c r="A624" t="inlineStr">
        <is>
          <t>Loan calculator</t>
        </is>
      </c>
      <c r="B624" t="inlineStr">
        <is>
          <t>C65</t>
        </is>
      </c>
      <c r="C624" t="n">
        <v>65</v>
      </c>
      <c r="D624" t="n">
        <v>3</v>
      </c>
      <c r="E624" t="inlineStr">
        <is>
          <t>Output</t>
        </is>
      </c>
      <c r="F624" t="inlineStr">
        <is>
          <t>'=IFERROR(IF(LoanIsNotPaid*LoanIsGood,PaymentDate,LoanStartDate), LoanStartDate)</t>
        </is>
      </c>
      <c r="G624" s="1" t="n">
        <v>47578</v>
      </c>
      <c r="H624" t="inlineStr"/>
      <c r="I624" t="inlineStr">
        <is>
          <t>mm-dd-yy</t>
        </is>
      </c>
      <c r="J624" t="b">
        <v>0</v>
      </c>
      <c r="K624" t="b">
        <v>0</v>
      </c>
      <c r="L624" t="n">
        <v>9</v>
      </c>
      <c r="M624" t="inlineStr">
        <is>
          <t>Values must be of type &lt;class 'str'&gt;</t>
        </is>
      </c>
      <c r="N624" t="inlineStr">
        <is>
          <t>00000000</t>
        </is>
      </c>
      <c r="O624" t="inlineStr">
        <is>
          <t>center</t>
        </is>
      </c>
      <c r="P624" t="inlineStr">
        <is>
          <t>center</t>
        </is>
      </c>
      <c r="R624" t="b">
        <v>1</v>
      </c>
      <c r="S624" t="inlineStr">
        <is>
          <t>G000002</t>
        </is>
      </c>
      <c r="T624" t="inlineStr">
        <is>
          <t>Vertical</t>
        </is>
      </c>
      <c r="U624" t="n">
        <v>120</v>
      </c>
      <c r="V624" t="b">
        <v>1</v>
      </c>
      <c r="W624" t="inlineStr">
        <is>
          <t>Loan calculator!C17:C136</t>
        </is>
      </c>
      <c r="X624">
        <f>IFERROR(IF(LoanIsNotPaid*LoanIsGood,PaymentDate,LoanStartDate), LoanStartDate)</f>
        <v/>
      </c>
    </row>
    <row r="625">
      <c r="A625" t="inlineStr">
        <is>
          <t>Loan calculator</t>
        </is>
      </c>
      <c r="B625" t="inlineStr">
        <is>
          <t>D65</t>
        </is>
      </c>
      <c r="C625" t="n">
        <v>65</v>
      </c>
      <c r="D625" t="n">
        <v>4</v>
      </c>
      <c r="E625" t="inlineStr">
        <is>
          <t>Output</t>
        </is>
      </c>
      <c r="F625" t="inlineStr">
        <is>
          <t>'=IFERROR(IF(LoanIsNotPaid*LoanIsGood,LoanValue,""), "")</t>
        </is>
      </c>
      <c r="G625" t="n">
        <v>6642.614029104847</v>
      </c>
      <c r="H625" t="inlineStr"/>
      <c r="I625" t="inlineStr">
        <is>
          <t>"$"#,##0.00</t>
        </is>
      </c>
      <c r="J625" t="b">
        <v>0</v>
      </c>
      <c r="K625" t="b">
        <v>0</v>
      </c>
      <c r="L625" t="n">
        <v>9</v>
      </c>
      <c r="M625" t="inlineStr">
        <is>
          <t>Values must be of type &lt;class 'str'&gt;</t>
        </is>
      </c>
      <c r="N625" t="inlineStr">
        <is>
          <t>00000000</t>
        </is>
      </c>
      <c r="O625" t="inlineStr">
        <is>
          <t>center</t>
        </is>
      </c>
      <c r="P625" t="inlineStr">
        <is>
          <t>center</t>
        </is>
      </c>
      <c r="R625" t="b">
        <v>1</v>
      </c>
      <c r="S625" t="inlineStr">
        <is>
          <t>G000003</t>
        </is>
      </c>
      <c r="T625" t="inlineStr">
        <is>
          <t>Vertical</t>
        </is>
      </c>
      <c r="U625" t="n">
        <v>120</v>
      </c>
      <c r="V625" t="b">
        <v>1</v>
      </c>
      <c r="W625" t="inlineStr">
        <is>
          <t>Loan calculator!D17:D136</t>
        </is>
      </c>
      <c r="X625">
        <f>IFERROR(IF(LoanIsNotPaid*LoanIsGood,LoanValue,""), "")</f>
        <v/>
      </c>
    </row>
    <row r="626">
      <c r="A626" t="inlineStr">
        <is>
          <t>Loan calculator</t>
        </is>
      </c>
      <c r="B626" t="inlineStr">
        <is>
          <t>E65</t>
        </is>
      </c>
      <c r="C626" t="n">
        <v>65</v>
      </c>
      <c r="D626" t="n">
        <v>5</v>
      </c>
      <c r="E626" t="inlineStr">
        <is>
          <t>Output</t>
        </is>
      </c>
      <c r="F626" t="inlineStr">
        <is>
          <t>'=IFERROR(IF(LoanIsNotPaid*LoanIsGood,MonthlyPayment,0), 0)</t>
        </is>
      </c>
      <c r="G626" t="n">
        <v>108.5262779604807</v>
      </c>
      <c r="H626" t="inlineStr"/>
      <c r="I626" t="inlineStr">
        <is>
          <t>"$"#,##0.00</t>
        </is>
      </c>
      <c r="J626" t="b">
        <v>0</v>
      </c>
      <c r="K626" t="b">
        <v>0</v>
      </c>
      <c r="L626" t="n">
        <v>9</v>
      </c>
      <c r="M626" t="inlineStr">
        <is>
          <t>Values must be of type &lt;class 'str'&gt;</t>
        </is>
      </c>
      <c r="N626" t="inlineStr">
        <is>
          <t>00000000</t>
        </is>
      </c>
      <c r="O626" t="inlineStr">
        <is>
          <t>center</t>
        </is>
      </c>
      <c r="P626" t="inlineStr">
        <is>
          <t>center</t>
        </is>
      </c>
      <c r="R626" t="b">
        <v>1</v>
      </c>
      <c r="S626" t="inlineStr">
        <is>
          <t>G000004</t>
        </is>
      </c>
      <c r="T626" t="inlineStr">
        <is>
          <t>Vertical</t>
        </is>
      </c>
      <c r="U626" t="n">
        <v>120</v>
      </c>
      <c r="V626" t="b">
        <v>1</v>
      </c>
      <c r="W626" t="inlineStr">
        <is>
          <t>Loan calculator!E17:E136</t>
        </is>
      </c>
      <c r="X626">
        <f>IFERROR(IF(LoanIsNotPaid*LoanIsGood,MonthlyPayment,0), 0)</f>
        <v/>
      </c>
    </row>
    <row r="627">
      <c r="A627" t="inlineStr">
        <is>
          <t>Loan calculator</t>
        </is>
      </c>
      <c r="B627" t="inlineStr">
        <is>
          <t>F65</t>
        </is>
      </c>
      <c r="C627" t="n">
        <v>65</v>
      </c>
      <c r="D627" t="n">
        <v>6</v>
      </c>
      <c r="E627" t="inlineStr">
        <is>
          <t>Output</t>
        </is>
      </c>
      <c r="F627" t="inlineStr">
        <is>
          <t>'=IFERROR(IF(LoanIsNotPaid*LoanIsGood,Principal,0), 0)</t>
        </is>
      </c>
      <c r="G627" t="n">
        <v>78.08096366041683</v>
      </c>
      <c r="H627" t="inlineStr"/>
      <c r="I627" t="inlineStr">
        <is>
          <t>"$"#,##0.00</t>
        </is>
      </c>
      <c r="J627" t="b">
        <v>0</v>
      </c>
      <c r="K627" t="b">
        <v>0</v>
      </c>
      <c r="L627" t="n">
        <v>9</v>
      </c>
      <c r="M627" t="inlineStr">
        <is>
          <t>Values must be of type &lt;class 'str'&gt;</t>
        </is>
      </c>
      <c r="N627" t="inlineStr">
        <is>
          <t>00000000</t>
        </is>
      </c>
      <c r="O627" t="inlineStr">
        <is>
          <t>center</t>
        </is>
      </c>
      <c r="P627" t="inlineStr">
        <is>
          <t>center</t>
        </is>
      </c>
      <c r="R627" t="b">
        <v>1</v>
      </c>
      <c r="S627" t="inlineStr">
        <is>
          <t>G000005</t>
        </is>
      </c>
      <c r="T627" t="inlineStr">
        <is>
          <t>Vertical</t>
        </is>
      </c>
      <c r="U627" t="n">
        <v>120</v>
      </c>
      <c r="V627" t="b">
        <v>1</v>
      </c>
      <c r="W627" t="inlineStr">
        <is>
          <t>Loan calculator!F17:F136</t>
        </is>
      </c>
      <c r="X627">
        <f>IFERROR(IF(LoanIsNotPaid*LoanIsGood,Principal,0), 0)</f>
        <v/>
      </c>
    </row>
    <row r="628">
      <c r="A628" t="inlineStr">
        <is>
          <t>Loan calculator</t>
        </is>
      </c>
      <c r="B628" t="inlineStr">
        <is>
          <t>G65</t>
        </is>
      </c>
      <c r="C628" t="n">
        <v>65</v>
      </c>
      <c r="D628" t="n">
        <v>7</v>
      </c>
      <c r="E628" t="inlineStr">
        <is>
          <t>Output</t>
        </is>
      </c>
      <c r="F628" t="inlineStr">
        <is>
          <t>'=IFERROR(IF(LoanIsNotPaid*LoanIsGood,InterestAmt,0), 0)</t>
        </is>
      </c>
      <c r="G628" t="n">
        <v>30.4453143000639</v>
      </c>
      <c r="H628" t="inlineStr"/>
      <c r="I628" t="inlineStr">
        <is>
          <t>"$"#,##0.00</t>
        </is>
      </c>
      <c r="J628" t="b">
        <v>0</v>
      </c>
      <c r="K628" t="b">
        <v>0</v>
      </c>
      <c r="L628" t="n">
        <v>9</v>
      </c>
      <c r="M628" t="inlineStr">
        <is>
          <t>Values must be of type &lt;class 'str'&gt;</t>
        </is>
      </c>
      <c r="N628" t="inlineStr">
        <is>
          <t>00000000</t>
        </is>
      </c>
      <c r="O628" t="inlineStr">
        <is>
          <t>center</t>
        </is>
      </c>
      <c r="P628" t="inlineStr">
        <is>
          <t>center</t>
        </is>
      </c>
      <c r="R628" t="b">
        <v>1</v>
      </c>
      <c r="S628" t="inlineStr">
        <is>
          <t>G000006</t>
        </is>
      </c>
      <c r="T628" t="inlineStr">
        <is>
          <t>Vertical</t>
        </is>
      </c>
      <c r="U628" t="n">
        <v>120</v>
      </c>
      <c r="V628" t="b">
        <v>1</v>
      </c>
      <c r="W628" t="inlineStr">
        <is>
          <t>Loan calculator!G17:G136</t>
        </is>
      </c>
      <c r="X628">
        <f>IFERROR(IF(LoanIsNotPaid*LoanIsGood,InterestAmt,0), 0)</f>
        <v/>
      </c>
    </row>
    <row r="629">
      <c r="A629" t="inlineStr">
        <is>
          <t>Loan calculator</t>
        </is>
      </c>
      <c r="B629" t="inlineStr">
        <is>
          <t>H65</t>
        </is>
      </c>
      <c r="C629" t="n">
        <v>65</v>
      </c>
      <c r="D629" t="n">
        <v>8</v>
      </c>
      <c r="E629" t="inlineStr">
        <is>
          <t>Output</t>
        </is>
      </c>
      <c r="F629" t="inlineStr">
        <is>
          <t>'=IFERROR(IF(LoanIsNotPaid*LoanIsGood,EndingBalance,0), 0)</t>
        </is>
      </c>
      <c r="G629" t="n">
        <v>6564.53306544443</v>
      </c>
      <c r="H629" t="inlineStr"/>
      <c r="I629" t="inlineStr">
        <is>
          <t>"$"#,##0.00</t>
        </is>
      </c>
      <c r="J629" t="b">
        <v>0</v>
      </c>
      <c r="K629" t="b">
        <v>0</v>
      </c>
      <c r="L629" t="n">
        <v>9</v>
      </c>
      <c r="M629" t="inlineStr">
        <is>
          <t>Values must be of type &lt;class 'str'&gt;</t>
        </is>
      </c>
      <c r="N629" t="inlineStr">
        <is>
          <t>00000000</t>
        </is>
      </c>
      <c r="O629" t="inlineStr">
        <is>
          <t>center</t>
        </is>
      </c>
      <c r="P629" t="inlineStr">
        <is>
          <t>center</t>
        </is>
      </c>
      <c r="R629" t="b">
        <v>1</v>
      </c>
      <c r="S629" t="inlineStr">
        <is>
          <t>G000007</t>
        </is>
      </c>
      <c r="T629" t="inlineStr">
        <is>
          <t>Vertical</t>
        </is>
      </c>
      <c r="U629" t="n">
        <v>120</v>
      </c>
      <c r="V629" t="b">
        <v>1</v>
      </c>
      <c r="W629" t="inlineStr">
        <is>
          <t>Loan calculator!H17:H136</t>
        </is>
      </c>
      <c r="X629">
        <f>IFERROR(IF(LoanIsNotPaid*LoanIsGood,EndingBalance,0), 0)</f>
        <v/>
      </c>
    </row>
    <row r="630">
      <c r="A630" t="inlineStr">
        <is>
          <t>Loan calculator</t>
        </is>
      </c>
      <c r="B630" t="inlineStr">
        <is>
          <t>I65</t>
        </is>
      </c>
      <c r="C630" t="n">
        <v>65</v>
      </c>
      <c r="D630" t="n">
        <v>9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11</v>
      </c>
      <c r="M630" t="inlineStr">
        <is>
          <t>Values must be of type &lt;class 'str'&gt;</t>
        </is>
      </c>
      <c r="N630" t="inlineStr">
        <is>
          <t>Values must be of type &lt;class 'str'&gt;</t>
        </is>
      </c>
      <c r="O630" t="n">
        <v/>
      </c>
      <c r="P630" t="inlineStr">
        <is>
          <t>center</t>
        </is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</row>
    <row r="631">
      <c r="A631" t="inlineStr">
        <is>
          <t>Loan calculator</t>
        </is>
      </c>
      <c r="B631" t="inlineStr">
        <is>
          <t>A66</t>
        </is>
      </c>
      <c r="C631" t="n">
        <v>66</v>
      </c>
      <c r="D631" t="n">
        <v>1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11</v>
      </c>
      <c r="M631" t="inlineStr">
        <is>
          <t>Values must be of type &lt;class 'str'&gt;</t>
        </is>
      </c>
      <c r="N631" t="inlineStr">
        <is>
          <t>Values must be of type &lt;class 'str'&gt;</t>
        </is>
      </c>
      <c r="O631" t="n">
        <v/>
      </c>
      <c r="P631" t="inlineStr">
        <is>
          <t>center</t>
        </is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</row>
    <row r="632">
      <c r="A632" t="inlineStr">
        <is>
          <t>Loan calculator</t>
        </is>
      </c>
      <c r="B632" t="inlineStr">
        <is>
          <t>B66</t>
        </is>
      </c>
      <c r="C632" t="n">
        <v>66</v>
      </c>
      <c r="D632" t="n">
        <v>2</v>
      </c>
      <c r="E632" t="inlineStr">
        <is>
          <t>Output</t>
        </is>
      </c>
      <c r="F632" t="inlineStr">
        <is>
          <t>'=IFERROR(IF(LoanIsNotPaid*LoanIsGood,PaymentNumber,""), "")</t>
        </is>
      </c>
      <c r="G632" t="n">
        <v>50</v>
      </c>
      <c r="H632" t="inlineStr"/>
      <c r="I632" t="inlineStr">
        <is>
          <t>#,##0</t>
        </is>
      </c>
      <c r="J632" t="b">
        <v>0</v>
      </c>
      <c r="K632" t="b">
        <v>0</v>
      </c>
      <c r="L632" t="n">
        <v>9</v>
      </c>
      <c r="M632" t="inlineStr">
        <is>
          <t>Values must be of type &lt;class 'str'&gt;</t>
        </is>
      </c>
      <c r="N632" t="inlineStr">
        <is>
          <t>00000000</t>
        </is>
      </c>
      <c r="O632" t="inlineStr">
        <is>
          <t>center</t>
        </is>
      </c>
      <c r="P632" t="inlineStr">
        <is>
          <t>center</t>
        </is>
      </c>
      <c r="R632" t="b">
        <v>1</v>
      </c>
      <c r="S632" t="inlineStr">
        <is>
          <t>G000001</t>
        </is>
      </c>
      <c r="T632" t="inlineStr">
        <is>
          <t>Vertical</t>
        </is>
      </c>
      <c r="U632" t="n">
        <v>120</v>
      </c>
      <c r="V632" t="b">
        <v>1</v>
      </c>
      <c r="W632" t="inlineStr">
        <is>
          <t>Loan calculator!B17:B136</t>
        </is>
      </c>
      <c r="X632">
        <f>IFERROR(IF(LoanIsNotPaid*LoanIsGood,PaymentNumber,""), "")</f>
        <v/>
      </c>
    </row>
    <row r="633">
      <c r="A633" t="inlineStr">
        <is>
          <t>Loan calculator</t>
        </is>
      </c>
      <c r="B633" t="inlineStr">
        <is>
          <t>C66</t>
        </is>
      </c>
      <c r="C633" t="n">
        <v>66</v>
      </c>
      <c r="D633" t="n">
        <v>3</v>
      </c>
      <c r="E633" t="inlineStr">
        <is>
          <t>Output</t>
        </is>
      </c>
      <c r="F633" t="inlineStr">
        <is>
          <t>'=IFERROR(IF(LoanIsNotPaid*LoanIsGood,PaymentDate,LoanStartDate), LoanStartDate)</t>
        </is>
      </c>
      <c r="G633" s="1" t="n">
        <v>47608</v>
      </c>
      <c r="H633" t="inlineStr"/>
      <c r="I633" t="inlineStr">
        <is>
          <t>mm-dd-yy</t>
        </is>
      </c>
      <c r="J633" t="b">
        <v>0</v>
      </c>
      <c r="K633" t="b">
        <v>0</v>
      </c>
      <c r="L633" t="n">
        <v>9</v>
      </c>
      <c r="M633" t="inlineStr">
        <is>
          <t>Values must be of type &lt;class 'str'&gt;</t>
        </is>
      </c>
      <c r="N633" t="inlineStr">
        <is>
          <t>00000000</t>
        </is>
      </c>
      <c r="O633" t="inlineStr">
        <is>
          <t>center</t>
        </is>
      </c>
      <c r="P633" t="inlineStr">
        <is>
          <t>center</t>
        </is>
      </c>
      <c r="R633" t="b">
        <v>1</v>
      </c>
      <c r="S633" t="inlineStr">
        <is>
          <t>G000002</t>
        </is>
      </c>
      <c r="T633" t="inlineStr">
        <is>
          <t>Vertical</t>
        </is>
      </c>
      <c r="U633" t="n">
        <v>120</v>
      </c>
      <c r="V633" t="b">
        <v>1</v>
      </c>
      <c r="W633" t="inlineStr">
        <is>
          <t>Loan calculator!C17:C136</t>
        </is>
      </c>
      <c r="X633">
        <f>IFERROR(IF(LoanIsNotPaid*LoanIsGood,PaymentDate,LoanStartDate), LoanStartDate)</f>
        <v/>
      </c>
    </row>
    <row r="634">
      <c r="A634" t="inlineStr">
        <is>
          <t>Loan calculator</t>
        </is>
      </c>
      <c r="B634" t="inlineStr">
        <is>
          <t>D66</t>
        </is>
      </c>
      <c r="C634" t="n">
        <v>66</v>
      </c>
      <c r="D634" t="n">
        <v>4</v>
      </c>
      <c r="E634" t="inlineStr">
        <is>
          <t>Output</t>
        </is>
      </c>
      <c r="F634" t="inlineStr">
        <is>
          <t>'=IFERROR(IF(LoanIsNotPaid*LoanIsGood,LoanValue,""), "")</t>
        </is>
      </c>
      <c r="G634" t="n">
        <v>6564.53306544443</v>
      </c>
      <c r="H634" t="inlineStr"/>
      <c r="I634" t="inlineStr">
        <is>
          <t>"$"#,##0.00</t>
        </is>
      </c>
      <c r="J634" t="b">
        <v>0</v>
      </c>
      <c r="K634" t="b">
        <v>0</v>
      </c>
      <c r="L634" t="n">
        <v>9</v>
      </c>
      <c r="M634" t="inlineStr">
        <is>
          <t>Values must be of type &lt;class 'str'&gt;</t>
        </is>
      </c>
      <c r="N634" t="inlineStr">
        <is>
          <t>00000000</t>
        </is>
      </c>
      <c r="O634" t="inlineStr">
        <is>
          <t>center</t>
        </is>
      </c>
      <c r="P634" t="inlineStr">
        <is>
          <t>center</t>
        </is>
      </c>
      <c r="R634" t="b">
        <v>1</v>
      </c>
      <c r="S634" t="inlineStr">
        <is>
          <t>G000003</t>
        </is>
      </c>
      <c r="T634" t="inlineStr">
        <is>
          <t>Vertical</t>
        </is>
      </c>
      <c r="U634" t="n">
        <v>120</v>
      </c>
      <c r="V634" t="b">
        <v>1</v>
      </c>
      <c r="W634" t="inlineStr">
        <is>
          <t>Loan calculator!D17:D136</t>
        </is>
      </c>
      <c r="X634">
        <f>IFERROR(IF(LoanIsNotPaid*LoanIsGood,LoanValue,""), "")</f>
        <v/>
      </c>
    </row>
    <row r="635">
      <c r="A635" t="inlineStr">
        <is>
          <t>Loan calculator</t>
        </is>
      </c>
      <c r="B635" t="inlineStr">
        <is>
          <t>E66</t>
        </is>
      </c>
      <c r="C635" t="n">
        <v>66</v>
      </c>
      <c r="D635" t="n">
        <v>5</v>
      </c>
      <c r="E635" t="inlineStr">
        <is>
          <t>Output</t>
        </is>
      </c>
      <c r="F635" t="inlineStr">
        <is>
          <t>'=IFERROR(IF(LoanIsNotPaid*LoanIsGood,MonthlyPayment,0), 0)</t>
        </is>
      </c>
      <c r="G635" t="n">
        <v>108.5262779604807</v>
      </c>
      <c r="H635" t="inlineStr"/>
      <c r="I635" t="inlineStr">
        <is>
          <t>"$"#,##0.00</t>
        </is>
      </c>
      <c r="J635" t="b">
        <v>0</v>
      </c>
      <c r="K635" t="b">
        <v>0</v>
      </c>
      <c r="L635" t="n">
        <v>9</v>
      </c>
      <c r="M635" t="inlineStr">
        <is>
          <t>Values must be of type &lt;class 'str'&gt;</t>
        </is>
      </c>
      <c r="N635" t="inlineStr">
        <is>
          <t>00000000</t>
        </is>
      </c>
      <c r="O635" t="inlineStr">
        <is>
          <t>center</t>
        </is>
      </c>
      <c r="P635" t="inlineStr">
        <is>
          <t>center</t>
        </is>
      </c>
      <c r="R635" t="b">
        <v>1</v>
      </c>
      <c r="S635" t="inlineStr">
        <is>
          <t>G000004</t>
        </is>
      </c>
      <c r="T635" t="inlineStr">
        <is>
          <t>Vertical</t>
        </is>
      </c>
      <c r="U635" t="n">
        <v>120</v>
      </c>
      <c r="V635" t="b">
        <v>1</v>
      </c>
      <c r="W635" t="inlineStr">
        <is>
          <t>Loan calculator!E17:E136</t>
        </is>
      </c>
      <c r="X635">
        <f>IFERROR(IF(LoanIsNotPaid*LoanIsGood,MonthlyPayment,0), 0)</f>
        <v/>
      </c>
    </row>
    <row r="636">
      <c r="A636" t="inlineStr">
        <is>
          <t>Loan calculator</t>
        </is>
      </c>
      <c r="B636" t="inlineStr">
        <is>
          <t>F66</t>
        </is>
      </c>
      <c r="C636" t="n">
        <v>66</v>
      </c>
      <c r="D636" t="n">
        <v>6</v>
      </c>
      <c r="E636" t="inlineStr">
        <is>
          <t>Output</t>
        </is>
      </c>
      <c r="F636" t="inlineStr">
        <is>
          <t>'=IFERROR(IF(LoanIsNotPaid*LoanIsGood,Principal,0), 0)</t>
        </is>
      </c>
      <c r="G636" t="n">
        <v>78.43883474386041</v>
      </c>
      <c r="H636" t="inlineStr"/>
      <c r="I636" t="inlineStr">
        <is>
          <t>"$"#,##0.00</t>
        </is>
      </c>
      <c r="J636" t="b">
        <v>0</v>
      </c>
      <c r="K636" t="b">
        <v>0</v>
      </c>
      <c r="L636" t="n">
        <v>9</v>
      </c>
      <c r="M636" t="inlineStr">
        <is>
          <t>Values must be of type &lt;class 'str'&gt;</t>
        </is>
      </c>
      <c r="N636" t="inlineStr">
        <is>
          <t>00000000</t>
        </is>
      </c>
      <c r="O636" t="inlineStr">
        <is>
          <t>center</t>
        </is>
      </c>
      <c r="P636" t="inlineStr">
        <is>
          <t>center</t>
        </is>
      </c>
      <c r="R636" t="b">
        <v>1</v>
      </c>
      <c r="S636" t="inlineStr">
        <is>
          <t>G000005</t>
        </is>
      </c>
      <c r="T636" t="inlineStr">
        <is>
          <t>Vertical</t>
        </is>
      </c>
      <c r="U636" t="n">
        <v>120</v>
      </c>
      <c r="V636" t="b">
        <v>1</v>
      </c>
      <c r="W636" t="inlineStr">
        <is>
          <t>Loan calculator!F17:F136</t>
        </is>
      </c>
      <c r="X636">
        <f>IFERROR(IF(LoanIsNotPaid*LoanIsGood,Principal,0), 0)</f>
        <v/>
      </c>
    </row>
    <row r="637">
      <c r="A637" t="inlineStr">
        <is>
          <t>Loan calculator</t>
        </is>
      </c>
      <c r="B637" t="inlineStr">
        <is>
          <t>G66</t>
        </is>
      </c>
      <c r="C637" t="n">
        <v>66</v>
      </c>
      <c r="D637" t="n">
        <v>7</v>
      </c>
      <c r="E637" t="inlineStr">
        <is>
          <t>Output</t>
        </is>
      </c>
      <c r="F637" t="inlineStr">
        <is>
          <t>'=IFERROR(IF(LoanIsNotPaid*LoanIsGood,InterestAmt,0), 0)</t>
        </is>
      </c>
      <c r="G637" t="n">
        <v>30.08744321662033</v>
      </c>
      <c r="H637" t="inlineStr"/>
      <c r="I637" t="inlineStr">
        <is>
          <t>"$"#,##0.00</t>
        </is>
      </c>
      <c r="J637" t="b">
        <v>0</v>
      </c>
      <c r="K637" t="b">
        <v>0</v>
      </c>
      <c r="L637" t="n">
        <v>9</v>
      </c>
      <c r="M637" t="inlineStr">
        <is>
          <t>Values must be of type &lt;class 'str'&gt;</t>
        </is>
      </c>
      <c r="N637" t="inlineStr">
        <is>
          <t>00000000</t>
        </is>
      </c>
      <c r="O637" t="inlineStr">
        <is>
          <t>center</t>
        </is>
      </c>
      <c r="P637" t="inlineStr">
        <is>
          <t>center</t>
        </is>
      </c>
      <c r="R637" t="b">
        <v>1</v>
      </c>
      <c r="S637" t="inlineStr">
        <is>
          <t>G000006</t>
        </is>
      </c>
      <c r="T637" t="inlineStr">
        <is>
          <t>Vertical</t>
        </is>
      </c>
      <c r="U637" t="n">
        <v>120</v>
      </c>
      <c r="V637" t="b">
        <v>1</v>
      </c>
      <c r="W637" t="inlineStr">
        <is>
          <t>Loan calculator!G17:G136</t>
        </is>
      </c>
      <c r="X637">
        <f>IFERROR(IF(LoanIsNotPaid*LoanIsGood,InterestAmt,0), 0)</f>
        <v/>
      </c>
    </row>
    <row r="638">
      <c r="A638" t="inlineStr">
        <is>
          <t>Loan calculator</t>
        </is>
      </c>
      <c r="B638" t="inlineStr">
        <is>
          <t>H66</t>
        </is>
      </c>
      <c r="C638" t="n">
        <v>66</v>
      </c>
      <c r="D638" t="n">
        <v>8</v>
      </c>
      <c r="E638" t="inlineStr">
        <is>
          <t>Output</t>
        </is>
      </c>
      <c r="F638" t="inlineStr">
        <is>
          <t>'=IFERROR(IF(LoanIsNotPaid*LoanIsGood,EndingBalance,0), 0)</t>
        </is>
      </c>
      <c r="G638" t="n">
        <v>6486.094230700569</v>
      </c>
      <c r="H638" t="inlineStr"/>
      <c r="I638" t="inlineStr">
        <is>
          <t>"$"#,##0.00</t>
        </is>
      </c>
      <c r="J638" t="b">
        <v>0</v>
      </c>
      <c r="K638" t="b">
        <v>0</v>
      </c>
      <c r="L638" t="n">
        <v>9</v>
      </c>
      <c r="M638" t="inlineStr">
        <is>
          <t>Values must be of type &lt;class 'str'&gt;</t>
        </is>
      </c>
      <c r="N638" t="inlineStr">
        <is>
          <t>00000000</t>
        </is>
      </c>
      <c r="O638" t="inlineStr">
        <is>
          <t>center</t>
        </is>
      </c>
      <c r="P638" t="inlineStr">
        <is>
          <t>center</t>
        </is>
      </c>
      <c r="R638" t="b">
        <v>1</v>
      </c>
      <c r="S638" t="inlineStr">
        <is>
          <t>G000007</t>
        </is>
      </c>
      <c r="T638" t="inlineStr">
        <is>
          <t>Vertical</t>
        </is>
      </c>
      <c r="U638" t="n">
        <v>120</v>
      </c>
      <c r="V638" t="b">
        <v>1</v>
      </c>
      <c r="W638" t="inlineStr">
        <is>
          <t>Loan calculator!H17:H136</t>
        </is>
      </c>
      <c r="X638">
        <f>IFERROR(IF(LoanIsNotPaid*LoanIsGood,EndingBalance,0), 0)</f>
        <v/>
      </c>
    </row>
    <row r="639">
      <c r="A639" t="inlineStr">
        <is>
          <t>Loan calculator</t>
        </is>
      </c>
      <c r="B639" t="inlineStr">
        <is>
          <t>I66</t>
        </is>
      </c>
      <c r="C639" t="n">
        <v>66</v>
      </c>
      <c r="D639" t="n">
        <v>9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11</v>
      </c>
      <c r="M639" t="inlineStr">
        <is>
          <t>Values must be of type &lt;class 'str'&gt;</t>
        </is>
      </c>
      <c r="N639" t="inlineStr">
        <is>
          <t>Values must be of type &lt;class 'str'&gt;</t>
        </is>
      </c>
      <c r="O639" t="n">
        <v/>
      </c>
      <c r="P639" t="inlineStr">
        <is>
          <t>center</t>
        </is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</row>
    <row r="640">
      <c r="A640" t="inlineStr">
        <is>
          <t>Loan calculator</t>
        </is>
      </c>
      <c r="B640" t="inlineStr">
        <is>
          <t>A67</t>
        </is>
      </c>
      <c r="C640" t="n">
        <v>67</v>
      </c>
      <c r="D640" t="n">
        <v>1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11</v>
      </c>
      <c r="M640" t="inlineStr">
        <is>
          <t>Values must be of type &lt;class 'str'&gt;</t>
        </is>
      </c>
      <c r="N640" t="inlineStr">
        <is>
          <t>Values must be of type &lt;class 'str'&gt;</t>
        </is>
      </c>
      <c r="O640" t="n">
        <v/>
      </c>
      <c r="P640" t="inlineStr">
        <is>
          <t>center</t>
        </is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</row>
    <row r="641">
      <c r="A641" t="inlineStr">
        <is>
          <t>Loan calculator</t>
        </is>
      </c>
      <c r="B641" t="inlineStr">
        <is>
          <t>B67</t>
        </is>
      </c>
      <c r="C641" t="n">
        <v>67</v>
      </c>
      <c r="D641" t="n">
        <v>2</v>
      </c>
      <c r="E641" t="inlineStr">
        <is>
          <t>Output</t>
        </is>
      </c>
      <c r="F641" t="inlineStr">
        <is>
          <t>'=IFERROR(IF(LoanIsNotPaid*LoanIsGood,PaymentNumber,""), "")</t>
        </is>
      </c>
      <c r="G641" t="n">
        <v>51</v>
      </c>
      <c r="H641" t="inlineStr"/>
      <c r="I641" t="inlineStr">
        <is>
          <t>#,##0</t>
        </is>
      </c>
      <c r="J641" t="b">
        <v>0</v>
      </c>
      <c r="K641" t="b">
        <v>0</v>
      </c>
      <c r="L641" t="n">
        <v>9</v>
      </c>
      <c r="M641" t="inlineStr">
        <is>
          <t>Values must be of type &lt;class 'str'&gt;</t>
        </is>
      </c>
      <c r="N641" t="inlineStr">
        <is>
          <t>00000000</t>
        </is>
      </c>
      <c r="O641" t="inlineStr">
        <is>
          <t>center</t>
        </is>
      </c>
      <c r="P641" t="inlineStr">
        <is>
          <t>center</t>
        </is>
      </c>
      <c r="R641" t="b">
        <v>1</v>
      </c>
      <c r="S641" t="inlineStr">
        <is>
          <t>G000001</t>
        </is>
      </c>
      <c r="T641" t="inlineStr">
        <is>
          <t>Vertical</t>
        </is>
      </c>
      <c r="U641" t="n">
        <v>120</v>
      </c>
      <c r="V641" t="b">
        <v>1</v>
      </c>
      <c r="W641" t="inlineStr">
        <is>
          <t>Loan calculator!B17:B136</t>
        </is>
      </c>
      <c r="X641">
        <f>IFERROR(IF(LoanIsNotPaid*LoanIsGood,PaymentNumber,""), "")</f>
        <v/>
      </c>
    </row>
    <row r="642">
      <c r="A642" t="inlineStr">
        <is>
          <t>Loan calculator</t>
        </is>
      </c>
      <c r="B642" t="inlineStr">
        <is>
          <t>C67</t>
        </is>
      </c>
      <c r="C642" t="n">
        <v>67</v>
      </c>
      <c r="D642" t="n">
        <v>3</v>
      </c>
      <c r="E642" t="inlineStr">
        <is>
          <t>Output</t>
        </is>
      </c>
      <c r="F642" t="inlineStr">
        <is>
          <t>'=IFERROR(IF(LoanIsNotPaid*LoanIsGood,PaymentDate,LoanStartDate), LoanStartDate)</t>
        </is>
      </c>
      <c r="G642" s="1" t="n">
        <v>47639</v>
      </c>
      <c r="H642" t="inlineStr"/>
      <c r="I642" t="inlineStr">
        <is>
          <t>mm-dd-yy</t>
        </is>
      </c>
      <c r="J642" t="b">
        <v>0</v>
      </c>
      <c r="K642" t="b">
        <v>0</v>
      </c>
      <c r="L642" t="n">
        <v>9</v>
      </c>
      <c r="M642" t="inlineStr">
        <is>
          <t>Values must be of type &lt;class 'str'&gt;</t>
        </is>
      </c>
      <c r="N642" t="inlineStr">
        <is>
          <t>00000000</t>
        </is>
      </c>
      <c r="O642" t="inlineStr">
        <is>
          <t>center</t>
        </is>
      </c>
      <c r="P642" t="inlineStr">
        <is>
          <t>center</t>
        </is>
      </c>
      <c r="R642" t="b">
        <v>1</v>
      </c>
      <c r="S642" t="inlineStr">
        <is>
          <t>G000002</t>
        </is>
      </c>
      <c r="T642" t="inlineStr">
        <is>
          <t>Vertical</t>
        </is>
      </c>
      <c r="U642" t="n">
        <v>120</v>
      </c>
      <c r="V642" t="b">
        <v>1</v>
      </c>
      <c r="W642" t="inlineStr">
        <is>
          <t>Loan calculator!C17:C136</t>
        </is>
      </c>
      <c r="X642">
        <f>IFERROR(IF(LoanIsNotPaid*LoanIsGood,PaymentDate,LoanStartDate), LoanStartDate)</f>
        <v/>
      </c>
    </row>
    <row r="643">
      <c r="A643" t="inlineStr">
        <is>
          <t>Loan calculator</t>
        </is>
      </c>
      <c r="B643" t="inlineStr">
        <is>
          <t>D67</t>
        </is>
      </c>
      <c r="C643" t="n">
        <v>67</v>
      </c>
      <c r="D643" t="n">
        <v>4</v>
      </c>
      <c r="E643" t="inlineStr">
        <is>
          <t>Output</t>
        </is>
      </c>
      <c r="F643" t="inlineStr">
        <is>
          <t>'=IFERROR(IF(LoanIsNotPaid*LoanIsGood,LoanValue,""), "")</t>
        </is>
      </c>
      <c r="G643" t="n">
        <v>6486.094230700569</v>
      </c>
      <c r="H643" t="inlineStr"/>
      <c r="I643" t="inlineStr">
        <is>
          <t>"$"#,##0.00</t>
        </is>
      </c>
      <c r="J643" t="b">
        <v>0</v>
      </c>
      <c r="K643" t="b">
        <v>0</v>
      </c>
      <c r="L643" t="n">
        <v>9</v>
      </c>
      <c r="M643" t="inlineStr">
        <is>
          <t>Values must be of type &lt;class 'str'&gt;</t>
        </is>
      </c>
      <c r="N643" t="inlineStr">
        <is>
          <t>00000000</t>
        </is>
      </c>
      <c r="O643" t="inlineStr">
        <is>
          <t>center</t>
        </is>
      </c>
      <c r="P643" t="inlineStr">
        <is>
          <t>center</t>
        </is>
      </c>
      <c r="R643" t="b">
        <v>1</v>
      </c>
      <c r="S643" t="inlineStr">
        <is>
          <t>G000003</t>
        </is>
      </c>
      <c r="T643" t="inlineStr">
        <is>
          <t>Vertical</t>
        </is>
      </c>
      <c r="U643" t="n">
        <v>120</v>
      </c>
      <c r="V643" t="b">
        <v>1</v>
      </c>
      <c r="W643" t="inlineStr">
        <is>
          <t>Loan calculator!D17:D136</t>
        </is>
      </c>
      <c r="X643">
        <f>IFERROR(IF(LoanIsNotPaid*LoanIsGood,LoanValue,""), "")</f>
        <v/>
      </c>
    </row>
    <row r="644">
      <c r="A644" t="inlineStr">
        <is>
          <t>Loan calculator</t>
        </is>
      </c>
      <c r="B644" t="inlineStr">
        <is>
          <t>E67</t>
        </is>
      </c>
      <c r="C644" t="n">
        <v>67</v>
      </c>
      <c r="D644" t="n">
        <v>5</v>
      </c>
      <c r="E644" t="inlineStr">
        <is>
          <t>Output</t>
        </is>
      </c>
      <c r="F644" t="inlineStr">
        <is>
          <t>'=IFERROR(IF(LoanIsNotPaid*LoanIsGood,MonthlyPayment,0), 0)</t>
        </is>
      </c>
      <c r="G644" t="n">
        <v>108.5262779604807</v>
      </c>
      <c r="H644" t="inlineStr"/>
      <c r="I644" t="inlineStr">
        <is>
          <t>"$"#,##0.00</t>
        </is>
      </c>
      <c r="J644" t="b">
        <v>0</v>
      </c>
      <c r="K644" t="b">
        <v>0</v>
      </c>
      <c r="L644" t="n">
        <v>9</v>
      </c>
      <c r="M644" t="inlineStr">
        <is>
          <t>Values must be of type &lt;class 'str'&gt;</t>
        </is>
      </c>
      <c r="N644" t="inlineStr">
        <is>
          <t>00000000</t>
        </is>
      </c>
      <c r="O644" t="inlineStr">
        <is>
          <t>center</t>
        </is>
      </c>
      <c r="P644" t="inlineStr">
        <is>
          <t>center</t>
        </is>
      </c>
      <c r="R644" t="b">
        <v>1</v>
      </c>
      <c r="S644" t="inlineStr">
        <is>
          <t>G000004</t>
        </is>
      </c>
      <c r="T644" t="inlineStr">
        <is>
          <t>Vertical</t>
        </is>
      </c>
      <c r="U644" t="n">
        <v>120</v>
      </c>
      <c r="V644" t="b">
        <v>1</v>
      </c>
      <c r="W644" t="inlineStr">
        <is>
          <t>Loan calculator!E17:E136</t>
        </is>
      </c>
      <c r="X644">
        <f>IFERROR(IF(LoanIsNotPaid*LoanIsGood,MonthlyPayment,0), 0)</f>
        <v/>
      </c>
    </row>
    <row r="645">
      <c r="A645" t="inlineStr">
        <is>
          <t>Loan calculator</t>
        </is>
      </c>
      <c r="B645" t="inlineStr">
        <is>
          <t>F67</t>
        </is>
      </c>
      <c r="C645" t="n">
        <v>67</v>
      </c>
      <c r="D645" t="n">
        <v>6</v>
      </c>
      <c r="E645" t="inlineStr">
        <is>
          <t>Output</t>
        </is>
      </c>
      <c r="F645" t="inlineStr">
        <is>
          <t>'=IFERROR(IF(LoanIsNotPaid*LoanIsGood,Principal,0), 0)</t>
        </is>
      </c>
      <c r="G645" t="n">
        <v>78.79834606976975</v>
      </c>
      <c r="H645" t="inlineStr"/>
      <c r="I645" t="inlineStr">
        <is>
          <t>"$"#,##0.00</t>
        </is>
      </c>
      <c r="J645" t="b">
        <v>0</v>
      </c>
      <c r="K645" t="b">
        <v>0</v>
      </c>
      <c r="L645" t="n">
        <v>9</v>
      </c>
      <c r="M645" t="inlineStr">
        <is>
          <t>Values must be of type &lt;class 'str'&gt;</t>
        </is>
      </c>
      <c r="N645" t="inlineStr">
        <is>
          <t>00000000</t>
        </is>
      </c>
      <c r="O645" t="inlineStr">
        <is>
          <t>center</t>
        </is>
      </c>
      <c r="P645" t="inlineStr">
        <is>
          <t>center</t>
        </is>
      </c>
      <c r="R645" t="b">
        <v>1</v>
      </c>
      <c r="S645" t="inlineStr">
        <is>
          <t>G000005</t>
        </is>
      </c>
      <c r="T645" t="inlineStr">
        <is>
          <t>Vertical</t>
        </is>
      </c>
      <c r="U645" t="n">
        <v>120</v>
      </c>
      <c r="V645" t="b">
        <v>1</v>
      </c>
      <c r="W645" t="inlineStr">
        <is>
          <t>Loan calculator!F17:F136</t>
        </is>
      </c>
      <c r="X645">
        <f>IFERROR(IF(LoanIsNotPaid*LoanIsGood,Principal,0), 0)</f>
        <v/>
      </c>
    </row>
    <row r="646">
      <c r="A646" t="inlineStr">
        <is>
          <t>Loan calculator</t>
        </is>
      </c>
      <c r="B646" t="inlineStr">
        <is>
          <t>G67</t>
        </is>
      </c>
      <c r="C646" t="n">
        <v>67</v>
      </c>
      <c r="D646" t="n">
        <v>7</v>
      </c>
      <c r="E646" t="inlineStr">
        <is>
          <t>Output</t>
        </is>
      </c>
      <c r="F646" t="inlineStr">
        <is>
          <t>'=IFERROR(IF(LoanIsNotPaid*LoanIsGood,InterestAmt,0), 0)</t>
        </is>
      </c>
      <c r="G646" t="n">
        <v>29.72793189071096</v>
      </c>
      <c r="H646" t="inlineStr"/>
      <c r="I646" t="inlineStr">
        <is>
          <t>"$"#,##0.00</t>
        </is>
      </c>
      <c r="J646" t="b">
        <v>0</v>
      </c>
      <c r="K646" t="b">
        <v>0</v>
      </c>
      <c r="L646" t="n">
        <v>9</v>
      </c>
      <c r="M646" t="inlineStr">
        <is>
          <t>Values must be of type &lt;class 'str'&gt;</t>
        </is>
      </c>
      <c r="N646" t="inlineStr">
        <is>
          <t>00000000</t>
        </is>
      </c>
      <c r="O646" t="inlineStr">
        <is>
          <t>center</t>
        </is>
      </c>
      <c r="P646" t="inlineStr">
        <is>
          <t>center</t>
        </is>
      </c>
      <c r="R646" t="b">
        <v>1</v>
      </c>
      <c r="S646" t="inlineStr">
        <is>
          <t>G000006</t>
        </is>
      </c>
      <c r="T646" t="inlineStr">
        <is>
          <t>Vertical</t>
        </is>
      </c>
      <c r="U646" t="n">
        <v>120</v>
      </c>
      <c r="V646" t="b">
        <v>1</v>
      </c>
      <c r="W646" t="inlineStr">
        <is>
          <t>Loan calculator!G17:G136</t>
        </is>
      </c>
      <c r="X646">
        <f>IFERROR(IF(LoanIsNotPaid*LoanIsGood,InterestAmt,0), 0)</f>
        <v/>
      </c>
    </row>
    <row r="647">
      <c r="A647" t="inlineStr">
        <is>
          <t>Loan calculator</t>
        </is>
      </c>
      <c r="B647" t="inlineStr">
        <is>
          <t>H67</t>
        </is>
      </c>
      <c r="C647" t="n">
        <v>67</v>
      </c>
      <c r="D647" t="n">
        <v>8</v>
      </c>
      <c r="E647" t="inlineStr">
        <is>
          <t>Output</t>
        </is>
      </c>
      <c r="F647" t="inlineStr">
        <is>
          <t>'=IFERROR(IF(LoanIsNotPaid*LoanIsGood,EndingBalance,0), 0)</t>
        </is>
      </c>
      <c r="G647" t="n">
        <v>6407.295884630799</v>
      </c>
      <c r="H647" t="inlineStr"/>
      <c r="I647" t="inlineStr">
        <is>
          <t>"$"#,##0.00</t>
        </is>
      </c>
      <c r="J647" t="b">
        <v>0</v>
      </c>
      <c r="K647" t="b">
        <v>0</v>
      </c>
      <c r="L647" t="n">
        <v>9</v>
      </c>
      <c r="M647" t="inlineStr">
        <is>
          <t>Values must be of type &lt;class 'str'&gt;</t>
        </is>
      </c>
      <c r="N647" t="inlineStr">
        <is>
          <t>00000000</t>
        </is>
      </c>
      <c r="O647" t="inlineStr">
        <is>
          <t>center</t>
        </is>
      </c>
      <c r="P647" t="inlineStr">
        <is>
          <t>center</t>
        </is>
      </c>
      <c r="R647" t="b">
        <v>1</v>
      </c>
      <c r="S647" t="inlineStr">
        <is>
          <t>G000007</t>
        </is>
      </c>
      <c r="T647" t="inlineStr">
        <is>
          <t>Vertical</t>
        </is>
      </c>
      <c r="U647" t="n">
        <v>120</v>
      </c>
      <c r="V647" t="b">
        <v>1</v>
      </c>
      <c r="W647" t="inlineStr">
        <is>
          <t>Loan calculator!H17:H136</t>
        </is>
      </c>
      <c r="X647">
        <f>IFERROR(IF(LoanIsNotPaid*LoanIsGood,EndingBalance,0), 0)</f>
        <v/>
      </c>
    </row>
    <row r="648">
      <c r="A648" t="inlineStr">
        <is>
          <t>Loan calculator</t>
        </is>
      </c>
      <c r="B648" t="inlineStr">
        <is>
          <t>I67</t>
        </is>
      </c>
      <c r="C648" t="n">
        <v>67</v>
      </c>
      <c r="D648" t="n">
        <v>9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11</v>
      </c>
      <c r="M648" t="inlineStr">
        <is>
          <t>Values must be of type &lt;class 'str'&gt;</t>
        </is>
      </c>
      <c r="N648" t="inlineStr">
        <is>
          <t>Values must be of type &lt;class 'str'&gt;</t>
        </is>
      </c>
      <c r="O648" t="n">
        <v/>
      </c>
      <c r="P648" t="inlineStr">
        <is>
          <t>center</t>
        </is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</row>
    <row r="649">
      <c r="A649" t="inlineStr">
        <is>
          <t>Loan calculator</t>
        </is>
      </c>
      <c r="B649" t="inlineStr">
        <is>
          <t>A68</t>
        </is>
      </c>
      <c r="C649" t="n">
        <v>68</v>
      </c>
      <c r="D649" t="n">
        <v>1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11</v>
      </c>
      <c r="M649" t="inlineStr">
        <is>
          <t>Values must be of type &lt;class 'str'&gt;</t>
        </is>
      </c>
      <c r="N649" t="inlineStr">
        <is>
          <t>Values must be of type &lt;class 'str'&gt;</t>
        </is>
      </c>
      <c r="O649" t="n">
        <v/>
      </c>
      <c r="P649" t="inlineStr">
        <is>
          <t>center</t>
        </is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</row>
    <row r="650">
      <c r="A650" t="inlineStr">
        <is>
          <t>Loan calculator</t>
        </is>
      </c>
      <c r="B650" t="inlineStr">
        <is>
          <t>B68</t>
        </is>
      </c>
      <c r="C650" t="n">
        <v>68</v>
      </c>
      <c r="D650" t="n">
        <v>2</v>
      </c>
      <c r="E650" t="inlineStr">
        <is>
          <t>Output</t>
        </is>
      </c>
      <c r="F650" t="inlineStr">
        <is>
          <t>'=IFERROR(IF(LoanIsNotPaid*LoanIsGood,PaymentNumber,""), "")</t>
        </is>
      </c>
      <c r="G650" t="n">
        <v>52</v>
      </c>
      <c r="H650" t="inlineStr"/>
      <c r="I650" t="inlineStr">
        <is>
          <t>#,##0</t>
        </is>
      </c>
      <c r="J650" t="b">
        <v>0</v>
      </c>
      <c r="K650" t="b">
        <v>0</v>
      </c>
      <c r="L650" t="n">
        <v>9</v>
      </c>
      <c r="M650" t="inlineStr">
        <is>
          <t>Values must be of type &lt;class 'str'&gt;</t>
        </is>
      </c>
      <c r="N650" t="inlineStr">
        <is>
          <t>00000000</t>
        </is>
      </c>
      <c r="O650" t="inlineStr">
        <is>
          <t>center</t>
        </is>
      </c>
      <c r="P650" t="inlineStr">
        <is>
          <t>center</t>
        </is>
      </c>
      <c r="R650" t="b">
        <v>1</v>
      </c>
      <c r="S650" t="inlineStr">
        <is>
          <t>G000001</t>
        </is>
      </c>
      <c r="T650" t="inlineStr">
        <is>
          <t>Vertical</t>
        </is>
      </c>
      <c r="U650" t="n">
        <v>120</v>
      </c>
      <c r="V650" t="b">
        <v>1</v>
      </c>
      <c r="W650" t="inlineStr">
        <is>
          <t>Loan calculator!B17:B136</t>
        </is>
      </c>
      <c r="X650">
        <f>IFERROR(IF(LoanIsNotPaid*LoanIsGood,PaymentNumber,""), "")</f>
        <v/>
      </c>
    </row>
    <row r="651">
      <c r="A651" t="inlineStr">
        <is>
          <t>Loan calculator</t>
        </is>
      </c>
      <c r="B651" t="inlineStr">
        <is>
          <t>C68</t>
        </is>
      </c>
      <c r="C651" t="n">
        <v>68</v>
      </c>
      <c r="D651" t="n">
        <v>3</v>
      </c>
      <c r="E651" t="inlineStr">
        <is>
          <t>Output</t>
        </is>
      </c>
      <c r="F651" t="inlineStr">
        <is>
          <t>'=IFERROR(IF(LoanIsNotPaid*LoanIsGood,PaymentDate,LoanStartDate), LoanStartDate)</t>
        </is>
      </c>
      <c r="G651" s="1" t="n">
        <v>47669</v>
      </c>
      <c r="H651" t="inlineStr"/>
      <c r="I651" t="inlineStr">
        <is>
          <t>mm-dd-yy</t>
        </is>
      </c>
      <c r="J651" t="b">
        <v>0</v>
      </c>
      <c r="K651" t="b">
        <v>0</v>
      </c>
      <c r="L651" t="n">
        <v>9</v>
      </c>
      <c r="M651" t="inlineStr">
        <is>
          <t>Values must be of type &lt;class 'str'&gt;</t>
        </is>
      </c>
      <c r="N651" t="inlineStr">
        <is>
          <t>00000000</t>
        </is>
      </c>
      <c r="O651" t="inlineStr">
        <is>
          <t>center</t>
        </is>
      </c>
      <c r="P651" t="inlineStr">
        <is>
          <t>center</t>
        </is>
      </c>
      <c r="R651" t="b">
        <v>1</v>
      </c>
      <c r="S651" t="inlineStr">
        <is>
          <t>G000002</t>
        </is>
      </c>
      <c r="T651" t="inlineStr">
        <is>
          <t>Vertical</t>
        </is>
      </c>
      <c r="U651" t="n">
        <v>120</v>
      </c>
      <c r="V651" t="b">
        <v>1</v>
      </c>
      <c r="W651" t="inlineStr">
        <is>
          <t>Loan calculator!C17:C136</t>
        </is>
      </c>
      <c r="X651">
        <f>IFERROR(IF(LoanIsNotPaid*LoanIsGood,PaymentDate,LoanStartDate), LoanStartDate)</f>
        <v/>
      </c>
    </row>
    <row r="652">
      <c r="A652" t="inlineStr">
        <is>
          <t>Loan calculator</t>
        </is>
      </c>
      <c r="B652" t="inlineStr">
        <is>
          <t>D68</t>
        </is>
      </c>
      <c r="C652" t="n">
        <v>68</v>
      </c>
      <c r="D652" t="n">
        <v>4</v>
      </c>
      <c r="E652" t="inlineStr">
        <is>
          <t>Output</t>
        </is>
      </c>
      <c r="F652" t="inlineStr">
        <is>
          <t>'=IFERROR(IF(LoanIsNotPaid*LoanIsGood,LoanValue,""), "")</t>
        </is>
      </c>
      <c r="G652" t="n">
        <v>6407.295884630799</v>
      </c>
      <c r="H652" t="inlineStr"/>
      <c r="I652" t="inlineStr">
        <is>
          <t>"$"#,##0.00</t>
        </is>
      </c>
      <c r="J652" t="b">
        <v>0</v>
      </c>
      <c r="K652" t="b">
        <v>0</v>
      </c>
      <c r="L652" t="n">
        <v>9</v>
      </c>
      <c r="M652" t="inlineStr">
        <is>
          <t>Values must be of type &lt;class 'str'&gt;</t>
        </is>
      </c>
      <c r="N652" t="inlineStr">
        <is>
          <t>00000000</t>
        </is>
      </c>
      <c r="O652" t="inlineStr">
        <is>
          <t>center</t>
        </is>
      </c>
      <c r="P652" t="inlineStr">
        <is>
          <t>center</t>
        </is>
      </c>
      <c r="R652" t="b">
        <v>1</v>
      </c>
      <c r="S652" t="inlineStr">
        <is>
          <t>G000003</t>
        </is>
      </c>
      <c r="T652" t="inlineStr">
        <is>
          <t>Vertical</t>
        </is>
      </c>
      <c r="U652" t="n">
        <v>120</v>
      </c>
      <c r="V652" t="b">
        <v>1</v>
      </c>
      <c r="W652" t="inlineStr">
        <is>
          <t>Loan calculator!D17:D136</t>
        </is>
      </c>
      <c r="X652">
        <f>IFERROR(IF(LoanIsNotPaid*LoanIsGood,LoanValue,""), "")</f>
        <v/>
      </c>
    </row>
    <row r="653">
      <c r="A653" t="inlineStr">
        <is>
          <t>Loan calculator</t>
        </is>
      </c>
      <c r="B653" t="inlineStr">
        <is>
          <t>E68</t>
        </is>
      </c>
      <c r="C653" t="n">
        <v>68</v>
      </c>
      <c r="D653" t="n">
        <v>5</v>
      </c>
      <c r="E653" t="inlineStr">
        <is>
          <t>Output</t>
        </is>
      </c>
      <c r="F653" t="inlineStr">
        <is>
          <t>'=IFERROR(IF(LoanIsNotPaid*LoanIsGood,MonthlyPayment,0), 0)</t>
        </is>
      </c>
      <c r="G653" t="n">
        <v>108.5262779604807</v>
      </c>
      <c r="H653" t="inlineStr"/>
      <c r="I653" t="inlineStr">
        <is>
          <t>"$"#,##0.00</t>
        </is>
      </c>
      <c r="J653" t="b">
        <v>0</v>
      </c>
      <c r="K653" t="b">
        <v>0</v>
      </c>
      <c r="L653" t="n">
        <v>9</v>
      </c>
      <c r="M653" t="inlineStr">
        <is>
          <t>Values must be of type &lt;class 'str'&gt;</t>
        </is>
      </c>
      <c r="N653" t="inlineStr">
        <is>
          <t>00000000</t>
        </is>
      </c>
      <c r="O653" t="inlineStr">
        <is>
          <t>center</t>
        </is>
      </c>
      <c r="P653" t="inlineStr">
        <is>
          <t>center</t>
        </is>
      </c>
      <c r="R653" t="b">
        <v>1</v>
      </c>
      <c r="S653" t="inlineStr">
        <is>
          <t>G000004</t>
        </is>
      </c>
      <c r="T653" t="inlineStr">
        <is>
          <t>Vertical</t>
        </is>
      </c>
      <c r="U653" t="n">
        <v>120</v>
      </c>
      <c r="V653" t="b">
        <v>1</v>
      </c>
      <c r="W653" t="inlineStr">
        <is>
          <t>Loan calculator!E17:E136</t>
        </is>
      </c>
      <c r="X653">
        <f>IFERROR(IF(LoanIsNotPaid*LoanIsGood,MonthlyPayment,0), 0)</f>
        <v/>
      </c>
    </row>
    <row r="654">
      <c r="A654" t="inlineStr">
        <is>
          <t>Loan calculator</t>
        </is>
      </c>
      <c r="B654" t="inlineStr">
        <is>
          <t>F68</t>
        </is>
      </c>
      <c r="C654" t="n">
        <v>68</v>
      </c>
      <c r="D654" t="n">
        <v>6</v>
      </c>
      <c r="E654" t="inlineStr">
        <is>
          <t>Output</t>
        </is>
      </c>
      <c r="F654" t="inlineStr">
        <is>
          <t>'=IFERROR(IF(LoanIsNotPaid*LoanIsGood,Principal,0), 0)</t>
        </is>
      </c>
      <c r="G654" t="n">
        <v>79.15950515592287</v>
      </c>
      <c r="H654" t="inlineStr"/>
      <c r="I654" t="inlineStr">
        <is>
          <t>"$"#,##0.00</t>
        </is>
      </c>
      <c r="J654" t="b">
        <v>0</v>
      </c>
      <c r="K654" t="b">
        <v>0</v>
      </c>
      <c r="L654" t="n">
        <v>9</v>
      </c>
      <c r="M654" t="inlineStr">
        <is>
          <t>Values must be of type &lt;class 'str'&gt;</t>
        </is>
      </c>
      <c r="N654" t="inlineStr">
        <is>
          <t>00000000</t>
        </is>
      </c>
      <c r="O654" t="inlineStr">
        <is>
          <t>center</t>
        </is>
      </c>
      <c r="P654" t="inlineStr">
        <is>
          <t>center</t>
        </is>
      </c>
      <c r="R654" t="b">
        <v>1</v>
      </c>
      <c r="S654" t="inlineStr">
        <is>
          <t>G000005</t>
        </is>
      </c>
      <c r="T654" t="inlineStr">
        <is>
          <t>Vertical</t>
        </is>
      </c>
      <c r="U654" t="n">
        <v>120</v>
      </c>
      <c r="V654" t="b">
        <v>1</v>
      </c>
      <c r="W654" t="inlineStr">
        <is>
          <t>Loan calculator!F17:F136</t>
        </is>
      </c>
      <c r="X654">
        <f>IFERROR(IF(LoanIsNotPaid*LoanIsGood,Principal,0), 0)</f>
        <v/>
      </c>
    </row>
    <row r="655">
      <c r="A655" t="inlineStr">
        <is>
          <t>Loan calculator</t>
        </is>
      </c>
      <c r="B655" t="inlineStr">
        <is>
          <t>G68</t>
        </is>
      </c>
      <c r="C655" t="n">
        <v>68</v>
      </c>
      <c r="D655" t="n">
        <v>7</v>
      </c>
      <c r="E655" t="inlineStr">
        <is>
          <t>Output</t>
        </is>
      </c>
      <c r="F655" t="inlineStr">
        <is>
          <t>'=IFERROR(IF(LoanIsNotPaid*LoanIsGood,InterestAmt,0), 0)</t>
        </is>
      </c>
      <c r="G655" t="n">
        <v>29.36677280455785</v>
      </c>
      <c r="H655" t="inlineStr"/>
      <c r="I655" t="inlineStr">
        <is>
          <t>"$"#,##0.00</t>
        </is>
      </c>
      <c r="J655" t="b">
        <v>0</v>
      </c>
      <c r="K655" t="b">
        <v>0</v>
      </c>
      <c r="L655" t="n">
        <v>9</v>
      </c>
      <c r="M655" t="inlineStr">
        <is>
          <t>Values must be of type &lt;class 'str'&gt;</t>
        </is>
      </c>
      <c r="N655" t="inlineStr">
        <is>
          <t>00000000</t>
        </is>
      </c>
      <c r="O655" t="inlineStr">
        <is>
          <t>center</t>
        </is>
      </c>
      <c r="P655" t="inlineStr">
        <is>
          <t>center</t>
        </is>
      </c>
      <c r="R655" t="b">
        <v>1</v>
      </c>
      <c r="S655" t="inlineStr">
        <is>
          <t>G000006</t>
        </is>
      </c>
      <c r="T655" t="inlineStr">
        <is>
          <t>Vertical</t>
        </is>
      </c>
      <c r="U655" t="n">
        <v>120</v>
      </c>
      <c r="V655" t="b">
        <v>1</v>
      </c>
      <c r="W655" t="inlineStr">
        <is>
          <t>Loan calculator!G17:G136</t>
        </is>
      </c>
      <c r="X655">
        <f>IFERROR(IF(LoanIsNotPaid*LoanIsGood,InterestAmt,0), 0)</f>
        <v/>
      </c>
    </row>
    <row r="656">
      <c r="A656" t="inlineStr">
        <is>
          <t>Loan calculator</t>
        </is>
      </c>
      <c r="B656" t="inlineStr">
        <is>
          <t>H68</t>
        </is>
      </c>
      <c r="C656" t="n">
        <v>68</v>
      </c>
      <c r="D656" t="n">
        <v>8</v>
      </c>
      <c r="E656" t="inlineStr">
        <is>
          <t>Output</t>
        </is>
      </c>
      <c r="F656" t="inlineStr">
        <is>
          <t>'=IFERROR(IF(LoanIsNotPaid*LoanIsGood,EndingBalance,0), 0)</t>
        </is>
      </c>
      <c r="G656" t="n">
        <v>6328.136379474876</v>
      </c>
      <c r="H656" t="inlineStr"/>
      <c r="I656" t="inlineStr">
        <is>
          <t>"$"#,##0.00</t>
        </is>
      </c>
      <c r="J656" t="b">
        <v>0</v>
      </c>
      <c r="K656" t="b">
        <v>0</v>
      </c>
      <c r="L656" t="n">
        <v>9</v>
      </c>
      <c r="M656" t="inlineStr">
        <is>
          <t>Values must be of type &lt;class 'str'&gt;</t>
        </is>
      </c>
      <c r="N656" t="inlineStr">
        <is>
          <t>00000000</t>
        </is>
      </c>
      <c r="O656" t="inlineStr">
        <is>
          <t>center</t>
        </is>
      </c>
      <c r="P656" t="inlineStr">
        <is>
          <t>center</t>
        </is>
      </c>
      <c r="R656" t="b">
        <v>1</v>
      </c>
      <c r="S656" t="inlineStr">
        <is>
          <t>G000007</t>
        </is>
      </c>
      <c r="T656" t="inlineStr">
        <is>
          <t>Vertical</t>
        </is>
      </c>
      <c r="U656" t="n">
        <v>120</v>
      </c>
      <c r="V656" t="b">
        <v>1</v>
      </c>
      <c r="W656" t="inlineStr">
        <is>
          <t>Loan calculator!H17:H136</t>
        </is>
      </c>
      <c r="X656">
        <f>IFERROR(IF(LoanIsNotPaid*LoanIsGood,EndingBalance,0), 0)</f>
        <v/>
      </c>
    </row>
    <row r="657">
      <c r="A657" t="inlineStr">
        <is>
          <t>Loan calculator</t>
        </is>
      </c>
      <c r="B657" t="inlineStr">
        <is>
          <t>I68</t>
        </is>
      </c>
      <c r="C657" t="n">
        <v>68</v>
      </c>
      <c r="D657" t="n">
        <v>9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11</v>
      </c>
      <c r="M657" t="inlineStr">
        <is>
          <t>Values must be of type &lt;class 'str'&gt;</t>
        </is>
      </c>
      <c r="N657" t="inlineStr">
        <is>
          <t>Values must be of type &lt;class 'str'&gt;</t>
        </is>
      </c>
      <c r="O657" t="n">
        <v/>
      </c>
      <c r="P657" t="inlineStr">
        <is>
          <t>center</t>
        </is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</row>
    <row r="658">
      <c r="A658" t="inlineStr">
        <is>
          <t>Loan calculator</t>
        </is>
      </c>
      <c r="B658" t="inlineStr">
        <is>
          <t>A69</t>
        </is>
      </c>
      <c r="C658" t="n">
        <v>69</v>
      </c>
      <c r="D658" t="n">
        <v>1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11</v>
      </c>
      <c r="M658" t="inlineStr">
        <is>
          <t>Values must be of type &lt;class 'str'&gt;</t>
        </is>
      </c>
      <c r="N658" t="inlineStr">
        <is>
          <t>Values must be of type &lt;class 'str'&gt;</t>
        </is>
      </c>
      <c r="O658" t="n">
        <v/>
      </c>
      <c r="P658" t="inlineStr">
        <is>
          <t>center</t>
        </is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</row>
    <row r="659">
      <c r="A659" t="inlineStr">
        <is>
          <t>Loan calculator</t>
        </is>
      </c>
      <c r="B659" t="inlineStr">
        <is>
          <t>B69</t>
        </is>
      </c>
      <c r="C659" t="n">
        <v>69</v>
      </c>
      <c r="D659" t="n">
        <v>2</v>
      </c>
      <c r="E659" t="inlineStr">
        <is>
          <t>Output</t>
        </is>
      </c>
      <c r="F659" t="inlineStr">
        <is>
          <t>'=IFERROR(IF(LoanIsNotPaid*LoanIsGood,PaymentNumber,""), "")</t>
        </is>
      </c>
      <c r="G659" t="n">
        <v>53</v>
      </c>
      <c r="H659" t="inlineStr"/>
      <c r="I659" t="inlineStr">
        <is>
          <t>#,##0</t>
        </is>
      </c>
      <c r="J659" t="b">
        <v>0</v>
      </c>
      <c r="K659" t="b">
        <v>0</v>
      </c>
      <c r="L659" t="n">
        <v>9</v>
      </c>
      <c r="M659" t="inlineStr">
        <is>
          <t>Values must be of type &lt;class 'str'&gt;</t>
        </is>
      </c>
      <c r="N659" t="inlineStr">
        <is>
          <t>00000000</t>
        </is>
      </c>
      <c r="O659" t="inlineStr">
        <is>
          <t>center</t>
        </is>
      </c>
      <c r="P659" t="inlineStr">
        <is>
          <t>center</t>
        </is>
      </c>
      <c r="R659" t="b">
        <v>1</v>
      </c>
      <c r="S659" t="inlineStr">
        <is>
          <t>G000001</t>
        </is>
      </c>
      <c r="T659" t="inlineStr">
        <is>
          <t>Vertical</t>
        </is>
      </c>
      <c r="U659" t="n">
        <v>120</v>
      </c>
      <c r="V659" t="b">
        <v>1</v>
      </c>
      <c r="W659" t="inlineStr">
        <is>
          <t>Loan calculator!B17:B136</t>
        </is>
      </c>
      <c r="X659">
        <f>IFERROR(IF(LoanIsNotPaid*LoanIsGood,PaymentNumber,""), "")</f>
        <v/>
      </c>
    </row>
    <row r="660">
      <c r="A660" t="inlineStr">
        <is>
          <t>Loan calculator</t>
        </is>
      </c>
      <c r="B660" t="inlineStr">
        <is>
          <t>C69</t>
        </is>
      </c>
      <c r="C660" t="n">
        <v>69</v>
      </c>
      <c r="D660" t="n">
        <v>3</v>
      </c>
      <c r="E660" t="inlineStr">
        <is>
          <t>Output</t>
        </is>
      </c>
      <c r="F660" t="inlineStr">
        <is>
          <t>'=IFERROR(IF(LoanIsNotPaid*LoanIsGood,PaymentDate,LoanStartDate), LoanStartDate)</t>
        </is>
      </c>
      <c r="G660" s="1" t="n">
        <v>47700</v>
      </c>
      <c r="H660" t="inlineStr"/>
      <c r="I660" t="inlineStr">
        <is>
          <t>mm-dd-yy</t>
        </is>
      </c>
      <c r="J660" t="b">
        <v>0</v>
      </c>
      <c r="K660" t="b">
        <v>0</v>
      </c>
      <c r="L660" t="n">
        <v>9</v>
      </c>
      <c r="M660" t="inlineStr">
        <is>
          <t>Values must be of type &lt;class 'str'&gt;</t>
        </is>
      </c>
      <c r="N660" t="inlineStr">
        <is>
          <t>00000000</t>
        </is>
      </c>
      <c r="O660" t="inlineStr">
        <is>
          <t>center</t>
        </is>
      </c>
      <c r="P660" t="inlineStr">
        <is>
          <t>center</t>
        </is>
      </c>
      <c r="R660" t="b">
        <v>1</v>
      </c>
      <c r="S660" t="inlineStr">
        <is>
          <t>G000002</t>
        </is>
      </c>
      <c r="T660" t="inlineStr">
        <is>
          <t>Vertical</t>
        </is>
      </c>
      <c r="U660" t="n">
        <v>120</v>
      </c>
      <c r="V660" t="b">
        <v>1</v>
      </c>
      <c r="W660" t="inlineStr">
        <is>
          <t>Loan calculator!C17:C136</t>
        </is>
      </c>
      <c r="X660">
        <f>IFERROR(IF(LoanIsNotPaid*LoanIsGood,PaymentDate,LoanStartDate), LoanStartDate)</f>
        <v/>
      </c>
    </row>
    <row r="661">
      <c r="A661" t="inlineStr">
        <is>
          <t>Loan calculator</t>
        </is>
      </c>
      <c r="B661" t="inlineStr">
        <is>
          <t>D69</t>
        </is>
      </c>
      <c r="C661" t="n">
        <v>69</v>
      </c>
      <c r="D661" t="n">
        <v>4</v>
      </c>
      <c r="E661" t="inlineStr">
        <is>
          <t>Output</t>
        </is>
      </c>
      <c r="F661" t="inlineStr">
        <is>
          <t>'=IFERROR(IF(LoanIsNotPaid*LoanIsGood,LoanValue,""), "")</t>
        </is>
      </c>
      <c r="G661" t="n">
        <v>6328.136379474876</v>
      </c>
      <c r="H661" t="inlineStr"/>
      <c r="I661" t="inlineStr">
        <is>
          <t>"$"#,##0.00</t>
        </is>
      </c>
      <c r="J661" t="b">
        <v>0</v>
      </c>
      <c r="K661" t="b">
        <v>0</v>
      </c>
      <c r="L661" t="n">
        <v>9</v>
      </c>
      <c r="M661" t="inlineStr">
        <is>
          <t>Values must be of type &lt;class 'str'&gt;</t>
        </is>
      </c>
      <c r="N661" t="inlineStr">
        <is>
          <t>00000000</t>
        </is>
      </c>
      <c r="O661" t="inlineStr">
        <is>
          <t>center</t>
        </is>
      </c>
      <c r="P661" t="inlineStr">
        <is>
          <t>center</t>
        </is>
      </c>
      <c r="R661" t="b">
        <v>1</v>
      </c>
      <c r="S661" t="inlineStr">
        <is>
          <t>G000003</t>
        </is>
      </c>
      <c r="T661" t="inlineStr">
        <is>
          <t>Vertical</t>
        </is>
      </c>
      <c r="U661" t="n">
        <v>120</v>
      </c>
      <c r="V661" t="b">
        <v>1</v>
      </c>
      <c r="W661" t="inlineStr">
        <is>
          <t>Loan calculator!D17:D136</t>
        </is>
      </c>
      <c r="X661">
        <f>IFERROR(IF(LoanIsNotPaid*LoanIsGood,LoanValue,""), "")</f>
        <v/>
      </c>
    </row>
    <row r="662">
      <c r="A662" t="inlineStr">
        <is>
          <t>Loan calculator</t>
        </is>
      </c>
      <c r="B662" t="inlineStr">
        <is>
          <t>E69</t>
        </is>
      </c>
      <c r="C662" t="n">
        <v>69</v>
      </c>
      <c r="D662" t="n">
        <v>5</v>
      </c>
      <c r="E662" t="inlineStr">
        <is>
          <t>Output</t>
        </is>
      </c>
      <c r="F662" t="inlineStr">
        <is>
          <t>'=IFERROR(IF(LoanIsNotPaid*LoanIsGood,MonthlyPayment,0), 0)</t>
        </is>
      </c>
      <c r="G662" t="n">
        <v>108.5262779604807</v>
      </c>
      <c r="H662" t="inlineStr"/>
      <c r="I662" t="inlineStr">
        <is>
          <t>"$"#,##0.00</t>
        </is>
      </c>
      <c r="J662" t="b">
        <v>0</v>
      </c>
      <c r="K662" t="b">
        <v>0</v>
      </c>
      <c r="L662" t="n">
        <v>9</v>
      </c>
      <c r="M662" t="inlineStr">
        <is>
          <t>Values must be of type &lt;class 'str'&gt;</t>
        </is>
      </c>
      <c r="N662" t="inlineStr">
        <is>
          <t>00000000</t>
        </is>
      </c>
      <c r="O662" t="inlineStr">
        <is>
          <t>center</t>
        </is>
      </c>
      <c r="P662" t="inlineStr">
        <is>
          <t>center</t>
        </is>
      </c>
      <c r="R662" t="b">
        <v>1</v>
      </c>
      <c r="S662" t="inlineStr">
        <is>
          <t>G000004</t>
        </is>
      </c>
      <c r="T662" t="inlineStr">
        <is>
          <t>Vertical</t>
        </is>
      </c>
      <c r="U662" t="n">
        <v>120</v>
      </c>
      <c r="V662" t="b">
        <v>1</v>
      </c>
      <c r="W662" t="inlineStr">
        <is>
          <t>Loan calculator!E17:E136</t>
        </is>
      </c>
      <c r="X662">
        <f>IFERROR(IF(LoanIsNotPaid*LoanIsGood,MonthlyPayment,0), 0)</f>
        <v/>
      </c>
    </row>
    <row r="663">
      <c r="A663" t="inlineStr">
        <is>
          <t>Loan calculator</t>
        </is>
      </c>
      <c r="B663" t="inlineStr">
        <is>
          <t>F69</t>
        </is>
      </c>
      <c r="C663" t="n">
        <v>69</v>
      </c>
      <c r="D663" t="n">
        <v>6</v>
      </c>
      <c r="E663" t="inlineStr">
        <is>
          <t>Output</t>
        </is>
      </c>
      <c r="F663" t="inlineStr">
        <is>
          <t>'=IFERROR(IF(LoanIsNotPaid*LoanIsGood,Principal,0), 0)</t>
        </is>
      </c>
      <c r="G663" t="n">
        <v>79.52231955455417</v>
      </c>
      <c r="H663" t="inlineStr"/>
      <c r="I663" t="inlineStr">
        <is>
          <t>"$"#,##0.00</t>
        </is>
      </c>
      <c r="J663" t="b">
        <v>0</v>
      </c>
      <c r="K663" t="b">
        <v>0</v>
      </c>
      <c r="L663" t="n">
        <v>9</v>
      </c>
      <c r="M663" t="inlineStr">
        <is>
          <t>Values must be of type &lt;class 'str'&gt;</t>
        </is>
      </c>
      <c r="N663" t="inlineStr">
        <is>
          <t>00000000</t>
        </is>
      </c>
      <c r="O663" t="inlineStr">
        <is>
          <t>center</t>
        </is>
      </c>
      <c r="P663" t="inlineStr">
        <is>
          <t>center</t>
        </is>
      </c>
      <c r="R663" t="b">
        <v>1</v>
      </c>
      <c r="S663" t="inlineStr">
        <is>
          <t>G000005</t>
        </is>
      </c>
      <c r="T663" t="inlineStr">
        <is>
          <t>Vertical</t>
        </is>
      </c>
      <c r="U663" t="n">
        <v>120</v>
      </c>
      <c r="V663" t="b">
        <v>1</v>
      </c>
      <c r="W663" t="inlineStr">
        <is>
          <t>Loan calculator!F17:F136</t>
        </is>
      </c>
      <c r="X663">
        <f>IFERROR(IF(LoanIsNotPaid*LoanIsGood,Principal,0), 0)</f>
        <v/>
      </c>
    </row>
    <row r="664">
      <c r="A664" t="inlineStr">
        <is>
          <t>Loan calculator</t>
        </is>
      </c>
      <c r="B664" t="inlineStr">
        <is>
          <t>G69</t>
        </is>
      </c>
      <c r="C664" t="n">
        <v>69</v>
      </c>
      <c r="D664" t="n">
        <v>7</v>
      </c>
      <c r="E664" t="inlineStr">
        <is>
          <t>Output</t>
        </is>
      </c>
      <c r="F664" t="inlineStr">
        <is>
          <t>'=IFERROR(IF(LoanIsNotPaid*LoanIsGood,InterestAmt,0), 0)</t>
        </is>
      </c>
      <c r="G664" t="n">
        <v>29.00395840592654</v>
      </c>
      <c r="H664" t="inlineStr"/>
      <c r="I664" t="inlineStr">
        <is>
          <t>"$"#,##0.00</t>
        </is>
      </c>
      <c r="J664" t="b">
        <v>0</v>
      </c>
      <c r="K664" t="b">
        <v>0</v>
      </c>
      <c r="L664" t="n">
        <v>9</v>
      </c>
      <c r="M664" t="inlineStr">
        <is>
          <t>Values must be of type &lt;class 'str'&gt;</t>
        </is>
      </c>
      <c r="N664" t="inlineStr">
        <is>
          <t>00000000</t>
        </is>
      </c>
      <c r="O664" t="inlineStr">
        <is>
          <t>center</t>
        </is>
      </c>
      <c r="P664" t="inlineStr">
        <is>
          <t>center</t>
        </is>
      </c>
      <c r="R664" t="b">
        <v>1</v>
      </c>
      <c r="S664" t="inlineStr">
        <is>
          <t>G000006</t>
        </is>
      </c>
      <c r="T664" t="inlineStr">
        <is>
          <t>Vertical</t>
        </is>
      </c>
      <c r="U664" t="n">
        <v>120</v>
      </c>
      <c r="V664" t="b">
        <v>1</v>
      </c>
      <c r="W664" t="inlineStr">
        <is>
          <t>Loan calculator!G17:G136</t>
        </is>
      </c>
      <c r="X664">
        <f>IFERROR(IF(LoanIsNotPaid*LoanIsGood,InterestAmt,0), 0)</f>
        <v/>
      </c>
    </row>
    <row r="665">
      <c r="A665" t="inlineStr">
        <is>
          <t>Loan calculator</t>
        </is>
      </c>
      <c r="B665" t="inlineStr">
        <is>
          <t>H69</t>
        </is>
      </c>
      <c r="C665" t="n">
        <v>69</v>
      </c>
      <c r="D665" t="n">
        <v>8</v>
      </c>
      <c r="E665" t="inlineStr">
        <is>
          <t>Output</t>
        </is>
      </c>
      <c r="F665" t="inlineStr">
        <is>
          <t>'=IFERROR(IF(LoanIsNotPaid*LoanIsGood,EndingBalance,0), 0)</t>
        </is>
      </c>
      <c r="G665" t="n">
        <v>6248.614059920319</v>
      </c>
      <c r="H665" t="inlineStr"/>
      <c r="I665" t="inlineStr">
        <is>
          <t>"$"#,##0.00</t>
        </is>
      </c>
      <c r="J665" t="b">
        <v>0</v>
      </c>
      <c r="K665" t="b">
        <v>0</v>
      </c>
      <c r="L665" t="n">
        <v>9</v>
      </c>
      <c r="M665" t="inlineStr">
        <is>
          <t>Values must be of type &lt;class 'str'&gt;</t>
        </is>
      </c>
      <c r="N665" t="inlineStr">
        <is>
          <t>00000000</t>
        </is>
      </c>
      <c r="O665" t="inlineStr">
        <is>
          <t>center</t>
        </is>
      </c>
      <c r="P665" t="inlineStr">
        <is>
          <t>center</t>
        </is>
      </c>
      <c r="R665" t="b">
        <v>1</v>
      </c>
      <c r="S665" t="inlineStr">
        <is>
          <t>G000007</t>
        </is>
      </c>
      <c r="T665" t="inlineStr">
        <is>
          <t>Vertical</t>
        </is>
      </c>
      <c r="U665" t="n">
        <v>120</v>
      </c>
      <c r="V665" t="b">
        <v>1</v>
      </c>
      <c r="W665" t="inlineStr">
        <is>
          <t>Loan calculator!H17:H136</t>
        </is>
      </c>
      <c r="X665">
        <f>IFERROR(IF(LoanIsNotPaid*LoanIsGood,EndingBalance,0), 0)</f>
        <v/>
      </c>
    </row>
    <row r="666">
      <c r="A666" t="inlineStr">
        <is>
          <t>Loan calculator</t>
        </is>
      </c>
      <c r="B666" t="inlineStr">
        <is>
          <t>I69</t>
        </is>
      </c>
      <c r="C666" t="n">
        <v>69</v>
      </c>
      <c r="D666" t="n">
        <v>9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11</v>
      </c>
      <c r="M666" t="inlineStr">
        <is>
          <t>Values must be of type &lt;class 'str'&gt;</t>
        </is>
      </c>
      <c r="N666" t="inlineStr">
        <is>
          <t>Values must be of type &lt;class 'str'&gt;</t>
        </is>
      </c>
      <c r="O666" t="n">
        <v/>
      </c>
      <c r="P666" t="inlineStr">
        <is>
          <t>center</t>
        </is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</row>
    <row r="667">
      <c r="A667" t="inlineStr">
        <is>
          <t>Loan calculator</t>
        </is>
      </c>
      <c r="B667" t="inlineStr">
        <is>
          <t>A70</t>
        </is>
      </c>
      <c r="C667" t="n">
        <v>70</v>
      </c>
      <c r="D667" t="n">
        <v>1</v>
      </c>
      <c r="E667" t="inlineStr">
        <is>
          <t>Input</t>
        </is>
      </c>
      <c r="F667" t="n">
        <v/>
      </c>
      <c r="H667" t="inlineStr"/>
      <c r="I667" t="inlineStr">
        <is>
          <t>General</t>
        </is>
      </c>
      <c r="J667" t="b">
        <v>0</v>
      </c>
      <c r="K667" t="b">
        <v>0</v>
      </c>
      <c r="L667" t="n">
        <v>11</v>
      </c>
      <c r="M667" t="inlineStr">
        <is>
          <t>Values must be of type &lt;class 'str'&gt;</t>
        </is>
      </c>
      <c r="N667" t="inlineStr">
        <is>
          <t>Values must be of type &lt;class 'str'&gt;</t>
        </is>
      </c>
      <c r="O667" t="n">
        <v/>
      </c>
      <c r="P667" t="inlineStr">
        <is>
          <t>center</t>
        </is>
      </c>
      <c r="R667" t="b">
        <v>0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</row>
    <row r="668">
      <c r="A668" t="inlineStr">
        <is>
          <t>Loan calculator</t>
        </is>
      </c>
      <c r="B668" t="inlineStr">
        <is>
          <t>B70</t>
        </is>
      </c>
      <c r="C668" t="n">
        <v>70</v>
      </c>
      <c r="D668" t="n">
        <v>2</v>
      </c>
      <c r="E668" t="inlineStr">
        <is>
          <t>Output</t>
        </is>
      </c>
      <c r="F668" t="inlineStr">
        <is>
          <t>'=IFERROR(IF(LoanIsNotPaid*LoanIsGood,PaymentNumber,""), "")</t>
        </is>
      </c>
      <c r="G668" t="n">
        <v>54</v>
      </c>
      <c r="H668" t="inlineStr"/>
      <c r="I668" t="inlineStr">
        <is>
          <t>#,##0</t>
        </is>
      </c>
      <c r="J668" t="b">
        <v>0</v>
      </c>
      <c r="K668" t="b">
        <v>0</v>
      </c>
      <c r="L668" t="n">
        <v>9</v>
      </c>
      <c r="M668" t="inlineStr">
        <is>
          <t>Values must be of type &lt;class 'str'&gt;</t>
        </is>
      </c>
      <c r="N668" t="inlineStr">
        <is>
          <t>00000000</t>
        </is>
      </c>
      <c r="O668" t="inlineStr">
        <is>
          <t>center</t>
        </is>
      </c>
      <c r="P668" t="inlineStr">
        <is>
          <t>center</t>
        </is>
      </c>
      <c r="R668" t="b">
        <v>1</v>
      </c>
      <c r="S668" t="inlineStr">
        <is>
          <t>G000001</t>
        </is>
      </c>
      <c r="T668" t="inlineStr">
        <is>
          <t>Vertical</t>
        </is>
      </c>
      <c r="U668" t="n">
        <v>120</v>
      </c>
      <c r="V668" t="b">
        <v>1</v>
      </c>
      <c r="W668" t="inlineStr">
        <is>
          <t>Loan calculator!B17:B136</t>
        </is>
      </c>
      <c r="X668">
        <f>IFERROR(IF(LoanIsNotPaid*LoanIsGood,PaymentNumber,""), "")</f>
        <v/>
      </c>
    </row>
    <row r="669">
      <c r="A669" t="inlineStr">
        <is>
          <t>Loan calculator</t>
        </is>
      </c>
      <c r="B669" t="inlineStr">
        <is>
          <t>C70</t>
        </is>
      </c>
      <c r="C669" t="n">
        <v>70</v>
      </c>
      <c r="D669" t="n">
        <v>3</v>
      </c>
      <c r="E669" t="inlineStr">
        <is>
          <t>Output</t>
        </is>
      </c>
      <c r="F669" t="inlineStr">
        <is>
          <t>'=IFERROR(IF(LoanIsNotPaid*LoanIsGood,PaymentDate,LoanStartDate), LoanStartDate)</t>
        </is>
      </c>
      <c r="G669" s="1" t="n">
        <v>47731</v>
      </c>
      <c r="H669" t="inlineStr"/>
      <c r="I669" t="inlineStr">
        <is>
          <t>mm-dd-yy</t>
        </is>
      </c>
      <c r="J669" t="b">
        <v>0</v>
      </c>
      <c r="K669" t="b">
        <v>0</v>
      </c>
      <c r="L669" t="n">
        <v>9</v>
      </c>
      <c r="M669" t="inlineStr">
        <is>
          <t>Values must be of type &lt;class 'str'&gt;</t>
        </is>
      </c>
      <c r="N669" t="inlineStr">
        <is>
          <t>00000000</t>
        </is>
      </c>
      <c r="O669" t="inlineStr">
        <is>
          <t>center</t>
        </is>
      </c>
      <c r="P669" t="inlineStr">
        <is>
          <t>center</t>
        </is>
      </c>
      <c r="R669" t="b">
        <v>1</v>
      </c>
      <c r="S669" t="inlineStr">
        <is>
          <t>G000002</t>
        </is>
      </c>
      <c r="T669" t="inlineStr">
        <is>
          <t>Vertical</t>
        </is>
      </c>
      <c r="U669" t="n">
        <v>120</v>
      </c>
      <c r="V669" t="b">
        <v>1</v>
      </c>
      <c r="W669" t="inlineStr">
        <is>
          <t>Loan calculator!C17:C136</t>
        </is>
      </c>
      <c r="X669">
        <f>IFERROR(IF(LoanIsNotPaid*LoanIsGood,PaymentDate,LoanStartDate), LoanStartDate)</f>
        <v/>
      </c>
    </row>
    <row r="670">
      <c r="A670" t="inlineStr">
        <is>
          <t>Loan calculator</t>
        </is>
      </c>
      <c r="B670" t="inlineStr">
        <is>
          <t>D70</t>
        </is>
      </c>
      <c r="C670" t="n">
        <v>70</v>
      </c>
      <c r="D670" t="n">
        <v>4</v>
      </c>
      <c r="E670" t="inlineStr">
        <is>
          <t>Output</t>
        </is>
      </c>
      <c r="F670" t="inlineStr">
        <is>
          <t>'=IFERROR(IF(LoanIsNotPaid*LoanIsGood,LoanValue,""), "")</t>
        </is>
      </c>
      <c r="G670" t="n">
        <v>6248.614059920319</v>
      </c>
      <c r="H670" t="inlineStr"/>
      <c r="I670" t="inlineStr">
        <is>
          <t>"$"#,##0.00</t>
        </is>
      </c>
      <c r="J670" t="b">
        <v>0</v>
      </c>
      <c r="K670" t="b">
        <v>0</v>
      </c>
      <c r="L670" t="n">
        <v>9</v>
      </c>
      <c r="M670" t="inlineStr">
        <is>
          <t>Values must be of type &lt;class 'str'&gt;</t>
        </is>
      </c>
      <c r="N670" t="inlineStr">
        <is>
          <t>00000000</t>
        </is>
      </c>
      <c r="O670" t="inlineStr">
        <is>
          <t>center</t>
        </is>
      </c>
      <c r="P670" t="inlineStr">
        <is>
          <t>center</t>
        </is>
      </c>
      <c r="R670" t="b">
        <v>1</v>
      </c>
      <c r="S670" t="inlineStr">
        <is>
          <t>G000003</t>
        </is>
      </c>
      <c r="T670" t="inlineStr">
        <is>
          <t>Vertical</t>
        </is>
      </c>
      <c r="U670" t="n">
        <v>120</v>
      </c>
      <c r="V670" t="b">
        <v>1</v>
      </c>
      <c r="W670" t="inlineStr">
        <is>
          <t>Loan calculator!D17:D136</t>
        </is>
      </c>
      <c r="X670">
        <f>IFERROR(IF(LoanIsNotPaid*LoanIsGood,LoanValue,""), "")</f>
        <v/>
      </c>
    </row>
    <row r="671">
      <c r="A671" t="inlineStr">
        <is>
          <t>Loan calculator</t>
        </is>
      </c>
      <c r="B671" t="inlineStr">
        <is>
          <t>E70</t>
        </is>
      </c>
      <c r="C671" t="n">
        <v>70</v>
      </c>
      <c r="D671" t="n">
        <v>5</v>
      </c>
      <c r="E671" t="inlineStr">
        <is>
          <t>Output</t>
        </is>
      </c>
      <c r="F671" t="inlineStr">
        <is>
          <t>'=IFERROR(IF(LoanIsNotPaid*LoanIsGood,MonthlyPayment,0), 0)</t>
        </is>
      </c>
      <c r="G671" t="n">
        <v>108.5262779604807</v>
      </c>
      <c r="H671" t="inlineStr"/>
      <c r="I671" t="inlineStr">
        <is>
          <t>"$"#,##0.00</t>
        </is>
      </c>
      <c r="J671" t="b">
        <v>0</v>
      </c>
      <c r="K671" t="b">
        <v>0</v>
      </c>
      <c r="L671" t="n">
        <v>9</v>
      </c>
      <c r="M671" t="inlineStr">
        <is>
          <t>Values must be of type &lt;class 'str'&gt;</t>
        </is>
      </c>
      <c r="N671" t="inlineStr">
        <is>
          <t>00000000</t>
        </is>
      </c>
      <c r="O671" t="inlineStr">
        <is>
          <t>center</t>
        </is>
      </c>
      <c r="P671" t="inlineStr">
        <is>
          <t>center</t>
        </is>
      </c>
      <c r="R671" t="b">
        <v>1</v>
      </c>
      <c r="S671" t="inlineStr">
        <is>
          <t>G000004</t>
        </is>
      </c>
      <c r="T671" t="inlineStr">
        <is>
          <t>Vertical</t>
        </is>
      </c>
      <c r="U671" t="n">
        <v>120</v>
      </c>
      <c r="V671" t="b">
        <v>1</v>
      </c>
      <c r="W671" t="inlineStr">
        <is>
          <t>Loan calculator!E17:E136</t>
        </is>
      </c>
      <c r="X671">
        <f>IFERROR(IF(LoanIsNotPaid*LoanIsGood,MonthlyPayment,0), 0)</f>
        <v/>
      </c>
    </row>
    <row r="672">
      <c r="A672" t="inlineStr">
        <is>
          <t>Loan calculator</t>
        </is>
      </c>
      <c r="B672" t="inlineStr">
        <is>
          <t>F70</t>
        </is>
      </c>
      <c r="C672" t="n">
        <v>70</v>
      </c>
      <c r="D672" t="n">
        <v>6</v>
      </c>
      <c r="E672" t="inlineStr">
        <is>
          <t>Output</t>
        </is>
      </c>
      <c r="F672" t="inlineStr">
        <is>
          <t>'=IFERROR(IF(LoanIsNotPaid*LoanIsGood,Principal,0), 0)</t>
        </is>
      </c>
      <c r="G672" t="n">
        <v>79.88679685251256</v>
      </c>
      <c r="H672" t="inlineStr"/>
      <c r="I672" t="inlineStr">
        <is>
          <t>"$"#,##0.00</t>
        </is>
      </c>
      <c r="J672" t="b">
        <v>0</v>
      </c>
      <c r="K672" t="b">
        <v>0</v>
      </c>
      <c r="L672" t="n">
        <v>9</v>
      </c>
      <c r="M672" t="inlineStr">
        <is>
          <t>Values must be of type &lt;class 'str'&gt;</t>
        </is>
      </c>
      <c r="N672" t="inlineStr">
        <is>
          <t>00000000</t>
        </is>
      </c>
      <c r="O672" t="inlineStr">
        <is>
          <t>center</t>
        </is>
      </c>
      <c r="P672" t="inlineStr">
        <is>
          <t>center</t>
        </is>
      </c>
      <c r="R672" t="b">
        <v>1</v>
      </c>
      <c r="S672" t="inlineStr">
        <is>
          <t>G000005</t>
        </is>
      </c>
      <c r="T672" t="inlineStr">
        <is>
          <t>Vertical</t>
        </is>
      </c>
      <c r="U672" t="n">
        <v>120</v>
      </c>
      <c r="V672" t="b">
        <v>1</v>
      </c>
      <c r="W672" t="inlineStr">
        <is>
          <t>Loan calculator!F17:F136</t>
        </is>
      </c>
      <c r="X672">
        <f>IFERROR(IF(LoanIsNotPaid*LoanIsGood,Principal,0), 0)</f>
        <v/>
      </c>
    </row>
    <row r="673">
      <c r="A673" t="inlineStr">
        <is>
          <t>Loan calculator</t>
        </is>
      </c>
      <c r="B673" t="inlineStr">
        <is>
          <t>G70</t>
        </is>
      </c>
      <c r="C673" t="n">
        <v>70</v>
      </c>
      <c r="D673" t="n">
        <v>7</v>
      </c>
      <c r="E673" t="inlineStr">
        <is>
          <t>Output</t>
        </is>
      </c>
      <c r="F673" t="inlineStr">
        <is>
          <t>'=IFERROR(IF(LoanIsNotPaid*LoanIsGood,InterestAmt,0), 0)</t>
        </is>
      </c>
      <c r="G673" t="n">
        <v>28.63948110796817</v>
      </c>
      <c r="H673" t="inlineStr"/>
      <c r="I673" t="inlineStr">
        <is>
          <t>"$"#,##0.00</t>
        </is>
      </c>
      <c r="J673" t="b">
        <v>0</v>
      </c>
      <c r="K673" t="b">
        <v>0</v>
      </c>
      <c r="L673" t="n">
        <v>9</v>
      </c>
      <c r="M673" t="inlineStr">
        <is>
          <t>Values must be of type &lt;class 'str'&gt;</t>
        </is>
      </c>
      <c r="N673" t="inlineStr">
        <is>
          <t>00000000</t>
        </is>
      </c>
      <c r="O673" t="inlineStr">
        <is>
          <t>center</t>
        </is>
      </c>
      <c r="P673" t="inlineStr">
        <is>
          <t>center</t>
        </is>
      </c>
      <c r="R673" t="b">
        <v>1</v>
      </c>
      <c r="S673" t="inlineStr">
        <is>
          <t>G000006</t>
        </is>
      </c>
      <c r="T673" t="inlineStr">
        <is>
          <t>Vertical</t>
        </is>
      </c>
      <c r="U673" t="n">
        <v>120</v>
      </c>
      <c r="V673" t="b">
        <v>1</v>
      </c>
      <c r="W673" t="inlineStr">
        <is>
          <t>Loan calculator!G17:G136</t>
        </is>
      </c>
      <c r="X673">
        <f>IFERROR(IF(LoanIsNotPaid*LoanIsGood,InterestAmt,0), 0)</f>
        <v/>
      </c>
    </row>
    <row r="674">
      <c r="A674" t="inlineStr">
        <is>
          <t>Loan calculator</t>
        </is>
      </c>
      <c r="B674" t="inlineStr">
        <is>
          <t>H70</t>
        </is>
      </c>
      <c r="C674" t="n">
        <v>70</v>
      </c>
      <c r="D674" t="n">
        <v>8</v>
      </c>
      <c r="E674" t="inlineStr">
        <is>
          <t>Output</t>
        </is>
      </c>
      <c r="F674" t="inlineStr">
        <is>
          <t>'=IFERROR(IF(LoanIsNotPaid*LoanIsGood,EndingBalance,0), 0)</t>
        </is>
      </c>
      <c r="G674" t="n">
        <v>6168.727263067806</v>
      </c>
      <c r="H674" t="inlineStr"/>
      <c r="I674" t="inlineStr">
        <is>
          <t>"$"#,##0.00</t>
        </is>
      </c>
      <c r="J674" t="b">
        <v>0</v>
      </c>
      <c r="K674" t="b">
        <v>0</v>
      </c>
      <c r="L674" t="n">
        <v>9</v>
      </c>
      <c r="M674" t="inlineStr">
        <is>
          <t>Values must be of type &lt;class 'str'&gt;</t>
        </is>
      </c>
      <c r="N674" t="inlineStr">
        <is>
          <t>00000000</t>
        </is>
      </c>
      <c r="O674" t="inlineStr">
        <is>
          <t>center</t>
        </is>
      </c>
      <c r="P674" t="inlineStr">
        <is>
          <t>center</t>
        </is>
      </c>
      <c r="R674" t="b">
        <v>1</v>
      </c>
      <c r="S674" t="inlineStr">
        <is>
          <t>G000007</t>
        </is>
      </c>
      <c r="T674" t="inlineStr">
        <is>
          <t>Vertical</t>
        </is>
      </c>
      <c r="U674" t="n">
        <v>120</v>
      </c>
      <c r="V674" t="b">
        <v>1</v>
      </c>
      <c r="W674" t="inlineStr">
        <is>
          <t>Loan calculator!H17:H136</t>
        </is>
      </c>
      <c r="X674">
        <f>IFERROR(IF(LoanIsNotPaid*LoanIsGood,EndingBalance,0), 0)</f>
        <v/>
      </c>
    </row>
    <row r="675">
      <c r="A675" t="inlineStr">
        <is>
          <t>Loan calculator</t>
        </is>
      </c>
      <c r="B675" t="inlineStr">
        <is>
          <t>I70</t>
        </is>
      </c>
      <c r="C675" t="n">
        <v>70</v>
      </c>
      <c r="D675" t="n">
        <v>9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11</v>
      </c>
      <c r="M675" t="inlineStr">
        <is>
          <t>Values must be of type &lt;class 'str'&gt;</t>
        </is>
      </c>
      <c r="N675" t="inlineStr">
        <is>
          <t>Values must be of type &lt;class 'str'&gt;</t>
        </is>
      </c>
      <c r="O675" t="n">
        <v/>
      </c>
      <c r="P675" t="inlineStr">
        <is>
          <t>center</t>
        </is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</row>
    <row r="676">
      <c r="A676" t="inlineStr">
        <is>
          <t>Loan calculator</t>
        </is>
      </c>
      <c r="B676" t="inlineStr">
        <is>
          <t>A71</t>
        </is>
      </c>
      <c r="C676" t="n">
        <v>71</v>
      </c>
      <c r="D676" t="n">
        <v>1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11</v>
      </c>
      <c r="M676" t="inlineStr">
        <is>
          <t>Values must be of type &lt;class 'str'&gt;</t>
        </is>
      </c>
      <c r="N676" t="inlineStr">
        <is>
          <t>Values must be of type &lt;class 'str'&gt;</t>
        </is>
      </c>
      <c r="O676" t="n">
        <v/>
      </c>
      <c r="P676" t="inlineStr">
        <is>
          <t>center</t>
        </is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</row>
    <row r="677">
      <c r="A677" t="inlineStr">
        <is>
          <t>Loan calculator</t>
        </is>
      </c>
      <c r="B677" t="inlineStr">
        <is>
          <t>B71</t>
        </is>
      </c>
      <c r="C677" t="n">
        <v>71</v>
      </c>
      <c r="D677" t="n">
        <v>2</v>
      </c>
      <c r="E677" t="inlineStr">
        <is>
          <t>Output</t>
        </is>
      </c>
      <c r="F677" t="inlineStr">
        <is>
          <t>'=IFERROR(IF(LoanIsNotPaid*LoanIsGood,PaymentNumber,""), "")</t>
        </is>
      </c>
      <c r="G677" t="n">
        <v>55</v>
      </c>
      <c r="H677" t="inlineStr"/>
      <c r="I677" t="inlineStr">
        <is>
          <t>#,##0</t>
        </is>
      </c>
      <c r="J677" t="b">
        <v>0</v>
      </c>
      <c r="K677" t="b">
        <v>0</v>
      </c>
      <c r="L677" t="n">
        <v>9</v>
      </c>
      <c r="M677" t="inlineStr">
        <is>
          <t>Values must be of type &lt;class 'str'&gt;</t>
        </is>
      </c>
      <c r="N677" t="inlineStr">
        <is>
          <t>00000000</t>
        </is>
      </c>
      <c r="O677" t="inlineStr">
        <is>
          <t>center</t>
        </is>
      </c>
      <c r="P677" t="inlineStr">
        <is>
          <t>center</t>
        </is>
      </c>
      <c r="R677" t="b">
        <v>1</v>
      </c>
      <c r="S677" t="inlineStr">
        <is>
          <t>G000001</t>
        </is>
      </c>
      <c r="T677" t="inlineStr">
        <is>
          <t>Vertical</t>
        </is>
      </c>
      <c r="U677" t="n">
        <v>120</v>
      </c>
      <c r="V677" t="b">
        <v>1</v>
      </c>
      <c r="W677" t="inlineStr">
        <is>
          <t>Loan calculator!B17:B136</t>
        </is>
      </c>
      <c r="X677">
        <f>IFERROR(IF(LoanIsNotPaid*LoanIsGood,PaymentNumber,""), "")</f>
        <v/>
      </c>
    </row>
    <row r="678">
      <c r="A678" t="inlineStr">
        <is>
          <t>Loan calculator</t>
        </is>
      </c>
      <c r="B678" t="inlineStr">
        <is>
          <t>C71</t>
        </is>
      </c>
      <c r="C678" t="n">
        <v>71</v>
      </c>
      <c r="D678" t="n">
        <v>3</v>
      </c>
      <c r="E678" t="inlineStr">
        <is>
          <t>Output</t>
        </is>
      </c>
      <c r="F678" t="inlineStr">
        <is>
          <t>'=IFERROR(IF(LoanIsNotPaid*LoanIsGood,PaymentDate,LoanStartDate), LoanStartDate)</t>
        </is>
      </c>
      <c r="G678" s="1" t="n">
        <v>47761</v>
      </c>
      <c r="H678" t="inlineStr"/>
      <c r="I678" t="inlineStr">
        <is>
          <t>mm-dd-yy</t>
        </is>
      </c>
      <c r="J678" t="b">
        <v>0</v>
      </c>
      <c r="K678" t="b">
        <v>0</v>
      </c>
      <c r="L678" t="n">
        <v>9</v>
      </c>
      <c r="M678" t="inlineStr">
        <is>
          <t>Values must be of type &lt;class 'str'&gt;</t>
        </is>
      </c>
      <c r="N678" t="inlineStr">
        <is>
          <t>00000000</t>
        </is>
      </c>
      <c r="O678" t="inlineStr">
        <is>
          <t>center</t>
        </is>
      </c>
      <c r="P678" t="inlineStr">
        <is>
          <t>center</t>
        </is>
      </c>
      <c r="R678" t="b">
        <v>1</v>
      </c>
      <c r="S678" t="inlineStr">
        <is>
          <t>G000002</t>
        </is>
      </c>
      <c r="T678" t="inlineStr">
        <is>
          <t>Vertical</t>
        </is>
      </c>
      <c r="U678" t="n">
        <v>120</v>
      </c>
      <c r="V678" t="b">
        <v>1</v>
      </c>
      <c r="W678" t="inlineStr">
        <is>
          <t>Loan calculator!C17:C136</t>
        </is>
      </c>
      <c r="X678">
        <f>IFERROR(IF(LoanIsNotPaid*LoanIsGood,PaymentDate,LoanStartDate), LoanStartDate)</f>
        <v/>
      </c>
    </row>
    <row r="679">
      <c r="A679" t="inlineStr">
        <is>
          <t>Loan calculator</t>
        </is>
      </c>
      <c r="B679" t="inlineStr">
        <is>
          <t>D71</t>
        </is>
      </c>
      <c r="C679" t="n">
        <v>71</v>
      </c>
      <c r="D679" t="n">
        <v>4</v>
      </c>
      <c r="E679" t="inlineStr">
        <is>
          <t>Output</t>
        </is>
      </c>
      <c r="F679" t="inlineStr">
        <is>
          <t>'=IFERROR(IF(LoanIsNotPaid*LoanIsGood,LoanValue,""), "")</t>
        </is>
      </c>
      <c r="G679" t="n">
        <v>6168.727263067806</v>
      </c>
      <c r="H679" t="inlineStr"/>
      <c r="I679" t="inlineStr">
        <is>
          <t>"$"#,##0.00</t>
        </is>
      </c>
      <c r="J679" t="b">
        <v>0</v>
      </c>
      <c r="K679" t="b">
        <v>0</v>
      </c>
      <c r="L679" t="n">
        <v>9</v>
      </c>
      <c r="M679" t="inlineStr">
        <is>
          <t>Values must be of type &lt;class 'str'&gt;</t>
        </is>
      </c>
      <c r="N679" t="inlineStr">
        <is>
          <t>00000000</t>
        </is>
      </c>
      <c r="O679" t="inlineStr">
        <is>
          <t>center</t>
        </is>
      </c>
      <c r="P679" t="inlineStr">
        <is>
          <t>center</t>
        </is>
      </c>
      <c r="R679" t="b">
        <v>1</v>
      </c>
      <c r="S679" t="inlineStr">
        <is>
          <t>G000003</t>
        </is>
      </c>
      <c r="T679" t="inlineStr">
        <is>
          <t>Vertical</t>
        </is>
      </c>
      <c r="U679" t="n">
        <v>120</v>
      </c>
      <c r="V679" t="b">
        <v>1</v>
      </c>
      <c r="W679" t="inlineStr">
        <is>
          <t>Loan calculator!D17:D136</t>
        </is>
      </c>
      <c r="X679">
        <f>IFERROR(IF(LoanIsNotPaid*LoanIsGood,LoanValue,""), "")</f>
        <v/>
      </c>
    </row>
    <row r="680">
      <c r="A680" t="inlineStr">
        <is>
          <t>Loan calculator</t>
        </is>
      </c>
      <c r="B680" t="inlineStr">
        <is>
          <t>E71</t>
        </is>
      </c>
      <c r="C680" t="n">
        <v>71</v>
      </c>
      <c r="D680" t="n">
        <v>5</v>
      </c>
      <c r="E680" t="inlineStr">
        <is>
          <t>Output</t>
        </is>
      </c>
      <c r="F680" t="inlineStr">
        <is>
          <t>'=IFERROR(IF(LoanIsNotPaid*LoanIsGood,MonthlyPayment,0), 0)</t>
        </is>
      </c>
      <c r="G680" t="n">
        <v>108.5262779604807</v>
      </c>
      <c r="H680" t="inlineStr"/>
      <c r="I680" t="inlineStr">
        <is>
          <t>"$"#,##0.00</t>
        </is>
      </c>
      <c r="J680" t="b">
        <v>0</v>
      </c>
      <c r="K680" t="b">
        <v>0</v>
      </c>
      <c r="L680" t="n">
        <v>9</v>
      </c>
      <c r="M680" t="inlineStr">
        <is>
          <t>Values must be of type &lt;class 'str'&gt;</t>
        </is>
      </c>
      <c r="N680" t="inlineStr">
        <is>
          <t>00000000</t>
        </is>
      </c>
      <c r="O680" t="inlineStr">
        <is>
          <t>center</t>
        </is>
      </c>
      <c r="P680" t="inlineStr">
        <is>
          <t>center</t>
        </is>
      </c>
      <c r="R680" t="b">
        <v>1</v>
      </c>
      <c r="S680" t="inlineStr">
        <is>
          <t>G000004</t>
        </is>
      </c>
      <c r="T680" t="inlineStr">
        <is>
          <t>Vertical</t>
        </is>
      </c>
      <c r="U680" t="n">
        <v>120</v>
      </c>
      <c r="V680" t="b">
        <v>1</v>
      </c>
      <c r="W680" t="inlineStr">
        <is>
          <t>Loan calculator!E17:E136</t>
        </is>
      </c>
      <c r="X680">
        <f>IFERROR(IF(LoanIsNotPaid*LoanIsGood,MonthlyPayment,0), 0)</f>
        <v/>
      </c>
    </row>
    <row r="681">
      <c r="A681" t="inlineStr">
        <is>
          <t>Loan calculator</t>
        </is>
      </c>
      <c r="B681" t="inlineStr">
        <is>
          <t>F71</t>
        </is>
      </c>
      <c r="C681" t="n">
        <v>71</v>
      </c>
      <c r="D681" t="n">
        <v>6</v>
      </c>
      <c r="E681" t="inlineStr">
        <is>
          <t>Output</t>
        </is>
      </c>
      <c r="F681" t="inlineStr">
        <is>
          <t>'=IFERROR(IF(LoanIsNotPaid*LoanIsGood,Principal,0), 0)</t>
        </is>
      </c>
      <c r="G681" t="n">
        <v>80.2529446714199</v>
      </c>
      <c r="H681" t="inlineStr"/>
      <c r="I681" t="inlineStr">
        <is>
          <t>"$"#,##0.00</t>
        </is>
      </c>
      <c r="J681" t="b">
        <v>0</v>
      </c>
      <c r="K681" t="b">
        <v>0</v>
      </c>
      <c r="L681" t="n">
        <v>9</v>
      </c>
      <c r="M681" t="inlineStr">
        <is>
          <t>Values must be of type &lt;class 'str'&gt;</t>
        </is>
      </c>
      <c r="N681" t="inlineStr">
        <is>
          <t>00000000</t>
        </is>
      </c>
      <c r="O681" t="inlineStr">
        <is>
          <t>center</t>
        </is>
      </c>
      <c r="P681" t="inlineStr">
        <is>
          <t>center</t>
        </is>
      </c>
      <c r="R681" t="b">
        <v>1</v>
      </c>
      <c r="S681" t="inlineStr">
        <is>
          <t>G000005</t>
        </is>
      </c>
      <c r="T681" t="inlineStr">
        <is>
          <t>Vertical</t>
        </is>
      </c>
      <c r="U681" t="n">
        <v>120</v>
      </c>
      <c r="V681" t="b">
        <v>1</v>
      </c>
      <c r="W681" t="inlineStr">
        <is>
          <t>Loan calculator!F17:F136</t>
        </is>
      </c>
      <c r="X681">
        <f>IFERROR(IF(LoanIsNotPaid*LoanIsGood,Principal,0), 0)</f>
        <v/>
      </c>
    </row>
    <row r="682">
      <c r="A682" t="inlineStr">
        <is>
          <t>Loan calculator</t>
        </is>
      </c>
      <c r="B682" t="inlineStr">
        <is>
          <t>G71</t>
        </is>
      </c>
      <c r="C682" t="n">
        <v>71</v>
      </c>
      <c r="D682" t="n">
        <v>7</v>
      </c>
      <c r="E682" t="inlineStr">
        <is>
          <t>Output</t>
        </is>
      </c>
      <c r="F682" t="inlineStr">
        <is>
          <t>'=IFERROR(IF(LoanIsNotPaid*LoanIsGood,InterestAmt,0), 0)</t>
        </is>
      </c>
      <c r="G682" t="n">
        <v>28.27333328906082</v>
      </c>
      <c r="H682" t="inlineStr"/>
      <c r="I682" t="inlineStr">
        <is>
          <t>"$"#,##0.00</t>
        </is>
      </c>
      <c r="J682" t="b">
        <v>0</v>
      </c>
      <c r="K682" t="b">
        <v>0</v>
      </c>
      <c r="L682" t="n">
        <v>9</v>
      </c>
      <c r="M682" t="inlineStr">
        <is>
          <t>Values must be of type &lt;class 'str'&gt;</t>
        </is>
      </c>
      <c r="N682" t="inlineStr">
        <is>
          <t>00000000</t>
        </is>
      </c>
      <c r="O682" t="inlineStr">
        <is>
          <t>center</t>
        </is>
      </c>
      <c r="P682" t="inlineStr">
        <is>
          <t>center</t>
        </is>
      </c>
      <c r="R682" t="b">
        <v>1</v>
      </c>
      <c r="S682" t="inlineStr">
        <is>
          <t>G000006</t>
        </is>
      </c>
      <c r="T682" t="inlineStr">
        <is>
          <t>Vertical</t>
        </is>
      </c>
      <c r="U682" t="n">
        <v>120</v>
      </c>
      <c r="V682" t="b">
        <v>1</v>
      </c>
      <c r="W682" t="inlineStr">
        <is>
          <t>Loan calculator!G17:G136</t>
        </is>
      </c>
      <c r="X682">
        <f>IFERROR(IF(LoanIsNotPaid*LoanIsGood,InterestAmt,0), 0)</f>
        <v/>
      </c>
    </row>
    <row r="683">
      <c r="A683" t="inlineStr">
        <is>
          <t>Loan calculator</t>
        </is>
      </c>
      <c r="B683" t="inlineStr">
        <is>
          <t>H71</t>
        </is>
      </c>
      <c r="C683" t="n">
        <v>71</v>
      </c>
      <c r="D683" t="n">
        <v>8</v>
      </c>
      <c r="E683" t="inlineStr">
        <is>
          <t>Output</t>
        </is>
      </c>
      <c r="F683" t="inlineStr">
        <is>
          <t>'=IFERROR(IF(LoanIsNotPaid*LoanIsGood,EndingBalance,0), 0)</t>
        </is>
      </c>
      <c r="G683" t="n">
        <v>6088.474318396387</v>
      </c>
      <c r="H683" t="inlineStr"/>
      <c r="I683" t="inlineStr">
        <is>
          <t>"$"#,##0.00</t>
        </is>
      </c>
      <c r="J683" t="b">
        <v>0</v>
      </c>
      <c r="K683" t="b">
        <v>0</v>
      </c>
      <c r="L683" t="n">
        <v>9</v>
      </c>
      <c r="M683" t="inlineStr">
        <is>
          <t>Values must be of type &lt;class 'str'&gt;</t>
        </is>
      </c>
      <c r="N683" t="inlineStr">
        <is>
          <t>00000000</t>
        </is>
      </c>
      <c r="O683" t="inlineStr">
        <is>
          <t>center</t>
        </is>
      </c>
      <c r="P683" t="inlineStr">
        <is>
          <t>center</t>
        </is>
      </c>
      <c r="R683" t="b">
        <v>1</v>
      </c>
      <c r="S683" t="inlineStr">
        <is>
          <t>G000007</t>
        </is>
      </c>
      <c r="T683" t="inlineStr">
        <is>
          <t>Vertical</t>
        </is>
      </c>
      <c r="U683" t="n">
        <v>120</v>
      </c>
      <c r="V683" t="b">
        <v>1</v>
      </c>
      <c r="W683" t="inlineStr">
        <is>
          <t>Loan calculator!H17:H136</t>
        </is>
      </c>
      <c r="X683">
        <f>IFERROR(IF(LoanIsNotPaid*LoanIsGood,EndingBalance,0), 0)</f>
        <v/>
      </c>
    </row>
    <row r="684">
      <c r="A684" t="inlineStr">
        <is>
          <t>Loan calculator</t>
        </is>
      </c>
      <c r="B684" t="inlineStr">
        <is>
          <t>I71</t>
        </is>
      </c>
      <c r="C684" t="n">
        <v>71</v>
      </c>
      <c r="D684" t="n">
        <v>9</v>
      </c>
      <c r="E684" t="inlineStr">
        <is>
          <t>Input</t>
        </is>
      </c>
      <c r="F684" t="n">
        <v/>
      </c>
      <c r="H684" t="inlineStr"/>
      <c r="I684" t="inlineStr">
        <is>
          <t>General</t>
        </is>
      </c>
      <c r="J684" t="b">
        <v>0</v>
      </c>
      <c r="K684" t="b">
        <v>0</v>
      </c>
      <c r="L684" t="n">
        <v>11</v>
      </c>
      <c r="M684" t="inlineStr">
        <is>
          <t>Values must be of type &lt;class 'str'&gt;</t>
        </is>
      </c>
      <c r="N684" t="inlineStr">
        <is>
          <t>Values must be of type &lt;class 'str'&gt;</t>
        </is>
      </c>
      <c r="O684" t="n">
        <v/>
      </c>
      <c r="P684" t="inlineStr">
        <is>
          <t>center</t>
        </is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</row>
    <row r="685">
      <c r="A685" t="inlineStr">
        <is>
          <t>Loan calculator</t>
        </is>
      </c>
      <c r="B685" t="inlineStr">
        <is>
          <t>A72</t>
        </is>
      </c>
      <c r="C685" t="n">
        <v>72</v>
      </c>
      <c r="D685" t="n">
        <v>1</v>
      </c>
      <c r="E685" t="inlineStr">
        <is>
          <t>Input</t>
        </is>
      </c>
      <c r="F685" t="n">
        <v/>
      </c>
      <c r="H685" t="inlineStr"/>
      <c r="I685" t="inlineStr">
        <is>
          <t>General</t>
        </is>
      </c>
      <c r="J685" t="b">
        <v>0</v>
      </c>
      <c r="K685" t="b">
        <v>0</v>
      </c>
      <c r="L685" t="n">
        <v>11</v>
      </c>
      <c r="M685" t="inlineStr">
        <is>
          <t>Values must be of type &lt;class 'str'&gt;</t>
        </is>
      </c>
      <c r="N685" t="inlineStr">
        <is>
          <t>Values must be of type &lt;class 'str'&gt;</t>
        </is>
      </c>
      <c r="O685" t="n">
        <v/>
      </c>
      <c r="P685" t="inlineStr">
        <is>
          <t>center</t>
        </is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</row>
    <row r="686">
      <c r="A686" t="inlineStr">
        <is>
          <t>Loan calculator</t>
        </is>
      </c>
      <c r="B686" t="inlineStr">
        <is>
          <t>B72</t>
        </is>
      </c>
      <c r="C686" t="n">
        <v>72</v>
      </c>
      <c r="D686" t="n">
        <v>2</v>
      </c>
      <c r="E686" t="inlineStr">
        <is>
          <t>Output</t>
        </is>
      </c>
      <c r="F686" t="inlineStr">
        <is>
          <t>'=IFERROR(IF(LoanIsNotPaid*LoanIsGood,PaymentNumber,""), "")</t>
        </is>
      </c>
      <c r="G686" t="n">
        <v>56</v>
      </c>
      <c r="H686" t="inlineStr"/>
      <c r="I686" t="inlineStr">
        <is>
          <t>#,##0</t>
        </is>
      </c>
      <c r="J686" t="b">
        <v>0</v>
      </c>
      <c r="K686" t="b">
        <v>0</v>
      </c>
      <c r="L686" t="n">
        <v>9</v>
      </c>
      <c r="M686" t="inlineStr">
        <is>
          <t>Values must be of type &lt;class 'str'&gt;</t>
        </is>
      </c>
      <c r="N686" t="inlineStr">
        <is>
          <t>00000000</t>
        </is>
      </c>
      <c r="O686" t="inlineStr">
        <is>
          <t>center</t>
        </is>
      </c>
      <c r="P686" t="inlineStr">
        <is>
          <t>center</t>
        </is>
      </c>
      <c r="R686" t="b">
        <v>1</v>
      </c>
      <c r="S686" t="inlineStr">
        <is>
          <t>G000001</t>
        </is>
      </c>
      <c r="T686" t="inlineStr">
        <is>
          <t>Vertical</t>
        </is>
      </c>
      <c r="U686" t="n">
        <v>120</v>
      </c>
      <c r="V686" t="b">
        <v>1</v>
      </c>
      <c r="W686" t="inlineStr">
        <is>
          <t>Loan calculator!B17:B136</t>
        </is>
      </c>
      <c r="X686">
        <f>IFERROR(IF(LoanIsNotPaid*LoanIsGood,PaymentNumber,""), "")</f>
        <v/>
      </c>
    </row>
    <row r="687">
      <c r="A687" t="inlineStr">
        <is>
          <t>Loan calculator</t>
        </is>
      </c>
      <c r="B687" t="inlineStr">
        <is>
          <t>C72</t>
        </is>
      </c>
      <c r="C687" t="n">
        <v>72</v>
      </c>
      <c r="D687" t="n">
        <v>3</v>
      </c>
      <c r="E687" t="inlineStr">
        <is>
          <t>Output</t>
        </is>
      </c>
      <c r="F687" t="inlineStr">
        <is>
          <t>'=IFERROR(IF(LoanIsNotPaid*LoanIsGood,PaymentDate,LoanStartDate), LoanStartDate)</t>
        </is>
      </c>
      <c r="G687" s="1" t="n">
        <v>47792</v>
      </c>
      <c r="H687" t="inlineStr"/>
      <c r="I687" t="inlineStr">
        <is>
          <t>mm-dd-yy</t>
        </is>
      </c>
      <c r="J687" t="b">
        <v>0</v>
      </c>
      <c r="K687" t="b">
        <v>0</v>
      </c>
      <c r="L687" t="n">
        <v>9</v>
      </c>
      <c r="M687" t="inlineStr">
        <is>
          <t>Values must be of type &lt;class 'str'&gt;</t>
        </is>
      </c>
      <c r="N687" t="inlineStr">
        <is>
          <t>00000000</t>
        </is>
      </c>
      <c r="O687" t="inlineStr">
        <is>
          <t>center</t>
        </is>
      </c>
      <c r="P687" t="inlineStr">
        <is>
          <t>center</t>
        </is>
      </c>
      <c r="R687" t="b">
        <v>1</v>
      </c>
      <c r="S687" t="inlineStr">
        <is>
          <t>G000002</t>
        </is>
      </c>
      <c r="T687" t="inlineStr">
        <is>
          <t>Vertical</t>
        </is>
      </c>
      <c r="U687" t="n">
        <v>120</v>
      </c>
      <c r="V687" t="b">
        <v>1</v>
      </c>
      <c r="W687" t="inlineStr">
        <is>
          <t>Loan calculator!C17:C136</t>
        </is>
      </c>
      <c r="X687">
        <f>IFERROR(IF(LoanIsNotPaid*LoanIsGood,PaymentDate,LoanStartDate), LoanStartDate)</f>
        <v/>
      </c>
    </row>
    <row r="688">
      <c r="A688" t="inlineStr">
        <is>
          <t>Loan calculator</t>
        </is>
      </c>
      <c r="B688" t="inlineStr">
        <is>
          <t>D72</t>
        </is>
      </c>
      <c r="C688" t="n">
        <v>72</v>
      </c>
      <c r="D688" t="n">
        <v>4</v>
      </c>
      <c r="E688" t="inlineStr">
        <is>
          <t>Output</t>
        </is>
      </c>
      <c r="F688" t="inlineStr">
        <is>
          <t>'=IFERROR(IF(LoanIsNotPaid*LoanIsGood,LoanValue,""), "")</t>
        </is>
      </c>
      <c r="G688" t="n">
        <v>6088.474318396387</v>
      </c>
      <c r="H688" t="inlineStr"/>
      <c r="I688" t="inlineStr">
        <is>
          <t>"$"#,##0.00</t>
        </is>
      </c>
      <c r="J688" t="b">
        <v>0</v>
      </c>
      <c r="K688" t="b">
        <v>0</v>
      </c>
      <c r="L688" t="n">
        <v>9</v>
      </c>
      <c r="M688" t="inlineStr">
        <is>
          <t>Values must be of type &lt;class 'str'&gt;</t>
        </is>
      </c>
      <c r="N688" t="inlineStr">
        <is>
          <t>00000000</t>
        </is>
      </c>
      <c r="O688" t="inlineStr">
        <is>
          <t>center</t>
        </is>
      </c>
      <c r="P688" t="inlineStr">
        <is>
          <t>center</t>
        </is>
      </c>
      <c r="R688" t="b">
        <v>1</v>
      </c>
      <c r="S688" t="inlineStr">
        <is>
          <t>G000003</t>
        </is>
      </c>
      <c r="T688" t="inlineStr">
        <is>
          <t>Vertical</t>
        </is>
      </c>
      <c r="U688" t="n">
        <v>120</v>
      </c>
      <c r="V688" t="b">
        <v>1</v>
      </c>
      <c r="W688" t="inlineStr">
        <is>
          <t>Loan calculator!D17:D136</t>
        </is>
      </c>
      <c r="X688">
        <f>IFERROR(IF(LoanIsNotPaid*LoanIsGood,LoanValue,""), "")</f>
        <v/>
      </c>
    </row>
    <row r="689">
      <c r="A689" t="inlineStr">
        <is>
          <t>Loan calculator</t>
        </is>
      </c>
      <c r="B689" t="inlineStr">
        <is>
          <t>E72</t>
        </is>
      </c>
      <c r="C689" t="n">
        <v>72</v>
      </c>
      <c r="D689" t="n">
        <v>5</v>
      </c>
      <c r="E689" t="inlineStr">
        <is>
          <t>Output</t>
        </is>
      </c>
      <c r="F689" t="inlineStr">
        <is>
          <t>'=IFERROR(IF(LoanIsNotPaid*LoanIsGood,MonthlyPayment,0), 0)</t>
        </is>
      </c>
      <c r="G689" t="n">
        <v>108.5262779604807</v>
      </c>
      <c r="H689" t="inlineStr"/>
      <c r="I689" t="inlineStr">
        <is>
          <t>"$"#,##0.00</t>
        </is>
      </c>
      <c r="J689" t="b">
        <v>0</v>
      </c>
      <c r="K689" t="b">
        <v>0</v>
      </c>
      <c r="L689" t="n">
        <v>9</v>
      </c>
      <c r="M689" t="inlineStr">
        <is>
          <t>Values must be of type &lt;class 'str'&gt;</t>
        </is>
      </c>
      <c r="N689" t="inlineStr">
        <is>
          <t>00000000</t>
        </is>
      </c>
      <c r="O689" t="inlineStr">
        <is>
          <t>center</t>
        </is>
      </c>
      <c r="P689" t="inlineStr">
        <is>
          <t>center</t>
        </is>
      </c>
      <c r="R689" t="b">
        <v>1</v>
      </c>
      <c r="S689" t="inlineStr">
        <is>
          <t>G000004</t>
        </is>
      </c>
      <c r="T689" t="inlineStr">
        <is>
          <t>Vertical</t>
        </is>
      </c>
      <c r="U689" t="n">
        <v>120</v>
      </c>
      <c r="V689" t="b">
        <v>1</v>
      </c>
      <c r="W689" t="inlineStr">
        <is>
          <t>Loan calculator!E17:E136</t>
        </is>
      </c>
      <c r="X689">
        <f>IFERROR(IF(LoanIsNotPaid*LoanIsGood,MonthlyPayment,0), 0)</f>
        <v/>
      </c>
    </row>
    <row r="690">
      <c r="A690" t="inlineStr">
        <is>
          <t>Loan calculator</t>
        </is>
      </c>
      <c r="B690" t="inlineStr">
        <is>
          <t>F72</t>
        </is>
      </c>
      <c r="C690" t="n">
        <v>72</v>
      </c>
      <c r="D690" t="n">
        <v>6</v>
      </c>
      <c r="E690" t="inlineStr">
        <is>
          <t>Output</t>
        </is>
      </c>
      <c r="F690" t="inlineStr">
        <is>
          <t>'=IFERROR(IF(LoanIsNotPaid*LoanIsGood,Principal,0), 0)</t>
        </is>
      </c>
      <c r="G690" t="n">
        <v>80.62077066783058</v>
      </c>
      <c r="H690" t="inlineStr"/>
      <c r="I690" t="inlineStr">
        <is>
          <t>"$"#,##0.00</t>
        </is>
      </c>
      <c r="J690" t="b">
        <v>0</v>
      </c>
      <c r="K690" t="b">
        <v>0</v>
      </c>
      <c r="L690" t="n">
        <v>9</v>
      </c>
      <c r="M690" t="inlineStr">
        <is>
          <t>Values must be of type &lt;class 'str'&gt;</t>
        </is>
      </c>
      <c r="N690" t="inlineStr">
        <is>
          <t>00000000</t>
        </is>
      </c>
      <c r="O690" t="inlineStr">
        <is>
          <t>center</t>
        </is>
      </c>
      <c r="P690" t="inlineStr">
        <is>
          <t>center</t>
        </is>
      </c>
      <c r="R690" t="b">
        <v>1</v>
      </c>
      <c r="S690" t="inlineStr">
        <is>
          <t>G000005</t>
        </is>
      </c>
      <c r="T690" t="inlineStr">
        <is>
          <t>Vertical</t>
        </is>
      </c>
      <c r="U690" t="n">
        <v>120</v>
      </c>
      <c r="V690" t="b">
        <v>1</v>
      </c>
      <c r="W690" t="inlineStr">
        <is>
          <t>Loan calculator!F17:F136</t>
        </is>
      </c>
      <c r="X690">
        <f>IFERROR(IF(LoanIsNotPaid*LoanIsGood,Principal,0), 0)</f>
        <v/>
      </c>
    </row>
    <row r="691">
      <c r="A691" t="inlineStr">
        <is>
          <t>Loan calculator</t>
        </is>
      </c>
      <c r="B691" t="inlineStr">
        <is>
          <t>G72</t>
        </is>
      </c>
      <c r="C691" t="n">
        <v>72</v>
      </c>
      <c r="D691" t="n">
        <v>7</v>
      </c>
      <c r="E691" t="inlineStr">
        <is>
          <t>Output</t>
        </is>
      </c>
      <c r="F691" t="inlineStr">
        <is>
          <t>'=IFERROR(IF(LoanIsNotPaid*LoanIsGood,InterestAmt,0), 0)</t>
        </is>
      </c>
      <c r="G691" t="n">
        <v>27.90550729265014</v>
      </c>
      <c r="H691" t="inlineStr"/>
      <c r="I691" t="inlineStr">
        <is>
          <t>"$"#,##0.00</t>
        </is>
      </c>
      <c r="J691" t="b">
        <v>0</v>
      </c>
      <c r="K691" t="b">
        <v>0</v>
      </c>
      <c r="L691" t="n">
        <v>9</v>
      </c>
      <c r="M691" t="inlineStr">
        <is>
          <t>Values must be of type &lt;class 'str'&gt;</t>
        </is>
      </c>
      <c r="N691" t="inlineStr">
        <is>
          <t>00000000</t>
        </is>
      </c>
      <c r="O691" t="inlineStr">
        <is>
          <t>center</t>
        </is>
      </c>
      <c r="P691" t="inlineStr">
        <is>
          <t>center</t>
        </is>
      </c>
      <c r="R691" t="b">
        <v>1</v>
      </c>
      <c r="S691" t="inlineStr">
        <is>
          <t>G000006</t>
        </is>
      </c>
      <c r="T691" t="inlineStr">
        <is>
          <t>Vertical</t>
        </is>
      </c>
      <c r="U691" t="n">
        <v>120</v>
      </c>
      <c r="V691" t="b">
        <v>1</v>
      </c>
      <c r="W691" t="inlineStr">
        <is>
          <t>Loan calculator!G17:G136</t>
        </is>
      </c>
      <c r="X691">
        <f>IFERROR(IF(LoanIsNotPaid*LoanIsGood,InterestAmt,0), 0)</f>
        <v/>
      </c>
    </row>
    <row r="692">
      <c r="A692" t="inlineStr">
        <is>
          <t>Loan calculator</t>
        </is>
      </c>
      <c r="B692" t="inlineStr">
        <is>
          <t>H72</t>
        </is>
      </c>
      <c r="C692" t="n">
        <v>72</v>
      </c>
      <c r="D692" t="n">
        <v>8</v>
      </c>
      <c r="E692" t="inlineStr">
        <is>
          <t>Output</t>
        </is>
      </c>
      <c r="F692" t="inlineStr">
        <is>
          <t>'=IFERROR(IF(LoanIsNotPaid*LoanIsGood,EndingBalance,0), 0)</t>
        </is>
      </c>
      <c r="G692" t="n">
        <v>6007.853547728558</v>
      </c>
      <c r="H692" t="inlineStr"/>
      <c r="I692" t="inlineStr">
        <is>
          <t>"$"#,##0.00</t>
        </is>
      </c>
      <c r="J692" t="b">
        <v>0</v>
      </c>
      <c r="K692" t="b">
        <v>0</v>
      </c>
      <c r="L692" t="n">
        <v>9</v>
      </c>
      <c r="M692" t="inlineStr">
        <is>
          <t>Values must be of type &lt;class 'str'&gt;</t>
        </is>
      </c>
      <c r="N692" t="inlineStr">
        <is>
          <t>00000000</t>
        </is>
      </c>
      <c r="O692" t="inlineStr">
        <is>
          <t>center</t>
        </is>
      </c>
      <c r="P692" t="inlineStr">
        <is>
          <t>center</t>
        </is>
      </c>
      <c r="R692" t="b">
        <v>1</v>
      </c>
      <c r="S692" t="inlineStr">
        <is>
          <t>G000007</t>
        </is>
      </c>
      <c r="T692" t="inlineStr">
        <is>
          <t>Vertical</t>
        </is>
      </c>
      <c r="U692" t="n">
        <v>120</v>
      </c>
      <c r="V692" t="b">
        <v>1</v>
      </c>
      <c r="W692" t="inlineStr">
        <is>
          <t>Loan calculator!H17:H136</t>
        </is>
      </c>
      <c r="X692">
        <f>IFERROR(IF(LoanIsNotPaid*LoanIsGood,EndingBalance,0), 0)</f>
        <v/>
      </c>
    </row>
    <row r="693">
      <c r="A693" t="inlineStr">
        <is>
          <t>Loan calculator</t>
        </is>
      </c>
      <c r="B693" t="inlineStr">
        <is>
          <t>I72</t>
        </is>
      </c>
      <c r="C693" t="n">
        <v>72</v>
      </c>
      <c r="D693" t="n">
        <v>9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11</v>
      </c>
      <c r="M693" t="inlineStr">
        <is>
          <t>Values must be of type &lt;class 'str'&gt;</t>
        </is>
      </c>
      <c r="N693" t="inlineStr">
        <is>
          <t>Values must be of type &lt;class 'str'&gt;</t>
        </is>
      </c>
      <c r="O693" t="n">
        <v/>
      </c>
      <c r="P693" t="inlineStr">
        <is>
          <t>center</t>
        </is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</row>
    <row r="694">
      <c r="A694" t="inlineStr">
        <is>
          <t>Loan calculator</t>
        </is>
      </c>
      <c r="B694" t="inlineStr">
        <is>
          <t>A73</t>
        </is>
      </c>
      <c r="C694" t="n">
        <v>73</v>
      </c>
      <c r="D694" t="n">
        <v>1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11</v>
      </c>
      <c r="M694" t="inlineStr">
        <is>
          <t>Values must be of type &lt;class 'str'&gt;</t>
        </is>
      </c>
      <c r="N694" t="inlineStr">
        <is>
          <t>Values must be of type &lt;class 'str'&gt;</t>
        </is>
      </c>
      <c r="O694" t="n">
        <v/>
      </c>
      <c r="P694" t="inlineStr">
        <is>
          <t>center</t>
        </is>
      </c>
      <c r="R694" t="b">
        <v>0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</row>
    <row r="695">
      <c r="A695" t="inlineStr">
        <is>
          <t>Loan calculator</t>
        </is>
      </c>
      <c r="B695" t="inlineStr">
        <is>
          <t>B73</t>
        </is>
      </c>
      <c r="C695" t="n">
        <v>73</v>
      </c>
      <c r="D695" t="n">
        <v>2</v>
      </c>
      <c r="E695" t="inlineStr">
        <is>
          <t>Output</t>
        </is>
      </c>
      <c r="F695" t="inlineStr">
        <is>
          <t>'=IFERROR(IF(LoanIsNotPaid*LoanIsGood,PaymentNumber,""), "")</t>
        </is>
      </c>
      <c r="G695" t="n">
        <v>57</v>
      </c>
      <c r="H695" t="inlineStr"/>
      <c r="I695" t="inlineStr">
        <is>
          <t>#,##0</t>
        </is>
      </c>
      <c r="J695" t="b">
        <v>0</v>
      </c>
      <c r="K695" t="b">
        <v>0</v>
      </c>
      <c r="L695" t="n">
        <v>9</v>
      </c>
      <c r="M695" t="inlineStr">
        <is>
          <t>Values must be of type &lt;class 'str'&gt;</t>
        </is>
      </c>
      <c r="N695" t="inlineStr">
        <is>
          <t>00000000</t>
        </is>
      </c>
      <c r="O695" t="inlineStr">
        <is>
          <t>center</t>
        </is>
      </c>
      <c r="P695" t="inlineStr">
        <is>
          <t>center</t>
        </is>
      </c>
      <c r="R695" t="b">
        <v>1</v>
      </c>
      <c r="S695" t="inlineStr">
        <is>
          <t>G000001</t>
        </is>
      </c>
      <c r="T695" t="inlineStr">
        <is>
          <t>Vertical</t>
        </is>
      </c>
      <c r="U695" t="n">
        <v>120</v>
      </c>
      <c r="V695" t="b">
        <v>1</v>
      </c>
      <c r="W695" t="inlineStr">
        <is>
          <t>Loan calculator!B17:B136</t>
        </is>
      </c>
      <c r="X695">
        <f>IFERROR(IF(LoanIsNotPaid*LoanIsGood,PaymentNumber,""), "")</f>
        <v/>
      </c>
    </row>
    <row r="696">
      <c r="A696" t="inlineStr">
        <is>
          <t>Loan calculator</t>
        </is>
      </c>
      <c r="B696" t="inlineStr">
        <is>
          <t>C73</t>
        </is>
      </c>
      <c r="C696" t="n">
        <v>73</v>
      </c>
      <c r="D696" t="n">
        <v>3</v>
      </c>
      <c r="E696" t="inlineStr">
        <is>
          <t>Output</t>
        </is>
      </c>
      <c r="F696" t="inlineStr">
        <is>
          <t>'=IFERROR(IF(LoanIsNotPaid*LoanIsGood,PaymentDate,LoanStartDate), LoanStartDate)</t>
        </is>
      </c>
      <c r="G696" s="1" t="n">
        <v>47822</v>
      </c>
      <c r="H696" t="inlineStr"/>
      <c r="I696" t="inlineStr">
        <is>
          <t>mm-dd-yy</t>
        </is>
      </c>
      <c r="J696" t="b">
        <v>0</v>
      </c>
      <c r="K696" t="b">
        <v>0</v>
      </c>
      <c r="L696" t="n">
        <v>9</v>
      </c>
      <c r="M696" t="inlineStr">
        <is>
          <t>Values must be of type &lt;class 'str'&gt;</t>
        </is>
      </c>
      <c r="N696" t="inlineStr">
        <is>
          <t>00000000</t>
        </is>
      </c>
      <c r="O696" t="inlineStr">
        <is>
          <t>center</t>
        </is>
      </c>
      <c r="P696" t="inlineStr">
        <is>
          <t>center</t>
        </is>
      </c>
      <c r="R696" t="b">
        <v>1</v>
      </c>
      <c r="S696" t="inlineStr">
        <is>
          <t>G000002</t>
        </is>
      </c>
      <c r="T696" t="inlineStr">
        <is>
          <t>Vertical</t>
        </is>
      </c>
      <c r="U696" t="n">
        <v>120</v>
      </c>
      <c r="V696" t="b">
        <v>1</v>
      </c>
      <c r="W696" t="inlineStr">
        <is>
          <t>Loan calculator!C17:C136</t>
        </is>
      </c>
      <c r="X696">
        <f>IFERROR(IF(LoanIsNotPaid*LoanIsGood,PaymentDate,LoanStartDate), LoanStartDate)</f>
        <v/>
      </c>
    </row>
    <row r="697">
      <c r="A697" t="inlineStr">
        <is>
          <t>Loan calculator</t>
        </is>
      </c>
      <c r="B697" t="inlineStr">
        <is>
          <t>D73</t>
        </is>
      </c>
      <c r="C697" t="n">
        <v>73</v>
      </c>
      <c r="D697" t="n">
        <v>4</v>
      </c>
      <c r="E697" t="inlineStr">
        <is>
          <t>Output</t>
        </is>
      </c>
      <c r="F697" t="inlineStr">
        <is>
          <t>'=IFERROR(IF(LoanIsNotPaid*LoanIsGood,LoanValue,""), "")</t>
        </is>
      </c>
      <c r="G697" t="n">
        <v>6007.853547728558</v>
      </c>
      <c r="H697" t="inlineStr"/>
      <c r="I697" t="inlineStr">
        <is>
          <t>"$"#,##0.00</t>
        </is>
      </c>
      <c r="J697" t="b">
        <v>0</v>
      </c>
      <c r="K697" t="b">
        <v>0</v>
      </c>
      <c r="L697" t="n">
        <v>9</v>
      </c>
      <c r="M697" t="inlineStr">
        <is>
          <t>Values must be of type &lt;class 'str'&gt;</t>
        </is>
      </c>
      <c r="N697" t="inlineStr">
        <is>
          <t>00000000</t>
        </is>
      </c>
      <c r="O697" t="inlineStr">
        <is>
          <t>center</t>
        </is>
      </c>
      <c r="P697" t="inlineStr">
        <is>
          <t>center</t>
        </is>
      </c>
      <c r="R697" t="b">
        <v>1</v>
      </c>
      <c r="S697" t="inlineStr">
        <is>
          <t>G000003</t>
        </is>
      </c>
      <c r="T697" t="inlineStr">
        <is>
          <t>Vertical</t>
        </is>
      </c>
      <c r="U697" t="n">
        <v>120</v>
      </c>
      <c r="V697" t="b">
        <v>1</v>
      </c>
      <c r="W697" t="inlineStr">
        <is>
          <t>Loan calculator!D17:D136</t>
        </is>
      </c>
      <c r="X697">
        <f>IFERROR(IF(LoanIsNotPaid*LoanIsGood,LoanValue,""), "")</f>
        <v/>
      </c>
    </row>
    <row r="698">
      <c r="A698" t="inlineStr">
        <is>
          <t>Loan calculator</t>
        </is>
      </c>
      <c r="B698" t="inlineStr">
        <is>
          <t>E73</t>
        </is>
      </c>
      <c r="C698" t="n">
        <v>73</v>
      </c>
      <c r="D698" t="n">
        <v>5</v>
      </c>
      <c r="E698" t="inlineStr">
        <is>
          <t>Output</t>
        </is>
      </c>
      <c r="F698" t="inlineStr">
        <is>
          <t>'=IFERROR(IF(LoanIsNotPaid*LoanIsGood,MonthlyPayment,0), 0)</t>
        </is>
      </c>
      <c r="G698" t="n">
        <v>108.5262779604807</v>
      </c>
      <c r="H698" t="inlineStr"/>
      <c r="I698" t="inlineStr">
        <is>
          <t>"$"#,##0.00</t>
        </is>
      </c>
      <c r="J698" t="b">
        <v>0</v>
      </c>
      <c r="K698" t="b">
        <v>0</v>
      </c>
      <c r="L698" t="n">
        <v>9</v>
      </c>
      <c r="M698" t="inlineStr">
        <is>
          <t>Values must be of type &lt;class 'str'&gt;</t>
        </is>
      </c>
      <c r="N698" t="inlineStr">
        <is>
          <t>00000000</t>
        </is>
      </c>
      <c r="O698" t="inlineStr">
        <is>
          <t>center</t>
        </is>
      </c>
      <c r="P698" t="inlineStr">
        <is>
          <t>center</t>
        </is>
      </c>
      <c r="R698" t="b">
        <v>1</v>
      </c>
      <c r="S698" t="inlineStr">
        <is>
          <t>G000004</t>
        </is>
      </c>
      <c r="T698" t="inlineStr">
        <is>
          <t>Vertical</t>
        </is>
      </c>
      <c r="U698" t="n">
        <v>120</v>
      </c>
      <c r="V698" t="b">
        <v>1</v>
      </c>
      <c r="W698" t="inlineStr">
        <is>
          <t>Loan calculator!E17:E136</t>
        </is>
      </c>
      <c r="X698">
        <f>IFERROR(IF(LoanIsNotPaid*LoanIsGood,MonthlyPayment,0), 0)</f>
        <v/>
      </c>
    </row>
    <row r="699">
      <c r="A699" t="inlineStr">
        <is>
          <t>Loan calculator</t>
        </is>
      </c>
      <c r="B699" t="inlineStr">
        <is>
          <t>F73</t>
        </is>
      </c>
      <c r="C699" t="n">
        <v>73</v>
      </c>
      <c r="D699" t="n">
        <v>6</v>
      </c>
      <c r="E699" t="inlineStr">
        <is>
          <t>Output</t>
        </is>
      </c>
      <c r="F699" t="inlineStr">
        <is>
          <t>'=IFERROR(IF(LoanIsNotPaid*LoanIsGood,Principal,0), 0)</t>
        </is>
      </c>
      <c r="G699" t="n">
        <v>80.99028253339146</v>
      </c>
      <c r="H699" t="inlineStr"/>
      <c r="I699" t="inlineStr">
        <is>
          <t>"$"#,##0.00</t>
        </is>
      </c>
      <c r="J699" t="b">
        <v>0</v>
      </c>
      <c r="K699" t="b">
        <v>0</v>
      </c>
      <c r="L699" t="n">
        <v>9</v>
      </c>
      <c r="M699" t="inlineStr">
        <is>
          <t>Values must be of type &lt;class 'str'&gt;</t>
        </is>
      </c>
      <c r="N699" t="inlineStr">
        <is>
          <t>00000000</t>
        </is>
      </c>
      <c r="O699" t="inlineStr">
        <is>
          <t>center</t>
        </is>
      </c>
      <c r="P699" t="inlineStr">
        <is>
          <t>center</t>
        </is>
      </c>
      <c r="R699" t="b">
        <v>1</v>
      </c>
      <c r="S699" t="inlineStr">
        <is>
          <t>G000005</t>
        </is>
      </c>
      <c r="T699" t="inlineStr">
        <is>
          <t>Vertical</t>
        </is>
      </c>
      <c r="U699" t="n">
        <v>120</v>
      </c>
      <c r="V699" t="b">
        <v>1</v>
      </c>
      <c r="W699" t="inlineStr">
        <is>
          <t>Loan calculator!F17:F136</t>
        </is>
      </c>
      <c r="X699">
        <f>IFERROR(IF(LoanIsNotPaid*LoanIsGood,Principal,0), 0)</f>
        <v/>
      </c>
    </row>
    <row r="700">
      <c r="A700" t="inlineStr">
        <is>
          <t>Loan calculator</t>
        </is>
      </c>
      <c r="B700" t="inlineStr">
        <is>
          <t>G73</t>
        </is>
      </c>
      <c r="C700" t="n">
        <v>73</v>
      </c>
      <c r="D700" t="n">
        <v>7</v>
      </c>
      <c r="E700" t="inlineStr">
        <is>
          <t>Output</t>
        </is>
      </c>
      <c r="F700" t="inlineStr">
        <is>
          <t>'=IFERROR(IF(LoanIsNotPaid*LoanIsGood,InterestAmt,0), 0)</t>
        </is>
      </c>
      <c r="G700" t="n">
        <v>27.53599542708925</v>
      </c>
      <c r="H700" t="inlineStr"/>
      <c r="I700" t="inlineStr">
        <is>
          <t>"$"#,##0.00</t>
        </is>
      </c>
      <c r="J700" t="b">
        <v>0</v>
      </c>
      <c r="K700" t="b">
        <v>0</v>
      </c>
      <c r="L700" t="n">
        <v>9</v>
      </c>
      <c r="M700" t="inlineStr">
        <is>
          <t>Values must be of type &lt;class 'str'&gt;</t>
        </is>
      </c>
      <c r="N700" t="inlineStr">
        <is>
          <t>00000000</t>
        </is>
      </c>
      <c r="O700" t="inlineStr">
        <is>
          <t>center</t>
        </is>
      </c>
      <c r="P700" t="inlineStr">
        <is>
          <t>center</t>
        </is>
      </c>
      <c r="R700" t="b">
        <v>1</v>
      </c>
      <c r="S700" t="inlineStr">
        <is>
          <t>G000006</t>
        </is>
      </c>
      <c r="T700" t="inlineStr">
        <is>
          <t>Vertical</t>
        </is>
      </c>
      <c r="U700" t="n">
        <v>120</v>
      </c>
      <c r="V700" t="b">
        <v>1</v>
      </c>
      <c r="W700" t="inlineStr">
        <is>
          <t>Loan calculator!G17:G136</t>
        </is>
      </c>
      <c r="X700">
        <f>IFERROR(IF(LoanIsNotPaid*LoanIsGood,InterestAmt,0), 0)</f>
        <v/>
      </c>
    </row>
    <row r="701">
      <c r="A701" t="inlineStr">
        <is>
          <t>Loan calculator</t>
        </is>
      </c>
      <c r="B701" t="inlineStr">
        <is>
          <t>H73</t>
        </is>
      </c>
      <c r="C701" t="n">
        <v>73</v>
      </c>
      <c r="D701" t="n">
        <v>8</v>
      </c>
      <c r="E701" t="inlineStr">
        <is>
          <t>Output</t>
        </is>
      </c>
      <c r="F701" t="inlineStr">
        <is>
          <t>'=IFERROR(IF(LoanIsNotPaid*LoanIsGood,EndingBalance,0), 0)</t>
        </is>
      </c>
      <c r="G701" t="n">
        <v>5926.863265195167</v>
      </c>
      <c r="H701" t="inlineStr"/>
      <c r="I701" t="inlineStr">
        <is>
          <t>"$"#,##0.00</t>
        </is>
      </c>
      <c r="J701" t="b">
        <v>0</v>
      </c>
      <c r="K701" t="b">
        <v>0</v>
      </c>
      <c r="L701" t="n">
        <v>9</v>
      </c>
      <c r="M701" t="inlineStr">
        <is>
          <t>Values must be of type &lt;class 'str'&gt;</t>
        </is>
      </c>
      <c r="N701" t="inlineStr">
        <is>
          <t>00000000</t>
        </is>
      </c>
      <c r="O701" t="inlineStr">
        <is>
          <t>center</t>
        </is>
      </c>
      <c r="P701" t="inlineStr">
        <is>
          <t>center</t>
        </is>
      </c>
      <c r="R701" t="b">
        <v>1</v>
      </c>
      <c r="S701" t="inlineStr">
        <is>
          <t>G000007</t>
        </is>
      </c>
      <c r="T701" t="inlineStr">
        <is>
          <t>Vertical</t>
        </is>
      </c>
      <c r="U701" t="n">
        <v>120</v>
      </c>
      <c r="V701" t="b">
        <v>1</v>
      </c>
      <c r="W701" t="inlineStr">
        <is>
          <t>Loan calculator!H17:H136</t>
        </is>
      </c>
      <c r="X701">
        <f>IFERROR(IF(LoanIsNotPaid*LoanIsGood,EndingBalance,0), 0)</f>
        <v/>
      </c>
    </row>
    <row r="702">
      <c r="A702" t="inlineStr">
        <is>
          <t>Loan calculator</t>
        </is>
      </c>
      <c r="B702" t="inlineStr">
        <is>
          <t>I73</t>
        </is>
      </c>
      <c r="C702" t="n">
        <v>73</v>
      </c>
      <c r="D702" t="n">
        <v>9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11</v>
      </c>
      <c r="M702" t="inlineStr">
        <is>
          <t>Values must be of type &lt;class 'str'&gt;</t>
        </is>
      </c>
      <c r="N702" t="inlineStr">
        <is>
          <t>Values must be of type &lt;class 'str'&gt;</t>
        </is>
      </c>
      <c r="O702" t="n">
        <v/>
      </c>
      <c r="P702" t="inlineStr">
        <is>
          <t>center</t>
        </is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</row>
    <row r="703">
      <c r="A703" t="inlineStr">
        <is>
          <t>Loan calculator</t>
        </is>
      </c>
      <c r="B703" t="inlineStr">
        <is>
          <t>A74</t>
        </is>
      </c>
      <c r="C703" t="n">
        <v>74</v>
      </c>
      <c r="D703" t="n">
        <v>1</v>
      </c>
      <c r="E703" t="inlineStr">
        <is>
          <t>Input</t>
        </is>
      </c>
      <c r="F703" t="n">
        <v/>
      </c>
      <c r="H703" t="inlineStr"/>
      <c r="I703" t="inlineStr">
        <is>
          <t>General</t>
        </is>
      </c>
      <c r="J703" t="b">
        <v>0</v>
      </c>
      <c r="K703" t="b">
        <v>0</v>
      </c>
      <c r="L703" t="n">
        <v>11</v>
      </c>
      <c r="M703" t="inlineStr">
        <is>
          <t>Values must be of type &lt;class 'str'&gt;</t>
        </is>
      </c>
      <c r="N703" t="inlineStr">
        <is>
          <t>Values must be of type &lt;class 'str'&gt;</t>
        </is>
      </c>
      <c r="O703" t="n">
        <v/>
      </c>
      <c r="P703" t="inlineStr">
        <is>
          <t>center</t>
        </is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</row>
    <row r="704">
      <c r="A704" t="inlineStr">
        <is>
          <t>Loan calculator</t>
        </is>
      </c>
      <c r="B704" t="inlineStr">
        <is>
          <t>B74</t>
        </is>
      </c>
      <c r="C704" t="n">
        <v>74</v>
      </c>
      <c r="D704" t="n">
        <v>2</v>
      </c>
      <c r="E704" t="inlineStr">
        <is>
          <t>Output</t>
        </is>
      </c>
      <c r="F704" t="inlineStr">
        <is>
          <t>'=IFERROR(IF(LoanIsNotPaid*LoanIsGood,PaymentNumber,""), "")</t>
        </is>
      </c>
      <c r="G704" t="n">
        <v>58</v>
      </c>
      <c r="H704" t="inlineStr"/>
      <c r="I704" t="inlineStr">
        <is>
          <t>#,##0</t>
        </is>
      </c>
      <c r="J704" t="b">
        <v>0</v>
      </c>
      <c r="K704" t="b">
        <v>0</v>
      </c>
      <c r="L704" t="n">
        <v>9</v>
      </c>
      <c r="M704" t="inlineStr">
        <is>
          <t>Values must be of type &lt;class 'str'&gt;</t>
        </is>
      </c>
      <c r="N704" t="inlineStr">
        <is>
          <t>00000000</t>
        </is>
      </c>
      <c r="O704" t="inlineStr">
        <is>
          <t>center</t>
        </is>
      </c>
      <c r="P704" t="inlineStr">
        <is>
          <t>center</t>
        </is>
      </c>
      <c r="R704" t="b">
        <v>1</v>
      </c>
      <c r="S704" t="inlineStr">
        <is>
          <t>G000001</t>
        </is>
      </c>
      <c r="T704" t="inlineStr">
        <is>
          <t>Vertical</t>
        </is>
      </c>
      <c r="U704" t="n">
        <v>120</v>
      </c>
      <c r="V704" t="b">
        <v>1</v>
      </c>
      <c r="W704" t="inlineStr">
        <is>
          <t>Loan calculator!B17:B136</t>
        </is>
      </c>
      <c r="X704">
        <f>IFERROR(IF(LoanIsNotPaid*LoanIsGood,PaymentNumber,""), "")</f>
        <v/>
      </c>
    </row>
    <row r="705">
      <c r="A705" t="inlineStr">
        <is>
          <t>Loan calculator</t>
        </is>
      </c>
      <c r="B705" t="inlineStr">
        <is>
          <t>C74</t>
        </is>
      </c>
      <c r="C705" t="n">
        <v>74</v>
      </c>
      <c r="D705" t="n">
        <v>3</v>
      </c>
      <c r="E705" t="inlineStr">
        <is>
          <t>Output</t>
        </is>
      </c>
      <c r="F705" t="inlineStr">
        <is>
          <t>'=IFERROR(IF(LoanIsNotPaid*LoanIsGood,PaymentDate,LoanStartDate), LoanStartDate)</t>
        </is>
      </c>
      <c r="G705" s="1" t="n">
        <v>47853</v>
      </c>
      <c r="H705" t="inlineStr"/>
      <c r="I705" t="inlineStr">
        <is>
          <t>mm-dd-yy</t>
        </is>
      </c>
      <c r="J705" t="b">
        <v>0</v>
      </c>
      <c r="K705" t="b">
        <v>0</v>
      </c>
      <c r="L705" t="n">
        <v>9</v>
      </c>
      <c r="M705" t="inlineStr">
        <is>
          <t>Values must be of type &lt;class 'str'&gt;</t>
        </is>
      </c>
      <c r="N705" t="inlineStr">
        <is>
          <t>00000000</t>
        </is>
      </c>
      <c r="O705" t="inlineStr">
        <is>
          <t>center</t>
        </is>
      </c>
      <c r="P705" t="inlineStr">
        <is>
          <t>center</t>
        </is>
      </c>
      <c r="R705" t="b">
        <v>1</v>
      </c>
      <c r="S705" t="inlineStr">
        <is>
          <t>G000002</t>
        </is>
      </c>
      <c r="T705" t="inlineStr">
        <is>
          <t>Vertical</t>
        </is>
      </c>
      <c r="U705" t="n">
        <v>120</v>
      </c>
      <c r="V705" t="b">
        <v>1</v>
      </c>
      <c r="W705" t="inlineStr">
        <is>
          <t>Loan calculator!C17:C136</t>
        </is>
      </c>
      <c r="X705">
        <f>IFERROR(IF(LoanIsNotPaid*LoanIsGood,PaymentDate,LoanStartDate), LoanStartDate)</f>
        <v/>
      </c>
    </row>
    <row r="706">
      <c r="A706" t="inlineStr">
        <is>
          <t>Loan calculator</t>
        </is>
      </c>
      <c r="B706" t="inlineStr">
        <is>
          <t>D74</t>
        </is>
      </c>
      <c r="C706" t="n">
        <v>74</v>
      </c>
      <c r="D706" t="n">
        <v>4</v>
      </c>
      <c r="E706" t="inlineStr">
        <is>
          <t>Output</t>
        </is>
      </c>
      <c r="F706" t="inlineStr">
        <is>
          <t>'=IFERROR(IF(LoanIsNotPaid*LoanIsGood,LoanValue,""), "")</t>
        </is>
      </c>
      <c r="G706" t="n">
        <v>5926.863265195167</v>
      </c>
      <c r="H706" t="inlineStr"/>
      <c r="I706" t="inlineStr">
        <is>
          <t>"$"#,##0.00</t>
        </is>
      </c>
      <c r="J706" t="b">
        <v>0</v>
      </c>
      <c r="K706" t="b">
        <v>0</v>
      </c>
      <c r="L706" t="n">
        <v>9</v>
      </c>
      <c r="M706" t="inlineStr">
        <is>
          <t>Values must be of type &lt;class 'str'&gt;</t>
        </is>
      </c>
      <c r="N706" t="inlineStr">
        <is>
          <t>00000000</t>
        </is>
      </c>
      <c r="O706" t="inlineStr">
        <is>
          <t>center</t>
        </is>
      </c>
      <c r="P706" t="inlineStr">
        <is>
          <t>center</t>
        </is>
      </c>
      <c r="R706" t="b">
        <v>1</v>
      </c>
      <c r="S706" t="inlineStr">
        <is>
          <t>G000003</t>
        </is>
      </c>
      <c r="T706" t="inlineStr">
        <is>
          <t>Vertical</t>
        </is>
      </c>
      <c r="U706" t="n">
        <v>120</v>
      </c>
      <c r="V706" t="b">
        <v>1</v>
      </c>
      <c r="W706" t="inlineStr">
        <is>
          <t>Loan calculator!D17:D136</t>
        </is>
      </c>
      <c r="X706">
        <f>IFERROR(IF(LoanIsNotPaid*LoanIsGood,LoanValue,""), "")</f>
        <v/>
      </c>
    </row>
    <row r="707">
      <c r="A707" t="inlineStr">
        <is>
          <t>Loan calculator</t>
        </is>
      </c>
      <c r="B707" t="inlineStr">
        <is>
          <t>E74</t>
        </is>
      </c>
      <c r="C707" t="n">
        <v>74</v>
      </c>
      <c r="D707" t="n">
        <v>5</v>
      </c>
      <c r="E707" t="inlineStr">
        <is>
          <t>Output</t>
        </is>
      </c>
      <c r="F707" t="inlineStr">
        <is>
          <t>'=IFERROR(IF(LoanIsNotPaid*LoanIsGood,MonthlyPayment,0), 0)</t>
        </is>
      </c>
      <c r="G707" t="n">
        <v>108.5262779604807</v>
      </c>
      <c r="H707" t="inlineStr"/>
      <c r="I707" t="inlineStr">
        <is>
          <t>"$"#,##0.00</t>
        </is>
      </c>
      <c r="J707" t="b">
        <v>0</v>
      </c>
      <c r="K707" t="b">
        <v>0</v>
      </c>
      <c r="L707" t="n">
        <v>9</v>
      </c>
      <c r="M707" t="inlineStr">
        <is>
          <t>Values must be of type &lt;class 'str'&gt;</t>
        </is>
      </c>
      <c r="N707" t="inlineStr">
        <is>
          <t>00000000</t>
        </is>
      </c>
      <c r="O707" t="inlineStr">
        <is>
          <t>center</t>
        </is>
      </c>
      <c r="P707" t="inlineStr">
        <is>
          <t>center</t>
        </is>
      </c>
      <c r="R707" t="b">
        <v>1</v>
      </c>
      <c r="S707" t="inlineStr">
        <is>
          <t>G000004</t>
        </is>
      </c>
      <c r="T707" t="inlineStr">
        <is>
          <t>Vertical</t>
        </is>
      </c>
      <c r="U707" t="n">
        <v>120</v>
      </c>
      <c r="V707" t="b">
        <v>1</v>
      </c>
      <c r="W707" t="inlineStr">
        <is>
          <t>Loan calculator!E17:E136</t>
        </is>
      </c>
      <c r="X707">
        <f>IFERROR(IF(LoanIsNotPaid*LoanIsGood,MonthlyPayment,0), 0)</f>
        <v/>
      </c>
    </row>
    <row r="708">
      <c r="A708" t="inlineStr">
        <is>
          <t>Loan calculator</t>
        </is>
      </c>
      <c r="B708" t="inlineStr">
        <is>
          <t>F74</t>
        </is>
      </c>
      <c r="C708" t="n">
        <v>74</v>
      </c>
      <c r="D708" t="n">
        <v>6</v>
      </c>
      <c r="E708" t="inlineStr">
        <is>
          <t>Output</t>
        </is>
      </c>
      <c r="F708" t="inlineStr">
        <is>
          <t>'=IFERROR(IF(LoanIsNotPaid*LoanIsGood,Principal,0), 0)</t>
        </is>
      </c>
      <c r="G708" t="n">
        <v>81.36148799500285</v>
      </c>
      <c r="H708" t="inlineStr"/>
      <c r="I708" t="inlineStr">
        <is>
          <t>"$"#,##0.00</t>
        </is>
      </c>
      <c r="J708" t="b">
        <v>0</v>
      </c>
      <c r="K708" t="b">
        <v>0</v>
      </c>
      <c r="L708" t="n">
        <v>9</v>
      </c>
      <c r="M708" t="inlineStr">
        <is>
          <t>Values must be of type &lt;class 'str'&gt;</t>
        </is>
      </c>
      <c r="N708" t="inlineStr">
        <is>
          <t>00000000</t>
        </is>
      </c>
      <c r="O708" t="inlineStr">
        <is>
          <t>center</t>
        </is>
      </c>
      <c r="P708" t="inlineStr">
        <is>
          <t>center</t>
        </is>
      </c>
      <c r="R708" t="b">
        <v>1</v>
      </c>
      <c r="S708" t="inlineStr">
        <is>
          <t>G000005</t>
        </is>
      </c>
      <c r="T708" t="inlineStr">
        <is>
          <t>Vertical</t>
        </is>
      </c>
      <c r="U708" t="n">
        <v>120</v>
      </c>
      <c r="V708" t="b">
        <v>1</v>
      </c>
      <c r="W708" t="inlineStr">
        <is>
          <t>Loan calculator!F17:F136</t>
        </is>
      </c>
      <c r="X708">
        <f>IFERROR(IF(LoanIsNotPaid*LoanIsGood,Principal,0), 0)</f>
        <v/>
      </c>
    </row>
    <row r="709">
      <c r="A709" t="inlineStr">
        <is>
          <t>Loan calculator</t>
        </is>
      </c>
      <c r="B709" t="inlineStr">
        <is>
          <t>G74</t>
        </is>
      </c>
      <c r="C709" t="n">
        <v>74</v>
      </c>
      <c r="D709" t="n">
        <v>7</v>
      </c>
      <c r="E709" t="inlineStr">
        <is>
          <t>Output</t>
        </is>
      </c>
      <c r="F709" t="inlineStr">
        <is>
          <t>'=IFERROR(IF(LoanIsNotPaid*LoanIsGood,InterestAmt,0), 0)</t>
        </is>
      </c>
      <c r="G709" t="n">
        <v>27.16478996547788</v>
      </c>
      <c r="H709" t="inlineStr"/>
      <c r="I709" t="inlineStr">
        <is>
          <t>"$"#,##0.00</t>
        </is>
      </c>
      <c r="J709" t="b">
        <v>0</v>
      </c>
      <c r="K709" t="b">
        <v>0</v>
      </c>
      <c r="L709" t="n">
        <v>9</v>
      </c>
      <c r="M709" t="inlineStr">
        <is>
          <t>Values must be of type &lt;class 'str'&gt;</t>
        </is>
      </c>
      <c r="N709" t="inlineStr">
        <is>
          <t>00000000</t>
        </is>
      </c>
      <c r="O709" t="inlineStr">
        <is>
          <t>center</t>
        </is>
      </c>
      <c r="P709" t="inlineStr">
        <is>
          <t>center</t>
        </is>
      </c>
      <c r="R709" t="b">
        <v>1</v>
      </c>
      <c r="S709" t="inlineStr">
        <is>
          <t>G000006</t>
        </is>
      </c>
      <c r="T709" t="inlineStr">
        <is>
          <t>Vertical</t>
        </is>
      </c>
      <c r="U709" t="n">
        <v>120</v>
      </c>
      <c r="V709" t="b">
        <v>1</v>
      </c>
      <c r="W709" t="inlineStr">
        <is>
          <t>Loan calculator!G17:G136</t>
        </is>
      </c>
      <c r="X709">
        <f>IFERROR(IF(LoanIsNotPaid*LoanIsGood,InterestAmt,0), 0)</f>
        <v/>
      </c>
    </row>
    <row r="710">
      <c r="A710" t="inlineStr">
        <is>
          <t>Loan calculator</t>
        </is>
      </c>
      <c r="B710" t="inlineStr">
        <is>
          <t>H74</t>
        </is>
      </c>
      <c r="C710" t="n">
        <v>74</v>
      </c>
      <c r="D710" t="n">
        <v>8</v>
      </c>
      <c r="E710" t="inlineStr">
        <is>
          <t>Output</t>
        </is>
      </c>
      <c r="F710" t="inlineStr">
        <is>
          <t>'=IFERROR(IF(LoanIsNotPaid*LoanIsGood,EndingBalance,0), 0)</t>
        </is>
      </c>
      <c r="G710" t="n">
        <v>5845.501777200164</v>
      </c>
      <c r="H710" t="inlineStr"/>
      <c r="I710" t="inlineStr">
        <is>
          <t>"$"#,##0.00</t>
        </is>
      </c>
      <c r="J710" t="b">
        <v>0</v>
      </c>
      <c r="K710" t="b">
        <v>0</v>
      </c>
      <c r="L710" t="n">
        <v>9</v>
      </c>
      <c r="M710" t="inlineStr">
        <is>
          <t>Values must be of type &lt;class 'str'&gt;</t>
        </is>
      </c>
      <c r="N710" t="inlineStr">
        <is>
          <t>00000000</t>
        </is>
      </c>
      <c r="O710" t="inlineStr">
        <is>
          <t>center</t>
        </is>
      </c>
      <c r="P710" t="inlineStr">
        <is>
          <t>center</t>
        </is>
      </c>
      <c r="R710" t="b">
        <v>1</v>
      </c>
      <c r="S710" t="inlineStr">
        <is>
          <t>G000007</t>
        </is>
      </c>
      <c r="T710" t="inlineStr">
        <is>
          <t>Vertical</t>
        </is>
      </c>
      <c r="U710" t="n">
        <v>120</v>
      </c>
      <c r="V710" t="b">
        <v>1</v>
      </c>
      <c r="W710" t="inlineStr">
        <is>
          <t>Loan calculator!H17:H136</t>
        </is>
      </c>
      <c r="X710">
        <f>IFERROR(IF(LoanIsNotPaid*LoanIsGood,EndingBalance,0), 0)</f>
        <v/>
      </c>
    </row>
    <row r="711">
      <c r="A711" t="inlineStr">
        <is>
          <t>Loan calculator</t>
        </is>
      </c>
      <c r="B711" t="inlineStr">
        <is>
          <t>I74</t>
        </is>
      </c>
      <c r="C711" t="n">
        <v>74</v>
      </c>
      <c r="D711" t="n">
        <v>9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11</v>
      </c>
      <c r="M711" t="inlineStr">
        <is>
          <t>Values must be of type &lt;class 'str'&gt;</t>
        </is>
      </c>
      <c r="N711" t="inlineStr">
        <is>
          <t>Values must be of type &lt;class 'str'&gt;</t>
        </is>
      </c>
      <c r="O711" t="n">
        <v/>
      </c>
      <c r="P711" t="inlineStr">
        <is>
          <t>center</t>
        </is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</row>
    <row r="712">
      <c r="A712" t="inlineStr">
        <is>
          <t>Loan calculator</t>
        </is>
      </c>
      <c r="B712" t="inlineStr">
        <is>
          <t>A75</t>
        </is>
      </c>
      <c r="C712" t="n">
        <v>75</v>
      </c>
      <c r="D712" t="n">
        <v>1</v>
      </c>
      <c r="E712" t="inlineStr">
        <is>
          <t>Input</t>
        </is>
      </c>
      <c r="F712" t="n">
        <v/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11</v>
      </c>
      <c r="M712" t="inlineStr">
        <is>
          <t>Values must be of type &lt;class 'str'&gt;</t>
        </is>
      </c>
      <c r="N712" t="inlineStr">
        <is>
          <t>Values must be of type &lt;class 'str'&gt;</t>
        </is>
      </c>
      <c r="O712" t="n">
        <v/>
      </c>
      <c r="P712" t="inlineStr">
        <is>
          <t>center</t>
        </is>
      </c>
      <c r="R712" t="b">
        <v>0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</row>
    <row r="713">
      <c r="A713" t="inlineStr">
        <is>
          <t>Loan calculator</t>
        </is>
      </c>
      <c r="B713" t="inlineStr">
        <is>
          <t>B75</t>
        </is>
      </c>
      <c r="C713" t="n">
        <v>75</v>
      </c>
      <c r="D713" t="n">
        <v>2</v>
      </c>
      <c r="E713" t="inlineStr">
        <is>
          <t>Output</t>
        </is>
      </c>
      <c r="F713" t="inlineStr">
        <is>
          <t>'=IFERROR(IF(LoanIsNotPaid*LoanIsGood,PaymentNumber,""), "")</t>
        </is>
      </c>
      <c r="G713" t="n">
        <v>59</v>
      </c>
      <c r="H713" t="inlineStr"/>
      <c r="I713" t="inlineStr">
        <is>
          <t>#,##0</t>
        </is>
      </c>
      <c r="J713" t="b">
        <v>0</v>
      </c>
      <c r="K713" t="b">
        <v>0</v>
      </c>
      <c r="L713" t="n">
        <v>9</v>
      </c>
      <c r="M713" t="inlineStr">
        <is>
          <t>Values must be of type &lt;class 'str'&gt;</t>
        </is>
      </c>
      <c r="N713" t="inlineStr">
        <is>
          <t>00000000</t>
        </is>
      </c>
      <c r="O713" t="inlineStr">
        <is>
          <t>center</t>
        </is>
      </c>
      <c r="P713" t="inlineStr">
        <is>
          <t>center</t>
        </is>
      </c>
      <c r="R713" t="b">
        <v>1</v>
      </c>
      <c r="S713" t="inlineStr">
        <is>
          <t>G000001</t>
        </is>
      </c>
      <c r="T713" t="inlineStr">
        <is>
          <t>Vertical</t>
        </is>
      </c>
      <c r="U713" t="n">
        <v>120</v>
      </c>
      <c r="V713" t="b">
        <v>1</v>
      </c>
      <c r="W713" t="inlineStr">
        <is>
          <t>Loan calculator!B17:B136</t>
        </is>
      </c>
      <c r="X713">
        <f>IFERROR(IF(LoanIsNotPaid*LoanIsGood,PaymentNumber,""), "")</f>
        <v/>
      </c>
    </row>
    <row r="714">
      <c r="A714" t="inlineStr">
        <is>
          <t>Loan calculator</t>
        </is>
      </c>
      <c r="B714" t="inlineStr">
        <is>
          <t>C75</t>
        </is>
      </c>
      <c r="C714" t="n">
        <v>75</v>
      </c>
      <c r="D714" t="n">
        <v>3</v>
      </c>
      <c r="E714" t="inlineStr">
        <is>
          <t>Output</t>
        </is>
      </c>
      <c r="F714" t="inlineStr">
        <is>
          <t>'=IFERROR(IF(LoanIsNotPaid*LoanIsGood,PaymentDate,LoanStartDate), LoanStartDate)</t>
        </is>
      </c>
      <c r="G714" s="1" t="n">
        <v>47884</v>
      </c>
      <c r="H714" t="inlineStr"/>
      <c r="I714" t="inlineStr">
        <is>
          <t>mm-dd-yy</t>
        </is>
      </c>
      <c r="J714" t="b">
        <v>0</v>
      </c>
      <c r="K714" t="b">
        <v>0</v>
      </c>
      <c r="L714" t="n">
        <v>9</v>
      </c>
      <c r="M714" t="inlineStr">
        <is>
          <t>Values must be of type &lt;class 'str'&gt;</t>
        </is>
      </c>
      <c r="N714" t="inlineStr">
        <is>
          <t>00000000</t>
        </is>
      </c>
      <c r="O714" t="inlineStr">
        <is>
          <t>center</t>
        </is>
      </c>
      <c r="P714" t="inlineStr">
        <is>
          <t>center</t>
        </is>
      </c>
      <c r="R714" t="b">
        <v>1</v>
      </c>
      <c r="S714" t="inlineStr">
        <is>
          <t>G000002</t>
        </is>
      </c>
      <c r="T714" t="inlineStr">
        <is>
          <t>Vertical</t>
        </is>
      </c>
      <c r="U714" t="n">
        <v>120</v>
      </c>
      <c r="V714" t="b">
        <v>1</v>
      </c>
      <c r="W714" t="inlineStr">
        <is>
          <t>Loan calculator!C17:C136</t>
        </is>
      </c>
      <c r="X714">
        <f>IFERROR(IF(LoanIsNotPaid*LoanIsGood,PaymentDate,LoanStartDate), LoanStartDate)</f>
        <v/>
      </c>
    </row>
    <row r="715">
      <c r="A715" t="inlineStr">
        <is>
          <t>Loan calculator</t>
        </is>
      </c>
      <c r="B715" t="inlineStr">
        <is>
          <t>D75</t>
        </is>
      </c>
      <c r="C715" t="n">
        <v>75</v>
      </c>
      <c r="D715" t="n">
        <v>4</v>
      </c>
      <c r="E715" t="inlineStr">
        <is>
          <t>Output</t>
        </is>
      </c>
      <c r="F715" t="inlineStr">
        <is>
          <t>'=IFERROR(IF(LoanIsNotPaid*LoanIsGood,LoanValue,""), "")</t>
        </is>
      </c>
      <c r="G715" t="n">
        <v>5845.501777200164</v>
      </c>
      <c r="H715" t="inlineStr"/>
      <c r="I715" t="inlineStr">
        <is>
          <t>"$"#,##0.00</t>
        </is>
      </c>
      <c r="J715" t="b">
        <v>0</v>
      </c>
      <c r="K715" t="b">
        <v>0</v>
      </c>
      <c r="L715" t="n">
        <v>9</v>
      </c>
      <c r="M715" t="inlineStr">
        <is>
          <t>Values must be of type &lt;class 'str'&gt;</t>
        </is>
      </c>
      <c r="N715" t="inlineStr">
        <is>
          <t>00000000</t>
        </is>
      </c>
      <c r="O715" t="inlineStr">
        <is>
          <t>center</t>
        </is>
      </c>
      <c r="P715" t="inlineStr">
        <is>
          <t>center</t>
        </is>
      </c>
      <c r="R715" t="b">
        <v>1</v>
      </c>
      <c r="S715" t="inlineStr">
        <is>
          <t>G000003</t>
        </is>
      </c>
      <c r="T715" t="inlineStr">
        <is>
          <t>Vertical</t>
        </is>
      </c>
      <c r="U715" t="n">
        <v>120</v>
      </c>
      <c r="V715" t="b">
        <v>1</v>
      </c>
      <c r="W715" t="inlineStr">
        <is>
          <t>Loan calculator!D17:D136</t>
        </is>
      </c>
      <c r="X715">
        <f>IFERROR(IF(LoanIsNotPaid*LoanIsGood,LoanValue,""), "")</f>
        <v/>
      </c>
    </row>
    <row r="716">
      <c r="A716" t="inlineStr">
        <is>
          <t>Loan calculator</t>
        </is>
      </c>
      <c r="B716" t="inlineStr">
        <is>
          <t>E75</t>
        </is>
      </c>
      <c r="C716" t="n">
        <v>75</v>
      </c>
      <c r="D716" t="n">
        <v>5</v>
      </c>
      <c r="E716" t="inlineStr">
        <is>
          <t>Output</t>
        </is>
      </c>
      <c r="F716" t="inlineStr">
        <is>
          <t>'=IFERROR(IF(LoanIsNotPaid*LoanIsGood,MonthlyPayment,0), 0)</t>
        </is>
      </c>
      <c r="G716" t="n">
        <v>108.5262779604807</v>
      </c>
      <c r="H716" t="inlineStr"/>
      <c r="I716" t="inlineStr">
        <is>
          <t>"$"#,##0.00</t>
        </is>
      </c>
      <c r="J716" t="b">
        <v>0</v>
      </c>
      <c r="K716" t="b">
        <v>0</v>
      </c>
      <c r="L716" t="n">
        <v>9</v>
      </c>
      <c r="M716" t="inlineStr">
        <is>
          <t>Values must be of type &lt;class 'str'&gt;</t>
        </is>
      </c>
      <c r="N716" t="inlineStr">
        <is>
          <t>00000000</t>
        </is>
      </c>
      <c r="O716" t="inlineStr">
        <is>
          <t>center</t>
        </is>
      </c>
      <c r="P716" t="inlineStr">
        <is>
          <t>center</t>
        </is>
      </c>
      <c r="R716" t="b">
        <v>1</v>
      </c>
      <c r="S716" t="inlineStr">
        <is>
          <t>G000004</t>
        </is>
      </c>
      <c r="T716" t="inlineStr">
        <is>
          <t>Vertical</t>
        </is>
      </c>
      <c r="U716" t="n">
        <v>120</v>
      </c>
      <c r="V716" t="b">
        <v>1</v>
      </c>
      <c r="W716" t="inlineStr">
        <is>
          <t>Loan calculator!E17:E136</t>
        </is>
      </c>
      <c r="X716">
        <f>IFERROR(IF(LoanIsNotPaid*LoanIsGood,MonthlyPayment,0), 0)</f>
        <v/>
      </c>
    </row>
    <row r="717">
      <c r="A717" t="inlineStr">
        <is>
          <t>Loan calculator</t>
        </is>
      </c>
      <c r="B717" t="inlineStr">
        <is>
          <t>F75</t>
        </is>
      </c>
      <c r="C717" t="n">
        <v>75</v>
      </c>
      <c r="D717" t="n">
        <v>6</v>
      </c>
      <c r="E717" t="inlineStr">
        <is>
          <t>Output</t>
        </is>
      </c>
      <c r="F717" t="inlineStr">
        <is>
          <t>'=IFERROR(IF(LoanIsNotPaid*LoanIsGood,Principal,0), 0)</t>
        </is>
      </c>
      <c r="G717" t="n">
        <v>81.73439481497995</v>
      </c>
      <c r="H717" t="inlineStr"/>
      <c r="I717" t="inlineStr">
        <is>
          <t>"$"#,##0.00</t>
        </is>
      </c>
      <c r="J717" t="b">
        <v>0</v>
      </c>
      <c r="K717" t="b">
        <v>0</v>
      </c>
      <c r="L717" t="n">
        <v>9</v>
      </c>
      <c r="M717" t="inlineStr">
        <is>
          <t>Values must be of type &lt;class 'str'&gt;</t>
        </is>
      </c>
      <c r="N717" t="inlineStr">
        <is>
          <t>00000000</t>
        </is>
      </c>
      <c r="O717" t="inlineStr">
        <is>
          <t>center</t>
        </is>
      </c>
      <c r="P717" t="inlineStr">
        <is>
          <t>center</t>
        </is>
      </c>
      <c r="R717" t="b">
        <v>1</v>
      </c>
      <c r="S717" t="inlineStr">
        <is>
          <t>G000005</t>
        </is>
      </c>
      <c r="T717" t="inlineStr">
        <is>
          <t>Vertical</t>
        </is>
      </c>
      <c r="U717" t="n">
        <v>120</v>
      </c>
      <c r="V717" t="b">
        <v>1</v>
      </c>
      <c r="W717" t="inlineStr">
        <is>
          <t>Loan calculator!F17:F136</t>
        </is>
      </c>
      <c r="X717">
        <f>IFERROR(IF(LoanIsNotPaid*LoanIsGood,Principal,0), 0)</f>
        <v/>
      </c>
    </row>
    <row r="718">
      <c r="A718" t="inlineStr">
        <is>
          <t>Loan calculator</t>
        </is>
      </c>
      <c r="B718" t="inlineStr">
        <is>
          <t>G75</t>
        </is>
      </c>
      <c r="C718" t="n">
        <v>75</v>
      </c>
      <c r="D718" t="n">
        <v>7</v>
      </c>
      <c r="E718" t="inlineStr">
        <is>
          <t>Output</t>
        </is>
      </c>
      <c r="F718" t="inlineStr">
        <is>
          <t>'=IFERROR(IF(LoanIsNotPaid*LoanIsGood,InterestAmt,0), 0)</t>
        </is>
      </c>
      <c r="G718" t="n">
        <v>26.79188314550078</v>
      </c>
      <c r="H718" t="inlineStr"/>
      <c r="I718" t="inlineStr">
        <is>
          <t>"$"#,##0.00</t>
        </is>
      </c>
      <c r="J718" t="b">
        <v>0</v>
      </c>
      <c r="K718" t="b">
        <v>0</v>
      </c>
      <c r="L718" t="n">
        <v>9</v>
      </c>
      <c r="M718" t="inlineStr">
        <is>
          <t>Values must be of type &lt;class 'str'&gt;</t>
        </is>
      </c>
      <c r="N718" t="inlineStr">
        <is>
          <t>00000000</t>
        </is>
      </c>
      <c r="O718" t="inlineStr">
        <is>
          <t>center</t>
        </is>
      </c>
      <c r="P718" t="inlineStr">
        <is>
          <t>center</t>
        </is>
      </c>
      <c r="R718" t="b">
        <v>1</v>
      </c>
      <c r="S718" t="inlineStr">
        <is>
          <t>G000006</t>
        </is>
      </c>
      <c r="T718" t="inlineStr">
        <is>
          <t>Vertical</t>
        </is>
      </c>
      <c r="U718" t="n">
        <v>120</v>
      </c>
      <c r="V718" t="b">
        <v>1</v>
      </c>
      <c r="W718" t="inlineStr">
        <is>
          <t>Loan calculator!G17:G136</t>
        </is>
      </c>
      <c r="X718">
        <f>IFERROR(IF(LoanIsNotPaid*LoanIsGood,InterestAmt,0), 0)</f>
        <v/>
      </c>
    </row>
    <row r="719">
      <c r="A719" t="inlineStr">
        <is>
          <t>Loan calculator</t>
        </is>
      </c>
      <c r="B719" t="inlineStr">
        <is>
          <t>H75</t>
        </is>
      </c>
      <c r="C719" t="n">
        <v>75</v>
      </c>
      <c r="D719" t="n">
        <v>8</v>
      </c>
      <c r="E719" t="inlineStr">
        <is>
          <t>Output</t>
        </is>
      </c>
      <c r="F719" t="inlineStr">
        <is>
          <t>'=IFERROR(IF(LoanIsNotPaid*LoanIsGood,EndingBalance,0), 0)</t>
        </is>
      </c>
      <c r="G719" t="n">
        <v>5763.767382385183</v>
      </c>
      <c r="H719" t="inlineStr"/>
      <c r="I719" t="inlineStr">
        <is>
          <t>"$"#,##0.00</t>
        </is>
      </c>
      <c r="J719" t="b">
        <v>0</v>
      </c>
      <c r="K719" t="b">
        <v>0</v>
      </c>
      <c r="L719" t="n">
        <v>9</v>
      </c>
      <c r="M719" t="inlineStr">
        <is>
          <t>Values must be of type &lt;class 'str'&gt;</t>
        </is>
      </c>
      <c r="N719" t="inlineStr">
        <is>
          <t>00000000</t>
        </is>
      </c>
      <c r="O719" t="inlineStr">
        <is>
          <t>center</t>
        </is>
      </c>
      <c r="P719" t="inlineStr">
        <is>
          <t>center</t>
        </is>
      </c>
      <c r="R719" t="b">
        <v>1</v>
      </c>
      <c r="S719" t="inlineStr">
        <is>
          <t>G000007</t>
        </is>
      </c>
      <c r="T719" t="inlineStr">
        <is>
          <t>Vertical</t>
        </is>
      </c>
      <c r="U719" t="n">
        <v>120</v>
      </c>
      <c r="V719" t="b">
        <v>1</v>
      </c>
      <c r="W719" t="inlineStr">
        <is>
          <t>Loan calculator!H17:H136</t>
        </is>
      </c>
      <c r="X719">
        <f>IFERROR(IF(LoanIsNotPaid*LoanIsGood,EndingBalance,0), 0)</f>
        <v/>
      </c>
    </row>
    <row r="720">
      <c r="A720" t="inlineStr">
        <is>
          <t>Loan calculator</t>
        </is>
      </c>
      <c r="B720" t="inlineStr">
        <is>
          <t>I75</t>
        </is>
      </c>
      <c r="C720" t="n">
        <v>75</v>
      </c>
      <c r="D720" t="n">
        <v>9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11</v>
      </c>
      <c r="M720" t="inlineStr">
        <is>
          <t>Values must be of type &lt;class 'str'&gt;</t>
        </is>
      </c>
      <c r="N720" t="inlineStr">
        <is>
          <t>Values must be of type &lt;class 'str'&gt;</t>
        </is>
      </c>
      <c r="O720" t="n">
        <v/>
      </c>
      <c r="P720" t="inlineStr">
        <is>
          <t>center</t>
        </is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</row>
    <row r="721">
      <c r="A721" t="inlineStr">
        <is>
          <t>Loan calculator</t>
        </is>
      </c>
      <c r="B721" t="inlineStr">
        <is>
          <t>A76</t>
        </is>
      </c>
      <c r="C721" t="n">
        <v>76</v>
      </c>
      <c r="D721" t="n">
        <v>1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11</v>
      </c>
      <c r="M721" t="inlineStr">
        <is>
          <t>Values must be of type &lt;class 'str'&gt;</t>
        </is>
      </c>
      <c r="N721" t="inlineStr">
        <is>
          <t>Values must be of type &lt;class 'str'&gt;</t>
        </is>
      </c>
      <c r="O721" t="n">
        <v/>
      </c>
      <c r="P721" t="inlineStr">
        <is>
          <t>center</t>
        </is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</row>
    <row r="722">
      <c r="A722" t="inlineStr">
        <is>
          <t>Loan calculator</t>
        </is>
      </c>
      <c r="B722" t="inlineStr">
        <is>
          <t>B76</t>
        </is>
      </c>
      <c r="C722" t="n">
        <v>76</v>
      </c>
      <c r="D722" t="n">
        <v>2</v>
      </c>
      <c r="E722" t="inlineStr">
        <is>
          <t>Output</t>
        </is>
      </c>
      <c r="F722" t="inlineStr">
        <is>
          <t>'=IFERROR(IF(LoanIsNotPaid*LoanIsGood,PaymentNumber,""), "")</t>
        </is>
      </c>
      <c r="G722" t="n">
        <v>60</v>
      </c>
      <c r="H722" t="inlineStr"/>
      <c r="I722" t="inlineStr">
        <is>
          <t>#,##0</t>
        </is>
      </c>
      <c r="J722" t="b">
        <v>0</v>
      </c>
      <c r="K722" t="b">
        <v>0</v>
      </c>
      <c r="L722" t="n">
        <v>9</v>
      </c>
      <c r="M722" t="inlineStr">
        <is>
          <t>Values must be of type &lt;class 'str'&gt;</t>
        </is>
      </c>
      <c r="N722" t="inlineStr">
        <is>
          <t>00000000</t>
        </is>
      </c>
      <c r="O722" t="inlineStr">
        <is>
          <t>center</t>
        </is>
      </c>
      <c r="P722" t="inlineStr">
        <is>
          <t>center</t>
        </is>
      </c>
      <c r="R722" t="b">
        <v>1</v>
      </c>
      <c r="S722" t="inlineStr">
        <is>
          <t>G000001</t>
        </is>
      </c>
      <c r="T722" t="inlineStr">
        <is>
          <t>Vertical</t>
        </is>
      </c>
      <c r="U722" t="n">
        <v>120</v>
      </c>
      <c r="V722" t="b">
        <v>1</v>
      </c>
      <c r="W722" t="inlineStr">
        <is>
          <t>Loan calculator!B17:B136</t>
        </is>
      </c>
      <c r="X722">
        <f>IFERROR(IF(LoanIsNotPaid*LoanIsGood,PaymentNumber,""), "")</f>
        <v/>
      </c>
    </row>
    <row r="723">
      <c r="A723" t="inlineStr">
        <is>
          <t>Loan calculator</t>
        </is>
      </c>
      <c r="B723" t="inlineStr">
        <is>
          <t>C76</t>
        </is>
      </c>
      <c r="C723" t="n">
        <v>76</v>
      </c>
      <c r="D723" t="n">
        <v>3</v>
      </c>
      <c r="E723" t="inlineStr">
        <is>
          <t>Output</t>
        </is>
      </c>
      <c r="F723" t="inlineStr">
        <is>
          <t>'=IFERROR(IF(LoanIsNotPaid*LoanIsGood,PaymentDate,LoanStartDate), LoanStartDate)</t>
        </is>
      </c>
      <c r="G723" s="1" t="n">
        <v>47912</v>
      </c>
      <c r="H723" t="inlineStr"/>
      <c r="I723" t="inlineStr">
        <is>
          <t>mm-dd-yy</t>
        </is>
      </c>
      <c r="J723" t="b">
        <v>0</v>
      </c>
      <c r="K723" t="b">
        <v>0</v>
      </c>
      <c r="L723" t="n">
        <v>9</v>
      </c>
      <c r="M723" t="inlineStr">
        <is>
          <t>Values must be of type &lt;class 'str'&gt;</t>
        </is>
      </c>
      <c r="N723" t="inlineStr">
        <is>
          <t>00000000</t>
        </is>
      </c>
      <c r="O723" t="inlineStr">
        <is>
          <t>center</t>
        </is>
      </c>
      <c r="P723" t="inlineStr">
        <is>
          <t>center</t>
        </is>
      </c>
      <c r="R723" t="b">
        <v>1</v>
      </c>
      <c r="S723" t="inlineStr">
        <is>
          <t>G000002</t>
        </is>
      </c>
      <c r="T723" t="inlineStr">
        <is>
          <t>Vertical</t>
        </is>
      </c>
      <c r="U723" t="n">
        <v>120</v>
      </c>
      <c r="V723" t="b">
        <v>1</v>
      </c>
      <c r="W723" t="inlineStr">
        <is>
          <t>Loan calculator!C17:C136</t>
        </is>
      </c>
      <c r="X723">
        <f>IFERROR(IF(LoanIsNotPaid*LoanIsGood,PaymentDate,LoanStartDate), LoanStartDate)</f>
        <v/>
      </c>
    </row>
    <row r="724">
      <c r="A724" t="inlineStr">
        <is>
          <t>Loan calculator</t>
        </is>
      </c>
      <c r="B724" t="inlineStr">
        <is>
          <t>D76</t>
        </is>
      </c>
      <c r="C724" t="n">
        <v>76</v>
      </c>
      <c r="D724" t="n">
        <v>4</v>
      </c>
      <c r="E724" t="inlineStr">
        <is>
          <t>Output</t>
        </is>
      </c>
      <c r="F724" t="inlineStr">
        <is>
          <t>'=IFERROR(IF(LoanIsNotPaid*LoanIsGood,LoanValue,""), "")</t>
        </is>
      </c>
      <c r="G724" t="n">
        <v>5763.767382385183</v>
      </c>
      <c r="H724" t="inlineStr"/>
      <c r="I724" t="inlineStr">
        <is>
          <t>"$"#,##0.00</t>
        </is>
      </c>
      <c r="J724" t="b">
        <v>0</v>
      </c>
      <c r="K724" t="b">
        <v>0</v>
      </c>
      <c r="L724" t="n">
        <v>9</v>
      </c>
      <c r="M724" t="inlineStr">
        <is>
          <t>Values must be of type &lt;class 'str'&gt;</t>
        </is>
      </c>
      <c r="N724" t="inlineStr">
        <is>
          <t>00000000</t>
        </is>
      </c>
      <c r="O724" t="inlineStr">
        <is>
          <t>center</t>
        </is>
      </c>
      <c r="P724" t="inlineStr">
        <is>
          <t>center</t>
        </is>
      </c>
      <c r="R724" t="b">
        <v>1</v>
      </c>
      <c r="S724" t="inlineStr">
        <is>
          <t>G000003</t>
        </is>
      </c>
      <c r="T724" t="inlineStr">
        <is>
          <t>Vertical</t>
        </is>
      </c>
      <c r="U724" t="n">
        <v>120</v>
      </c>
      <c r="V724" t="b">
        <v>1</v>
      </c>
      <c r="W724" t="inlineStr">
        <is>
          <t>Loan calculator!D17:D136</t>
        </is>
      </c>
      <c r="X724">
        <f>IFERROR(IF(LoanIsNotPaid*LoanIsGood,LoanValue,""), "")</f>
        <v/>
      </c>
    </row>
    <row r="725">
      <c r="A725" t="inlineStr">
        <is>
          <t>Loan calculator</t>
        </is>
      </c>
      <c r="B725" t="inlineStr">
        <is>
          <t>E76</t>
        </is>
      </c>
      <c r="C725" t="n">
        <v>76</v>
      </c>
      <c r="D725" t="n">
        <v>5</v>
      </c>
      <c r="E725" t="inlineStr">
        <is>
          <t>Output</t>
        </is>
      </c>
      <c r="F725" t="inlineStr">
        <is>
          <t>'=IFERROR(IF(LoanIsNotPaid*LoanIsGood,MonthlyPayment,0), 0)</t>
        </is>
      </c>
      <c r="G725" t="n">
        <v>108.5262779604807</v>
      </c>
      <c r="H725" t="inlineStr"/>
      <c r="I725" t="inlineStr">
        <is>
          <t>"$"#,##0.00</t>
        </is>
      </c>
      <c r="J725" t="b">
        <v>0</v>
      </c>
      <c r="K725" t="b">
        <v>0</v>
      </c>
      <c r="L725" t="n">
        <v>9</v>
      </c>
      <c r="M725" t="inlineStr">
        <is>
          <t>Values must be of type &lt;class 'str'&gt;</t>
        </is>
      </c>
      <c r="N725" t="inlineStr">
        <is>
          <t>00000000</t>
        </is>
      </c>
      <c r="O725" t="inlineStr">
        <is>
          <t>center</t>
        </is>
      </c>
      <c r="P725" t="inlineStr">
        <is>
          <t>center</t>
        </is>
      </c>
      <c r="R725" t="b">
        <v>1</v>
      </c>
      <c r="S725" t="inlineStr">
        <is>
          <t>G000004</t>
        </is>
      </c>
      <c r="T725" t="inlineStr">
        <is>
          <t>Vertical</t>
        </is>
      </c>
      <c r="U725" t="n">
        <v>120</v>
      </c>
      <c r="V725" t="b">
        <v>1</v>
      </c>
      <c r="W725" t="inlineStr">
        <is>
          <t>Loan calculator!E17:E136</t>
        </is>
      </c>
      <c r="X725">
        <f>IFERROR(IF(LoanIsNotPaid*LoanIsGood,MonthlyPayment,0), 0)</f>
        <v/>
      </c>
    </row>
    <row r="726">
      <c r="A726" t="inlineStr">
        <is>
          <t>Loan calculator</t>
        </is>
      </c>
      <c r="B726" t="inlineStr">
        <is>
          <t>F76</t>
        </is>
      </c>
      <c r="C726" t="n">
        <v>76</v>
      </c>
      <c r="D726" t="n">
        <v>6</v>
      </c>
      <c r="E726" t="inlineStr">
        <is>
          <t>Output</t>
        </is>
      </c>
      <c r="F726" t="inlineStr">
        <is>
          <t>'=IFERROR(IF(LoanIsNotPaid*LoanIsGood,Principal,0), 0)</t>
        </is>
      </c>
      <c r="G726" t="n">
        <v>82.10901079121527</v>
      </c>
      <c r="H726" t="inlineStr"/>
      <c r="I726" t="inlineStr">
        <is>
          <t>"$"#,##0.00</t>
        </is>
      </c>
      <c r="J726" t="b">
        <v>0</v>
      </c>
      <c r="K726" t="b">
        <v>0</v>
      </c>
      <c r="L726" t="n">
        <v>9</v>
      </c>
      <c r="M726" t="inlineStr">
        <is>
          <t>Values must be of type &lt;class 'str'&gt;</t>
        </is>
      </c>
      <c r="N726" t="inlineStr">
        <is>
          <t>00000000</t>
        </is>
      </c>
      <c r="O726" t="inlineStr">
        <is>
          <t>center</t>
        </is>
      </c>
      <c r="P726" t="inlineStr">
        <is>
          <t>center</t>
        </is>
      </c>
      <c r="R726" t="b">
        <v>1</v>
      </c>
      <c r="S726" t="inlineStr">
        <is>
          <t>G000005</t>
        </is>
      </c>
      <c r="T726" t="inlineStr">
        <is>
          <t>Vertical</t>
        </is>
      </c>
      <c r="U726" t="n">
        <v>120</v>
      </c>
      <c r="V726" t="b">
        <v>1</v>
      </c>
      <c r="W726" t="inlineStr">
        <is>
          <t>Loan calculator!F17:F136</t>
        </is>
      </c>
      <c r="X726">
        <f>IFERROR(IF(LoanIsNotPaid*LoanIsGood,Principal,0), 0)</f>
        <v/>
      </c>
    </row>
    <row r="727">
      <c r="A727" t="inlineStr">
        <is>
          <t>Loan calculator</t>
        </is>
      </c>
      <c r="B727" t="inlineStr">
        <is>
          <t>G76</t>
        </is>
      </c>
      <c r="C727" t="n">
        <v>76</v>
      </c>
      <c r="D727" t="n">
        <v>7</v>
      </c>
      <c r="E727" t="inlineStr">
        <is>
          <t>Output</t>
        </is>
      </c>
      <c r="F727" t="inlineStr">
        <is>
          <t>'=IFERROR(IF(LoanIsNotPaid*LoanIsGood,InterestAmt,0), 0)</t>
        </is>
      </c>
      <c r="G727" t="n">
        <v>26.41726716926545</v>
      </c>
      <c r="H727" t="inlineStr"/>
      <c r="I727" t="inlineStr">
        <is>
          <t>"$"#,##0.00</t>
        </is>
      </c>
      <c r="J727" t="b">
        <v>0</v>
      </c>
      <c r="K727" t="b">
        <v>0</v>
      </c>
      <c r="L727" t="n">
        <v>9</v>
      </c>
      <c r="M727" t="inlineStr">
        <is>
          <t>Values must be of type &lt;class 'str'&gt;</t>
        </is>
      </c>
      <c r="N727" t="inlineStr">
        <is>
          <t>00000000</t>
        </is>
      </c>
      <c r="O727" t="inlineStr">
        <is>
          <t>center</t>
        </is>
      </c>
      <c r="P727" t="inlineStr">
        <is>
          <t>center</t>
        </is>
      </c>
      <c r="R727" t="b">
        <v>1</v>
      </c>
      <c r="S727" t="inlineStr">
        <is>
          <t>G000006</t>
        </is>
      </c>
      <c r="T727" t="inlineStr">
        <is>
          <t>Vertical</t>
        </is>
      </c>
      <c r="U727" t="n">
        <v>120</v>
      </c>
      <c r="V727" t="b">
        <v>1</v>
      </c>
      <c r="W727" t="inlineStr">
        <is>
          <t>Loan calculator!G17:G136</t>
        </is>
      </c>
      <c r="X727">
        <f>IFERROR(IF(LoanIsNotPaid*LoanIsGood,InterestAmt,0), 0)</f>
        <v/>
      </c>
    </row>
    <row r="728">
      <c r="A728" t="inlineStr">
        <is>
          <t>Loan calculator</t>
        </is>
      </c>
      <c r="B728" t="inlineStr">
        <is>
          <t>H76</t>
        </is>
      </c>
      <c r="C728" t="n">
        <v>76</v>
      </c>
      <c r="D728" t="n">
        <v>8</v>
      </c>
      <c r="E728" t="inlineStr">
        <is>
          <t>Output</t>
        </is>
      </c>
      <c r="F728" t="inlineStr">
        <is>
          <t>'=IFERROR(IF(LoanIsNotPaid*LoanIsGood,EndingBalance,0), 0)</t>
        </is>
      </c>
      <c r="G728" t="n">
        <v>5681.658371593968</v>
      </c>
      <c r="H728" t="inlineStr"/>
      <c r="I728" t="inlineStr">
        <is>
          <t>"$"#,##0.00</t>
        </is>
      </c>
      <c r="J728" t="b">
        <v>0</v>
      </c>
      <c r="K728" t="b">
        <v>0</v>
      </c>
      <c r="L728" t="n">
        <v>9</v>
      </c>
      <c r="M728" t="inlineStr">
        <is>
          <t>Values must be of type &lt;class 'str'&gt;</t>
        </is>
      </c>
      <c r="N728" t="inlineStr">
        <is>
          <t>00000000</t>
        </is>
      </c>
      <c r="O728" t="inlineStr">
        <is>
          <t>center</t>
        </is>
      </c>
      <c r="P728" t="inlineStr">
        <is>
          <t>center</t>
        </is>
      </c>
      <c r="R728" t="b">
        <v>1</v>
      </c>
      <c r="S728" t="inlineStr">
        <is>
          <t>G000007</t>
        </is>
      </c>
      <c r="T728" t="inlineStr">
        <is>
          <t>Vertical</t>
        </is>
      </c>
      <c r="U728" t="n">
        <v>120</v>
      </c>
      <c r="V728" t="b">
        <v>1</v>
      </c>
      <c r="W728" t="inlineStr">
        <is>
          <t>Loan calculator!H17:H136</t>
        </is>
      </c>
      <c r="X728">
        <f>IFERROR(IF(LoanIsNotPaid*LoanIsGood,EndingBalance,0), 0)</f>
        <v/>
      </c>
    </row>
    <row r="729">
      <c r="A729" t="inlineStr">
        <is>
          <t>Loan calculator</t>
        </is>
      </c>
      <c r="B729" t="inlineStr">
        <is>
          <t>I76</t>
        </is>
      </c>
      <c r="C729" t="n">
        <v>76</v>
      </c>
      <c r="D729" t="n">
        <v>9</v>
      </c>
      <c r="E729" t="inlineStr">
        <is>
          <t>Input</t>
        </is>
      </c>
      <c r="F729" t="n">
        <v/>
      </c>
      <c r="H729" t="inlineStr"/>
      <c r="I729" t="inlineStr">
        <is>
          <t>General</t>
        </is>
      </c>
      <c r="J729" t="b">
        <v>0</v>
      </c>
      <c r="K729" t="b">
        <v>0</v>
      </c>
      <c r="L729" t="n">
        <v>11</v>
      </c>
      <c r="M729" t="inlineStr">
        <is>
          <t>Values must be of type &lt;class 'str'&gt;</t>
        </is>
      </c>
      <c r="N729" t="inlineStr">
        <is>
          <t>Values must be of type &lt;class 'str'&gt;</t>
        </is>
      </c>
      <c r="O729" t="n">
        <v/>
      </c>
      <c r="P729" t="inlineStr">
        <is>
          <t>center</t>
        </is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</row>
    <row r="730">
      <c r="A730" t="inlineStr">
        <is>
          <t>Loan calculator</t>
        </is>
      </c>
      <c r="B730" t="inlineStr">
        <is>
          <t>A77</t>
        </is>
      </c>
      <c r="C730" t="n">
        <v>77</v>
      </c>
      <c r="D730" t="n">
        <v>1</v>
      </c>
      <c r="E730" t="inlineStr">
        <is>
          <t>Input</t>
        </is>
      </c>
      <c r="F730" t="n">
        <v/>
      </c>
      <c r="H730" t="inlineStr"/>
      <c r="I730" t="inlineStr">
        <is>
          <t>General</t>
        </is>
      </c>
      <c r="J730" t="b">
        <v>0</v>
      </c>
      <c r="K730" t="b">
        <v>0</v>
      </c>
      <c r="L730" t="n">
        <v>11</v>
      </c>
      <c r="M730" t="inlineStr">
        <is>
          <t>Values must be of type &lt;class 'str'&gt;</t>
        </is>
      </c>
      <c r="N730" t="inlineStr">
        <is>
          <t>Values must be of type &lt;class 'str'&gt;</t>
        </is>
      </c>
      <c r="O730" t="n">
        <v/>
      </c>
      <c r="P730" t="inlineStr">
        <is>
          <t>center</t>
        </is>
      </c>
      <c r="R730" t="b">
        <v>0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</row>
    <row r="731">
      <c r="A731" t="inlineStr">
        <is>
          <t>Loan calculator</t>
        </is>
      </c>
      <c r="B731" t="inlineStr">
        <is>
          <t>B77</t>
        </is>
      </c>
      <c r="C731" t="n">
        <v>77</v>
      </c>
      <c r="D731" t="n">
        <v>2</v>
      </c>
      <c r="E731" t="inlineStr">
        <is>
          <t>Output</t>
        </is>
      </c>
      <c r="F731" t="inlineStr">
        <is>
          <t>'=IFERROR(IF(LoanIsNotPaid*LoanIsGood,PaymentNumber,""), "")</t>
        </is>
      </c>
      <c r="G731" t="n">
        <v>61</v>
      </c>
      <c r="H731" t="inlineStr"/>
      <c r="I731" t="inlineStr">
        <is>
          <t>#,##0</t>
        </is>
      </c>
      <c r="J731" t="b">
        <v>0</v>
      </c>
      <c r="K731" t="b">
        <v>0</v>
      </c>
      <c r="L731" t="n">
        <v>9</v>
      </c>
      <c r="M731" t="inlineStr">
        <is>
          <t>Values must be of type &lt;class 'str'&gt;</t>
        </is>
      </c>
      <c r="N731" t="inlineStr">
        <is>
          <t>00000000</t>
        </is>
      </c>
      <c r="O731" t="inlineStr">
        <is>
          <t>center</t>
        </is>
      </c>
      <c r="P731" t="inlineStr">
        <is>
          <t>center</t>
        </is>
      </c>
      <c r="R731" t="b">
        <v>1</v>
      </c>
      <c r="S731" t="inlineStr">
        <is>
          <t>G000001</t>
        </is>
      </c>
      <c r="T731" t="inlineStr">
        <is>
          <t>Vertical</t>
        </is>
      </c>
      <c r="U731" t="n">
        <v>120</v>
      </c>
      <c r="V731" t="b">
        <v>1</v>
      </c>
      <c r="W731" t="inlineStr">
        <is>
          <t>Loan calculator!B17:B136</t>
        </is>
      </c>
      <c r="X731">
        <f>IFERROR(IF(LoanIsNotPaid*LoanIsGood,PaymentNumber,""), "")</f>
        <v/>
      </c>
    </row>
    <row r="732">
      <c r="A732" t="inlineStr">
        <is>
          <t>Loan calculator</t>
        </is>
      </c>
      <c r="B732" t="inlineStr">
        <is>
          <t>C77</t>
        </is>
      </c>
      <c r="C732" t="n">
        <v>77</v>
      </c>
      <c r="D732" t="n">
        <v>3</v>
      </c>
      <c r="E732" t="inlineStr">
        <is>
          <t>Output</t>
        </is>
      </c>
      <c r="F732" t="inlineStr">
        <is>
          <t>'=IFERROR(IF(LoanIsNotPaid*LoanIsGood,PaymentDate,LoanStartDate), LoanStartDate)</t>
        </is>
      </c>
      <c r="G732" s="1" t="n">
        <v>47943</v>
      </c>
      <c r="H732" t="inlineStr"/>
      <c r="I732" t="inlineStr">
        <is>
          <t>mm-dd-yy</t>
        </is>
      </c>
      <c r="J732" t="b">
        <v>0</v>
      </c>
      <c r="K732" t="b">
        <v>0</v>
      </c>
      <c r="L732" t="n">
        <v>9</v>
      </c>
      <c r="M732" t="inlineStr">
        <is>
          <t>Values must be of type &lt;class 'str'&gt;</t>
        </is>
      </c>
      <c r="N732" t="inlineStr">
        <is>
          <t>00000000</t>
        </is>
      </c>
      <c r="O732" t="inlineStr">
        <is>
          <t>center</t>
        </is>
      </c>
      <c r="P732" t="inlineStr">
        <is>
          <t>center</t>
        </is>
      </c>
      <c r="R732" t="b">
        <v>1</v>
      </c>
      <c r="S732" t="inlineStr">
        <is>
          <t>G000002</t>
        </is>
      </c>
      <c r="T732" t="inlineStr">
        <is>
          <t>Vertical</t>
        </is>
      </c>
      <c r="U732" t="n">
        <v>120</v>
      </c>
      <c r="V732" t="b">
        <v>1</v>
      </c>
      <c r="W732" t="inlineStr">
        <is>
          <t>Loan calculator!C17:C136</t>
        </is>
      </c>
      <c r="X732">
        <f>IFERROR(IF(LoanIsNotPaid*LoanIsGood,PaymentDate,LoanStartDate), LoanStartDate)</f>
        <v/>
      </c>
    </row>
    <row r="733">
      <c r="A733" t="inlineStr">
        <is>
          <t>Loan calculator</t>
        </is>
      </c>
      <c r="B733" t="inlineStr">
        <is>
          <t>D77</t>
        </is>
      </c>
      <c r="C733" t="n">
        <v>77</v>
      </c>
      <c r="D733" t="n">
        <v>4</v>
      </c>
      <c r="E733" t="inlineStr">
        <is>
          <t>Output</t>
        </is>
      </c>
      <c r="F733" t="inlineStr">
        <is>
          <t>'=IFERROR(IF(LoanIsNotPaid*LoanIsGood,LoanValue,""), "")</t>
        </is>
      </c>
      <c r="G733" t="n">
        <v>5681.658371593968</v>
      </c>
      <c r="H733" t="inlineStr"/>
      <c r="I733" t="inlineStr">
        <is>
          <t>"$"#,##0.00</t>
        </is>
      </c>
      <c r="J733" t="b">
        <v>0</v>
      </c>
      <c r="K733" t="b">
        <v>0</v>
      </c>
      <c r="L733" t="n">
        <v>9</v>
      </c>
      <c r="M733" t="inlineStr">
        <is>
          <t>Values must be of type &lt;class 'str'&gt;</t>
        </is>
      </c>
      <c r="N733" t="inlineStr">
        <is>
          <t>00000000</t>
        </is>
      </c>
      <c r="O733" t="inlineStr">
        <is>
          <t>center</t>
        </is>
      </c>
      <c r="P733" t="inlineStr">
        <is>
          <t>center</t>
        </is>
      </c>
      <c r="R733" t="b">
        <v>1</v>
      </c>
      <c r="S733" t="inlineStr">
        <is>
          <t>G000003</t>
        </is>
      </c>
      <c r="T733" t="inlineStr">
        <is>
          <t>Vertical</t>
        </is>
      </c>
      <c r="U733" t="n">
        <v>120</v>
      </c>
      <c r="V733" t="b">
        <v>1</v>
      </c>
      <c r="W733" t="inlineStr">
        <is>
          <t>Loan calculator!D17:D136</t>
        </is>
      </c>
      <c r="X733">
        <f>IFERROR(IF(LoanIsNotPaid*LoanIsGood,LoanValue,""), "")</f>
        <v/>
      </c>
    </row>
    <row r="734">
      <c r="A734" t="inlineStr">
        <is>
          <t>Loan calculator</t>
        </is>
      </c>
      <c r="B734" t="inlineStr">
        <is>
          <t>E77</t>
        </is>
      </c>
      <c r="C734" t="n">
        <v>77</v>
      </c>
      <c r="D734" t="n">
        <v>5</v>
      </c>
      <c r="E734" t="inlineStr">
        <is>
          <t>Output</t>
        </is>
      </c>
      <c r="F734" t="inlineStr">
        <is>
          <t>'=IFERROR(IF(LoanIsNotPaid*LoanIsGood,MonthlyPayment,0), 0)</t>
        </is>
      </c>
      <c r="G734" t="n">
        <v>108.5262779604807</v>
      </c>
      <c r="H734" t="inlineStr"/>
      <c r="I734" t="inlineStr">
        <is>
          <t>"$"#,##0.00</t>
        </is>
      </c>
      <c r="J734" t="b">
        <v>0</v>
      </c>
      <c r="K734" t="b">
        <v>0</v>
      </c>
      <c r="L734" t="n">
        <v>9</v>
      </c>
      <c r="M734" t="inlineStr">
        <is>
          <t>Values must be of type &lt;class 'str'&gt;</t>
        </is>
      </c>
      <c r="N734" t="inlineStr">
        <is>
          <t>00000000</t>
        </is>
      </c>
      <c r="O734" t="inlineStr">
        <is>
          <t>center</t>
        </is>
      </c>
      <c r="P734" t="inlineStr">
        <is>
          <t>center</t>
        </is>
      </c>
      <c r="R734" t="b">
        <v>1</v>
      </c>
      <c r="S734" t="inlineStr">
        <is>
          <t>G000004</t>
        </is>
      </c>
      <c r="T734" t="inlineStr">
        <is>
          <t>Vertical</t>
        </is>
      </c>
      <c r="U734" t="n">
        <v>120</v>
      </c>
      <c r="V734" t="b">
        <v>1</v>
      </c>
      <c r="W734" t="inlineStr">
        <is>
          <t>Loan calculator!E17:E136</t>
        </is>
      </c>
      <c r="X734">
        <f>IFERROR(IF(LoanIsNotPaid*LoanIsGood,MonthlyPayment,0), 0)</f>
        <v/>
      </c>
    </row>
    <row r="735">
      <c r="A735" t="inlineStr">
        <is>
          <t>Loan calculator</t>
        </is>
      </c>
      <c r="B735" t="inlineStr">
        <is>
          <t>F77</t>
        </is>
      </c>
      <c r="C735" t="n">
        <v>77</v>
      </c>
      <c r="D735" t="n">
        <v>6</v>
      </c>
      <c r="E735" t="inlineStr">
        <is>
          <t>Output</t>
        </is>
      </c>
      <c r="F735" t="inlineStr">
        <is>
          <t>'=IFERROR(IF(LoanIsNotPaid*LoanIsGood,Principal,0), 0)</t>
        </is>
      </c>
      <c r="G735" t="n">
        <v>82.48534375734167</v>
      </c>
      <c r="H735" t="inlineStr"/>
      <c r="I735" t="inlineStr">
        <is>
          <t>"$"#,##0.00</t>
        </is>
      </c>
      <c r="J735" t="b">
        <v>0</v>
      </c>
      <c r="K735" t="b">
        <v>0</v>
      </c>
      <c r="L735" t="n">
        <v>9</v>
      </c>
      <c r="M735" t="inlineStr">
        <is>
          <t>Values must be of type &lt;class 'str'&gt;</t>
        </is>
      </c>
      <c r="N735" t="inlineStr">
        <is>
          <t>00000000</t>
        </is>
      </c>
      <c r="O735" t="inlineStr">
        <is>
          <t>center</t>
        </is>
      </c>
      <c r="P735" t="inlineStr">
        <is>
          <t>center</t>
        </is>
      </c>
      <c r="R735" t="b">
        <v>1</v>
      </c>
      <c r="S735" t="inlineStr">
        <is>
          <t>G000005</t>
        </is>
      </c>
      <c r="T735" t="inlineStr">
        <is>
          <t>Vertical</t>
        </is>
      </c>
      <c r="U735" t="n">
        <v>120</v>
      </c>
      <c r="V735" t="b">
        <v>1</v>
      </c>
      <c r="W735" t="inlineStr">
        <is>
          <t>Loan calculator!F17:F136</t>
        </is>
      </c>
      <c r="X735">
        <f>IFERROR(IF(LoanIsNotPaid*LoanIsGood,Principal,0), 0)</f>
        <v/>
      </c>
    </row>
    <row r="736">
      <c r="A736" t="inlineStr">
        <is>
          <t>Loan calculator</t>
        </is>
      </c>
      <c r="B736" t="inlineStr">
        <is>
          <t>G77</t>
        </is>
      </c>
      <c r="C736" t="n">
        <v>77</v>
      </c>
      <c r="D736" t="n">
        <v>7</v>
      </c>
      <c r="E736" t="inlineStr">
        <is>
          <t>Output</t>
        </is>
      </c>
      <c r="F736" t="inlineStr">
        <is>
          <t>'=IFERROR(IF(LoanIsNotPaid*LoanIsGood,InterestAmt,0), 0)</t>
        </is>
      </c>
      <c r="G736" t="n">
        <v>26.04093420313905</v>
      </c>
      <c r="H736" t="inlineStr"/>
      <c r="I736" t="inlineStr">
        <is>
          <t>"$"#,##0.00</t>
        </is>
      </c>
      <c r="J736" t="b">
        <v>0</v>
      </c>
      <c r="K736" t="b">
        <v>0</v>
      </c>
      <c r="L736" t="n">
        <v>9</v>
      </c>
      <c r="M736" t="inlineStr">
        <is>
          <t>Values must be of type &lt;class 'str'&gt;</t>
        </is>
      </c>
      <c r="N736" t="inlineStr">
        <is>
          <t>00000000</t>
        </is>
      </c>
      <c r="O736" t="inlineStr">
        <is>
          <t>center</t>
        </is>
      </c>
      <c r="P736" t="inlineStr">
        <is>
          <t>center</t>
        </is>
      </c>
      <c r="R736" t="b">
        <v>1</v>
      </c>
      <c r="S736" t="inlineStr">
        <is>
          <t>G000006</t>
        </is>
      </c>
      <c r="T736" t="inlineStr">
        <is>
          <t>Vertical</t>
        </is>
      </c>
      <c r="U736" t="n">
        <v>120</v>
      </c>
      <c r="V736" t="b">
        <v>1</v>
      </c>
      <c r="W736" t="inlineStr">
        <is>
          <t>Loan calculator!G17:G136</t>
        </is>
      </c>
      <c r="X736">
        <f>IFERROR(IF(LoanIsNotPaid*LoanIsGood,InterestAmt,0), 0)</f>
        <v/>
      </c>
    </row>
    <row r="737">
      <c r="A737" t="inlineStr">
        <is>
          <t>Loan calculator</t>
        </is>
      </c>
      <c r="B737" t="inlineStr">
        <is>
          <t>H77</t>
        </is>
      </c>
      <c r="C737" t="n">
        <v>77</v>
      </c>
      <c r="D737" t="n">
        <v>8</v>
      </c>
      <c r="E737" t="inlineStr">
        <is>
          <t>Output</t>
        </is>
      </c>
      <c r="F737" t="inlineStr">
        <is>
          <t>'=IFERROR(IF(LoanIsNotPaid*LoanIsGood,EndingBalance,0), 0)</t>
        </is>
      </c>
      <c r="G737" t="n">
        <v>5599.173027836623</v>
      </c>
      <c r="H737" t="inlineStr"/>
      <c r="I737" t="inlineStr">
        <is>
          <t>"$"#,##0.00</t>
        </is>
      </c>
      <c r="J737" t="b">
        <v>0</v>
      </c>
      <c r="K737" t="b">
        <v>0</v>
      </c>
      <c r="L737" t="n">
        <v>9</v>
      </c>
      <c r="M737" t="inlineStr">
        <is>
          <t>Values must be of type &lt;class 'str'&gt;</t>
        </is>
      </c>
      <c r="N737" t="inlineStr">
        <is>
          <t>00000000</t>
        </is>
      </c>
      <c r="O737" t="inlineStr">
        <is>
          <t>center</t>
        </is>
      </c>
      <c r="P737" t="inlineStr">
        <is>
          <t>center</t>
        </is>
      </c>
      <c r="R737" t="b">
        <v>1</v>
      </c>
      <c r="S737" t="inlineStr">
        <is>
          <t>G000007</t>
        </is>
      </c>
      <c r="T737" t="inlineStr">
        <is>
          <t>Vertical</t>
        </is>
      </c>
      <c r="U737" t="n">
        <v>120</v>
      </c>
      <c r="V737" t="b">
        <v>1</v>
      </c>
      <c r="W737" t="inlineStr">
        <is>
          <t>Loan calculator!H17:H136</t>
        </is>
      </c>
      <c r="X737">
        <f>IFERROR(IF(LoanIsNotPaid*LoanIsGood,EndingBalance,0), 0)</f>
        <v/>
      </c>
    </row>
    <row r="738">
      <c r="A738" t="inlineStr">
        <is>
          <t>Loan calculator</t>
        </is>
      </c>
      <c r="B738" t="inlineStr">
        <is>
          <t>I77</t>
        </is>
      </c>
      <c r="C738" t="n">
        <v>77</v>
      </c>
      <c r="D738" t="n">
        <v>9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11</v>
      </c>
      <c r="M738" t="inlineStr">
        <is>
          <t>Values must be of type &lt;class 'str'&gt;</t>
        </is>
      </c>
      <c r="N738" t="inlineStr">
        <is>
          <t>Values must be of type &lt;class 'str'&gt;</t>
        </is>
      </c>
      <c r="O738" t="n">
        <v/>
      </c>
      <c r="P738" t="inlineStr">
        <is>
          <t>center</t>
        </is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</row>
    <row r="739">
      <c r="A739" t="inlineStr">
        <is>
          <t>Loan calculator</t>
        </is>
      </c>
      <c r="B739" t="inlineStr">
        <is>
          <t>A78</t>
        </is>
      </c>
      <c r="C739" t="n">
        <v>78</v>
      </c>
      <c r="D739" t="n">
        <v>1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11</v>
      </c>
      <c r="M739" t="inlineStr">
        <is>
          <t>Values must be of type &lt;class 'str'&gt;</t>
        </is>
      </c>
      <c r="N739" t="inlineStr">
        <is>
          <t>Values must be of type &lt;class 'str'&gt;</t>
        </is>
      </c>
      <c r="O739" t="n">
        <v/>
      </c>
      <c r="P739" t="inlineStr">
        <is>
          <t>center</t>
        </is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</row>
    <row r="740">
      <c r="A740" t="inlineStr">
        <is>
          <t>Loan calculator</t>
        </is>
      </c>
      <c r="B740" t="inlineStr">
        <is>
          <t>B78</t>
        </is>
      </c>
      <c r="C740" t="n">
        <v>78</v>
      </c>
      <c r="D740" t="n">
        <v>2</v>
      </c>
      <c r="E740" t="inlineStr">
        <is>
          <t>Output</t>
        </is>
      </c>
      <c r="F740" t="inlineStr">
        <is>
          <t>'=IFERROR(IF(LoanIsNotPaid*LoanIsGood,PaymentNumber,""), "")</t>
        </is>
      </c>
      <c r="G740" t="n">
        <v>62</v>
      </c>
      <c r="H740" t="inlineStr"/>
      <c r="I740" t="inlineStr">
        <is>
          <t>#,##0</t>
        </is>
      </c>
      <c r="J740" t="b">
        <v>0</v>
      </c>
      <c r="K740" t="b">
        <v>0</v>
      </c>
      <c r="L740" t="n">
        <v>9</v>
      </c>
      <c r="M740" t="inlineStr">
        <is>
          <t>Values must be of type &lt;class 'str'&gt;</t>
        </is>
      </c>
      <c r="N740" t="inlineStr">
        <is>
          <t>00000000</t>
        </is>
      </c>
      <c r="O740" t="inlineStr">
        <is>
          <t>center</t>
        </is>
      </c>
      <c r="P740" t="inlineStr">
        <is>
          <t>center</t>
        </is>
      </c>
      <c r="R740" t="b">
        <v>1</v>
      </c>
      <c r="S740" t="inlineStr">
        <is>
          <t>G000001</t>
        </is>
      </c>
      <c r="T740" t="inlineStr">
        <is>
          <t>Vertical</t>
        </is>
      </c>
      <c r="U740" t="n">
        <v>120</v>
      </c>
      <c r="V740" t="b">
        <v>1</v>
      </c>
      <c r="W740" t="inlineStr">
        <is>
          <t>Loan calculator!B17:B136</t>
        </is>
      </c>
      <c r="X740">
        <f>IFERROR(IF(LoanIsNotPaid*LoanIsGood,PaymentNumber,""), "")</f>
        <v/>
      </c>
    </row>
    <row r="741">
      <c r="A741" t="inlineStr">
        <is>
          <t>Loan calculator</t>
        </is>
      </c>
      <c r="B741" t="inlineStr">
        <is>
          <t>C78</t>
        </is>
      </c>
      <c r="C741" t="n">
        <v>78</v>
      </c>
      <c r="D741" t="n">
        <v>3</v>
      </c>
      <c r="E741" t="inlineStr">
        <is>
          <t>Output</t>
        </is>
      </c>
      <c r="F741" t="inlineStr">
        <is>
          <t>'=IFERROR(IF(LoanIsNotPaid*LoanIsGood,PaymentDate,LoanStartDate), LoanStartDate)</t>
        </is>
      </c>
      <c r="G741" s="1" t="n">
        <v>47973</v>
      </c>
      <c r="H741" t="inlineStr"/>
      <c r="I741" t="inlineStr">
        <is>
          <t>mm-dd-yy</t>
        </is>
      </c>
      <c r="J741" t="b">
        <v>0</v>
      </c>
      <c r="K741" t="b">
        <v>0</v>
      </c>
      <c r="L741" t="n">
        <v>9</v>
      </c>
      <c r="M741" t="inlineStr">
        <is>
          <t>Values must be of type &lt;class 'str'&gt;</t>
        </is>
      </c>
      <c r="N741" t="inlineStr">
        <is>
          <t>00000000</t>
        </is>
      </c>
      <c r="O741" t="inlineStr">
        <is>
          <t>center</t>
        </is>
      </c>
      <c r="P741" t="inlineStr">
        <is>
          <t>center</t>
        </is>
      </c>
      <c r="R741" t="b">
        <v>1</v>
      </c>
      <c r="S741" t="inlineStr">
        <is>
          <t>G000002</t>
        </is>
      </c>
      <c r="T741" t="inlineStr">
        <is>
          <t>Vertical</t>
        </is>
      </c>
      <c r="U741" t="n">
        <v>120</v>
      </c>
      <c r="V741" t="b">
        <v>1</v>
      </c>
      <c r="W741" t="inlineStr">
        <is>
          <t>Loan calculator!C17:C136</t>
        </is>
      </c>
      <c r="X741">
        <f>IFERROR(IF(LoanIsNotPaid*LoanIsGood,PaymentDate,LoanStartDate), LoanStartDate)</f>
        <v/>
      </c>
    </row>
    <row r="742">
      <c r="A742" t="inlineStr">
        <is>
          <t>Loan calculator</t>
        </is>
      </c>
      <c r="B742" t="inlineStr">
        <is>
          <t>D78</t>
        </is>
      </c>
      <c r="C742" t="n">
        <v>78</v>
      </c>
      <c r="D742" t="n">
        <v>4</v>
      </c>
      <c r="E742" t="inlineStr">
        <is>
          <t>Output</t>
        </is>
      </c>
      <c r="F742" t="inlineStr">
        <is>
          <t>'=IFERROR(IF(LoanIsNotPaid*LoanIsGood,LoanValue,""), "")</t>
        </is>
      </c>
      <c r="G742" t="n">
        <v>5599.173027836623</v>
      </c>
      <c r="H742" t="inlineStr"/>
      <c r="I742" t="inlineStr">
        <is>
          <t>"$"#,##0.00</t>
        </is>
      </c>
      <c r="J742" t="b">
        <v>0</v>
      </c>
      <c r="K742" t="b">
        <v>0</v>
      </c>
      <c r="L742" t="n">
        <v>9</v>
      </c>
      <c r="M742" t="inlineStr">
        <is>
          <t>Values must be of type &lt;class 'str'&gt;</t>
        </is>
      </c>
      <c r="N742" t="inlineStr">
        <is>
          <t>00000000</t>
        </is>
      </c>
      <c r="O742" t="inlineStr">
        <is>
          <t>center</t>
        </is>
      </c>
      <c r="P742" t="inlineStr">
        <is>
          <t>center</t>
        </is>
      </c>
      <c r="R742" t="b">
        <v>1</v>
      </c>
      <c r="S742" t="inlineStr">
        <is>
          <t>G000003</t>
        </is>
      </c>
      <c r="T742" t="inlineStr">
        <is>
          <t>Vertical</t>
        </is>
      </c>
      <c r="U742" t="n">
        <v>120</v>
      </c>
      <c r="V742" t="b">
        <v>1</v>
      </c>
      <c r="W742" t="inlineStr">
        <is>
          <t>Loan calculator!D17:D136</t>
        </is>
      </c>
      <c r="X742">
        <f>IFERROR(IF(LoanIsNotPaid*LoanIsGood,LoanValue,""), "")</f>
        <v/>
      </c>
    </row>
    <row r="743">
      <c r="A743" t="inlineStr">
        <is>
          <t>Loan calculator</t>
        </is>
      </c>
      <c r="B743" t="inlineStr">
        <is>
          <t>E78</t>
        </is>
      </c>
      <c r="C743" t="n">
        <v>78</v>
      </c>
      <c r="D743" t="n">
        <v>5</v>
      </c>
      <c r="E743" t="inlineStr">
        <is>
          <t>Output</t>
        </is>
      </c>
      <c r="F743" t="inlineStr">
        <is>
          <t>'=IFERROR(IF(LoanIsNotPaid*LoanIsGood,MonthlyPayment,0), 0)</t>
        </is>
      </c>
      <c r="G743" t="n">
        <v>108.5262779604807</v>
      </c>
      <c r="H743" t="inlineStr"/>
      <c r="I743" t="inlineStr">
        <is>
          <t>"$"#,##0.00</t>
        </is>
      </c>
      <c r="J743" t="b">
        <v>0</v>
      </c>
      <c r="K743" t="b">
        <v>0</v>
      </c>
      <c r="L743" t="n">
        <v>9</v>
      </c>
      <c r="M743" t="inlineStr">
        <is>
          <t>Values must be of type &lt;class 'str'&gt;</t>
        </is>
      </c>
      <c r="N743" t="inlineStr">
        <is>
          <t>00000000</t>
        </is>
      </c>
      <c r="O743" t="inlineStr">
        <is>
          <t>center</t>
        </is>
      </c>
      <c r="P743" t="inlineStr">
        <is>
          <t>center</t>
        </is>
      </c>
      <c r="R743" t="b">
        <v>1</v>
      </c>
      <c r="S743" t="inlineStr">
        <is>
          <t>G000004</t>
        </is>
      </c>
      <c r="T743" t="inlineStr">
        <is>
          <t>Vertical</t>
        </is>
      </c>
      <c r="U743" t="n">
        <v>120</v>
      </c>
      <c r="V743" t="b">
        <v>1</v>
      </c>
      <c r="W743" t="inlineStr">
        <is>
          <t>Loan calculator!E17:E136</t>
        </is>
      </c>
      <c r="X743">
        <f>IFERROR(IF(LoanIsNotPaid*LoanIsGood,MonthlyPayment,0), 0)</f>
        <v/>
      </c>
    </row>
    <row r="744">
      <c r="A744" t="inlineStr">
        <is>
          <t>Loan calculator</t>
        </is>
      </c>
      <c r="B744" t="inlineStr">
        <is>
          <t>F78</t>
        </is>
      </c>
      <c r="C744" t="n">
        <v>78</v>
      </c>
      <c r="D744" t="n">
        <v>6</v>
      </c>
      <c r="E744" t="inlineStr">
        <is>
          <t>Output</t>
        </is>
      </c>
      <c r="F744" t="inlineStr">
        <is>
          <t>'=IFERROR(IF(LoanIsNotPaid*LoanIsGood,Principal,0), 0)</t>
        </is>
      </c>
      <c r="G744" t="n">
        <v>82.86340158289616</v>
      </c>
      <c r="H744" t="inlineStr"/>
      <c r="I744" t="inlineStr">
        <is>
          <t>"$"#,##0.00</t>
        </is>
      </c>
      <c r="J744" t="b">
        <v>0</v>
      </c>
      <c r="K744" t="b">
        <v>0</v>
      </c>
      <c r="L744" t="n">
        <v>9</v>
      </c>
      <c r="M744" t="inlineStr">
        <is>
          <t>Values must be of type &lt;class 'str'&gt;</t>
        </is>
      </c>
      <c r="N744" t="inlineStr">
        <is>
          <t>00000000</t>
        </is>
      </c>
      <c r="O744" t="inlineStr">
        <is>
          <t>center</t>
        </is>
      </c>
      <c r="P744" t="inlineStr">
        <is>
          <t>center</t>
        </is>
      </c>
      <c r="R744" t="b">
        <v>1</v>
      </c>
      <c r="S744" t="inlineStr">
        <is>
          <t>G000005</t>
        </is>
      </c>
      <c r="T744" t="inlineStr">
        <is>
          <t>Vertical</t>
        </is>
      </c>
      <c r="U744" t="n">
        <v>120</v>
      </c>
      <c r="V744" t="b">
        <v>1</v>
      </c>
      <c r="W744" t="inlineStr">
        <is>
          <t>Loan calculator!F17:F136</t>
        </is>
      </c>
      <c r="X744">
        <f>IFERROR(IF(LoanIsNotPaid*LoanIsGood,Principal,0), 0)</f>
        <v/>
      </c>
    </row>
    <row r="745">
      <c r="A745" t="inlineStr">
        <is>
          <t>Loan calculator</t>
        </is>
      </c>
      <c r="B745" t="inlineStr">
        <is>
          <t>G78</t>
        </is>
      </c>
      <c r="C745" t="n">
        <v>78</v>
      </c>
      <c r="D745" t="n">
        <v>7</v>
      </c>
      <c r="E745" t="inlineStr">
        <is>
          <t>Output</t>
        </is>
      </c>
      <c r="F745" t="inlineStr">
        <is>
          <t>'=IFERROR(IF(LoanIsNotPaid*LoanIsGood,InterestAmt,0), 0)</t>
        </is>
      </c>
      <c r="G745" t="n">
        <v>25.66287637758457</v>
      </c>
      <c r="H745" t="inlineStr"/>
      <c r="I745" t="inlineStr">
        <is>
          <t>"$"#,##0.00</t>
        </is>
      </c>
      <c r="J745" t="b">
        <v>0</v>
      </c>
      <c r="K745" t="b">
        <v>0</v>
      </c>
      <c r="L745" t="n">
        <v>9</v>
      </c>
      <c r="M745" t="inlineStr">
        <is>
          <t>Values must be of type &lt;class 'str'&gt;</t>
        </is>
      </c>
      <c r="N745" t="inlineStr">
        <is>
          <t>00000000</t>
        </is>
      </c>
      <c r="O745" t="inlineStr">
        <is>
          <t>center</t>
        </is>
      </c>
      <c r="P745" t="inlineStr">
        <is>
          <t>center</t>
        </is>
      </c>
      <c r="R745" t="b">
        <v>1</v>
      </c>
      <c r="S745" t="inlineStr">
        <is>
          <t>G000006</t>
        </is>
      </c>
      <c r="T745" t="inlineStr">
        <is>
          <t>Vertical</t>
        </is>
      </c>
      <c r="U745" t="n">
        <v>120</v>
      </c>
      <c r="V745" t="b">
        <v>1</v>
      </c>
      <c r="W745" t="inlineStr">
        <is>
          <t>Loan calculator!G17:G136</t>
        </is>
      </c>
      <c r="X745">
        <f>IFERROR(IF(LoanIsNotPaid*LoanIsGood,InterestAmt,0), 0)</f>
        <v/>
      </c>
    </row>
    <row r="746">
      <c r="A746" t="inlineStr">
        <is>
          <t>Loan calculator</t>
        </is>
      </c>
      <c r="B746" t="inlineStr">
        <is>
          <t>H78</t>
        </is>
      </c>
      <c r="C746" t="n">
        <v>78</v>
      </c>
      <c r="D746" t="n">
        <v>8</v>
      </c>
      <c r="E746" t="inlineStr">
        <is>
          <t>Output</t>
        </is>
      </c>
      <c r="F746" t="inlineStr">
        <is>
          <t>'=IFERROR(IF(LoanIsNotPaid*LoanIsGood,EndingBalance,0), 0)</t>
        </is>
      </c>
      <c r="G746" t="n">
        <v>5516.309626253729</v>
      </c>
      <c r="H746" t="inlineStr"/>
      <c r="I746" t="inlineStr">
        <is>
          <t>"$"#,##0.00</t>
        </is>
      </c>
      <c r="J746" t="b">
        <v>0</v>
      </c>
      <c r="K746" t="b">
        <v>0</v>
      </c>
      <c r="L746" t="n">
        <v>9</v>
      </c>
      <c r="M746" t="inlineStr">
        <is>
          <t>Values must be of type &lt;class 'str'&gt;</t>
        </is>
      </c>
      <c r="N746" t="inlineStr">
        <is>
          <t>00000000</t>
        </is>
      </c>
      <c r="O746" t="inlineStr">
        <is>
          <t>center</t>
        </is>
      </c>
      <c r="P746" t="inlineStr">
        <is>
          <t>center</t>
        </is>
      </c>
      <c r="R746" t="b">
        <v>1</v>
      </c>
      <c r="S746" t="inlineStr">
        <is>
          <t>G000007</t>
        </is>
      </c>
      <c r="T746" t="inlineStr">
        <is>
          <t>Vertical</t>
        </is>
      </c>
      <c r="U746" t="n">
        <v>120</v>
      </c>
      <c r="V746" t="b">
        <v>1</v>
      </c>
      <c r="W746" t="inlineStr">
        <is>
          <t>Loan calculator!H17:H136</t>
        </is>
      </c>
      <c r="X746">
        <f>IFERROR(IF(LoanIsNotPaid*LoanIsGood,EndingBalance,0), 0)</f>
        <v/>
      </c>
    </row>
    <row r="747">
      <c r="A747" t="inlineStr">
        <is>
          <t>Loan calculator</t>
        </is>
      </c>
      <c r="B747" t="inlineStr">
        <is>
          <t>I78</t>
        </is>
      </c>
      <c r="C747" t="n">
        <v>78</v>
      </c>
      <c r="D747" t="n">
        <v>9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11</v>
      </c>
      <c r="M747" t="inlineStr">
        <is>
          <t>Values must be of type &lt;class 'str'&gt;</t>
        </is>
      </c>
      <c r="N747" t="inlineStr">
        <is>
          <t>Values must be of type &lt;class 'str'&gt;</t>
        </is>
      </c>
      <c r="O747" t="n">
        <v/>
      </c>
      <c r="P747" t="inlineStr">
        <is>
          <t>center</t>
        </is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</row>
    <row r="748">
      <c r="A748" t="inlineStr">
        <is>
          <t>Loan calculator</t>
        </is>
      </c>
      <c r="B748" t="inlineStr">
        <is>
          <t>A79</t>
        </is>
      </c>
      <c r="C748" t="n">
        <v>79</v>
      </c>
      <c r="D748" t="n">
        <v>1</v>
      </c>
      <c r="E748" t="inlineStr">
        <is>
          <t>Input</t>
        </is>
      </c>
      <c r="F748" t="n">
        <v/>
      </c>
      <c r="H748" t="inlineStr"/>
      <c r="I748" t="inlineStr">
        <is>
          <t>General</t>
        </is>
      </c>
      <c r="J748" t="b">
        <v>0</v>
      </c>
      <c r="K748" t="b">
        <v>0</v>
      </c>
      <c r="L748" t="n">
        <v>11</v>
      </c>
      <c r="M748" t="inlineStr">
        <is>
          <t>Values must be of type &lt;class 'str'&gt;</t>
        </is>
      </c>
      <c r="N748" t="inlineStr">
        <is>
          <t>Values must be of type &lt;class 'str'&gt;</t>
        </is>
      </c>
      <c r="O748" t="n">
        <v/>
      </c>
      <c r="P748" t="inlineStr">
        <is>
          <t>center</t>
        </is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</row>
    <row r="749">
      <c r="A749" t="inlineStr">
        <is>
          <t>Loan calculator</t>
        </is>
      </c>
      <c r="B749" t="inlineStr">
        <is>
          <t>B79</t>
        </is>
      </c>
      <c r="C749" t="n">
        <v>79</v>
      </c>
      <c r="D749" t="n">
        <v>2</v>
      </c>
      <c r="E749" t="inlineStr">
        <is>
          <t>Output</t>
        </is>
      </c>
      <c r="F749" t="inlineStr">
        <is>
          <t>'=IFERROR(IF(LoanIsNotPaid*LoanIsGood,PaymentNumber,""), "")</t>
        </is>
      </c>
      <c r="G749" t="n">
        <v>63</v>
      </c>
      <c r="H749" t="inlineStr"/>
      <c r="I749" t="inlineStr">
        <is>
          <t>#,##0</t>
        </is>
      </c>
      <c r="J749" t="b">
        <v>0</v>
      </c>
      <c r="K749" t="b">
        <v>0</v>
      </c>
      <c r="L749" t="n">
        <v>9</v>
      </c>
      <c r="M749" t="inlineStr">
        <is>
          <t>Values must be of type &lt;class 'str'&gt;</t>
        </is>
      </c>
      <c r="N749" t="inlineStr">
        <is>
          <t>00000000</t>
        </is>
      </c>
      <c r="O749" t="inlineStr">
        <is>
          <t>center</t>
        </is>
      </c>
      <c r="P749" t="inlineStr">
        <is>
          <t>center</t>
        </is>
      </c>
      <c r="R749" t="b">
        <v>1</v>
      </c>
      <c r="S749" t="inlineStr">
        <is>
          <t>G000001</t>
        </is>
      </c>
      <c r="T749" t="inlineStr">
        <is>
          <t>Vertical</t>
        </is>
      </c>
      <c r="U749" t="n">
        <v>120</v>
      </c>
      <c r="V749" t="b">
        <v>1</v>
      </c>
      <c r="W749" t="inlineStr">
        <is>
          <t>Loan calculator!B17:B136</t>
        </is>
      </c>
      <c r="X749">
        <f>IFERROR(IF(LoanIsNotPaid*LoanIsGood,PaymentNumber,""), "")</f>
        <v/>
      </c>
    </row>
    <row r="750">
      <c r="A750" t="inlineStr">
        <is>
          <t>Loan calculator</t>
        </is>
      </c>
      <c r="B750" t="inlineStr">
        <is>
          <t>C79</t>
        </is>
      </c>
      <c r="C750" t="n">
        <v>79</v>
      </c>
      <c r="D750" t="n">
        <v>3</v>
      </c>
      <c r="E750" t="inlineStr">
        <is>
          <t>Output</t>
        </is>
      </c>
      <c r="F750" t="inlineStr">
        <is>
          <t>'=IFERROR(IF(LoanIsNotPaid*LoanIsGood,PaymentDate,LoanStartDate), LoanStartDate)</t>
        </is>
      </c>
      <c r="G750" s="1" t="n">
        <v>48004</v>
      </c>
      <c r="H750" t="inlineStr"/>
      <c r="I750" t="inlineStr">
        <is>
          <t>mm-dd-yy</t>
        </is>
      </c>
      <c r="J750" t="b">
        <v>0</v>
      </c>
      <c r="K750" t="b">
        <v>0</v>
      </c>
      <c r="L750" t="n">
        <v>9</v>
      </c>
      <c r="M750" t="inlineStr">
        <is>
          <t>Values must be of type &lt;class 'str'&gt;</t>
        </is>
      </c>
      <c r="N750" t="inlineStr">
        <is>
          <t>00000000</t>
        </is>
      </c>
      <c r="O750" t="inlineStr">
        <is>
          <t>center</t>
        </is>
      </c>
      <c r="P750" t="inlineStr">
        <is>
          <t>center</t>
        </is>
      </c>
      <c r="R750" t="b">
        <v>1</v>
      </c>
      <c r="S750" t="inlineStr">
        <is>
          <t>G000002</t>
        </is>
      </c>
      <c r="T750" t="inlineStr">
        <is>
          <t>Vertical</t>
        </is>
      </c>
      <c r="U750" t="n">
        <v>120</v>
      </c>
      <c r="V750" t="b">
        <v>1</v>
      </c>
      <c r="W750" t="inlineStr">
        <is>
          <t>Loan calculator!C17:C136</t>
        </is>
      </c>
      <c r="X750">
        <f>IFERROR(IF(LoanIsNotPaid*LoanIsGood,PaymentDate,LoanStartDate), LoanStartDate)</f>
        <v/>
      </c>
    </row>
    <row r="751">
      <c r="A751" t="inlineStr">
        <is>
          <t>Loan calculator</t>
        </is>
      </c>
      <c r="B751" t="inlineStr">
        <is>
          <t>D79</t>
        </is>
      </c>
      <c r="C751" t="n">
        <v>79</v>
      </c>
      <c r="D751" t="n">
        <v>4</v>
      </c>
      <c r="E751" t="inlineStr">
        <is>
          <t>Output</t>
        </is>
      </c>
      <c r="F751" t="inlineStr">
        <is>
          <t>'=IFERROR(IF(LoanIsNotPaid*LoanIsGood,LoanValue,""), "")</t>
        </is>
      </c>
      <c r="G751" t="n">
        <v>5516.309626253729</v>
      </c>
      <c r="H751" t="inlineStr"/>
      <c r="I751" t="inlineStr">
        <is>
          <t>"$"#,##0.00</t>
        </is>
      </c>
      <c r="J751" t="b">
        <v>0</v>
      </c>
      <c r="K751" t="b">
        <v>0</v>
      </c>
      <c r="L751" t="n">
        <v>9</v>
      </c>
      <c r="M751" t="inlineStr">
        <is>
          <t>Values must be of type &lt;class 'str'&gt;</t>
        </is>
      </c>
      <c r="N751" t="inlineStr">
        <is>
          <t>00000000</t>
        </is>
      </c>
      <c r="O751" t="inlineStr">
        <is>
          <t>center</t>
        </is>
      </c>
      <c r="P751" t="inlineStr">
        <is>
          <t>center</t>
        </is>
      </c>
      <c r="R751" t="b">
        <v>1</v>
      </c>
      <c r="S751" t="inlineStr">
        <is>
          <t>G000003</t>
        </is>
      </c>
      <c r="T751" t="inlineStr">
        <is>
          <t>Vertical</t>
        </is>
      </c>
      <c r="U751" t="n">
        <v>120</v>
      </c>
      <c r="V751" t="b">
        <v>1</v>
      </c>
      <c r="W751" t="inlineStr">
        <is>
          <t>Loan calculator!D17:D136</t>
        </is>
      </c>
      <c r="X751">
        <f>IFERROR(IF(LoanIsNotPaid*LoanIsGood,LoanValue,""), "")</f>
        <v/>
      </c>
    </row>
    <row r="752">
      <c r="A752" t="inlineStr">
        <is>
          <t>Loan calculator</t>
        </is>
      </c>
      <c r="B752" t="inlineStr">
        <is>
          <t>E79</t>
        </is>
      </c>
      <c r="C752" t="n">
        <v>79</v>
      </c>
      <c r="D752" t="n">
        <v>5</v>
      </c>
      <c r="E752" t="inlineStr">
        <is>
          <t>Output</t>
        </is>
      </c>
      <c r="F752" t="inlineStr">
        <is>
          <t>'=IFERROR(IF(LoanIsNotPaid*LoanIsGood,MonthlyPayment,0), 0)</t>
        </is>
      </c>
      <c r="G752" t="n">
        <v>108.5262779604807</v>
      </c>
      <c r="H752" t="inlineStr"/>
      <c r="I752" t="inlineStr">
        <is>
          <t>"$"#,##0.00</t>
        </is>
      </c>
      <c r="J752" t="b">
        <v>0</v>
      </c>
      <c r="K752" t="b">
        <v>0</v>
      </c>
      <c r="L752" t="n">
        <v>9</v>
      </c>
      <c r="M752" t="inlineStr">
        <is>
          <t>Values must be of type &lt;class 'str'&gt;</t>
        </is>
      </c>
      <c r="N752" t="inlineStr">
        <is>
          <t>00000000</t>
        </is>
      </c>
      <c r="O752" t="inlineStr">
        <is>
          <t>center</t>
        </is>
      </c>
      <c r="P752" t="inlineStr">
        <is>
          <t>center</t>
        </is>
      </c>
      <c r="R752" t="b">
        <v>1</v>
      </c>
      <c r="S752" t="inlineStr">
        <is>
          <t>G000004</t>
        </is>
      </c>
      <c r="T752" t="inlineStr">
        <is>
          <t>Vertical</t>
        </is>
      </c>
      <c r="U752" t="n">
        <v>120</v>
      </c>
      <c r="V752" t="b">
        <v>1</v>
      </c>
      <c r="W752" t="inlineStr">
        <is>
          <t>Loan calculator!E17:E136</t>
        </is>
      </c>
      <c r="X752">
        <f>IFERROR(IF(LoanIsNotPaid*LoanIsGood,MonthlyPayment,0), 0)</f>
        <v/>
      </c>
    </row>
    <row r="753">
      <c r="A753" t="inlineStr">
        <is>
          <t>Loan calculator</t>
        </is>
      </c>
      <c r="B753" t="inlineStr">
        <is>
          <t>F79</t>
        </is>
      </c>
      <c r="C753" t="n">
        <v>79</v>
      </c>
      <c r="D753" t="n">
        <v>6</v>
      </c>
      <c r="E753" t="inlineStr">
        <is>
          <t>Output</t>
        </is>
      </c>
      <c r="F753" t="inlineStr">
        <is>
          <t>'=IFERROR(IF(LoanIsNotPaid*LoanIsGood,Principal,0), 0)</t>
        </is>
      </c>
      <c r="G753" t="n">
        <v>83.24319217348443</v>
      </c>
      <c r="H753" t="inlineStr"/>
      <c r="I753" t="inlineStr">
        <is>
          <t>"$"#,##0.00</t>
        </is>
      </c>
      <c r="J753" t="b">
        <v>0</v>
      </c>
      <c r="K753" t="b">
        <v>0</v>
      </c>
      <c r="L753" t="n">
        <v>9</v>
      </c>
      <c r="M753" t="inlineStr">
        <is>
          <t>Values must be of type &lt;class 'str'&gt;</t>
        </is>
      </c>
      <c r="N753" t="inlineStr">
        <is>
          <t>00000000</t>
        </is>
      </c>
      <c r="O753" t="inlineStr">
        <is>
          <t>center</t>
        </is>
      </c>
      <c r="P753" t="inlineStr">
        <is>
          <t>center</t>
        </is>
      </c>
      <c r="R753" t="b">
        <v>1</v>
      </c>
      <c r="S753" t="inlineStr">
        <is>
          <t>G000005</t>
        </is>
      </c>
      <c r="T753" t="inlineStr">
        <is>
          <t>Vertical</t>
        </is>
      </c>
      <c r="U753" t="n">
        <v>120</v>
      </c>
      <c r="V753" t="b">
        <v>1</v>
      </c>
      <c r="W753" t="inlineStr">
        <is>
          <t>Loan calculator!F17:F136</t>
        </is>
      </c>
      <c r="X753">
        <f>IFERROR(IF(LoanIsNotPaid*LoanIsGood,Principal,0), 0)</f>
        <v/>
      </c>
    </row>
    <row r="754">
      <c r="A754" t="inlineStr">
        <is>
          <t>Loan calculator</t>
        </is>
      </c>
      <c r="B754" t="inlineStr">
        <is>
          <t>G79</t>
        </is>
      </c>
      <c r="C754" t="n">
        <v>79</v>
      </c>
      <c r="D754" t="n">
        <v>7</v>
      </c>
      <c r="E754" t="inlineStr">
        <is>
          <t>Output</t>
        </is>
      </c>
      <c r="F754" t="inlineStr">
        <is>
          <t>'=IFERROR(IF(LoanIsNotPaid*LoanIsGood,InterestAmt,0), 0)</t>
        </is>
      </c>
      <c r="G754" t="n">
        <v>25.28308578699629</v>
      </c>
      <c r="H754" t="inlineStr"/>
      <c r="I754" t="inlineStr">
        <is>
          <t>"$"#,##0.00</t>
        </is>
      </c>
      <c r="J754" t="b">
        <v>0</v>
      </c>
      <c r="K754" t="b">
        <v>0</v>
      </c>
      <c r="L754" t="n">
        <v>9</v>
      </c>
      <c r="M754" t="inlineStr">
        <is>
          <t>Values must be of type &lt;class 'str'&gt;</t>
        </is>
      </c>
      <c r="N754" t="inlineStr">
        <is>
          <t>00000000</t>
        </is>
      </c>
      <c r="O754" t="inlineStr">
        <is>
          <t>center</t>
        </is>
      </c>
      <c r="P754" t="inlineStr">
        <is>
          <t>center</t>
        </is>
      </c>
      <c r="R754" t="b">
        <v>1</v>
      </c>
      <c r="S754" t="inlineStr">
        <is>
          <t>G000006</t>
        </is>
      </c>
      <c r="T754" t="inlineStr">
        <is>
          <t>Vertical</t>
        </is>
      </c>
      <c r="U754" t="n">
        <v>120</v>
      </c>
      <c r="V754" t="b">
        <v>1</v>
      </c>
      <c r="W754" t="inlineStr">
        <is>
          <t>Loan calculator!G17:G136</t>
        </is>
      </c>
      <c r="X754">
        <f>IFERROR(IF(LoanIsNotPaid*LoanIsGood,InterestAmt,0), 0)</f>
        <v/>
      </c>
    </row>
    <row r="755">
      <c r="A755" t="inlineStr">
        <is>
          <t>Loan calculator</t>
        </is>
      </c>
      <c r="B755" t="inlineStr">
        <is>
          <t>H79</t>
        </is>
      </c>
      <c r="C755" t="n">
        <v>79</v>
      </c>
      <c r="D755" t="n">
        <v>8</v>
      </c>
      <c r="E755" t="inlineStr">
        <is>
          <t>Output</t>
        </is>
      </c>
      <c r="F755" t="inlineStr">
        <is>
          <t>'=IFERROR(IF(LoanIsNotPaid*LoanIsGood,EndingBalance,0), 0)</t>
        </is>
      </c>
      <c r="G755" t="n">
        <v>5433.066434080246</v>
      </c>
      <c r="H755" t="inlineStr"/>
      <c r="I755" t="inlineStr">
        <is>
          <t>"$"#,##0.00</t>
        </is>
      </c>
      <c r="J755" t="b">
        <v>0</v>
      </c>
      <c r="K755" t="b">
        <v>0</v>
      </c>
      <c r="L755" t="n">
        <v>9</v>
      </c>
      <c r="M755" t="inlineStr">
        <is>
          <t>Values must be of type &lt;class 'str'&gt;</t>
        </is>
      </c>
      <c r="N755" t="inlineStr">
        <is>
          <t>00000000</t>
        </is>
      </c>
      <c r="O755" t="inlineStr">
        <is>
          <t>center</t>
        </is>
      </c>
      <c r="P755" t="inlineStr">
        <is>
          <t>center</t>
        </is>
      </c>
      <c r="R755" t="b">
        <v>1</v>
      </c>
      <c r="S755" t="inlineStr">
        <is>
          <t>G000007</t>
        </is>
      </c>
      <c r="T755" t="inlineStr">
        <is>
          <t>Vertical</t>
        </is>
      </c>
      <c r="U755" t="n">
        <v>120</v>
      </c>
      <c r="V755" t="b">
        <v>1</v>
      </c>
      <c r="W755" t="inlineStr">
        <is>
          <t>Loan calculator!H17:H136</t>
        </is>
      </c>
      <c r="X755">
        <f>IFERROR(IF(LoanIsNotPaid*LoanIsGood,EndingBalance,0), 0)</f>
        <v/>
      </c>
    </row>
    <row r="756">
      <c r="A756" t="inlineStr">
        <is>
          <t>Loan calculator</t>
        </is>
      </c>
      <c r="B756" t="inlineStr">
        <is>
          <t>I79</t>
        </is>
      </c>
      <c r="C756" t="n">
        <v>79</v>
      </c>
      <c r="D756" t="n">
        <v>9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11</v>
      </c>
      <c r="M756" t="inlineStr">
        <is>
          <t>Values must be of type &lt;class 'str'&gt;</t>
        </is>
      </c>
      <c r="N756" t="inlineStr">
        <is>
          <t>Values must be of type &lt;class 'str'&gt;</t>
        </is>
      </c>
      <c r="O756" t="n">
        <v/>
      </c>
      <c r="P756" t="inlineStr">
        <is>
          <t>center</t>
        </is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</row>
    <row r="757">
      <c r="A757" t="inlineStr">
        <is>
          <t>Loan calculator</t>
        </is>
      </c>
      <c r="B757" t="inlineStr">
        <is>
          <t>A80</t>
        </is>
      </c>
      <c r="C757" t="n">
        <v>80</v>
      </c>
      <c r="D757" t="n">
        <v>1</v>
      </c>
      <c r="E757" t="inlineStr">
        <is>
          <t>Input</t>
        </is>
      </c>
      <c r="F757" t="n">
        <v/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11</v>
      </c>
      <c r="M757" t="inlineStr">
        <is>
          <t>Values must be of type &lt;class 'str'&gt;</t>
        </is>
      </c>
      <c r="N757" t="inlineStr">
        <is>
          <t>Values must be of type &lt;class 'str'&gt;</t>
        </is>
      </c>
      <c r="O757" t="n">
        <v/>
      </c>
      <c r="P757" t="inlineStr">
        <is>
          <t>center</t>
        </is>
      </c>
      <c r="R757" t="b">
        <v>0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</row>
    <row r="758">
      <c r="A758" t="inlineStr">
        <is>
          <t>Loan calculator</t>
        </is>
      </c>
      <c r="B758" t="inlineStr">
        <is>
          <t>B80</t>
        </is>
      </c>
      <c r="C758" t="n">
        <v>80</v>
      </c>
      <c r="D758" t="n">
        <v>2</v>
      </c>
      <c r="E758" t="inlineStr">
        <is>
          <t>Output</t>
        </is>
      </c>
      <c r="F758" t="inlineStr">
        <is>
          <t>'=IFERROR(IF(LoanIsNotPaid*LoanIsGood,PaymentNumber,""), "")</t>
        </is>
      </c>
      <c r="G758" t="n">
        <v>64</v>
      </c>
      <c r="H758" t="inlineStr"/>
      <c r="I758" t="inlineStr">
        <is>
          <t>#,##0</t>
        </is>
      </c>
      <c r="J758" t="b">
        <v>0</v>
      </c>
      <c r="K758" t="b">
        <v>0</v>
      </c>
      <c r="L758" t="n">
        <v>9</v>
      </c>
      <c r="M758" t="inlineStr">
        <is>
          <t>Values must be of type &lt;class 'str'&gt;</t>
        </is>
      </c>
      <c r="N758" t="inlineStr">
        <is>
          <t>00000000</t>
        </is>
      </c>
      <c r="O758" t="inlineStr">
        <is>
          <t>center</t>
        </is>
      </c>
      <c r="P758" t="inlineStr">
        <is>
          <t>center</t>
        </is>
      </c>
      <c r="R758" t="b">
        <v>1</v>
      </c>
      <c r="S758" t="inlineStr">
        <is>
          <t>G000001</t>
        </is>
      </c>
      <c r="T758" t="inlineStr">
        <is>
          <t>Vertical</t>
        </is>
      </c>
      <c r="U758" t="n">
        <v>120</v>
      </c>
      <c r="V758" t="b">
        <v>1</v>
      </c>
      <c r="W758" t="inlineStr">
        <is>
          <t>Loan calculator!B17:B136</t>
        </is>
      </c>
      <c r="X758">
        <f>IFERROR(IF(LoanIsNotPaid*LoanIsGood,PaymentNumber,""), "")</f>
        <v/>
      </c>
    </row>
    <row r="759">
      <c r="A759" t="inlineStr">
        <is>
          <t>Loan calculator</t>
        </is>
      </c>
      <c r="B759" t="inlineStr">
        <is>
          <t>C80</t>
        </is>
      </c>
      <c r="C759" t="n">
        <v>80</v>
      </c>
      <c r="D759" t="n">
        <v>3</v>
      </c>
      <c r="E759" t="inlineStr">
        <is>
          <t>Output</t>
        </is>
      </c>
      <c r="F759" t="inlineStr">
        <is>
          <t>'=IFERROR(IF(LoanIsNotPaid*LoanIsGood,PaymentDate,LoanStartDate), LoanStartDate)</t>
        </is>
      </c>
      <c r="G759" s="1" t="n">
        <v>48034</v>
      </c>
      <c r="H759" t="inlineStr"/>
      <c r="I759" t="inlineStr">
        <is>
          <t>mm-dd-yy</t>
        </is>
      </c>
      <c r="J759" t="b">
        <v>0</v>
      </c>
      <c r="K759" t="b">
        <v>0</v>
      </c>
      <c r="L759" t="n">
        <v>9</v>
      </c>
      <c r="M759" t="inlineStr">
        <is>
          <t>Values must be of type &lt;class 'str'&gt;</t>
        </is>
      </c>
      <c r="N759" t="inlineStr">
        <is>
          <t>00000000</t>
        </is>
      </c>
      <c r="O759" t="inlineStr">
        <is>
          <t>center</t>
        </is>
      </c>
      <c r="P759" t="inlineStr">
        <is>
          <t>center</t>
        </is>
      </c>
      <c r="R759" t="b">
        <v>1</v>
      </c>
      <c r="S759" t="inlineStr">
        <is>
          <t>G000002</t>
        </is>
      </c>
      <c r="T759" t="inlineStr">
        <is>
          <t>Vertical</t>
        </is>
      </c>
      <c r="U759" t="n">
        <v>120</v>
      </c>
      <c r="V759" t="b">
        <v>1</v>
      </c>
      <c r="W759" t="inlineStr">
        <is>
          <t>Loan calculator!C17:C136</t>
        </is>
      </c>
      <c r="X759">
        <f>IFERROR(IF(LoanIsNotPaid*LoanIsGood,PaymentDate,LoanStartDate), LoanStartDate)</f>
        <v/>
      </c>
    </row>
    <row r="760">
      <c r="A760" t="inlineStr">
        <is>
          <t>Loan calculator</t>
        </is>
      </c>
      <c r="B760" t="inlineStr">
        <is>
          <t>D80</t>
        </is>
      </c>
      <c r="C760" t="n">
        <v>80</v>
      </c>
      <c r="D760" t="n">
        <v>4</v>
      </c>
      <c r="E760" t="inlineStr">
        <is>
          <t>Output</t>
        </is>
      </c>
      <c r="F760" t="inlineStr">
        <is>
          <t>'=IFERROR(IF(LoanIsNotPaid*LoanIsGood,LoanValue,""), "")</t>
        </is>
      </c>
      <c r="G760" t="n">
        <v>5433.066434080246</v>
      </c>
      <c r="H760" t="inlineStr"/>
      <c r="I760" t="inlineStr">
        <is>
          <t>"$"#,##0.00</t>
        </is>
      </c>
      <c r="J760" t="b">
        <v>0</v>
      </c>
      <c r="K760" t="b">
        <v>0</v>
      </c>
      <c r="L760" t="n">
        <v>9</v>
      </c>
      <c r="M760" t="inlineStr">
        <is>
          <t>Values must be of type &lt;class 'str'&gt;</t>
        </is>
      </c>
      <c r="N760" t="inlineStr">
        <is>
          <t>00000000</t>
        </is>
      </c>
      <c r="O760" t="inlineStr">
        <is>
          <t>center</t>
        </is>
      </c>
      <c r="P760" t="inlineStr">
        <is>
          <t>center</t>
        </is>
      </c>
      <c r="R760" t="b">
        <v>1</v>
      </c>
      <c r="S760" t="inlineStr">
        <is>
          <t>G000003</t>
        </is>
      </c>
      <c r="T760" t="inlineStr">
        <is>
          <t>Vertical</t>
        </is>
      </c>
      <c r="U760" t="n">
        <v>120</v>
      </c>
      <c r="V760" t="b">
        <v>1</v>
      </c>
      <c r="W760" t="inlineStr">
        <is>
          <t>Loan calculator!D17:D136</t>
        </is>
      </c>
      <c r="X760">
        <f>IFERROR(IF(LoanIsNotPaid*LoanIsGood,LoanValue,""), "")</f>
        <v/>
      </c>
    </row>
    <row r="761">
      <c r="A761" t="inlineStr">
        <is>
          <t>Loan calculator</t>
        </is>
      </c>
      <c r="B761" t="inlineStr">
        <is>
          <t>E80</t>
        </is>
      </c>
      <c r="C761" t="n">
        <v>80</v>
      </c>
      <c r="D761" t="n">
        <v>5</v>
      </c>
      <c r="E761" t="inlineStr">
        <is>
          <t>Output</t>
        </is>
      </c>
      <c r="F761" t="inlineStr">
        <is>
          <t>'=IFERROR(IF(LoanIsNotPaid*LoanIsGood,MonthlyPayment,0), 0)</t>
        </is>
      </c>
      <c r="G761" t="n">
        <v>108.5262779604807</v>
      </c>
      <c r="H761" t="inlineStr"/>
      <c r="I761" t="inlineStr">
        <is>
          <t>"$"#,##0.00</t>
        </is>
      </c>
      <c r="J761" t="b">
        <v>0</v>
      </c>
      <c r="K761" t="b">
        <v>0</v>
      </c>
      <c r="L761" t="n">
        <v>9</v>
      </c>
      <c r="M761" t="inlineStr">
        <is>
          <t>Values must be of type &lt;class 'str'&gt;</t>
        </is>
      </c>
      <c r="N761" t="inlineStr">
        <is>
          <t>00000000</t>
        </is>
      </c>
      <c r="O761" t="inlineStr">
        <is>
          <t>center</t>
        </is>
      </c>
      <c r="P761" t="inlineStr">
        <is>
          <t>center</t>
        </is>
      </c>
      <c r="R761" t="b">
        <v>1</v>
      </c>
      <c r="S761" t="inlineStr">
        <is>
          <t>G000004</t>
        </is>
      </c>
      <c r="T761" t="inlineStr">
        <is>
          <t>Vertical</t>
        </is>
      </c>
      <c r="U761" t="n">
        <v>120</v>
      </c>
      <c r="V761" t="b">
        <v>1</v>
      </c>
      <c r="W761" t="inlineStr">
        <is>
          <t>Loan calculator!E17:E136</t>
        </is>
      </c>
      <c r="X761">
        <f>IFERROR(IF(LoanIsNotPaid*LoanIsGood,MonthlyPayment,0), 0)</f>
        <v/>
      </c>
    </row>
    <row r="762">
      <c r="A762" t="inlineStr">
        <is>
          <t>Loan calculator</t>
        </is>
      </c>
      <c r="B762" t="inlineStr">
        <is>
          <t>F80</t>
        </is>
      </c>
      <c r="C762" t="n">
        <v>80</v>
      </c>
      <c r="D762" t="n">
        <v>6</v>
      </c>
      <c r="E762" t="inlineStr">
        <is>
          <t>Output</t>
        </is>
      </c>
      <c r="F762" t="inlineStr">
        <is>
          <t>'=IFERROR(IF(LoanIsNotPaid*LoanIsGood,Principal,0), 0)</t>
        </is>
      </c>
      <c r="G762" t="n">
        <v>83.62472347094625</v>
      </c>
      <c r="H762" t="inlineStr"/>
      <c r="I762" t="inlineStr">
        <is>
          <t>"$"#,##0.00</t>
        </is>
      </c>
      <c r="J762" t="b">
        <v>0</v>
      </c>
      <c r="K762" t="b">
        <v>0</v>
      </c>
      <c r="L762" t="n">
        <v>9</v>
      </c>
      <c r="M762" t="inlineStr">
        <is>
          <t>Values must be of type &lt;class 'str'&gt;</t>
        </is>
      </c>
      <c r="N762" t="inlineStr">
        <is>
          <t>00000000</t>
        </is>
      </c>
      <c r="O762" t="inlineStr">
        <is>
          <t>center</t>
        </is>
      </c>
      <c r="P762" t="inlineStr">
        <is>
          <t>center</t>
        </is>
      </c>
      <c r="R762" t="b">
        <v>1</v>
      </c>
      <c r="S762" t="inlineStr">
        <is>
          <t>G000005</t>
        </is>
      </c>
      <c r="T762" t="inlineStr">
        <is>
          <t>Vertical</t>
        </is>
      </c>
      <c r="U762" t="n">
        <v>120</v>
      </c>
      <c r="V762" t="b">
        <v>1</v>
      </c>
      <c r="W762" t="inlineStr">
        <is>
          <t>Loan calculator!F17:F136</t>
        </is>
      </c>
      <c r="X762">
        <f>IFERROR(IF(LoanIsNotPaid*LoanIsGood,Principal,0), 0)</f>
        <v/>
      </c>
    </row>
    <row r="763">
      <c r="A763" t="inlineStr">
        <is>
          <t>Loan calculator</t>
        </is>
      </c>
      <c r="B763" t="inlineStr">
        <is>
          <t>G80</t>
        </is>
      </c>
      <c r="C763" t="n">
        <v>80</v>
      </c>
      <c r="D763" t="n">
        <v>7</v>
      </c>
      <c r="E763" t="inlineStr">
        <is>
          <t>Output</t>
        </is>
      </c>
      <c r="F763" t="inlineStr">
        <is>
          <t>'=IFERROR(IF(LoanIsNotPaid*LoanIsGood,InterestAmt,0), 0)</t>
        </is>
      </c>
      <c r="G763" t="n">
        <v>24.90155448953449</v>
      </c>
      <c r="H763" t="inlineStr"/>
      <c r="I763" t="inlineStr">
        <is>
          <t>"$"#,##0.00</t>
        </is>
      </c>
      <c r="J763" t="b">
        <v>0</v>
      </c>
      <c r="K763" t="b">
        <v>0</v>
      </c>
      <c r="L763" t="n">
        <v>9</v>
      </c>
      <c r="M763" t="inlineStr">
        <is>
          <t>Values must be of type &lt;class 'str'&gt;</t>
        </is>
      </c>
      <c r="N763" t="inlineStr">
        <is>
          <t>00000000</t>
        </is>
      </c>
      <c r="O763" t="inlineStr">
        <is>
          <t>center</t>
        </is>
      </c>
      <c r="P763" t="inlineStr">
        <is>
          <t>center</t>
        </is>
      </c>
      <c r="R763" t="b">
        <v>1</v>
      </c>
      <c r="S763" t="inlineStr">
        <is>
          <t>G000006</t>
        </is>
      </c>
      <c r="T763" t="inlineStr">
        <is>
          <t>Vertical</t>
        </is>
      </c>
      <c r="U763" t="n">
        <v>120</v>
      </c>
      <c r="V763" t="b">
        <v>1</v>
      </c>
      <c r="W763" t="inlineStr">
        <is>
          <t>Loan calculator!G17:G136</t>
        </is>
      </c>
      <c r="X763">
        <f>IFERROR(IF(LoanIsNotPaid*LoanIsGood,InterestAmt,0), 0)</f>
        <v/>
      </c>
    </row>
    <row r="764">
      <c r="A764" t="inlineStr">
        <is>
          <t>Loan calculator</t>
        </is>
      </c>
      <c r="B764" t="inlineStr">
        <is>
          <t>H80</t>
        </is>
      </c>
      <c r="C764" t="n">
        <v>80</v>
      </c>
      <c r="D764" t="n">
        <v>8</v>
      </c>
      <c r="E764" t="inlineStr">
        <is>
          <t>Output</t>
        </is>
      </c>
      <c r="F764" t="inlineStr">
        <is>
          <t>'=IFERROR(IF(LoanIsNotPaid*LoanIsGood,EndingBalance,0), 0)</t>
        </is>
      </c>
      <c r="G764" t="n">
        <v>5349.441710609297</v>
      </c>
      <c r="H764" t="inlineStr"/>
      <c r="I764" t="inlineStr">
        <is>
          <t>"$"#,##0.00</t>
        </is>
      </c>
      <c r="J764" t="b">
        <v>0</v>
      </c>
      <c r="K764" t="b">
        <v>0</v>
      </c>
      <c r="L764" t="n">
        <v>9</v>
      </c>
      <c r="M764" t="inlineStr">
        <is>
          <t>Values must be of type &lt;class 'str'&gt;</t>
        </is>
      </c>
      <c r="N764" t="inlineStr">
        <is>
          <t>00000000</t>
        </is>
      </c>
      <c r="O764" t="inlineStr">
        <is>
          <t>center</t>
        </is>
      </c>
      <c r="P764" t="inlineStr">
        <is>
          <t>center</t>
        </is>
      </c>
      <c r="R764" t="b">
        <v>1</v>
      </c>
      <c r="S764" t="inlineStr">
        <is>
          <t>G000007</t>
        </is>
      </c>
      <c r="T764" t="inlineStr">
        <is>
          <t>Vertical</t>
        </is>
      </c>
      <c r="U764" t="n">
        <v>120</v>
      </c>
      <c r="V764" t="b">
        <v>1</v>
      </c>
      <c r="W764" t="inlineStr">
        <is>
          <t>Loan calculator!H17:H136</t>
        </is>
      </c>
      <c r="X764">
        <f>IFERROR(IF(LoanIsNotPaid*LoanIsGood,EndingBalance,0), 0)</f>
        <v/>
      </c>
    </row>
    <row r="765">
      <c r="A765" t="inlineStr">
        <is>
          <t>Loan calculator</t>
        </is>
      </c>
      <c r="B765" t="inlineStr">
        <is>
          <t>I80</t>
        </is>
      </c>
      <c r="C765" t="n">
        <v>80</v>
      </c>
      <c r="D765" t="n">
        <v>9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11</v>
      </c>
      <c r="M765" t="inlineStr">
        <is>
          <t>Values must be of type &lt;class 'str'&gt;</t>
        </is>
      </c>
      <c r="N765" t="inlineStr">
        <is>
          <t>Values must be of type &lt;class 'str'&gt;</t>
        </is>
      </c>
      <c r="O765" t="n">
        <v/>
      </c>
      <c r="P765" t="inlineStr">
        <is>
          <t>center</t>
        </is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</row>
    <row r="766">
      <c r="A766" t="inlineStr">
        <is>
          <t>Loan calculator</t>
        </is>
      </c>
      <c r="B766" t="inlineStr">
        <is>
          <t>A81</t>
        </is>
      </c>
      <c r="C766" t="n">
        <v>81</v>
      </c>
      <c r="D766" t="n">
        <v>1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11</v>
      </c>
      <c r="M766" t="inlineStr">
        <is>
          <t>Values must be of type &lt;class 'str'&gt;</t>
        </is>
      </c>
      <c r="N766" t="inlineStr">
        <is>
          <t>Values must be of type &lt;class 'str'&gt;</t>
        </is>
      </c>
      <c r="O766" t="n">
        <v/>
      </c>
      <c r="P766" t="inlineStr">
        <is>
          <t>center</t>
        </is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</row>
    <row r="767">
      <c r="A767" t="inlineStr">
        <is>
          <t>Loan calculator</t>
        </is>
      </c>
      <c r="B767" t="inlineStr">
        <is>
          <t>B81</t>
        </is>
      </c>
      <c r="C767" t="n">
        <v>81</v>
      </c>
      <c r="D767" t="n">
        <v>2</v>
      </c>
      <c r="E767" t="inlineStr">
        <is>
          <t>Output</t>
        </is>
      </c>
      <c r="F767" t="inlineStr">
        <is>
          <t>'=IFERROR(IF(LoanIsNotPaid*LoanIsGood,PaymentNumber,""), "")</t>
        </is>
      </c>
      <c r="G767" t="n">
        <v>65</v>
      </c>
      <c r="H767" t="inlineStr"/>
      <c r="I767" t="inlineStr">
        <is>
          <t>#,##0</t>
        </is>
      </c>
      <c r="J767" t="b">
        <v>0</v>
      </c>
      <c r="K767" t="b">
        <v>0</v>
      </c>
      <c r="L767" t="n">
        <v>9</v>
      </c>
      <c r="M767" t="inlineStr">
        <is>
          <t>Values must be of type &lt;class 'str'&gt;</t>
        </is>
      </c>
      <c r="N767" t="inlineStr">
        <is>
          <t>00000000</t>
        </is>
      </c>
      <c r="O767" t="inlineStr">
        <is>
          <t>center</t>
        </is>
      </c>
      <c r="P767" t="inlineStr">
        <is>
          <t>center</t>
        </is>
      </c>
      <c r="R767" t="b">
        <v>1</v>
      </c>
      <c r="S767" t="inlineStr">
        <is>
          <t>G000001</t>
        </is>
      </c>
      <c r="T767" t="inlineStr">
        <is>
          <t>Vertical</t>
        </is>
      </c>
      <c r="U767" t="n">
        <v>120</v>
      </c>
      <c r="V767" t="b">
        <v>1</v>
      </c>
      <c r="W767" t="inlineStr">
        <is>
          <t>Loan calculator!B17:B136</t>
        </is>
      </c>
      <c r="X767">
        <f>IFERROR(IF(LoanIsNotPaid*LoanIsGood,PaymentNumber,""), "")</f>
        <v/>
      </c>
    </row>
    <row r="768">
      <c r="A768" t="inlineStr">
        <is>
          <t>Loan calculator</t>
        </is>
      </c>
      <c r="B768" t="inlineStr">
        <is>
          <t>C81</t>
        </is>
      </c>
      <c r="C768" t="n">
        <v>81</v>
      </c>
      <c r="D768" t="n">
        <v>3</v>
      </c>
      <c r="E768" t="inlineStr">
        <is>
          <t>Output</t>
        </is>
      </c>
      <c r="F768" t="inlineStr">
        <is>
          <t>'=IFERROR(IF(LoanIsNotPaid*LoanIsGood,PaymentDate,LoanStartDate), LoanStartDate)</t>
        </is>
      </c>
      <c r="G768" s="1" t="n">
        <v>48065</v>
      </c>
      <c r="H768" t="inlineStr"/>
      <c r="I768" t="inlineStr">
        <is>
          <t>mm-dd-yy</t>
        </is>
      </c>
      <c r="J768" t="b">
        <v>0</v>
      </c>
      <c r="K768" t="b">
        <v>0</v>
      </c>
      <c r="L768" t="n">
        <v>9</v>
      </c>
      <c r="M768" t="inlineStr">
        <is>
          <t>Values must be of type &lt;class 'str'&gt;</t>
        </is>
      </c>
      <c r="N768" t="inlineStr">
        <is>
          <t>00000000</t>
        </is>
      </c>
      <c r="O768" t="inlineStr">
        <is>
          <t>center</t>
        </is>
      </c>
      <c r="P768" t="inlineStr">
        <is>
          <t>center</t>
        </is>
      </c>
      <c r="R768" t="b">
        <v>1</v>
      </c>
      <c r="S768" t="inlineStr">
        <is>
          <t>G000002</t>
        </is>
      </c>
      <c r="T768" t="inlineStr">
        <is>
          <t>Vertical</t>
        </is>
      </c>
      <c r="U768" t="n">
        <v>120</v>
      </c>
      <c r="V768" t="b">
        <v>1</v>
      </c>
      <c r="W768" t="inlineStr">
        <is>
          <t>Loan calculator!C17:C136</t>
        </is>
      </c>
      <c r="X768">
        <f>IFERROR(IF(LoanIsNotPaid*LoanIsGood,PaymentDate,LoanStartDate), LoanStartDate)</f>
        <v/>
      </c>
    </row>
    <row r="769">
      <c r="A769" t="inlineStr">
        <is>
          <t>Loan calculator</t>
        </is>
      </c>
      <c r="B769" t="inlineStr">
        <is>
          <t>D81</t>
        </is>
      </c>
      <c r="C769" t="n">
        <v>81</v>
      </c>
      <c r="D769" t="n">
        <v>4</v>
      </c>
      <c r="E769" t="inlineStr">
        <is>
          <t>Output</t>
        </is>
      </c>
      <c r="F769" t="inlineStr">
        <is>
          <t>'=IFERROR(IF(LoanIsNotPaid*LoanIsGood,LoanValue,""), "")</t>
        </is>
      </c>
      <c r="G769" t="n">
        <v>5349.441710609297</v>
      </c>
      <c r="H769" t="inlineStr"/>
      <c r="I769" t="inlineStr">
        <is>
          <t>"$"#,##0.00</t>
        </is>
      </c>
      <c r="J769" t="b">
        <v>0</v>
      </c>
      <c r="K769" t="b">
        <v>0</v>
      </c>
      <c r="L769" t="n">
        <v>9</v>
      </c>
      <c r="M769" t="inlineStr">
        <is>
          <t>Values must be of type &lt;class 'str'&gt;</t>
        </is>
      </c>
      <c r="N769" t="inlineStr">
        <is>
          <t>00000000</t>
        </is>
      </c>
      <c r="O769" t="inlineStr">
        <is>
          <t>center</t>
        </is>
      </c>
      <c r="P769" t="inlineStr">
        <is>
          <t>center</t>
        </is>
      </c>
      <c r="R769" t="b">
        <v>1</v>
      </c>
      <c r="S769" t="inlineStr">
        <is>
          <t>G000003</t>
        </is>
      </c>
      <c r="T769" t="inlineStr">
        <is>
          <t>Vertical</t>
        </is>
      </c>
      <c r="U769" t="n">
        <v>120</v>
      </c>
      <c r="V769" t="b">
        <v>1</v>
      </c>
      <c r="W769" t="inlineStr">
        <is>
          <t>Loan calculator!D17:D136</t>
        </is>
      </c>
      <c r="X769">
        <f>IFERROR(IF(LoanIsNotPaid*LoanIsGood,LoanValue,""), "")</f>
        <v/>
      </c>
    </row>
    <row r="770">
      <c r="A770" t="inlineStr">
        <is>
          <t>Loan calculator</t>
        </is>
      </c>
      <c r="B770" t="inlineStr">
        <is>
          <t>E81</t>
        </is>
      </c>
      <c r="C770" t="n">
        <v>81</v>
      </c>
      <c r="D770" t="n">
        <v>5</v>
      </c>
      <c r="E770" t="inlineStr">
        <is>
          <t>Output</t>
        </is>
      </c>
      <c r="F770" t="inlineStr">
        <is>
          <t>'=IFERROR(IF(LoanIsNotPaid*LoanIsGood,MonthlyPayment,0), 0)</t>
        </is>
      </c>
      <c r="G770" t="n">
        <v>108.5262779604807</v>
      </c>
      <c r="H770" t="inlineStr"/>
      <c r="I770" t="inlineStr">
        <is>
          <t>"$"#,##0.00</t>
        </is>
      </c>
      <c r="J770" t="b">
        <v>0</v>
      </c>
      <c r="K770" t="b">
        <v>0</v>
      </c>
      <c r="L770" t="n">
        <v>9</v>
      </c>
      <c r="M770" t="inlineStr">
        <is>
          <t>Values must be of type &lt;class 'str'&gt;</t>
        </is>
      </c>
      <c r="N770" t="inlineStr">
        <is>
          <t>00000000</t>
        </is>
      </c>
      <c r="O770" t="inlineStr">
        <is>
          <t>center</t>
        </is>
      </c>
      <c r="P770" t="inlineStr">
        <is>
          <t>center</t>
        </is>
      </c>
      <c r="R770" t="b">
        <v>1</v>
      </c>
      <c r="S770" t="inlineStr">
        <is>
          <t>G000004</t>
        </is>
      </c>
      <c r="T770" t="inlineStr">
        <is>
          <t>Vertical</t>
        </is>
      </c>
      <c r="U770" t="n">
        <v>120</v>
      </c>
      <c r="V770" t="b">
        <v>1</v>
      </c>
      <c r="W770" t="inlineStr">
        <is>
          <t>Loan calculator!E17:E136</t>
        </is>
      </c>
      <c r="X770">
        <f>IFERROR(IF(LoanIsNotPaid*LoanIsGood,MonthlyPayment,0), 0)</f>
        <v/>
      </c>
    </row>
    <row r="771">
      <c r="A771" t="inlineStr">
        <is>
          <t>Loan calculator</t>
        </is>
      </c>
      <c r="B771" t="inlineStr">
        <is>
          <t>F81</t>
        </is>
      </c>
      <c r="C771" t="n">
        <v>81</v>
      </c>
      <c r="D771" t="n">
        <v>6</v>
      </c>
      <c r="E771" t="inlineStr">
        <is>
          <t>Output</t>
        </is>
      </c>
      <c r="F771" t="inlineStr">
        <is>
          <t>'=IFERROR(IF(LoanIsNotPaid*LoanIsGood,Principal,0), 0)</t>
        </is>
      </c>
      <c r="G771" t="n">
        <v>84.00800345352141</v>
      </c>
      <c r="H771" t="inlineStr"/>
      <c r="I771" t="inlineStr">
        <is>
          <t>"$"#,##0.00</t>
        </is>
      </c>
      <c r="J771" t="b">
        <v>0</v>
      </c>
      <c r="K771" t="b">
        <v>0</v>
      </c>
      <c r="L771" t="n">
        <v>9</v>
      </c>
      <c r="M771" t="inlineStr">
        <is>
          <t>Values must be of type &lt;class 'str'&gt;</t>
        </is>
      </c>
      <c r="N771" t="inlineStr">
        <is>
          <t>00000000</t>
        </is>
      </c>
      <c r="O771" t="inlineStr">
        <is>
          <t>center</t>
        </is>
      </c>
      <c r="P771" t="inlineStr">
        <is>
          <t>center</t>
        </is>
      </c>
      <c r="R771" t="b">
        <v>1</v>
      </c>
      <c r="S771" t="inlineStr">
        <is>
          <t>G000005</t>
        </is>
      </c>
      <c r="T771" t="inlineStr">
        <is>
          <t>Vertical</t>
        </is>
      </c>
      <c r="U771" t="n">
        <v>120</v>
      </c>
      <c r="V771" t="b">
        <v>1</v>
      </c>
      <c r="W771" t="inlineStr">
        <is>
          <t>Loan calculator!F17:F136</t>
        </is>
      </c>
      <c r="X771">
        <f>IFERROR(IF(LoanIsNotPaid*LoanIsGood,Principal,0), 0)</f>
        <v/>
      </c>
    </row>
    <row r="772">
      <c r="A772" t="inlineStr">
        <is>
          <t>Loan calculator</t>
        </is>
      </c>
      <c r="B772" t="inlineStr">
        <is>
          <t>G81</t>
        </is>
      </c>
      <c r="C772" t="n">
        <v>81</v>
      </c>
      <c r="D772" t="n">
        <v>7</v>
      </c>
      <c r="E772" t="inlineStr">
        <is>
          <t>Output</t>
        </is>
      </c>
      <c r="F772" t="inlineStr">
        <is>
          <t>'=IFERROR(IF(LoanIsNotPaid*LoanIsGood,InterestAmt,0), 0)</t>
        </is>
      </c>
      <c r="G772" t="n">
        <v>24.51827450695932</v>
      </c>
      <c r="H772" t="inlineStr"/>
      <c r="I772" t="inlineStr">
        <is>
          <t>"$"#,##0.00</t>
        </is>
      </c>
      <c r="J772" t="b">
        <v>0</v>
      </c>
      <c r="K772" t="b">
        <v>0</v>
      </c>
      <c r="L772" t="n">
        <v>9</v>
      </c>
      <c r="M772" t="inlineStr">
        <is>
          <t>Values must be of type &lt;class 'str'&gt;</t>
        </is>
      </c>
      <c r="N772" t="inlineStr">
        <is>
          <t>00000000</t>
        </is>
      </c>
      <c r="O772" t="inlineStr">
        <is>
          <t>center</t>
        </is>
      </c>
      <c r="P772" t="inlineStr">
        <is>
          <t>center</t>
        </is>
      </c>
      <c r="R772" t="b">
        <v>1</v>
      </c>
      <c r="S772" t="inlineStr">
        <is>
          <t>G000006</t>
        </is>
      </c>
      <c r="T772" t="inlineStr">
        <is>
          <t>Vertical</t>
        </is>
      </c>
      <c r="U772" t="n">
        <v>120</v>
      </c>
      <c r="V772" t="b">
        <v>1</v>
      </c>
      <c r="W772" t="inlineStr">
        <is>
          <t>Loan calculator!G17:G136</t>
        </is>
      </c>
      <c r="X772">
        <f>IFERROR(IF(LoanIsNotPaid*LoanIsGood,InterestAmt,0), 0)</f>
        <v/>
      </c>
    </row>
    <row r="773">
      <c r="A773" t="inlineStr">
        <is>
          <t>Loan calculator</t>
        </is>
      </c>
      <c r="B773" t="inlineStr">
        <is>
          <t>H81</t>
        </is>
      </c>
      <c r="C773" t="n">
        <v>81</v>
      </c>
      <c r="D773" t="n">
        <v>8</v>
      </c>
      <c r="E773" t="inlineStr">
        <is>
          <t>Output</t>
        </is>
      </c>
      <c r="F773" t="inlineStr">
        <is>
          <t>'=IFERROR(IF(LoanIsNotPaid*LoanIsGood,EndingBalance,0), 0)</t>
        </is>
      </c>
      <c r="G773" t="n">
        <v>5265.433707155773</v>
      </c>
      <c r="H773" t="inlineStr"/>
      <c r="I773" t="inlineStr">
        <is>
          <t>"$"#,##0.00</t>
        </is>
      </c>
      <c r="J773" t="b">
        <v>0</v>
      </c>
      <c r="K773" t="b">
        <v>0</v>
      </c>
      <c r="L773" t="n">
        <v>9</v>
      </c>
      <c r="M773" t="inlineStr">
        <is>
          <t>Values must be of type &lt;class 'str'&gt;</t>
        </is>
      </c>
      <c r="N773" t="inlineStr">
        <is>
          <t>00000000</t>
        </is>
      </c>
      <c r="O773" t="inlineStr">
        <is>
          <t>center</t>
        </is>
      </c>
      <c r="P773" t="inlineStr">
        <is>
          <t>center</t>
        </is>
      </c>
      <c r="R773" t="b">
        <v>1</v>
      </c>
      <c r="S773" t="inlineStr">
        <is>
          <t>G000007</t>
        </is>
      </c>
      <c r="T773" t="inlineStr">
        <is>
          <t>Vertical</t>
        </is>
      </c>
      <c r="U773" t="n">
        <v>120</v>
      </c>
      <c r="V773" t="b">
        <v>1</v>
      </c>
      <c r="W773" t="inlineStr">
        <is>
          <t>Loan calculator!H17:H136</t>
        </is>
      </c>
      <c r="X773">
        <f>IFERROR(IF(LoanIsNotPaid*LoanIsGood,EndingBalance,0), 0)</f>
        <v/>
      </c>
    </row>
    <row r="774">
      <c r="A774" t="inlineStr">
        <is>
          <t>Loan calculator</t>
        </is>
      </c>
      <c r="B774" t="inlineStr">
        <is>
          <t>I81</t>
        </is>
      </c>
      <c r="C774" t="n">
        <v>81</v>
      </c>
      <c r="D774" t="n">
        <v>9</v>
      </c>
      <c r="E774" t="inlineStr">
        <is>
          <t>Input</t>
        </is>
      </c>
      <c r="F774" t="n">
        <v/>
      </c>
      <c r="H774" t="inlineStr"/>
      <c r="I774" t="inlineStr">
        <is>
          <t>General</t>
        </is>
      </c>
      <c r="J774" t="b">
        <v>0</v>
      </c>
      <c r="K774" t="b">
        <v>0</v>
      </c>
      <c r="L774" t="n">
        <v>11</v>
      </c>
      <c r="M774" t="inlineStr">
        <is>
          <t>Values must be of type &lt;class 'str'&gt;</t>
        </is>
      </c>
      <c r="N774" t="inlineStr">
        <is>
          <t>Values must be of type &lt;class 'str'&gt;</t>
        </is>
      </c>
      <c r="O774" t="n">
        <v/>
      </c>
      <c r="P774" t="inlineStr">
        <is>
          <t>center</t>
        </is>
      </c>
      <c r="R774" t="b">
        <v>0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</row>
    <row r="775">
      <c r="A775" t="inlineStr">
        <is>
          <t>Loan calculator</t>
        </is>
      </c>
      <c r="B775" t="inlineStr">
        <is>
          <t>A82</t>
        </is>
      </c>
      <c r="C775" t="n">
        <v>82</v>
      </c>
      <c r="D775" t="n">
        <v>1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11</v>
      </c>
      <c r="M775" t="inlineStr">
        <is>
          <t>Values must be of type &lt;class 'str'&gt;</t>
        </is>
      </c>
      <c r="N775" t="inlineStr">
        <is>
          <t>Values must be of type &lt;class 'str'&gt;</t>
        </is>
      </c>
      <c r="O775" t="n">
        <v/>
      </c>
      <c r="P775" t="inlineStr">
        <is>
          <t>center</t>
        </is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</row>
    <row r="776">
      <c r="A776" t="inlineStr">
        <is>
          <t>Loan calculator</t>
        </is>
      </c>
      <c r="B776" t="inlineStr">
        <is>
          <t>B82</t>
        </is>
      </c>
      <c r="C776" t="n">
        <v>82</v>
      </c>
      <c r="D776" t="n">
        <v>2</v>
      </c>
      <c r="E776" t="inlineStr">
        <is>
          <t>Output</t>
        </is>
      </c>
      <c r="F776" t="inlineStr">
        <is>
          <t>'=IFERROR(IF(LoanIsNotPaid*LoanIsGood,PaymentNumber,""), "")</t>
        </is>
      </c>
      <c r="G776" t="n">
        <v>66</v>
      </c>
      <c r="H776" t="inlineStr"/>
      <c r="I776" t="inlineStr">
        <is>
          <t>#,##0</t>
        </is>
      </c>
      <c r="J776" t="b">
        <v>0</v>
      </c>
      <c r="K776" t="b">
        <v>0</v>
      </c>
      <c r="L776" t="n">
        <v>9</v>
      </c>
      <c r="M776" t="inlineStr">
        <is>
          <t>Values must be of type &lt;class 'str'&gt;</t>
        </is>
      </c>
      <c r="N776" t="inlineStr">
        <is>
          <t>00000000</t>
        </is>
      </c>
      <c r="O776" t="inlineStr">
        <is>
          <t>center</t>
        </is>
      </c>
      <c r="P776" t="inlineStr">
        <is>
          <t>center</t>
        </is>
      </c>
      <c r="R776" t="b">
        <v>1</v>
      </c>
      <c r="S776" t="inlineStr">
        <is>
          <t>G000001</t>
        </is>
      </c>
      <c r="T776" t="inlineStr">
        <is>
          <t>Vertical</t>
        </is>
      </c>
      <c r="U776" t="n">
        <v>120</v>
      </c>
      <c r="V776" t="b">
        <v>1</v>
      </c>
      <c r="W776" t="inlineStr">
        <is>
          <t>Loan calculator!B17:B136</t>
        </is>
      </c>
      <c r="X776">
        <f>IFERROR(IF(LoanIsNotPaid*LoanIsGood,PaymentNumber,""), "")</f>
        <v/>
      </c>
    </row>
    <row r="777">
      <c r="A777" t="inlineStr">
        <is>
          <t>Loan calculator</t>
        </is>
      </c>
      <c r="B777" t="inlineStr">
        <is>
          <t>C82</t>
        </is>
      </c>
      <c r="C777" t="n">
        <v>82</v>
      </c>
      <c r="D777" t="n">
        <v>3</v>
      </c>
      <c r="E777" t="inlineStr">
        <is>
          <t>Output</t>
        </is>
      </c>
      <c r="F777" t="inlineStr">
        <is>
          <t>'=IFERROR(IF(LoanIsNotPaid*LoanIsGood,PaymentDate,LoanStartDate), LoanStartDate)</t>
        </is>
      </c>
      <c r="G777" s="1" t="n">
        <v>48096</v>
      </c>
      <c r="H777" t="inlineStr"/>
      <c r="I777" t="inlineStr">
        <is>
          <t>mm-dd-yy</t>
        </is>
      </c>
      <c r="J777" t="b">
        <v>0</v>
      </c>
      <c r="K777" t="b">
        <v>0</v>
      </c>
      <c r="L777" t="n">
        <v>9</v>
      </c>
      <c r="M777" t="inlineStr">
        <is>
          <t>Values must be of type &lt;class 'str'&gt;</t>
        </is>
      </c>
      <c r="N777" t="inlineStr">
        <is>
          <t>00000000</t>
        </is>
      </c>
      <c r="O777" t="inlineStr">
        <is>
          <t>center</t>
        </is>
      </c>
      <c r="P777" t="inlineStr">
        <is>
          <t>center</t>
        </is>
      </c>
      <c r="R777" t="b">
        <v>1</v>
      </c>
      <c r="S777" t="inlineStr">
        <is>
          <t>G000002</t>
        </is>
      </c>
      <c r="T777" t="inlineStr">
        <is>
          <t>Vertical</t>
        </is>
      </c>
      <c r="U777" t="n">
        <v>120</v>
      </c>
      <c r="V777" t="b">
        <v>1</v>
      </c>
      <c r="W777" t="inlineStr">
        <is>
          <t>Loan calculator!C17:C136</t>
        </is>
      </c>
      <c r="X777">
        <f>IFERROR(IF(LoanIsNotPaid*LoanIsGood,PaymentDate,LoanStartDate), LoanStartDate)</f>
        <v/>
      </c>
    </row>
    <row r="778">
      <c r="A778" t="inlineStr">
        <is>
          <t>Loan calculator</t>
        </is>
      </c>
      <c r="B778" t="inlineStr">
        <is>
          <t>D82</t>
        </is>
      </c>
      <c r="C778" t="n">
        <v>82</v>
      </c>
      <c r="D778" t="n">
        <v>4</v>
      </c>
      <c r="E778" t="inlineStr">
        <is>
          <t>Output</t>
        </is>
      </c>
      <c r="F778" t="inlineStr">
        <is>
          <t>'=IFERROR(IF(LoanIsNotPaid*LoanIsGood,LoanValue,""), "")</t>
        </is>
      </c>
      <c r="G778" t="n">
        <v>5265.433707155773</v>
      </c>
      <c r="H778" t="inlineStr"/>
      <c r="I778" t="inlineStr">
        <is>
          <t>"$"#,##0.00</t>
        </is>
      </c>
      <c r="J778" t="b">
        <v>0</v>
      </c>
      <c r="K778" t="b">
        <v>0</v>
      </c>
      <c r="L778" t="n">
        <v>9</v>
      </c>
      <c r="M778" t="inlineStr">
        <is>
          <t>Values must be of type &lt;class 'str'&gt;</t>
        </is>
      </c>
      <c r="N778" t="inlineStr">
        <is>
          <t>00000000</t>
        </is>
      </c>
      <c r="O778" t="inlineStr">
        <is>
          <t>center</t>
        </is>
      </c>
      <c r="P778" t="inlineStr">
        <is>
          <t>center</t>
        </is>
      </c>
      <c r="R778" t="b">
        <v>1</v>
      </c>
      <c r="S778" t="inlineStr">
        <is>
          <t>G000003</t>
        </is>
      </c>
      <c r="T778" t="inlineStr">
        <is>
          <t>Vertical</t>
        </is>
      </c>
      <c r="U778" t="n">
        <v>120</v>
      </c>
      <c r="V778" t="b">
        <v>1</v>
      </c>
      <c r="W778" t="inlineStr">
        <is>
          <t>Loan calculator!D17:D136</t>
        </is>
      </c>
      <c r="X778">
        <f>IFERROR(IF(LoanIsNotPaid*LoanIsGood,LoanValue,""), "")</f>
        <v/>
      </c>
    </row>
    <row r="779">
      <c r="A779" t="inlineStr">
        <is>
          <t>Loan calculator</t>
        </is>
      </c>
      <c r="B779" t="inlineStr">
        <is>
          <t>E82</t>
        </is>
      </c>
      <c r="C779" t="n">
        <v>82</v>
      </c>
      <c r="D779" t="n">
        <v>5</v>
      </c>
      <c r="E779" t="inlineStr">
        <is>
          <t>Output</t>
        </is>
      </c>
      <c r="F779" t="inlineStr">
        <is>
          <t>'=IFERROR(IF(LoanIsNotPaid*LoanIsGood,MonthlyPayment,0), 0)</t>
        </is>
      </c>
      <c r="G779" t="n">
        <v>108.5262779604807</v>
      </c>
      <c r="H779" t="inlineStr"/>
      <c r="I779" t="inlineStr">
        <is>
          <t>"$"#,##0.00</t>
        </is>
      </c>
      <c r="J779" t="b">
        <v>0</v>
      </c>
      <c r="K779" t="b">
        <v>0</v>
      </c>
      <c r="L779" t="n">
        <v>9</v>
      </c>
      <c r="M779" t="inlineStr">
        <is>
          <t>Values must be of type &lt;class 'str'&gt;</t>
        </is>
      </c>
      <c r="N779" t="inlineStr">
        <is>
          <t>00000000</t>
        </is>
      </c>
      <c r="O779" t="inlineStr">
        <is>
          <t>center</t>
        </is>
      </c>
      <c r="P779" t="inlineStr">
        <is>
          <t>center</t>
        </is>
      </c>
      <c r="R779" t="b">
        <v>1</v>
      </c>
      <c r="S779" t="inlineStr">
        <is>
          <t>G000004</t>
        </is>
      </c>
      <c r="T779" t="inlineStr">
        <is>
          <t>Vertical</t>
        </is>
      </c>
      <c r="U779" t="n">
        <v>120</v>
      </c>
      <c r="V779" t="b">
        <v>1</v>
      </c>
      <c r="W779" t="inlineStr">
        <is>
          <t>Loan calculator!E17:E136</t>
        </is>
      </c>
      <c r="X779">
        <f>IFERROR(IF(LoanIsNotPaid*LoanIsGood,MonthlyPayment,0), 0)</f>
        <v/>
      </c>
    </row>
    <row r="780">
      <c r="A780" t="inlineStr">
        <is>
          <t>Loan calculator</t>
        </is>
      </c>
      <c r="B780" t="inlineStr">
        <is>
          <t>F82</t>
        </is>
      </c>
      <c r="C780" t="n">
        <v>82</v>
      </c>
      <c r="D780" t="n">
        <v>6</v>
      </c>
      <c r="E780" t="inlineStr">
        <is>
          <t>Output</t>
        </is>
      </c>
      <c r="F780" t="inlineStr">
        <is>
          <t>'=IFERROR(IF(LoanIsNotPaid*LoanIsGood,Principal,0), 0)</t>
        </is>
      </c>
      <c r="G780" t="n">
        <v>84.39304013601671</v>
      </c>
      <c r="H780" t="inlineStr"/>
      <c r="I780" t="inlineStr">
        <is>
          <t>"$"#,##0.00</t>
        </is>
      </c>
      <c r="J780" t="b">
        <v>0</v>
      </c>
      <c r="K780" t="b">
        <v>0</v>
      </c>
      <c r="L780" t="n">
        <v>9</v>
      </c>
      <c r="M780" t="inlineStr">
        <is>
          <t>Values must be of type &lt;class 'str'&gt;</t>
        </is>
      </c>
      <c r="N780" t="inlineStr">
        <is>
          <t>00000000</t>
        </is>
      </c>
      <c r="O780" t="inlineStr">
        <is>
          <t>center</t>
        </is>
      </c>
      <c r="P780" t="inlineStr">
        <is>
          <t>center</t>
        </is>
      </c>
      <c r="R780" t="b">
        <v>1</v>
      </c>
      <c r="S780" t="inlineStr">
        <is>
          <t>G000005</t>
        </is>
      </c>
      <c r="T780" t="inlineStr">
        <is>
          <t>Vertical</t>
        </is>
      </c>
      <c r="U780" t="n">
        <v>120</v>
      </c>
      <c r="V780" t="b">
        <v>1</v>
      </c>
      <c r="W780" t="inlineStr">
        <is>
          <t>Loan calculator!F17:F136</t>
        </is>
      </c>
      <c r="X780">
        <f>IFERROR(IF(LoanIsNotPaid*LoanIsGood,Principal,0), 0)</f>
        <v/>
      </c>
    </row>
    <row r="781">
      <c r="A781" t="inlineStr">
        <is>
          <t>Loan calculator</t>
        </is>
      </c>
      <c r="B781" t="inlineStr">
        <is>
          <t>G82</t>
        </is>
      </c>
      <c r="C781" t="n">
        <v>82</v>
      </c>
      <c r="D781" t="n">
        <v>7</v>
      </c>
      <c r="E781" t="inlineStr">
        <is>
          <t>Output</t>
        </is>
      </c>
      <c r="F781" t="inlineStr">
        <is>
          <t>'=IFERROR(IF(LoanIsNotPaid*LoanIsGood,InterestAmt,0), 0)</t>
        </is>
      </c>
      <c r="G781" t="n">
        <v>24.13323782446401</v>
      </c>
      <c r="H781" t="inlineStr"/>
      <c r="I781" t="inlineStr">
        <is>
          <t>"$"#,##0.00</t>
        </is>
      </c>
      <c r="J781" t="b">
        <v>0</v>
      </c>
      <c r="K781" t="b">
        <v>0</v>
      </c>
      <c r="L781" t="n">
        <v>9</v>
      </c>
      <c r="M781" t="inlineStr">
        <is>
          <t>Values must be of type &lt;class 'str'&gt;</t>
        </is>
      </c>
      <c r="N781" t="inlineStr">
        <is>
          <t>00000000</t>
        </is>
      </c>
      <c r="O781" t="inlineStr">
        <is>
          <t>center</t>
        </is>
      </c>
      <c r="P781" t="inlineStr">
        <is>
          <t>center</t>
        </is>
      </c>
      <c r="R781" t="b">
        <v>1</v>
      </c>
      <c r="S781" t="inlineStr">
        <is>
          <t>G000006</t>
        </is>
      </c>
      <c r="T781" t="inlineStr">
        <is>
          <t>Vertical</t>
        </is>
      </c>
      <c r="U781" t="n">
        <v>120</v>
      </c>
      <c r="V781" t="b">
        <v>1</v>
      </c>
      <c r="W781" t="inlineStr">
        <is>
          <t>Loan calculator!G17:G136</t>
        </is>
      </c>
      <c r="X781">
        <f>IFERROR(IF(LoanIsNotPaid*LoanIsGood,InterestAmt,0), 0)</f>
        <v/>
      </c>
    </row>
    <row r="782">
      <c r="A782" t="inlineStr">
        <is>
          <t>Loan calculator</t>
        </is>
      </c>
      <c r="B782" t="inlineStr">
        <is>
          <t>H82</t>
        </is>
      </c>
      <c r="C782" t="n">
        <v>82</v>
      </c>
      <c r="D782" t="n">
        <v>8</v>
      </c>
      <c r="E782" t="inlineStr">
        <is>
          <t>Output</t>
        </is>
      </c>
      <c r="F782" t="inlineStr">
        <is>
          <t>'=IFERROR(IF(LoanIsNotPaid*LoanIsGood,EndingBalance,0), 0)</t>
        </is>
      </c>
      <c r="G782" t="n">
        <v>5181.040667019757</v>
      </c>
      <c r="H782" t="inlineStr"/>
      <c r="I782" t="inlineStr">
        <is>
          <t>"$"#,##0.00</t>
        </is>
      </c>
      <c r="J782" t="b">
        <v>0</v>
      </c>
      <c r="K782" t="b">
        <v>0</v>
      </c>
      <c r="L782" t="n">
        <v>9</v>
      </c>
      <c r="M782" t="inlineStr">
        <is>
          <t>Values must be of type &lt;class 'str'&gt;</t>
        </is>
      </c>
      <c r="N782" t="inlineStr">
        <is>
          <t>00000000</t>
        </is>
      </c>
      <c r="O782" t="inlineStr">
        <is>
          <t>center</t>
        </is>
      </c>
      <c r="P782" t="inlineStr">
        <is>
          <t>center</t>
        </is>
      </c>
      <c r="R782" t="b">
        <v>1</v>
      </c>
      <c r="S782" t="inlineStr">
        <is>
          <t>G000007</t>
        </is>
      </c>
      <c r="T782" t="inlineStr">
        <is>
          <t>Vertical</t>
        </is>
      </c>
      <c r="U782" t="n">
        <v>120</v>
      </c>
      <c r="V782" t="b">
        <v>1</v>
      </c>
      <c r="W782" t="inlineStr">
        <is>
          <t>Loan calculator!H17:H136</t>
        </is>
      </c>
      <c r="X782">
        <f>IFERROR(IF(LoanIsNotPaid*LoanIsGood,EndingBalance,0), 0)</f>
        <v/>
      </c>
    </row>
    <row r="783">
      <c r="A783" t="inlineStr">
        <is>
          <t>Loan calculator</t>
        </is>
      </c>
      <c r="B783" t="inlineStr">
        <is>
          <t>I82</t>
        </is>
      </c>
      <c r="C783" t="n">
        <v>82</v>
      </c>
      <c r="D783" t="n">
        <v>9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11</v>
      </c>
      <c r="M783" t="inlineStr">
        <is>
          <t>Values must be of type &lt;class 'str'&gt;</t>
        </is>
      </c>
      <c r="N783" t="inlineStr">
        <is>
          <t>Values must be of type &lt;class 'str'&gt;</t>
        </is>
      </c>
      <c r="O783" t="n">
        <v/>
      </c>
      <c r="P783" t="inlineStr">
        <is>
          <t>center</t>
        </is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</row>
    <row r="784">
      <c r="A784" t="inlineStr">
        <is>
          <t>Loan calculator</t>
        </is>
      </c>
      <c r="B784" t="inlineStr">
        <is>
          <t>A83</t>
        </is>
      </c>
      <c r="C784" t="n">
        <v>83</v>
      </c>
      <c r="D784" t="n">
        <v>1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11</v>
      </c>
      <c r="M784" t="inlineStr">
        <is>
          <t>Values must be of type &lt;class 'str'&gt;</t>
        </is>
      </c>
      <c r="N784" t="inlineStr">
        <is>
          <t>Values must be of type &lt;class 'str'&gt;</t>
        </is>
      </c>
      <c r="O784" t="n">
        <v/>
      </c>
      <c r="P784" t="inlineStr">
        <is>
          <t>center</t>
        </is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</row>
    <row r="785">
      <c r="A785" t="inlineStr">
        <is>
          <t>Loan calculator</t>
        </is>
      </c>
      <c r="B785" t="inlineStr">
        <is>
          <t>B83</t>
        </is>
      </c>
      <c r="C785" t="n">
        <v>83</v>
      </c>
      <c r="D785" t="n">
        <v>2</v>
      </c>
      <c r="E785" t="inlineStr">
        <is>
          <t>Output</t>
        </is>
      </c>
      <c r="F785" t="inlineStr">
        <is>
          <t>'=IFERROR(IF(LoanIsNotPaid*LoanIsGood,PaymentNumber,""), "")</t>
        </is>
      </c>
      <c r="G785" t="n">
        <v>67</v>
      </c>
      <c r="H785" t="inlineStr"/>
      <c r="I785" t="inlineStr">
        <is>
          <t>#,##0</t>
        </is>
      </c>
      <c r="J785" t="b">
        <v>0</v>
      </c>
      <c r="K785" t="b">
        <v>0</v>
      </c>
      <c r="L785" t="n">
        <v>9</v>
      </c>
      <c r="M785" t="inlineStr">
        <is>
          <t>Values must be of type &lt;class 'str'&gt;</t>
        </is>
      </c>
      <c r="N785" t="inlineStr">
        <is>
          <t>00000000</t>
        </is>
      </c>
      <c r="O785" t="inlineStr">
        <is>
          <t>center</t>
        </is>
      </c>
      <c r="P785" t="inlineStr">
        <is>
          <t>center</t>
        </is>
      </c>
      <c r="R785" t="b">
        <v>1</v>
      </c>
      <c r="S785" t="inlineStr">
        <is>
          <t>G000001</t>
        </is>
      </c>
      <c r="T785" t="inlineStr">
        <is>
          <t>Vertical</t>
        </is>
      </c>
      <c r="U785" t="n">
        <v>120</v>
      </c>
      <c r="V785" t="b">
        <v>1</v>
      </c>
      <c r="W785" t="inlineStr">
        <is>
          <t>Loan calculator!B17:B136</t>
        </is>
      </c>
      <c r="X785">
        <f>IFERROR(IF(LoanIsNotPaid*LoanIsGood,PaymentNumber,""), "")</f>
        <v/>
      </c>
    </row>
    <row r="786">
      <c r="A786" t="inlineStr">
        <is>
          <t>Loan calculator</t>
        </is>
      </c>
      <c r="B786" t="inlineStr">
        <is>
          <t>C83</t>
        </is>
      </c>
      <c r="C786" t="n">
        <v>83</v>
      </c>
      <c r="D786" t="n">
        <v>3</v>
      </c>
      <c r="E786" t="inlineStr">
        <is>
          <t>Output</t>
        </is>
      </c>
      <c r="F786" t="inlineStr">
        <is>
          <t>'=IFERROR(IF(LoanIsNotPaid*LoanIsGood,PaymentDate,LoanStartDate), LoanStartDate)</t>
        </is>
      </c>
      <c r="G786" s="1" t="n">
        <v>48126</v>
      </c>
      <c r="H786" t="inlineStr"/>
      <c r="I786" t="inlineStr">
        <is>
          <t>mm-dd-yy</t>
        </is>
      </c>
      <c r="J786" t="b">
        <v>0</v>
      </c>
      <c r="K786" t="b">
        <v>0</v>
      </c>
      <c r="L786" t="n">
        <v>9</v>
      </c>
      <c r="M786" t="inlineStr">
        <is>
          <t>Values must be of type &lt;class 'str'&gt;</t>
        </is>
      </c>
      <c r="N786" t="inlineStr">
        <is>
          <t>00000000</t>
        </is>
      </c>
      <c r="O786" t="inlineStr">
        <is>
          <t>center</t>
        </is>
      </c>
      <c r="P786" t="inlineStr">
        <is>
          <t>center</t>
        </is>
      </c>
      <c r="R786" t="b">
        <v>1</v>
      </c>
      <c r="S786" t="inlineStr">
        <is>
          <t>G000002</t>
        </is>
      </c>
      <c r="T786" t="inlineStr">
        <is>
          <t>Vertical</t>
        </is>
      </c>
      <c r="U786" t="n">
        <v>120</v>
      </c>
      <c r="V786" t="b">
        <v>1</v>
      </c>
      <c r="W786" t="inlineStr">
        <is>
          <t>Loan calculator!C17:C136</t>
        </is>
      </c>
      <c r="X786">
        <f>IFERROR(IF(LoanIsNotPaid*LoanIsGood,PaymentDate,LoanStartDate), LoanStartDate)</f>
        <v/>
      </c>
    </row>
    <row r="787">
      <c r="A787" t="inlineStr">
        <is>
          <t>Loan calculator</t>
        </is>
      </c>
      <c r="B787" t="inlineStr">
        <is>
          <t>D83</t>
        </is>
      </c>
      <c r="C787" t="n">
        <v>83</v>
      </c>
      <c r="D787" t="n">
        <v>4</v>
      </c>
      <c r="E787" t="inlineStr">
        <is>
          <t>Output</t>
        </is>
      </c>
      <c r="F787" t="inlineStr">
        <is>
          <t>'=IFERROR(IF(LoanIsNotPaid*LoanIsGood,LoanValue,""), "")</t>
        </is>
      </c>
      <c r="G787" t="n">
        <v>5181.040667019757</v>
      </c>
      <c r="H787" t="inlineStr"/>
      <c r="I787" t="inlineStr">
        <is>
          <t>"$"#,##0.00</t>
        </is>
      </c>
      <c r="J787" t="b">
        <v>0</v>
      </c>
      <c r="K787" t="b">
        <v>0</v>
      </c>
      <c r="L787" t="n">
        <v>9</v>
      </c>
      <c r="M787" t="inlineStr">
        <is>
          <t>Values must be of type &lt;class 'str'&gt;</t>
        </is>
      </c>
      <c r="N787" t="inlineStr">
        <is>
          <t>00000000</t>
        </is>
      </c>
      <c r="O787" t="inlineStr">
        <is>
          <t>center</t>
        </is>
      </c>
      <c r="P787" t="inlineStr">
        <is>
          <t>center</t>
        </is>
      </c>
      <c r="R787" t="b">
        <v>1</v>
      </c>
      <c r="S787" t="inlineStr">
        <is>
          <t>G000003</t>
        </is>
      </c>
      <c r="T787" t="inlineStr">
        <is>
          <t>Vertical</t>
        </is>
      </c>
      <c r="U787" t="n">
        <v>120</v>
      </c>
      <c r="V787" t="b">
        <v>1</v>
      </c>
      <c r="W787" t="inlineStr">
        <is>
          <t>Loan calculator!D17:D136</t>
        </is>
      </c>
      <c r="X787">
        <f>IFERROR(IF(LoanIsNotPaid*LoanIsGood,LoanValue,""), "")</f>
        <v/>
      </c>
    </row>
    <row r="788">
      <c r="A788" t="inlineStr">
        <is>
          <t>Loan calculator</t>
        </is>
      </c>
      <c r="B788" t="inlineStr">
        <is>
          <t>E83</t>
        </is>
      </c>
      <c r="C788" t="n">
        <v>83</v>
      </c>
      <c r="D788" t="n">
        <v>5</v>
      </c>
      <c r="E788" t="inlineStr">
        <is>
          <t>Output</t>
        </is>
      </c>
      <c r="F788" t="inlineStr">
        <is>
          <t>'=IFERROR(IF(LoanIsNotPaid*LoanIsGood,MonthlyPayment,0), 0)</t>
        </is>
      </c>
      <c r="G788" t="n">
        <v>108.5262779604807</v>
      </c>
      <c r="H788" t="inlineStr"/>
      <c r="I788" t="inlineStr">
        <is>
          <t>"$"#,##0.00</t>
        </is>
      </c>
      <c r="J788" t="b">
        <v>0</v>
      </c>
      <c r="K788" t="b">
        <v>0</v>
      </c>
      <c r="L788" t="n">
        <v>9</v>
      </c>
      <c r="M788" t="inlineStr">
        <is>
          <t>Values must be of type &lt;class 'str'&gt;</t>
        </is>
      </c>
      <c r="N788" t="inlineStr">
        <is>
          <t>00000000</t>
        </is>
      </c>
      <c r="O788" t="inlineStr">
        <is>
          <t>center</t>
        </is>
      </c>
      <c r="P788" t="inlineStr">
        <is>
          <t>center</t>
        </is>
      </c>
      <c r="R788" t="b">
        <v>1</v>
      </c>
      <c r="S788" t="inlineStr">
        <is>
          <t>G000004</t>
        </is>
      </c>
      <c r="T788" t="inlineStr">
        <is>
          <t>Vertical</t>
        </is>
      </c>
      <c r="U788" t="n">
        <v>120</v>
      </c>
      <c r="V788" t="b">
        <v>1</v>
      </c>
      <c r="W788" t="inlineStr">
        <is>
          <t>Loan calculator!E17:E136</t>
        </is>
      </c>
      <c r="X788">
        <f>IFERROR(IF(LoanIsNotPaid*LoanIsGood,MonthlyPayment,0), 0)</f>
        <v/>
      </c>
    </row>
    <row r="789">
      <c r="A789" t="inlineStr">
        <is>
          <t>Loan calculator</t>
        </is>
      </c>
      <c r="B789" t="inlineStr">
        <is>
          <t>F83</t>
        </is>
      </c>
      <c r="C789" t="n">
        <v>83</v>
      </c>
      <c r="D789" t="n">
        <v>6</v>
      </c>
      <c r="E789" t="inlineStr">
        <is>
          <t>Output</t>
        </is>
      </c>
      <c r="F789" t="inlineStr">
        <is>
          <t>'=IFERROR(IF(LoanIsNotPaid*LoanIsGood,Principal,0), 0)</t>
        </is>
      </c>
      <c r="G789" t="n">
        <v>84.77984156997344</v>
      </c>
      <c r="H789" t="inlineStr"/>
      <c r="I789" t="inlineStr">
        <is>
          <t>"$"#,##0.00</t>
        </is>
      </c>
      <c r="J789" t="b">
        <v>0</v>
      </c>
      <c r="K789" t="b">
        <v>0</v>
      </c>
      <c r="L789" t="n">
        <v>9</v>
      </c>
      <c r="M789" t="inlineStr">
        <is>
          <t>Values must be of type &lt;class 'str'&gt;</t>
        </is>
      </c>
      <c r="N789" t="inlineStr">
        <is>
          <t>00000000</t>
        </is>
      </c>
      <c r="O789" t="inlineStr">
        <is>
          <t>center</t>
        </is>
      </c>
      <c r="P789" t="inlineStr">
        <is>
          <t>center</t>
        </is>
      </c>
      <c r="R789" t="b">
        <v>1</v>
      </c>
      <c r="S789" t="inlineStr">
        <is>
          <t>G000005</t>
        </is>
      </c>
      <c r="T789" t="inlineStr">
        <is>
          <t>Vertical</t>
        </is>
      </c>
      <c r="U789" t="n">
        <v>120</v>
      </c>
      <c r="V789" t="b">
        <v>1</v>
      </c>
      <c r="W789" t="inlineStr">
        <is>
          <t>Loan calculator!F17:F136</t>
        </is>
      </c>
      <c r="X789">
        <f>IFERROR(IF(LoanIsNotPaid*LoanIsGood,Principal,0), 0)</f>
        <v/>
      </c>
    </row>
    <row r="790">
      <c r="A790" t="inlineStr">
        <is>
          <t>Loan calculator</t>
        </is>
      </c>
      <c r="B790" t="inlineStr">
        <is>
          <t>G83</t>
        </is>
      </c>
      <c r="C790" t="n">
        <v>83</v>
      </c>
      <c r="D790" t="n">
        <v>7</v>
      </c>
      <c r="E790" t="inlineStr">
        <is>
          <t>Output</t>
        </is>
      </c>
      <c r="F790" t="inlineStr">
        <is>
          <t>'=IFERROR(IF(LoanIsNotPaid*LoanIsGood,InterestAmt,0), 0)</t>
        </is>
      </c>
      <c r="G790" t="n">
        <v>23.74643639050727</v>
      </c>
      <c r="H790" t="inlineStr"/>
      <c r="I790" t="inlineStr">
        <is>
          <t>"$"#,##0.00</t>
        </is>
      </c>
      <c r="J790" t="b">
        <v>0</v>
      </c>
      <c r="K790" t="b">
        <v>0</v>
      </c>
      <c r="L790" t="n">
        <v>9</v>
      </c>
      <c r="M790" t="inlineStr">
        <is>
          <t>Values must be of type &lt;class 'str'&gt;</t>
        </is>
      </c>
      <c r="N790" t="inlineStr">
        <is>
          <t>00000000</t>
        </is>
      </c>
      <c r="O790" t="inlineStr">
        <is>
          <t>center</t>
        </is>
      </c>
      <c r="P790" t="inlineStr">
        <is>
          <t>center</t>
        </is>
      </c>
      <c r="R790" t="b">
        <v>1</v>
      </c>
      <c r="S790" t="inlineStr">
        <is>
          <t>G000006</t>
        </is>
      </c>
      <c r="T790" t="inlineStr">
        <is>
          <t>Vertical</t>
        </is>
      </c>
      <c r="U790" t="n">
        <v>120</v>
      </c>
      <c r="V790" t="b">
        <v>1</v>
      </c>
      <c r="W790" t="inlineStr">
        <is>
          <t>Loan calculator!G17:G136</t>
        </is>
      </c>
      <c r="X790">
        <f>IFERROR(IF(LoanIsNotPaid*LoanIsGood,InterestAmt,0), 0)</f>
        <v/>
      </c>
    </row>
    <row r="791">
      <c r="A791" t="inlineStr">
        <is>
          <t>Loan calculator</t>
        </is>
      </c>
      <c r="B791" t="inlineStr">
        <is>
          <t>H83</t>
        </is>
      </c>
      <c r="C791" t="n">
        <v>83</v>
      </c>
      <c r="D791" t="n">
        <v>8</v>
      </c>
      <c r="E791" t="inlineStr">
        <is>
          <t>Output</t>
        </is>
      </c>
      <c r="F791" t="inlineStr">
        <is>
          <t>'=IFERROR(IF(LoanIsNotPaid*LoanIsGood,EndingBalance,0), 0)</t>
        </is>
      </c>
      <c r="G791" t="n">
        <v>5096.260825449785</v>
      </c>
      <c r="H791" t="inlineStr"/>
      <c r="I791" t="inlineStr">
        <is>
          <t>"$"#,##0.00</t>
        </is>
      </c>
      <c r="J791" t="b">
        <v>0</v>
      </c>
      <c r="K791" t="b">
        <v>0</v>
      </c>
      <c r="L791" t="n">
        <v>9</v>
      </c>
      <c r="M791" t="inlineStr">
        <is>
          <t>Values must be of type &lt;class 'str'&gt;</t>
        </is>
      </c>
      <c r="N791" t="inlineStr">
        <is>
          <t>00000000</t>
        </is>
      </c>
      <c r="O791" t="inlineStr">
        <is>
          <t>center</t>
        </is>
      </c>
      <c r="P791" t="inlineStr">
        <is>
          <t>center</t>
        </is>
      </c>
      <c r="R791" t="b">
        <v>1</v>
      </c>
      <c r="S791" t="inlineStr">
        <is>
          <t>G000007</t>
        </is>
      </c>
      <c r="T791" t="inlineStr">
        <is>
          <t>Vertical</t>
        </is>
      </c>
      <c r="U791" t="n">
        <v>120</v>
      </c>
      <c r="V791" t="b">
        <v>1</v>
      </c>
      <c r="W791" t="inlineStr">
        <is>
          <t>Loan calculator!H17:H136</t>
        </is>
      </c>
      <c r="X791">
        <f>IFERROR(IF(LoanIsNotPaid*LoanIsGood,EndingBalance,0), 0)</f>
        <v/>
      </c>
    </row>
    <row r="792">
      <c r="A792" t="inlineStr">
        <is>
          <t>Loan calculator</t>
        </is>
      </c>
      <c r="B792" t="inlineStr">
        <is>
          <t>I83</t>
        </is>
      </c>
      <c r="C792" t="n">
        <v>83</v>
      </c>
      <c r="D792" t="n">
        <v>9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11</v>
      </c>
      <c r="M792" t="inlineStr">
        <is>
          <t>Values must be of type &lt;class 'str'&gt;</t>
        </is>
      </c>
      <c r="N792" t="inlineStr">
        <is>
          <t>Values must be of type &lt;class 'str'&gt;</t>
        </is>
      </c>
      <c r="O792" t="n">
        <v/>
      </c>
      <c r="P792" t="inlineStr">
        <is>
          <t>center</t>
        </is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</row>
    <row r="793">
      <c r="A793" t="inlineStr">
        <is>
          <t>Loan calculator</t>
        </is>
      </c>
      <c r="B793" t="inlineStr">
        <is>
          <t>A84</t>
        </is>
      </c>
      <c r="C793" t="n">
        <v>84</v>
      </c>
      <c r="D793" t="n">
        <v>1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11</v>
      </c>
      <c r="M793" t="inlineStr">
        <is>
          <t>Values must be of type &lt;class 'str'&gt;</t>
        </is>
      </c>
      <c r="N793" t="inlineStr">
        <is>
          <t>Values must be of type &lt;class 'str'&gt;</t>
        </is>
      </c>
      <c r="O793" t="n">
        <v/>
      </c>
      <c r="P793" t="inlineStr">
        <is>
          <t>center</t>
        </is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</row>
    <row r="794">
      <c r="A794" t="inlineStr">
        <is>
          <t>Loan calculator</t>
        </is>
      </c>
      <c r="B794" t="inlineStr">
        <is>
          <t>B84</t>
        </is>
      </c>
      <c r="C794" t="n">
        <v>84</v>
      </c>
      <c r="D794" t="n">
        <v>2</v>
      </c>
      <c r="E794" t="inlineStr">
        <is>
          <t>Output</t>
        </is>
      </c>
      <c r="F794" t="inlineStr">
        <is>
          <t>'=IFERROR(IF(LoanIsNotPaid*LoanIsGood,PaymentNumber,""), "")</t>
        </is>
      </c>
      <c r="G794" t="n">
        <v>68</v>
      </c>
      <c r="H794" t="inlineStr"/>
      <c r="I794" t="inlineStr">
        <is>
          <t>#,##0</t>
        </is>
      </c>
      <c r="J794" t="b">
        <v>0</v>
      </c>
      <c r="K794" t="b">
        <v>0</v>
      </c>
      <c r="L794" t="n">
        <v>9</v>
      </c>
      <c r="M794" t="inlineStr">
        <is>
          <t>Values must be of type &lt;class 'str'&gt;</t>
        </is>
      </c>
      <c r="N794" t="inlineStr">
        <is>
          <t>00000000</t>
        </is>
      </c>
      <c r="O794" t="inlineStr">
        <is>
          <t>center</t>
        </is>
      </c>
      <c r="P794" t="inlineStr">
        <is>
          <t>center</t>
        </is>
      </c>
      <c r="R794" t="b">
        <v>1</v>
      </c>
      <c r="S794" t="inlineStr">
        <is>
          <t>G000001</t>
        </is>
      </c>
      <c r="T794" t="inlineStr">
        <is>
          <t>Vertical</t>
        </is>
      </c>
      <c r="U794" t="n">
        <v>120</v>
      </c>
      <c r="V794" t="b">
        <v>1</v>
      </c>
      <c r="W794" t="inlineStr">
        <is>
          <t>Loan calculator!B17:B136</t>
        </is>
      </c>
      <c r="X794">
        <f>IFERROR(IF(LoanIsNotPaid*LoanIsGood,PaymentNumber,""), "")</f>
        <v/>
      </c>
    </row>
    <row r="795">
      <c r="A795" t="inlineStr">
        <is>
          <t>Loan calculator</t>
        </is>
      </c>
      <c r="B795" t="inlineStr">
        <is>
          <t>C84</t>
        </is>
      </c>
      <c r="C795" t="n">
        <v>84</v>
      </c>
      <c r="D795" t="n">
        <v>3</v>
      </c>
      <c r="E795" t="inlineStr">
        <is>
          <t>Output</t>
        </is>
      </c>
      <c r="F795" t="inlineStr">
        <is>
          <t>'=IFERROR(IF(LoanIsNotPaid*LoanIsGood,PaymentDate,LoanStartDate), LoanStartDate)</t>
        </is>
      </c>
      <c r="G795" s="1" t="n">
        <v>48157</v>
      </c>
      <c r="H795" t="inlineStr"/>
      <c r="I795" t="inlineStr">
        <is>
          <t>mm-dd-yy</t>
        </is>
      </c>
      <c r="J795" t="b">
        <v>0</v>
      </c>
      <c r="K795" t="b">
        <v>0</v>
      </c>
      <c r="L795" t="n">
        <v>9</v>
      </c>
      <c r="M795" t="inlineStr">
        <is>
          <t>Values must be of type &lt;class 'str'&gt;</t>
        </is>
      </c>
      <c r="N795" t="inlineStr">
        <is>
          <t>00000000</t>
        </is>
      </c>
      <c r="O795" t="inlineStr">
        <is>
          <t>center</t>
        </is>
      </c>
      <c r="P795" t="inlineStr">
        <is>
          <t>center</t>
        </is>
      </c>
      <c r="R795" t="b">
        <v>1</v>
      </c>
      <c r="S795" t="inlineStr">
        <is>
          <t>G000002</t>
        </is>
      </c>
      <c r="T795" t="inlineStr">
        <is>
          <t>Vertical</t>
        </is>
      </c>
      <c r="U795" t="n">
        <v>120</v>
      </c>
      <c r="V795" t="b">
        <v>1</v>
      </c>
      <c r="W795" t="inlineStr">
        <is>
          <t>Loan calculator!C17:C136</t>
        </is>
      </c>
      <c r="X795">
        <f>IFERROR(IF(LoanIsNotPaid*LoanIsGood,PaymentDate,LoanStartDate), LoanStartDate)</f>
        <v/>
      </c>
    </row>
    <row r="796">
      <c r="A796" t="inlineStr">
        <is>
          <t>Loan calculator</t>
        </is>
      </c>
      <c r="B796" t="inlineStr">
        <is>
          <t>D84</t>
        </is>
      </c>
      <c r="C796" t="n">
        <v>84</v>
      </c>
      <c r="D796" t="n">
        <v>4</v>
      </c>
      <c r="E796" t="inlineStr">
        <is>
          <t>Output</t>
        </is>
      </c>
      <c r="F796" t="inlineStr">
        <is>
          <t>'=IFERROR(IF(LoanIsNotPaid*LoanIsGood,LoanValue,""), "")</t>
        </is>
      </c>
      <c r="G796" t="n">
        <v>5096.260825449785</v>
      </c>
      <c r="H796" t="inlineStr"/>
      <c r="I796" t="inlineStr">
        <is>
          <t>"$"#,##0.00</t>
        </is>
      </c>
      <c r="J796" t="b">
        <v>0</v>
      </c>
      <c r="K796" t="b">
        <v>0</v>
      </c>
      <c r="L796" t="n">
        <v>9</v>
      </c>
      <c r="M796" t="inlineStr">
        <is>
          <t>Values must be of type &lt;class 'str'&gt;</t>
        </is>
      </c>
      <c r="N796" t="inlineStr">
        <is>
          <t>00000000</t>
        </is>
      </c>
      <c r="O796" t="inlineStr">
        <is>
          <t>center</t>
        </is>
      </c>
      <c r="P796" t="inlineStr">
        <is>
          <t>center</t>
        </is>
      </c>
      <c r="R796" t="b">
        <v>1</v>
      </c>
      <c r="S796" t="inlineStr">
        <is>
          <t>G000003</t>
        </is>
      </c>
      <c r="T796" t="inlineStr">
        <is>
          <t>Vertical</t>
        </is>
      </c>
      <c r="U796" t="n">
        <v>120</v>
      </c>
      <c r="V796" t="b">
        <v>1</v>
      </c>
      <c r="W796" t="inlineStr">
        <is>
          <t>Loan calculator!D17:D136</t>
        </is>
      </c>
      <c r="X796">
        <f>IFERROR(IF(LoanIsNotPaid*LoanIsGood,LoanValue,""), "")</f>
        <v/>
      </c>
    </row>
    <row r="797">
      <c r="A797" t="inlineStr">
        <is>
          <t>Loan calculator</t>
        </is>
      </c>
      <c r="B797" t="inlineStr">
        <is>
          <t>E84</t>
        </is>
      </c>
      <c r="C797" t="n">
        <v>84</v>
      </c>
      <c r="D797" t="n">
        <v>5</v>
      </c>
      <c r="E797" t="inlineStr">
        <is>
          <t>Output</t>
        </is>
      </c>
      <c r="F797" t="inlineStr">
        <is>
          <t>'=IFERROR(IF(LoanIsNotPaid*LoanIsGood,MonthlyPayment,0), 0)</t>
        </is>
      </c>
      <c r="G797" t="n">
        <v>108.5262779604807</v>
      </c>
      <c r="H797" t="inlineStr"/>
      <c r="I797" t="inlineStr">
        <is>
          <t>"$"#,##0.00</t>
        </is>
      </c>
      <c r="J797" t="b">
        <v>0</v>
      </c>
      <c r="K797" t="b">
        <v>0</v>
      </c>
      <c r="L797" t="n">
        <v>9</v>
      </c>
      <c r="M797" t="inlineStr">
        <is>
          <t>Values must be of type &lt;class 'str'&gt;</t>
        </is>
      </c>
      <c r="N797" t="inlineStr">
        <is>
          <t>00000000</t>
        </is>
      </c>
      <c r="O797" t="inlineStr">
        <is>
          <t>center</t>
        </is>
      </c>
      <c r="P797" t="inlineStr">
        <is>
          <t>center</t>
        </is>
      </c>
      <c r="R797" t="b">
        <v>1</v>
      </c>
      <c r="S797" t="inlineStr">
        <is>
          <t>G000004</t>
        </is>
      </c>
      <c r="T797" t="inlineStr">
        <is>
          <t>Vertical</t>
        </is>
      </c>
      <c r="U797" t="n">
        <v>120</v>
      </c>
      <c r="V797" t="b">
        <v>1</v>
      </c>
      <c r="W797" t="inlineStr">
        <is>
          <t>Loan calculator!E17:E136</t>
        </is>
      </c>
      <c r="X797">
        <f>IFERROR(IF(LoanIsNotPaid*LoanIsGood,MonthlyPayment,0), 0)</f>
        <v/>
      </c>
    </row>
    <row r="798">
      <c r="A798" t="inlineStr">
        <is>
          <t>Loan calculator</t>
        </is>
      </c>
      <c r="B798" t="inlineStr">
        <is>
          <t>F84</t>
        </is>
      </c>
      <c r="C798" t="n">
        <v>84</v>
      </c>
      <c r="D798" t="n">
        <v>6</v>
      </c>
      <c r="E798" t="inlineStr">
        <is>
          <t>Output</t>
        </is>
      </c>
      <c r="F798" t="inlineStr">
        <is>
          <t>'=IFERROR(IF(LoanIsNotPaid*LoanIsGood,Principal,0), 0)</t>
        </is>
      </c>
      <c r="G798" t="n">
        <v>85.16841584383582</v>
      </c>
      <c r="H798" t="inlineStr"/>
      <c r="I798" t="inlineStr">
        <is>
          <t>"$"#,##0.00</t>
        </is>
      </c>
      <c r="J798" t="b">
        <v>0</v>
      </c>
      <c r="K798" t="b">
        <v>0</v>
      </c>
      <c r="L798" t="n">
        <v>9</v>
      </c>
      <c r="M798" t="inlineStr">
        <is>
          <t>Values must be of type &lt;class 'str'&gt;</t>
        </is>
      </c>
      <c r="N798" t="inlineStr">
        <is>
          <t>00000000</t>
        </is>
      </c>
      <c r="O798" t="inlineStr">
        <is>
          <t>center</t>
        </is>
      </c>
      <c r="P798" t="inlineStr">
        <is>
          <t>center</t>
        </is>
      </c>
      <c r="R798" t="b">
        <v>1</v>
      </c>
      <c r="S798" t="inlineStr">
        <is>
          <t>G000005</t>
        </is>
      </c>
      <c r="T798" t="inlineStr">
        <is>
          <t>Vertical</t>
        </is>
      </c>
      <c r="U798" t="n">
        <v>120</v>
      </c>
      <c r="V798" t="b">
        <v>1</v>
      </c>
      <c r="W798" t="inlineStr">
        <is>
          <t>Loan calculator!F17:F136</t>
        </is>
      </c>
      <c r="X798">
        <f>IFERROR(IF(LoanIsNotPaid*LoanIsGood,Principal,0), 0)</f>
        <v/>
      </c>
    </row>
    <row r="799">
      <c r="A799" t="inlineStr">
        <is>
          <t>Loan calculator</t>
        </is>
      </c>
      <c r="B799" t="inlineStr">
        <is>
          <t>G84</t>
        </is>
      </c>
      <c r="C799" t="n">
        <v>84</v>
      </c>
      <c r="D799" t="n">
        <v>7</v>
      </c>
      <c r="E799" t="inlineStr">
        <is>
          <t>Output</t>
        </is>
      </c>
      <c r="F799" t="inlineStr">
        <is>
          <t>'=IFERROR(IF(LoanIsNotPaid*LoanIsGood,InterestAmt,0), 0)</t>
        </is>
      </c>
      <c r="G799" t="n">
        <v>23.35786211664489</v>
      </c>
      <c r="H799" t="inlineStr"/>
      <c r="I799" t="inlineStr">
        <is>
          <t>"$"#,##0.00</t>
        </is>
      </c>
      <c r="J799" t="b">
        <v>0</v>
      </c>
      <c r="K799" t="b">
        <v>0</v>
      </c>
      <c r="L799" t="n">
        <v>9</v>
      </c>
      <c r="M799" t="inlineStr">
        <is>
          <t>Values must be of type &lt;class 'str'&gt;</t>
        </is>
      </c>
      <c r="N799" t="inlineStr">
        <is>
          <t>00000000</t>
        </is>
      </c>
      <c r="O799" t="inlineStr">
        <is>
          <t>center</t>
        </is>
      </c>
      <c r="P799" t="inlineStr">
        <is>
          <t>center</t>
        </is>
      </c>
      <c r="R799" t="b">
        <v>1</v>
      </c>
      <c r="S799" t="inlineStr">
        <is>
          <t>G000006</t>
        </is>
      </c>
      <c r="T799" t="inlineStr">
        <is>
          <t>Vertical</t>
        </is>
      </c>
      <c r="U799" t="n">
        <v>120</v>
      </c>
      <c r="V799" t="b">
        <v>1</v>
      </c>
      <c r="W799" t="inlineStr">
        <is>
          <t>Loan calculator!G17:G136</t>
        </is>
      </c>
      <c r="X799">
        <f>IFERROR(IF(LoanIsNotPaid*LoanIsGood,InterestAmt,0), 0)</f>
        <v/>
      </c>
    </row>
    <row r="800">
      <c r="A800" t="inlineStr">
        <is>
          <t>Loan calculator</t>
        </is>
      </c>
      <c r="B800" t="inlineStr">
        <is>
          <t>H84</t>
        </is>
      </c>
      <c r="C800" t="n">
        <v>84</v>
      </c>
      <c r="D800" t="n">
        <v>8</v>
      </c>
      <c r="E800" t="inlineStr">
        <is>
          <t>Output</t>
        </is>
      </c>
      <c r="F800" t="inlineStr">
        <is>
          <t>'=IFERROR(IF(LoanIsNotPaid*LoanIsGood,EndingBalance,0), 0)</t>
        </is>
      </c>
      <c r="G800" t="n">
        <v>5011.092409605948</v>
      </c>
      <c r="H800" t="inlineStr"/>
      <c r="I800" t="inlineStr">
        <is>
          <t>"$"#,##0.00</t>
        </is>
      </c>
      <c r="J800" t="b">
        <v>0</v>
      </c>
      <c r="K800" t="b">
        <v>0</v>
      </c>
      <c r="L800" t="n">
        <v>9</v>
      </c>
      <c r="M800" t="inlineStr">
        <is>
          <t>Values must be of type &lt;class 'str'&gt;</t>
        </is>
      </c>
      <c r="N800" t="inlineStr">
        <is>
          <t>00000000</t>
        </is>
      </c>
      <c r="O800" t="inlineStr">
        <is>
          <t>center</t>
        </is>
      </c>
      <c r="P800" t="inlineStr">
        <is>
          <t>center</t>
        </is>
      </c>
      <c r="R800" t="b">
        <v>1</v>
      </c>
      <c r="S800" t="inlineStr">
        <is>
          <t>G000007</t>
        </is>
      </c>
      <c r="T800" t="inlineStr">
        <is>
          <t>Vertical</t>
        </is>
      </c>
      <c r="U800" t="n">
        <v>120</v>
      </c>
      <c r="V800" t="b">
        <v>1</v>
      </c>
      <c r="W800" t="inlineStr">
        <is>
          <t>Loan calculator!H17:H136</t>
        </is>
      </c>
      <c r="X800">
        <f>IFERROR(IF(LoanIsNotPaid*LoanIsGood,EndingBalance,0), 0)</f>
        <v/>
      </c>
    </row>
    <row r="801">
      <c r="A801" t="inlineStr">
        <is>
          <t>Loan calculator</t>
        </is>
      </c>
      <c r="B801" t="inlineStr">
        <is>
          <t>I84</t>
        </is>
      </c>
      <c r="C801" t="n">
        <v>84</v>
      </c>
      <c r="D801" t="n">
        <v>9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11</v>
      </c>
      <c r="M801" t="inlineStr">
        <is>
          <t>Values must be of type &lt;class 'str'&gt;</t>
        </is>
      </c>
      <c r="N801" t="inlineStr">
        <is>
          <t>Values must be of type &lt;class 'str'&gt;</t>
        </is>
      </c>
      <c r="O801" t="n">
        <v/>
      </c>
      <c r="P801" t="inlineStr">
        <is>
          <t>center</t>
        </is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</row>
    <row r="802">
      <c r="A802" t="inlineStr">
        <is>
          <t>Loan calculator</t>
        </is>
      </c>
      <c r="B802" t="inlineStr">
        <is>
          <t>A85</t>
        </is>
      </c>
      <c r="C802" t="n">
        <v>85</v>
      </c>
      <c r="D802" t="n">
        <v>1</v>
      </c>
      <c r="E802" t="inlineStr">
        <is>
          <t>Input</t>
        </is>
      </c>
      <c r="F802" t="n">
        <v/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11</v>
      </c>
      <c r="M802" t="inlineStr">
        <is>
          <t>Values must be of type &lt;class 'str'&gt;</t>
        </is>
      </c>
      <c r="N802" t="inlineStr">
        <is>
          <t>Values must be of type &lt;class 'str'&gt;</t>
        </is>
      </c>
      <c r="O802" t="n">
        <v/>
      </c>
      <c r="P802" t="inlineStr">
        <is>
          <t>center</t>
        </is>
      </c>
      <c r="R802" t="b">
        <v>0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</row>
    <row r="803">
      <c r="A803" t="inlineStr">
        <is>
          <t>Loan calculator</t>
        </is>
      </c>
      <c r="B803" t="inlineStr">
        <is>
          <t>B85</t>
        </is>
      </c>
      <c r="C803" t="n">
        <v>85</v>
      </c>
      <c r="D803" t="n">
        <v>2</v>
      </c>
      <c r="E803" t="inlineStr">
        <is>
          <t>Output</t>
        </is>
      </c>
      <c r="F803" t="inlineStr">
        <is>
          <t>'=IFERROR(IF(LoanIsNotPaid*LoanIsGood,PaymentNumber,""), "")</t>
        </is>
      </c>
      <c r="G803" t="n">
        <v>69</v>
      </c>
      <c r="H803" t="inlineStr"/>
      <c r="I803" t="inlineStr">
        <is>
          <t>#,##0</t>
        </is>
      </c>
      <c r="J803" t="b">
        <v>0</v>
      </c>
      <c r="K803" t="b">
        <v>0</v>
      </c>
      <c r="L803" t="n">
        <v>9</v>
      </c>
      <c r="M803" t="inlineStr">
        <is>
          <t>Values must be of type &lt;class 'str'&gt;</t>
        </is>
      </c>
      <c r="N803" t="inlineStr">
        <is>
          <t>00000000</t>
        </is>
      </c>
      <c r="O803" t="inlineStr">
        <is>
          <t>center</t>
        </is>
      </c>
      <c r="P803" t="inlineStr">
        <is>
          <t>center</t>
        </is>
      </c>
      <c r="R803" t="b">
        <v>1</v>
      </c>
      <c r="S803" t="inlineStr">
        <is>
          <t>G000001</t>
        </is>
      </c>
      <c r="T803" t="inlineStr">
        <is>
          <t>Vertical</t>
        </is>
      </c>
      <c r="U803" t="n">
        <v>120</v>
      </c>
      <c r="V803" t="b">
        <v>1</v>
      </c>
      <c r="W803" t="inlineStr">
        <is>
          <t>Loan calculator!B17:B136</t>
        </is>
      </c>
      <c r="X803">
        <f>IFERROR(IF(LoanIsNotPaid*LoanIsGood,PaymentNumber,""), "")</f>
        <v/>
      </c>
    </row>
    <row r="804">
      <c r="A804" t="inlineStr">
        <is>
          <t>Loan calculator</t>
        </is>
      </c>
      <c r="B804" t="inlineStr">
        <is>
          <t>C85</t>
        </is>
      </c>
      <c r="C804" t="n">
        <v>85</v>
      </c>
      <c r="D804" t="n">
        <v>3</v>
      </c>
      <c r="E804" t="inlineStr">
        <is>
          <t>Output</t>
        </is>
      </c>
      <c r="F804" t="inlineStr">
        <is>
          <t>'=IFERROR(IF(LoanIsNotPaid*LoanIsGood,PaymentDate,LoanStartDate), LoanStartDate)</t>
        </is>
      </c>
      <c r="G804" s="1" t="n">
        <v>48187</v>
      </c>
      <c r="H804" t="inlineStr"/>
      <c r="I804" t="inlineStr">
        <is>
          <t>mm-dd-yy</t>
        </is>
      </c>
      <c r="J804" t="b">
        <v>0</v>
      </c>
      <c r="K804" t="b">
        <v>0</v>
      </c>
      <c r="L804" t="n">
        <v>9</v>
      </c>
      <c r="M804" t="inlineStr">
        <is>
          <t>Values must be of type &lt;class 'str'&gt;</t>
        </is>
      </c>
      <c r="N804" t="inlineStr">
        <is>
          <t>00000000</t>
        </is>
      </c>
      <c r="O804" t="inlineStr">
        <is>
          <t>center</t>
        </is>
      </c>
      <c r="P804" t="inlineStr">
        <is>
          <t>center</t>
        </is>
      </c>
      <c r="R804" t="b">
        <v>1</v>
      </c>
      <c r="S804" t="inlineStr">
        <is>
          <t>G000002</t>
        </is>
      </c>
      <c r="T804" t="inlineStr">
        <is>
          <t>Vertical</t>
        </is>
      </c>
      <c r="U804" t="n">
        <v>120</v>
      </c>
      <c r="V804" t="b">
        <v>1</v>
      </c>
      <c r="W804" t="inlineStr">
        <is>
          <t>Loan calculator!C17:C136</t>
        </is>
      </c>
      <c r="X804">
        <f>IFERROR(IF(LoanIsNotPaid*LoanIsGood,PaymentDate,LoanStartDate), LoanStartDate)</f>
        <v/>
      </c>
    </row>
    <row r="805">
      <c r="A805" t="inlineStr">
        <is>
          <t>Loan calculator</t>
        </is>
      </c>
      <c r="B805" t="inlineStr">
        <is>
          <t>D85</t>
        </is>
      </c>
      <c r="C805" t="n">
        <v>85</v>
      </c>
      <c r="D805" t="n">
        <v>4</v>
      </c>
      <c r="E805" t="inlineStr">
        <is>
          <t>Output</t>
        </is>
      </c>
      <c r="F805" t="inlineStr">
        <is>
          <t>'=IFERROR(IF(LoanIsNotPaid*LoanIsGood,LoanValue,""), "")</t>
        </is>
      </c>
      <c r="G805" t="n">
        <v>5011.092409605948</v>
      </c>
      <c r="H805" t="inlineStr"/>
      <c r="I805" t="inlineStr">
        <is>
          <t>"$"#,##0.00</t>
        </is>
      </c>
      <c r="J805" t="b">
        <v>0</v>
      </c>
      <c r="K805" t="b">
        <v>0</v>
      </c>
      <c r="L805" t="n">
        <v>9</v>
      </c>
      <c r="M805" t="inlineStr">
        <is>
          <t>Values must be of type &lt;class 'str'&gt;</t>
        </is>
      </c>
      <c r="N805" t="inlineStr">
        <is>
          <t>00000000</t>
        </is>
      </c>
      <c r="O805" t="inlineStr">
        <is>
          <t>center</t>
        </is>
      </c>
      <c r="P805" t="inlineStr">
        <is>
          <t>center</t>
        </is>
      </c>
      <c r="R805" t="b">
        <v>1</v>
      </c>
      <c r="S805" t="inlineStr">
        <is>
          <t>G000003</t>
        </is>
      </c>
      <c r="T805" t="inlineStr">
        <is>
          <t>Vertical</t>
        </is>
      </c>
      <c r="U805" t="n">
        <v>120</v>
      </c>
      <c r="V805" t="b">
        <v>1</v>
      </c>
      <c r="W805" t="inlineStr">
        <is>
          <t>Loan calculator!D17:D136</t>
        </is>
      </c>
      <c r="X805">
        <f>IFERROR(IF(LoanIsNotPaid*LoanIsGood,LoanValue,""), "")</f>
        <v/>
      </c>
    </row>
    <row r="806">
      <c r="A806" t="inlineStr">
        <is>
          <t>Loan calculator</t>
        </is>
      </c>
      <c r="B806" t="inlineStr">
        <is>
          <t>E85</t>
        </is>
      </c>
      <c r="C806" t="n">
        <v>85</v>
      </c>
      <c r="D806" t="n">
        <v>5</v>
      </c>
      <c r="E806" t="inlineStr">
        <is>
          <t>Output</t>
        </is>
      </c>
      <c r="F806" t="inlineStr">
        <is>
          <t>'=IFERROR(IF(LoanIsNotPaid*LoanIsGood,MonthlyPayment,0), 0)</t>
        </is>
      </c>
      <c r="G806" t="n">
        <v>108.5262779604807</v>
      </c>
      <c r="H806" t="inlineStr"/>
      <c r="I806" t="inlineStr">
        <is>
          <t>"$"#,##0.00</t>
        </is>
      </c>
      <c r="J806" t="b">
        <v>0</v>
      </c>
      <c r="K806" t="b">
        <v>0</v>
      </c>
      <c r="L806" t="n">
        <v>9</v>
      </c>
      <c r="M806" t="inlineStr">
        <is>
          <t>Values must be of type &lt;class 'str'&gt;</t>
        </is>
      </c>
      <c r="N806" t="inlineStr">
        <is>
          <t>00000000</t>
        </is>
      </c>
      <c r="O806" t="inlineStr">
        <is>
          <t>center</t>
        </is>
      </c>
      <c r="P806" t="inlineStr">
        <is>
          <t>center</t>
        </is>
      </c>
      <c r="R806" t="b">
        <v>1</v>
      </c>
      <c r="S806" t="inlineStr">
        <is>
          <t>G000004</t>
        </is>
      </c>
      <c r="T806" t="inlineStr">
        <is>
          <t>Vertical</t>
        </is>
      </c>
      <c r="U806" t="n">
        <v>120</v>
      </c>
      <c r="V806" t="b">
        <v>1</v>
      </c>
      <c r="W806" t="inlineStr">
        <is>
          <t>Loan calculator!E17:E136</t>
        </is>
      </c>
      <c r="X806">
        <f>IFERROR(IF(LoanIsNotPaid*LoanIsGood,MonthlyPayment,0), 0)</f>
        <v/>
      </c>
    </row>
    <row r="807">
      <c r="A807" t="inlineStr">
        <is>
          <t>Loan calculator</t>
        </is>
      </c>
      <c r="B807" t="inlineStr">
        <is>
          <t>F85</t>
        </is>
      </c>
      <c r="C807" t="n">
        <v>85</v>
      </c>
      <c r="D807" t="n">
        <v>6</v>
      </c>
      <c r="E807" t="inlineStr">
        <is>
          <t>Output</t>
        </is>
      </c>
      <c r="F807" t="inlineStr">
        <is>
          <t>'=IFERROR(IF(LoanIsNotPaid*LoanIsGood,Principal,0), 0)</t>
        </is>
      </c>
      <c r="G807" t="n">
        <v>85.55877108312008</v>
      </c>
      <c r="H807" t="inlineStr"/>
      <c r="I807" t="inlineStr">
        <is>
          <t>"$"#,##0.00</t>
        </is>
      </c>
      <c r="J807" t="b">
        <v>0</v>
      </c>
      <c r="K807" t="b">
        <v>0</v>
      </c>
      <c r="L807" t="n">
        <v>9</v>
      </c>
      <c r="M807" t="inlineStr">
        <is>
          <t>Values must be of type &lt;class 'str'&gt;</t>
        </is>
      </c>
      <c r="N807" t="inlineStr">
        <is>
          <t>00000000</t>
        </is>
      </c>
      <c r="O807" t="inlineStr">
        <is>
          <t>center</t>
        </is>
      </c>
      <c r="P807" t="inlineStr">
        <is>
          <t>center</t>
        </is>
      </c>
      <c r="R807" t="b">
        <v>1</v>
      </c>
      <c r="S807" t="inlineStr">
        <is>
          <t>G000005</t>
        </is>
      </c>
      <c r="T807" t="inlineStr">
        <is>
          <t>Vertical</t>
        </is>
      </c>
      <c r="U807" t="n">
        <v>120</v>
      </c>
      <c r="V807" t="b">
        <v>1</v>
      </c>
      <c r="W807" t="inlineStr">
        <is>
          <t>Loan calculator!F17:F136</t>
        </is>
      </c>
      <c r="X807">
        <f>IFERROR(IF(LoanIsNotPaid*LoanIsGood,Principal,0), 0)</f>
        <v/>
      </c>
    </row>
    <row r="808">
      <c r="A808" t="inlineStr">
        <is>
          <t>Loan calculator</t>
        </is>
      </c>
      <c r="B808" t="inlineStr">
        <is>
          <t>G85</t>
        </is>
      </c>
      <c r="C808" t="n">
        <v>85</v>
      </c>
      <c r="D808" t="n">
        <v>7</v>
      </c>
      <c r="E808" t="inlineStr">
        <is>
          <t>Output</t>
        </is>
      </c>
      <c r="F808" t="inlineStr">
        <is>
          <t>'=IFERROR(IF(LoanIsNotPaid*LoanIsGood,InterestAmt,0), 0)</t>
        </is>
      </c>
      <c r="G808" t="n">
        <v>22.96750687736064</v>
      </c>
      <c r="H808" t="inlineStr"/>
      <c r="I808" t="inlineStr">
        <is>
          <t>"$"#,##0.00</t>
        </is>
      </c>
      <c r="J808" t="b">
        <v>0</v>
      </c>
      <c r="K808" t="b">
        <v>0</v>
      </c>
      <c r="L808" t="n">
        <v>9</v>
      </c>
      <c r="M808" t="inlineStr">
        <is>
          <t>Values must be of type &lt;class 'str'&gt;</t>
        </is>
      </c>
      <c r="N808" t="inlineStr">
        <is>
          <t>00000000</t>
        </is>
      </c>
      <c r="O808" t="inlineStr">
        <is>
          <t>center</t>
        </is>
      </c>
      <c r="P808" t="inlineStr">
        <is>
          <t>center</t>
        </is>
      </c>
      <c r="R808" t="b">
        <v>1</v>
      </c>
      <c r="S808" t="inlineStr">
        <is>
          <t>G000006</t>
        </is>
      </c>
      <c r="T808" t="inlineStr">
        <is>
          <t>Vertical</t>
        </is>
      </c>
      <c r="U808" t="n">
        <v>120</v>
      </c>
      <c r="V808" t="b">
        <v>1</v>
      </c>
      <c r="W808" t="inlineStr">
        <is>
          <t>Loan calculator!G17:G136</t>
        </is>
      </c>
      <c r="X808">
        <f>IFERROR(IF(LoanIsNotPaid*LoanIsGood,InterestAmt,0), 0)</f>
        <v/>
      </c>
    </row>
    <row r="809">
      <c r="A809" t="inlineStr">
        <is>
          <t>Loan calculator</t>
        </is>
      </c>
      <c r="B809" t="inlineStr">
        <is>
          <t>H85</t>
        </is>
      </c>
      <c r="C809" t="n">
        <v>85</v>
      </c>
      <c r="D809" t="n">
        <v>8</v>
      </c>
      <c r="E809" t="inlineStr">
        <is>
          <t>Output</t>
        </is>
      </c>
      <c r="F809" t="inlineStr">
        <is>
          <t>'=IFERROR(IF(LoanIsNotPaid*LoanIsGood,EndingBalance,0), 0)</t>
        </is>
      </c>
      <c r="G809" t="n">
        <v>4925.533638522824</v>
      </c>
      <c r="H809" t="inlineStr"/>
      <c r="I809" t="inlineStr">
        <is>
          <t>"$"#,##0.00</t>
        </is>
      </c>
      <c r="J809" t="b">
        <v>0</v>
      </c>
      <c r="K809" t="b">
        <v>0</v>
      </c>
      <c r="L809" t="n">
        <v>9</v>
      </c>
      <c r="M809" t="inlineStr">
        <is>
          <t>Values must be of type &lt;class 'str'&gt;</t>
        </is>
      </c>
      <c r="N809" t="inlineStr">
        <is>
          <t>00000000</t>
        </is>
      </c>
      <c r="O809" t="inlineStr">
        <is>
          <t>center</t>
        </is>
      </c>
      <c r="P809" t="inlineStr">
        <is>
          <t>center</t>
        </is>
      </c>
      <c r="R809" t="b">
        <v>1</v>
      </c>
      <c r="S809" t="inlineStr">
        <is>
          <t>G000007</t>
        </is>
      </c>
      <c r="T809" t="inlineStr">
        <is>
          <t>Vertical</t>
        </is>
      </c>
      <c r="U809" t="n">
        <v>120</v>
      </c>
      <c r="V809" t="b">
        <v>1</v>
      </c>
      <c r="W809" t="inlineStr">
        <is>
          <t>Loan calculator!H17:H136</t>
        </is>
      </c>
      <c r="X809">
        <f>IFERROR(IF(LoanIsNotPaid*LoanIsGood,EndingBalance,0), 0)</f>
        <v/>
      </c>
    </row>
    <row r="810">
      <c r="A810" t="inlineStr">
        <is>
          <t>Loan calculator</t>
        </is>
      </c>
      <c r="B810" t="inlineStr">
        <is>
          <t>I85</t>
        </is>
      </c>
      <c r="C810" t="n">
        <v>85</v>
      </c>
      <c r="D810" t="n">
        <v>9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11</v>
      </c>
      <c r="M810" t="inlineStr">
        <is>
          <t>Values must be of type &lt;class 'str'&gt;</t>
        </is>
      </c>
      <c r="N810" t="inlineStr">
        <is>
          <t>Values must be of type &lt;class 'str'&gt;</t>
        </is>
      </c>
      <c r="O810" t="n">
        <v/>
      </c>
      <c r="P810" t="inlineStr">
        <is>
          <t>center</t>
        </is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</row>
    <row r="811">
      <c r="A811" t="inlineStr">
        <is>
          <t>Loan calculator</t>
        </is>
      </c>
      <c r="B811" t="inlineStr">
        <is>
          <t>A86</t>
        </is>
      </c>
      <c r="C811" t="n">
        <v>86</v>
      </c>
      <c r="D811" t="n">
        <v>1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11</v>
      </c>
      <c r="M811" t="inlineStr">
        <is>
          <t>Values must be of type &lt;class 'str'&gt;</t>
        </is>
      </c>
      <c r="N811" t="inlineStr">
        <is>
          <t>Values must be of type &lt;class 'str'&gt;</t>
        </is>
      </c>
      <c r="O811" t="n">
        <v/>
      </c>
      <c r="P811" t="inlineStr">
        <is>
          <t>center</t>
        </is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</row>
    <row r="812">
      <c r="A812" t="inlineStr">
        <is>
          <t>Loan calculator</t>
        </is>
      </c>
      <c r="B812" t="inlineStr">
        <is>
          <t>B86</t>
        </is>
      </c>
      <c r="C812" t="n">
        <v>86</v>
      </c>
      <c r="D812" t="n">
        <v>2</v>
      </c>
      <c r="E812" t="inlineStr">
        <is>
          <t>Output</t>
        </is>
      </c>
      <c r="F812" t="inlineStr">
        <is>
          <t>'=IFERROR(IF(LoanIsNotPaid*LoanIsGood,PaymentNumber,""), "")</t>
        </is>
      </c>
      <c r="G812" t="n">
        <v>70</v>
      </c>
      <c r="H812" t="inlineStr"/>
      <c r="I812" t="inlineStr">
        <is>
          <t>#,##0</t>
        </is>
      </c>
      <c r="J812" t="b">
        <v>0</v>
      </c>
      <c r="K812" t="b">
        <v>0</v>
      </c>
      <c r="L812" t="n">
        <v>9</v>
      </c>
      <c r="M812" t="inlineStr">
        <is>
          <t>Values must be of type &lt;class 'str'&gt;</t>
        </is>
      </c>
      <c r="N812" t="inlineStr">
        <is>
          <t>00000000</t>
        </is>
      </c>
      <c r="O812" t="inlineStr">
        <is>
          <t>center</t>
        </is>
      </c>
      <c r="P812" t="inlineStr">
        <is>
          <t>center</t>
        </is>
      </c>
      <c r="R812" t="b">
        <v>1</v>
      </c>
      <c r="S812" t="inlineStr">
        <is>
          <t>G000001</t>
        </is>
      </c>
      <c r="T812" t="inlineStr">
        <is>
          <t>Vertical</t>
        </is>
      </c>
      <c r="U812" t="n">
        <v>120</v>
      </c>
      <c r="V812" t="b">
        <v>1</v>
      </c>
      <c r="W812" t="inlineStr">
        <is>
          <t>Loan calculator!B17:B136</t>
        </is>
      </c>
      <c r="X812">
        <f>IFERROR(IF(LoanIsNotPaid*LoanIsGood,PaymentNumber,""), "")</f>
        <v/>
      </c>
    </row>
    <row r="813">
      <c r="A813" t="inlineStr">
        <is>
          <t>Loan calculator</t>
        </is>
      </c>
      <c r="B813" t="inlineStr">
        <is>
          <t>C86</t>
        </is>
      </c>
      <c r="C813" t="n">
        <v>86</v>
      </c>
      <c r="D813" t="n">
        <v>3</v>
      </c>
      <c r="E813" t="inlineStr">
        <is>
          <t>Output</t>
        </is>
      </c>
      <c r="F813" t="inlineStr">
        <is>
          <t>'=IFERROR(IF(LoanIsNotPaid*LoanIsGood,PaymentDate,LoanStartDate), LoanStartDate)</t>
        </is>
      </c>
      <c r="G813" s="1" t="n">
        <v>48218</v>
      </c>
      <c r="H813" t="inlineStr"/>
      <c r="I813" t="inlineStr">
        <is>
          <t>mm-dd-yy</t>
        </is>
      </c>
      <c r="J813" t="b">
        <v>0</v>
      </c>
      <c r="K813" t="b">
        <v>0</v>
      </c>
      <c r="L813" t="n">
        <v>9</v>
      </c>
      <c r="M813" t="inlineStr">
        <is>
          <t>Values must be of type &lt;class 'str'&gt;</t>
        </is>
      </c>
      <c r="N813" t="inlineStr">
        <is>
          <t>00000000</t>
        </is>
      </c>
      <c r="O813" t="inlineStr">
        <is>
          <t>center</t>
        </is>
      </c>
      <c r="P813" t="inlineStr">
        <is>
          <t>center</t>
        </is>
      </c>
      <c r="R813" t="b">
        <v>1</v>
      </c>
      <c r="S813" t="inlineStr">
        <is>
          <t>G000002</t>
        </is>
      </c>
      <c r="T813" t="inlineStr">
        <is>
          <t>Vertical</t>
        </is>
      </c>
      <c r="U813" t="n">
        <v>120</v>
      </c>
      <c r="V813" t="b">
        <v>1</v>
      </c>
      <c r="W813" t="inlineStr">
        <is>
          <t>Loan calculator!C17:C136</t>
        </is>
      </c>
      <c r="X813">
        <f>IFERROR(IF(LoanIsNotPaid*LoanIsGood,PaymentDate,LoanStartDate), LoanStartDate)</f>
        <v/>
      </c>
    </row>
    <row r="814">
      <c r="A814" t="inlineStr">
        <is>
          <t>Loan calculator</t>
        </is>
      </c>
      <c r="B814" t="inlineStr">
        <is>
          <t>D86</t>
        </is>
      </c>
      <c r="C814" t="n">
        <v>86</v>
      </c>
      <c r="D814" t="n">
        <v>4</v>
      </c>
      <c r="E814" t="inlineStr">
        <is>
          <t>Output</t>
        </is>
      </c>
      <c r="F814" t="inlineStr">
        <is>
          <t>'=IFERROR(IF(LoanIsNotPaid*LoanIsGood,LoanValue,""), "")</t>
        </is>
      </c>
      <c r="G814" t="n">
        <v>4925.533638522824</v>
      </c>
      <c r="H814" t="inlineStr"/>
      <c r="I814" t="inlineStr">
        <is>
          <t>"$"#,##0.00</t>
        </is>
      </c>
      <c r="J814" t="b">
        <v>0</v>
      </c>
      <c r="K814" t="b">
        <v>0</v>
      </c>
      <c r="L814" t="n">
        <v>9</v>
      </c>
      <c r="M814" t="inlineStr">
        <is>
          <t>Values must be of type &lt;class 'str'&gt;</t>
        </is>
      </c>
      <c r="N814" t="inlineStr">
        <is>
          <t>00000000</t>
        </is>
      </c>
      <c r="O814" t="inlineStr">
        <is>
          <t>center</t>
        </is>
      </c>
      <c r="P814" t="inlineStr">
        <is>
          <t>center</t>
        </is>
      </c>
      <c r="R814" t="b">
        <v>1</v>
      </c>
      <c r="S814" t="inlineStr">
        <is>
          <t>G000003</t>
        </is>
      </c>
      <c r="T814" t="inlineStr">
        <is>
          <t>Vertical</t>
        </is>
      </c>
      <c r="U814" t="n">
        <v>120</v>
      </c>
      <c r="V814" t="b">
        <v>1</v>
      </c>
      <c r="W814" t="inlineStr">
        <is>
          <t>Loan calculator!D17:D136</t>
        </is>
      </c>
      <c r="X814">
        <f>IFERROR(IF(LoanIsNotPaid*LoanIsGood,LoanValue,""), "")</f>
        <v/>
      </c>
    </row>
    <row r="815">
      <c r="A815" t="inlineStr">
        <is>
          <t>Loan calculator</t>
        </is>
      </c>
      <c r="B815" t="inlineStr">
        <is>
          <t>E86</t>
        </is>
      </c>
      <c r="C815" t="n">
        <v>86</v>
      </c>
      <c r="D815" t="n">
        <v>5</v>
      </c>
      <c r="E815" t="inlineStr">
        <is>
          <t>Output</t>
        </is>
      </c>
      <c r="F815" t="inlineStr">
        <is>
          <t>'=IFERROR(IF(LoanIsNotPaid*LoanIsGood,MonthlyPayment,0), 0)</t>
        </is>
      </c>
      <c r="G815" t="n">
        <v>108.5262779604807</v>
      </c>
      <c r="H815" t="inlineStr"/>
      <c r="I815" t="inlineStr">
        <is>
          <t>"$"#,##0.00</t>
        </is>
      </c>
      <c r="J815" t="b">
        <v>0</v>
      </c>
      <c r="K815" t="b">
        <v>0</v>
      </c>
      <c r="L815" t="n">
        <v>9</v>
      </c>
      <c r="M815" t="inlineStr">
        <is>
          <t>Values must be of type &lt;class 'str'&gt;</t>
        </is>
      </c>
      <c r="N815" t="inlineStr">
        <is>
          <t>00000000</t>
        </is>
      </c>
      <c r="O815" t="inlineStr">
        <is>
          <t>center</t>
        </is>
      </c>
      <c r="P815" t="inlineStr">
        <is>
          <t>center</t>
        </is>
      </c>
      <c r="R815" t="b">
        <v>1</v>
      </c>
      <c r="S815" t="inlineStr">
        <is>
          <t>G000004</t>
        </is>
      </c>
      <c r="T815" t="inlineStr">
        <is>
          <t>Vertical</t>
        </is>
      </c>
      <c r="U815" t="n">
        <v>120</v>
      </c>
      <c r="V815" t="b">
        <v>1</v>
      </c>
      <c r="W815" t="inlineStr">
        <is>
          <t>Loan calculator!E17:E136</t>
        </is>
      </c>
      <c r="X815">
        <f>IFERROR(IF(LoanIsNotPaid*LoanIsGood,MonthlyPayment,0), 0)</f>
        <v/>
      </c>
    </row>
    <row r="816">
      <c r="A816" t="inlineStr">
        <is>
          <t>Loan calculator</t>
        </is>
      </c>
      <c r="B816" t="inlineStr">
        <is>
          <t>F86</t>
        </is>
      </c>
      <c r="C816" t="n">
        <v>86</v>
      </c>
      <c r="D816" t="n">
        <v>6</v>
      </c>
      <c r="E816" t="inlineStr">
        <is>
          <t>Output</t>
        </is>
      </c>
      <c r="F816" t="inlineStr">
        <is>
          <t>'=IFERROR(IF(LoanIsNotPaid*LoanIsGood,Principal,0), 0)</t>
        </is>
      </c>
      <c r="G816" t="n">
        <v>85.95091545058438</v>
      </c>
      <c r="H816" t="inlineStr"/>
      <c r="I816" t="inlineStr">
        <is>
          <t>"$"#,##0.00</t>
        </is>
      </c>
      <c r="J816" t="b">
        <v>0</v>
      </c>
      <c r="K816" t="b">
        <v>0</v>
      </c>
      <c r="L816" t="n">
        <v>9</v>
      </c>
      <c r="M816" t="inlineStr">
        <is>
          <t>Values must be of type &lt;class 'str'&gt;</t>
        </is>
      </c>
      <c r="N816" t="inlineStr">
        <is>
          <t>00000000</t>
        </is>
      </c>
      <c r="O816" t="inlineStr">
        <is>
          <t>center</t>
        </is>
      </c>
      <c r="P816" t="inlineStr">
        <is>
          <t>center</t>
        </is>
      </c>
      <c r="R816" t="b">
        <v>1</v>
      </c>
      <c r="S816" t="inlineStr">
        <is>
          <t>G000005</t>
        </is>
      </c>
      <c r="T816" t="inlineStr">
        <is>
          <t>Vertical</t>
        </is>
      </c>
      <c r="U816" t="n">
        <v>120</v>
      </c>
      <c r="V816" t="b">
        <v>1</v>
      </c>
      <c r="W816" t="inlineStr">
        <is>
          <t>Loan calculator!F17:F136</t>
        </is>
      </c>
      <c r="X816">
        <f>IFERROR(IF(LoanIsNotPaid*LoanIsGood,Principal,0), 0)</f>
        <v/>
      </c>
    </row>
    <row r="817">
      <c r="A817" t="inlineStr">
        <is>
          <t>Loan calculator</t>
        </is>
      </c>
      <c r="B817" t="inlineStr">
        <is>
          <t>G86</t>
        </is>
      </c>
      <c r="C817" t="n">
        <v>86</v>
      </c>
      <c r="D817" t="n">
        <v>7</v>
      </c>
      <c r="E817" t="inlineStr">
        <is>
          <t>Output</t>
        </is>
      </c>
      <c r="F817" t="inlineStr">
        <is>
          <t>'=IFERROR(IF(LoanIsNotPaid*LoanIsGood,InterestAmt,0), 0)</t>
        </is>
      </c>
      <c r="G817" t="n">
        <v>22.57536250989634</v>
      </c>
      <c r="H817" t="inlineStr"/>
      <c r="I817" t="inlineStr">
        <is>
          <t>"$"#,##0.00</t>
        </is>
      </c>
      <c r="J817" t="b">
        <v>0</v>
      </c>
      <c r="K817" t="b">
        <v>0</v>
      </c>
      <c r="L817" t="n">
        <v>9</v>
      </c>
      <c r="M817" t="inlineStr">
        <is>
          <t>Values must be of type &lt;class 'str'&gt;</t>
        </is>
      </c>
      <c r="N817" t="inlineStr">
        <is>
          <t>00000000</t>
        </is>
      </c>
      <c r="O817" t="inlineStr">
        <is>
          <t>center</t>
        </is>
      </c>
      <c r="P817" t="inlineStr">
        <is>
          <t>center</t>
        </is>
      </c>
      <c r="R817" t="b">
        <v>1</v>
      </c>
      <c r="S817" t="inlineStr">
        <is>
          <t>G000006</t>
        </is>
      </c>
      <c r="T817" t="inlineStr">
        <is>
          <t>Vertical</t>
        </is>
      </c>
      <c r="U817" t="n">
        <v>120</v>
      </c>
      <c r="V817" t="b">
        <v>1</v>
      </c>
      <c r="W817" t="inlineStr">
        <is>
          <t>Loan calculator!G17:G136</t>
        </is>
      </c>
      <c r="X817">
        <f>IFERROR(IF(LoanIsNotPaid*LoanIsGood,InterestAmt,0), 0)</f>
        <v/>
      </c>
    </row>
    <row r="818">
      <c r="A818" t="inlineStr">
        <is>
          <t>Loan calculator</t>
        </is>
      </c>
      <c r="B818" t="inlineStr">
        <is>
          <t>H86</t>
        </is>
      </c>
      <c r="C818" t="n">
        <v>86</v>
      </c>
      <c r="D818" t="n">
        <v>8</v>
      </c>
      <c r="E818" t="inlineStr">
        <is>
          <t>Output</t>
        </is>
      </c>
      <c r="F818" t="inlineStr">
        <is>
          <t>'=IFERROR(IF(LoanIsNotPaid*LoanIsGood,EndingBalance,0), 0)</t>
        </is>
      </c>
      <c r="G818" t="n">
        <v>4839.582723072239</v>
      </c>
      <c r="H818" t="inlineStr"/>
      <c r="I818" t="inlineStr">
        <is>
          <t>"$"#,##0.00</t>
        </is>
      </c>
      <c r="J818" t="b">
        <v>0</v>
      </c>
      <c r="K818" t="b">
        <v>0</v>
      </c>
      <c r="L818" t="n">
        <v>9</v>
      </c>
      <c r="M818" t="inlineStr">
        <is>
          <t>Values must be of type &lt;class 'str'&gt;</t>
        </is>
      </c>
      <c r="N818" t="inlineStr">
        <is>
          <t>00000000</t>
        </is>
      </c>
      <c r="O818" t="inlineStr">
        <is>
          <t>center</t>
        </is>
      </c>
      <c r="P818" t="inlineStr">
        <is>
          <t>center</t>
        </is>
      </c>
      <c r="R818" t="b">
        <v>1</v>
      </c>
      <c r="S818" t="inlineStr">
        <is>
          <t>G000007</t>
        </is>
      </c>
      <c r="T818" t="inlineStr">
        <is>
          <t>Vertical</t>
        </is>
      </c>
      <c r="U818" t="n">
        <v>120</v>
      </c>
      <c r="V818" t="b">
        <v>1</v>
      </c>
      <c r="W818" t="inlineStr">
        <is>
          <t>Loan calculator!H17:H136</t>
        </is>
      </c>
      <c r="X818">
        <f>IFERROR(IF(LoanIsNotPaid*LoanIsGood,EndingBalance,0), 0)</f>
        <v/>
      </c>
    </row>
    <row r="819">
      <c r="A819" t="inlineStr">
        <is>
          <t>Loan calculator</t>
        </is>
      </c>
      <c r="B819" t="inlineStr">
        <is>
          <t>I86</t>
        </is>
      </c>
      <c r="C819" t="n">
        <v>86</v>
      </c>
      <c r="D819" t="n">
        <v>9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11</v>
      </c>
      <c r="M819" t="inlineStr">
        <is>
          <t>Values must be of type &lt;class 'str'&gt;</t>
        </is>
      </c>
      <c r="N819" t="inlineStr">
        <is>
          <t>Values must be of type &lt;class 'str'&gt;</t>
        </is>
      </c>
      <c r="O819" t="n">
        <v/>
      </c>
      <c r="P819" t="inlineStr">
        <is>
          <t>center</t>
        </is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</row>
    <row r="820">
      <c r="A820" t="inlineStr">
        <is>
          <t>Loan calculator</t>
        </is>
      </c>
      <c r="B820" t="inlineStr">
        <is>
          <t>A87</t>
        </is>
      </c>
      <c r="C820" t="n">
        <v>87</v>
      </c>
      <c r="D820" t="n">
        <v>1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11</v>
      </c>
      <c r="M820" t="inlineStr">
        <is>
          <t>Values must be of type &lt;class 'str'&gt;</t>
        </is>
      </c>
      <c r="N820" t="inlineStr">
        <is>
          <t>Values must be of type &lt;class 'str'&gt;</t>
        </is>
      </c>
      <c r="O820" t="n">
        <v/>
      </c>
      <c r="P820" t="inlineStr">
        <is>
          <t>center</t>
        </is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</row>
    <row r="821">
      <c r="A821" t="inlineStr">
        <is>
          <t>Loan calculator</t>
        </is>
      </c>
      <c r="B821" t="inlineStr">
        <is>
          <t>B87</t>
        </is>
      </c>
      <c r="C821" t="n">
        <v>87</v>
      </c>
      <c r="D821" t="n">
        <v>2</v>
      </c>
      <c r="E821" t="inlineStr">
        <is>
          <t>Output</t>
        </is>
      </c>
      <c r="F821" t="inlineStr">
        <is>
          <t>'=IFERROR(IF(LoanIsNotPaid*LoanIsGood,PaymentNumber,""), "")</t>
        </is>
      </c>
      <c r="G821" t="n">
        <v>71</v>
      </c>
      <c r="H821" t="inlineStr"/>
      <c r="I821" t="inlineStr">
        <is>
          <t>#,##0</t>
        </is>
      </c>
      <c r="J821" t="b">
        <v>0</v>
      </c>
      <c r="K821" t="b">
        <v>0</v>
      </c>
      <c r="L821" t="n">
        <v>9</v>
      </c>
      <c r="M821" t="inlineStr">
        <is>
          <t>Values must be of type &lt;class 'str'&gt;</t>
        </is>
      </c>
      <c r="N821" t="inlineStr">
        <is>
          <t>00000000</t>
        </is>
      </c>
      <c r="O821" t="inlineStr">
        <is>
          <t>center</t>
        </is>
      </c>
      <c r="P821" t="inlineStr">
        <is>
          <t>center</t>
        </is>
      </c>
      <c r="R821" t="b">
        <v>1</v>
      </c>
      <c r="S821" t="inlineStr">
        <is>
          <t>G000001</t>
        </is>
      </c>
      <c r="T821" t="inlineStr">
        <is>
          <t>Vertical</t>
        </is>
      </c>
      <c r="U821" t="n">
        <v>120</v>
      </c>
      <c r="V821" t="b">
        <v>1</v>
      </c>
      <c r="W821" t="inlineStr">
        <is>
          <t>Loan calculator!B17:B136</t>
        </is>
      </c>
      <c r="X821">
        <f>IFERROR(IF(LoanIsNotPaid*LoanIsGood,PaymentNumber,""), "")</f>
        <v/>
      </c>
    </row>
    <row r="822">
      <c r="A822" t="inlineStr">
        <is>
          <t>Loan calculator</t>
        </is>
      </c>
      <c r="B822" t="inlineStr">
        <is>
          <t>C87</t>
        </is>
      </c>
      <c r="C822" t="n">
        <v>87</v>
      </c>
      <c r="D822" t="n">
        <v>3</v>
      </c>
      <c r="E822" t="inlineStr">
        <is>
          <t>Output</t>
        </is>
      </c>
      <c r="F822" t="inlineStr">
        <is>
          <t>'=IFERROR(IF(LoanIsNotPaid*LoanIsGood,PaymentDate,LoanStartDate), LoanStartDate)</t>
        </is>
      </c>
      <c r="G822" s="1" t="n">
        <v>48249</v>
      </c>
      <c r="H822" t="inlineStr"/>
      <c r="I822" t="inlineStr">
        <is>
          <t>mm-dd-yy</t>
        </is>
      </c>
      <c r="J822" t="b">
        <v>0</v>
      </c>
      <c r="K822" t="b">
        <v>0</v>
      </c>
      <c r="L822" t="n">
        <v>9</v>
      </c>
      <c r="M822" t="inlineStr">
        <is>
          <t>Values must be of type &lt;class 'str'&gt;</t>
        </is>
      </c>
      <c r="N822" t="inlineStr">
        <is>
          <t>00000000</t>
        </is>
      </c>
      <c r="O822" t="inlineStr">
        <is>
          <t>center</t>
        </is>
      </c>
      <c r="P822" t="inlineStr">
        <is>
          <t>center</t>
        </is>
      </c>
      <c r="R822" t="b">
        <v>1</v>
      </c>
      <c r="S822" t="inlineStr">
        <is>
          <t>G000002</t>
        </is>
      </c>
      <c r="T822" t="inlineStr">
        <is>
          <t>Vertical</t>
        </is>
      </c>
      <c r="U822" t="n">
        <v>120</v>
      </c>
      <c r="V822" t="b">
        <v>1</v>
      </c>
      <c r="W822" t="inlineStr">
        <is>
          <t>Loan calculator!C17:C136</t>
        </is>
      </c>
      <c r="X822">
        <f>IFERROR(IF(LoanIsNotPaid*LoanIsGood,PaymentDate,LoanStartDate), LoanStartDate)</f>
        <v/>
      </c>
    </row>
    <row r="823">
      <c r="A823" t="inlineStr">
        <is>
          <t>Loan calculator</t>
        </is>
      </c>
      <c r="B823" t="inlineStr">
        <is>
          <t>D87</t>
        </is>
      </c>
      <c r="C823" t="n">
        <v>87</v>
      </c>
      <c r="D823" t="n">
        <v>4</v>
      </c>
      <c r="E823" t="inlineStr">
        <is>
          <t>Output</t>
        </is>
      </c>
      <c r="F823" t="inlineStr">
        <is>
          <t>'=IFERROR(IF(LoanIsNotPaid*LoanIsGood,LoanValue,""), "")</t>
        </is>
      </c>
      <c r="G823" t="n">
        <v>4839.582723072239</v>
      </c>
      <c r="H823" t="inlineStr"/>
      <c r="I823" t="inlineStr">
        <is>
          <t>"$"#,##0.00</t>
        </is>
      </c>
      <c r="J823" t="b">
        <v>0</v>
      </c>
      <c r="K823" t="b">
        <v>0</v>
      </c>
      <c r="L823" t="n">
        <v>9</v>
      </c>
      <c r="M823" t="inlineStr">
        <is>
          <t>Values must be of type &lt;class 'str'&gt;</t>
        </is>
      </c>
      <c r="N823" t="inlineStr">
        <is>
          <t>00000000</t>
        </is>
      </c>
      <c r="O823" t="inlineStr">
        <is>
          <t>center</t>
        </is>
      </c>
      <c r="P823" t="inlineStr">
        <is>
          <t>center</t>
        </is>
      </c>
      <c r="R823" t="b">
        <v>1</v>
      </c>
      <c r="S823" t="inlineStr">
        <is>
          <t>G000003</t>
        </is>
      </c>
      <c r="T823" t="inlineStr">
        <is>
          <t>Vertical</t>
        </is>
      </c>
      <c r="U823" t="n">
        <v>120</v>
      </c>
      <c r="V823" t="b">
        <v>1</v>
      </c>
      <c r="W823" t="inlineStr">
        <is>
          <t>Loan calculator!D17:D136</t>
        </is>
      </c>
      <c r="X823">
        <f>IFERROR(IF(LoanIsNotPaid*LoanIsGood,LoanValue,""), "")</f>
        <v/>
      </c>
    </row>
    <row r="824">
      <c r="A824" t="inlineStr">
        <is>
          <t>Loan calculator</t>
        </is>
      </c>
      <c r="B824" t="inlineStr">
        <is>
          <t>E87</t>
        </is>
      </c>
      <c r="C824" t="n">
        <v>87</v>
      </c>
      <c r="D824" t="n">
        <v>5</v>
      </c>
      <c r="E824" t="inlineStr">
        <is>
          <t>Output</t>
        </is>
      </c>
      <c r="F824" t="inlineStr">
        <is>
          <t>'=IFERROR(IF(LoanIsNotPaid*LoanIsGood,MonthlyPayment,0), 0)</t>
        </is>
      </c>
      <c r="G824" t="n">
        <v>108.5262779604807</v>
      </c>
      <c r="H824" t="inlineStr"/>
      <c r="I824" t="inlineStr">
        <is>
          <t>"$"#,##0.00</t>
        </is>
      </c>
      <c r="J824" t="b">
        <v>0</v>
      </c>
      <c r="K824" t="b">
        <v>0</v>
      </c>
      <c r="L824" t="n">
        <v>9</v>
      </c>
      <c r="M824" t="inlineStr">
        <is>
          <t>Values must be of type &lt;class 'str'&gt;</t>
        </is>
      </c>
      <c r="N824" t="inlineStr">
        <is>
          <t>00000000</t>
        </is>
      </c>
      <c r="O824" t="inlineStr">
        <is>
          <t>center</t>
        </is>
      </c>
      <c r="P824" t="inlineStr">
        <is>
          <t>center</t>
        </is>
      </c>
      <c r="R824" t="b">
        <v>1</v>
      </c>
      <c r="S824" t="inlineStr">
        <is>
          <t>G000004</t>
        </is>
      </c>
      <c r="T824" t="inlineStr">
        <is>
          <t>Vertical</t>
        </is>
      </c>
      <c r="U824" t="n">
        <v>120</v>
      </c>
      <c r="V824" t="b">
        <v>1</v>
      </c>
      <c r="W824" t="inlineStr">
        <is>
          <t>Loan calculator!E17:E136</t>
        </is>
      </c>
      <c r="X824">
        <f>IFERROR(IF(LoanIsNotPaid*LoanIsGood,MonthlyPayment,0), 0)</f>
        <v/>
      </c>
    </row>
    <row r="825">
      <c r="A825" t="inlineStr">
        <is>
          <t>Loan calculator</t>
        </is>
      </c>
      <c r="B825" t="inlineStr">
        <is>
          <t>F87</t>
        </is>
      </c>
      <c r="C825" t="n">
        <v>87</v>
      </c>
      <c r="D825" t="n">
        <v>6</v>
      </c>
      <c r="E825" t="inlineStr">
        <is>
          <t>Output</t>
        </is>
      </c>
      <c r="F825" t="inlineStr">
        <is>
          <t>'=IFERROR(IF(LoanIsNotPaid*LoanIsGood,Principal,0), 0)</t>
        </is>
      </c>
      <c r="G825" t="n">
        <v>86.34485714639956</v>
      </c>
      <c r="H825" t="inlineStr"/>
      <c r="I825" t="inlineStr">
        <is>
          <t>"$"#,##0.00</t>
        </is>
      </c>
      <c r="J825" t="b">
        <v>0</v>
      </c>
      <c r="K825" t="b">
        <v>0</v>
      </c>
      <c r="L825" t="n">
        <v>9</v>
      </c>
      <c r="M825" t="inlineStr">
        <is>
          <t>Values must be of type &lt;class 'str'&gt;</t>
        </is>
      </c>
      <c r="N825" t="inlineStr">
        <is>
          <t>00000000</t>
        </is>
      </c>
      <c r="O825" t="inlineStr">
        <is>
          <t>center</t>
        </is>
      </c>
      <c r="P825" t="inlineStr">
        <is>
          <t>center</t>
        </is>
      </c>
      <c r="R825" t="b">
        <v>1</v>
      </c>
      <c r="S825" t="inlineStr">
        <is>
          <t>G000005</t>
        </is>
      </c>
      <c r="T825" t="inlineStr">
        <is>
          <t>Vertical</t>
        </is>
      </c>
      <c r="U825" t="n">
        <v>120</v>
      </c>
      <c r="V825" t="b">
        <v>1</v>
      </c>
      <c r="W825" t="inlineStr">
        <is>
          <t>Loan calculator!F17:F136</t>
        </is>
      </c>
      <c r="X825">
        <f>IFERROR(IF(LoanIsNotPaid*LoanIsGood,Principal,0), 0)</f>
        <v/>
      </c>
    </row>
    <row r="826">
      <c r="A826" t="inlineStr">
        <is>
          <t>Loan calculator</t>
        </is>
      </c>
      <c r="B826" t="inlineStr">
        <is>
          <t>G87</t>
        </is>
      </c>
      <c r="C826" t="n">
        <v>87</v>
      </c>
      <c r="D826" t="n">
        <v>7</v>
      </c>
      <c r="E826" t="inlineStr">
        <is>
          <t>Output</t>
        </is>
      </c>
      <c r="F826" t="inlineStr">
        <is>
          <t>'=IFERROR(IF(LoanIsNotPaid*LoanIsGood,InterestAmt,0), 0)</t>
        </is>
      </c>
      <c r="G826" t="n">
        <v>22.18142081408116</v>
      </c>
      <c r="H826" t="inlineStr"/>
      <c r="I826" t="inlineStr">
        <is>
          <t>"$"#,##0.00</t>
        </is>
      </c>
      <c r="J826" t="b">
        <v>0</v>
      </c>
      <c r="K826" t="b">
        <v>0</v>
      </c>
      <c r="L826" t="n">
        <v>9</v>
      </c>
      <c r="M826" t="inlineStr">
        <is>
          <t>Values must be of type &lt;class 'str'&gt;</t>
        </is>
      </c>
      <c r="N826" t="inlineStr">
        <is>
          <t>00000000</t>
        </is>
      </c>
      <c r="O826" t="inlineStr">
        <is>
          <t>center</t>
        </is>
      </c>
      <c r="P826" t="inlineStr">
        <is>
          <t>center</t>
        </is>
      </c>
      <c r="R826" t="b">
        <v>1</v>
      </c>
      <c r="S826" t="inlineStr">
        <is>
          <t>G000006</t>
        </is>
      </c>
      <c r="T826" t="inlineStr">
        <is>
          <t>Vertical</t>
        </is>
      </c>
      <c r="U826" t="n">
        <v>120</v>
      </c>
      <c r="V826" t="b">
        <v>1</v>
      </c>
      <c r="W826" t="inlineStr">
        <is>
          <t>Loan calculator!G17:G136</t>
        </is>
      </c>
      <c r="X826">
        <f>IFERROR(IF(LoanIsNotPaid*LoanIsGood,InterestAmt,0), 0)</f>
        <v/>
      </c>
    </row>
    <row r="827">
      <c r="A827" t="inlineStr">
        <is>
          <t>Loan calculator</t>
        </is>
      </c>
      <c r="B827" t="inlineStr">
        <is>
          <t>H87</t>
        </is>
      </c>
      <c r="C827" t="n">
        <v>87</v>
      </c>
      <c r="D827" t="n">
        <v>8</v>
      </c>
      <c r="E827" t="inlineStr">
        <is>
          <t>Output</t>
        </is>
      </c>
      <c r="F827" t="inlineStr">
        <is>
          <t>'=IFERROR(IF(LoanIsNotPaid*LoanIsGood,EndingBalance,0), 0)</t>
        </is>
      </c>
      <c r="G827" t="n">
        <v>4753.237865925843</v>
      </c>
      <c r="H827" t="inlineStr"/>
      <c r="I827" t="inlineStr">
        <is>
          <t>"$"#,##0.00</t>
        </is>
      </c>
      <c r="J827" t="b">
        <v>0</v>
      </c>
      <c r="K827" t="b">
        <v>0</v>
      </c>
      <c r="L827" t="n">
        <v>9</v>
      </c>
      <c r="M827" t="inlineStr">
        <is>
          <t>Values must be of type &lt;class 'str'&gt;</t>
        </is>
      </c>
      <c r="N827" t="inlineStr">
        <is>
          <t>00000000</t>
        </is>
      </c>
      <c r="O827" t="inlineStr">
        <is>
          <t>center</t>
        </is>
      </c>
      <c r="P827" t="inlineStr">
        <is>
          <t>center</t>
        </is>
      </c>
      <c r="R827" t="b">
        <v>1</v>
      </c>
      <c r="S827" t="inlineStr">
        <is>
          <t>G000007</t>
        </is>
      </c>
      <c r="T827" t="inlineStr">
        <is>
          <t>Vertical</t>
        </is>
      </c>
      <c r="U827" t="n">
        <v>120</v>
      </c>
      <c r="V827" t="b">
        <v>1</v>
      </c>
      <c r="W827" t="inlineStr">
        <is>
          <t>Loan calculator!H17:H136</t>
        </is>
      </c>
      <c r="X827">
        <f>IFERROR(IF(LoanIsNotPaid*LoanIsGood,EndingBalance,0), 0)</f>
        <v/>
      </c>
    </row>
    <row r="828">
      <c r="A828" t="inlineStr">
        <is>
          <t>Loan calculator</t>
        </is>
      </c>
      <c r="B828" t="inlineStr">
        <is>
          <t>I87</t>
        </is>
      </c>
      <c r="C828" t="n">
        <v>87</v>
      </c>
      <c r="D828" t="n">
        <v>9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11</v>
      </c>
      <c r="M828" t="inlineStr">
        <is>
          <t>Values must be of type &lt;class 'str'&gt;</t>
        </is>
      </c>
      <c r="N828" t="inlineStr">
        <is>
          <t>Values must be of type &lt;class 'str'&gt;</t>
        </is>
      </c>
      <c r="O828" t="n">
        <v/>
      </c>
      <c r="P828" t="inlineStr">
        <is>
          <t>center</t>
        </is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</row>
    <row r="829">
      <c r="A829" t="inlineStr">
        <is>
          <t>Loan calculator</t>
        </is>
      </c>
      <c r="B829" t="inlineStr">
        <is>
          <t>A88</t>
        </is>
      </c>
      <c r="C829" t="n">
        <v>88</v>
      </c>
      <c r="D829" t="n">
        <v>1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11</v>
      </c>
      <c r="M829" t="inlineStr">
        <is>
          <t>Values must be of type &lt;class 'str'&gt;</t>
        </is>
      </c>
      <c r="N829" t="inlineStr">
        <is>
          <t>Values must be of type &lt;class 'str'&gt;</t>
        </is>
      </c>
      <c r="O829" t="n">
        <v/>
      </c>
      <c r="P829" t="inlineStr">
        <is>
          <t>center</t>
        </is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</row>
    <row r="830">
      <c r="A830" t="inlineStr">
        <is>
          <t>Loan calculator</t>
        </is>
      </c>
      <c r="B830" t="inlineStr">
        <is>
          <t>B88</t>
        </is>
      </c>
      <c r="C830" t="n">
        <v>88</v>
      </c>
      <c r="D830" t="n">
        <v>2</v>
      </c>
      <c r="E830" t="inlineStr">
        <is>
          <t>Output</t>
        </is>
      </c>
      <c r="F830" t="inlineStr">
        <is>
          <t>'=IFERROR(IF(LoanIsNotPaid*LoanIsGood,PaymentNumber,""), "")</t>
        </is>
      </c>
      <c r="G830" t="n">
        <v>72</v>
      </c>
      <c r="H830" t="inlineStr"/>
      <c r="I830" t="inlineStr">
        <is>
          <t>#,##0</t>
        </is>
      </c>
      <c r="J830" t="b">
        <v>0</v>
      </c>
      <c r="K830" t="b">
        <v>0</v>
      </c>
      <c r="L830" t="n">
        <v>9</v>
      </c>
      <c r="M830" t="inlineStr">
        <is>
          <t>Values must be of type &lt;class 'str'&gt;</t>
        </is>
      </c>
      <c r="N830" t="inlineStr">
        <is>
          <t>00000000</t>
        </is>
      </c>
      <c r="O830" t="inlineStr">
        <is>
          <t>center</t>
        </is>
      </c>
      <c r="P830" t="inlineStr">
        <is>
          <t>center</t>
        </is>
      </c>
      <c r="R830" t="b">
        <v>1</v>
      </c>
      <c r="S830" t="inlineStr">
        <is>
          <t>G000001</t>
        </is>
      </c>
      <c r="T830" t="inlineStr">
        <is>
          <t>Vertical</t>
        </is>
      </c>
      <c r="U830" t="n">
        <v>120</v>
      </c>
      <c r="V830" t="b">
        <v>1</v>
      </c>
      <c r="W830" t="inlineStr">
        <is>
          <t>Loan calculator!B17:B136</t>
        </is>
      </c>
      <c r="X830">
        <f>IFERROR(IF(LoanIsNotPaid*LoanIsGood,PaymentNumber,""), "")</f>
        <v/>
      </c>
    </row>
    <row r="831">
      <c r="A831" t="inlineStr">
        <is>
          <t>Loan calculator</t>
        </is>
      </c>
      <c r="B831" t="inlineStr">
        <is>
          <t>C88</t>
        </is>
      </c>
      <c r="C831" t="n">
        <v>88</v>
      </c>
      <c r="D831" t="n">
        <v>3</v>
      </c>
      <c r="E831" t="inlineStr">
        <is>
          <t>Output</t>
        </is>
      </c>
      <c r="F831" t="inlineStr">
        <is>
          <t>'=IFERROR(IF(LoanIsNotPaid*LoanIsGood,PaymentDate,LoanStartDate), LoanStartDate)</t>
        </is>
      </c>
      <c r="G831" s="1" t="n">
        <v>48278</v>
      </c>
      <c r="H831" t="inlineStr"/>
      <c r="I831" t="inlineStr">
        <is>
          <t>mm-dd-yy</t>
        </is>
      </c>
      <c r="J831" t="b">
        <v>0</v>
      </c>
      <c r="K831" t="b">
        <v>0</v>
      </c>
      <c r="L831" t="n">
        <v>9</v>
      </c>
      <c r="M831" t="inlineStr">
        <is>
          <t>Values must be of type &lt;class 'str'&gt;</t>
        </is>
      </c>
      <c r="N831" t="inlineStr">
        <is>
          <t>00000000</t>
        </is>
      </c>
      <c r="O831" t="inlineStr">
        <is>
          <t>center</t>
        </is>
      </c>
      <c r="P831" t="inlineStr">
        <is>
          <t>center</t>
        </is>
      </c>
      <c r="R831" t="b">
        <v>1</v>
      </c>
      <c r="S831" t="inlineStr">
        <is>
          <t>G000002</t>
        </is>
      </c>
      <c r="T831" t="inlineStr">
        <is>
          <t>Vertical</t>
        </is>
      </c>
      <c r="U831" t="n">
        <v>120</v>
      </c>
      <c r="V831" t="b">
        <v>1</v>
      </c>
      <c r="W831" t="inlineStr">
        <is>
          <t>Loan calculator!C17:C136</t>
        </is>
      </c>
      <c r="X831">
        <f>IFERROR(IF(LoanIsNotPaid*LoanIsGood,PaymentDate,LoanStartDate), LoanStartDate)</f>
        <v/>
      </c>
    </row>
    <row r="832">
      <c r="A832" t="inlineStr">
        <is>
          <t>Loan calculator</t>
        </is>
      </c>
      <c r="B832" t="inlineStr">
        <is>
          <t>D88</t>
        </is>
      </c>
      <c r="C832" t="n">
        <v>88</v>
      </c>
      <c r="D832" t="n">
        <v>4</v>
      </c>
      <c r="E832" t="inlineStr">
        <is>
          <t>Output</t>
        </is>
      </c>
      <c r="F832" t="inlineStr">
        <is>
          <t>'=IFERROR(IF(LoanIsNotPaid*LoanIsGood,LoanValue,""), "")</t>
        </is>
      </c>
      <c r="G832" t="n">
        <v>4753.237865925843</v>
      </c>
      <c r="H832" t="inlineStr"/>
      <c r="I832" t="inlineStr">
        <is>
          <t>"$"#,##0.00</t>
        </is>
      </c>
      <c r="J832" t="b">
        <v>0</v>
      </c>
      <c r="K832" t="b">
        <v>0</v>
      </c>
      <c r="L832" t="n">
        <v>9</v>
      </c>
      <c r="M832" t="inlineStr">
        <is>
          <t>Values must be of type &lt;class 'str'&gt;</t>
        </is>
      </c>
      <c r="N832" t="inlineStr">
        <is>
          <t>00000000</t>
        </is>
      </c>
      <c r="O832" t="inlineStr">
        <is>
          <t>center</t>
        </is>
      </c>
      <c r="P832" t="inlineStr">
        <is>
          <t>center</t>
        </is>
      </c>
      <c r="R832" t="b">
        <v>1</v>
      </c>
      <c r="S832" t="inlineStr">
        <is>
          <t>G000003</t>
        </is>
      </c>
      <c r="T832" t="inlineStr">
        <is>
          <t>Vertical</t>
        </is>
      </c>
      <c r="U832" t="n">
        <v>120</v>
      </c>
      <c r="V832" t="b">
        <v>1</v>
      </c>
      <c r="W832" t="inlineStr">
        <is>
          <t>Loan calculator!D17:D136</t>
        </is>
      </c>
      <c r="X832">
        <f>IFERROR(IF(LoanIsNotPaid*LoanIsGood,LoanValue,""), "")</f>
        <v/>
      </c>
    </row>
    <row r="833">
      <c r="A833" t="inlineStr">
        <is>
          <t>Loan calculator</t>
        </is>
      </c>
      <c r="B833" t="inlineStr">
        <is>
          <t>E88</t>
        </is>
      </c>
      <c r="C833" t="n">
        <v>88</v>
      </c>
      <c r="D833" t="n">
        <v>5</v>
      </c>
      <c r="E833" t="inlineStr">
        <is>
          <t>Output</t>
        </is>
      </c>
      <c r="F833" t="inlineStr">
        <is>
          <t>'=IFERROR(IF(LoanIsNotPaid*LoanIsGood,MonthlyPayment,0), 0)</t>
        </is>
      </c>
      <c r="G833" t="n">
        <v>108.5262779604807</v>
      </c>
      <c r="H833" t="inlineStr"/>
      <c r="I833" t="inlineStr">
        <is>
          <t>"$"#,##0.00</t>
        </is>
      </c>
      <c r="J833" t="b">
        <v>0</v>
      </c>
      <c r="K833" t="b">
        <v>0</v>
      </c>
      <c r="L833" t="n">
        <v>9</v>
      </c>
      <c r="M833" t="inlineStr">
        <is>
          <t>Values must be of type &lt;class 'str'&gt;</t>
        </is>
      </c>
      <c r="N833" t="inlineStr">
        <is>
          <t>00000000</t>
        </is>
      </c>
      <c r="O833" t="inlineStr">
        <is>
          <t>center</t>
        </is>
      </c>
      <c r="P833" t="inlineStr">
        <is>
          <t>center</t>
        </is>
      </c>
      <c r="R833" t="b">
        <v>1</v>
      </c>
      <c r="S833" t="inlineStr">
        <is>
          <t>G000004</t>
        </is>
      </c>
      <c r="T833" t="inlineStr">
        <is>
          <t>Vertical</t>
        </is>
      </c>
      <c r="U833" t="n">
        <v>120</v>
      </c>
      <c r="V833" t="b">
        <v>1</v>
      </c>
      <c r="W833" t="inlineStr">
        <is>
          <t>Loan calculator!E17:E136</t>
        </is>
      </c>
      <c r="X833">
        <f>IFERROR(IF(LoanIsNotPaid*LoanIsGood,MonthlyPayment,0), 0)</f>
        <v/>
      </c>
    </row>
    <row r="834">
      <c r="A834" t="inlineStr">
        <is>
          <t>Loan calculator</t>
        </is>
      </c>
      <c r="B834" t="inlineStr">
        <is>
          <t>F88</t>
        </is>
      </c>
      <c r="C834" t="n">
        <v>88</v>
      </c>
      <c r="D834" t="n">
        <v>6</v>
      </c>
      <c r="E834" t="inlineStr">
        <is>
          <t>Output</t>
        </is>
      </c>
      <c r="F834" t="inlineStr">
        <is>
          <t>'=IFERROR(IF(LoanIsNotPaid*LoanIsGood,Principal,0), 0)</t>
        </is>
      </c>
      <c r="G834" t="n">
        <v>86.74060440832056</v>
      </c>
      <c r="H834" t="inlineStr"/>
      <c r="I834" t="inlineStr">
        <is>
          <t>"$"#,##0.00</t>
        </is>
      </c>
      <c r="J834" t="b">
        <v>0</v>
      </c>
      <c r="K834" t="b">
        <v>0</v>
      </c>
      <c r="L834" t="n">
        <v>9</v>
      </c>
      <c r="M834" t="inlineStr">
        <is>
          <t>Values must be of type &lt;class 'str'&gt;</t>
        </is>
      </c>
      <c r="N834" t="inlineStr">
        <is>
          <t>00000000</t>
        </is>
      </c>
      <c r="O834" t="inlineStr">
        <is>
          <t>center</t>
        </is>
      </c>
      <c r="P834" t="inlineStr">
        <is>
          <t>center</t>
        </is>
      </c>
      <c r="R834" t="b">
        <v>1</v>
      </c>
      <c r="S834" t="inlineStr">
        <is>
          <t>G000005</t>
        </is>
      </c>
      <c r="T834" t="inlineStr">
        <is>
          <t>Vertical</t>
        </is>
      </c>
      <c r="U834" t="n">
        <v>120</v>
      </c>
      <c r="V834" t="b">
        <v>1</v>
      </c>
      <c r="W834" t="inlineStr">
        <is>
          <t>Loan calculator!F17:F136</t>
        </is>
      </c>
      <c r="X834">
        <f>IFERROR(IF(LoanIsNotPaid*LoanIsGood,Principal,0), 0)</f>
        <v/>
      </c>
    </row>
    <row r="835">
      <c r="A835" t="inlineStr">
        <is>
          <t>Loan calculator</t>
        </is>
      </c>
      <c r="B835" t="inlineStr">
        <is>
          <t>G88</t>
        </is>
      </c>
      <c r="C835" t="n">
        <v>88</v>
      </c>
      <c r="D835" t="n">
        <v>7</v>
      </c>
      <c r="E835" t="inlineStr">
        <is>
          <t>Output</t>
        </is>
      </c>
      <c r="F835" t="inlineStr">
        <is>
          <t>'=IFERROR(IF(LoanIsNotPaid*LoanIsGood,InterestAmt,0), 0)</t>
        </is>
      </c>
      <c r="G835" t="n">
        <v>21.78567355216016</v>
      </c>
      <c r="H835" t="inlineStr"/>
      <c r="I835" t="inlineStr">
        <is>
          <t>"$"#,##0.00</t>
        </is>
      </c>
      <c r="J835" t="b">
        <v>0</v>
      </c>
      <c r="K835" t="b">
        <v>0</v>
      </c>
      <c r="L835" t="n">
        <v>9</v>
      </c>
      <c r="M835" t="inlineStr">
        <is>
          <t>Values must be of type &lt;class 'str'&gt;</t>
        </is>
      </c>
      <c r="N835" t="inlineStr">
        <is>
          <t>00000000</t>
        </is>
      </c>
      <c r="O835" t="inlineStr">
        <is>
          <t>center</t>
        </is>
      </c>
      <c r="P835" t="inlineStr">
        <is>
          <t>center</t>
        </is>
      </c>
      <c r="R835" t="b">
        <v>1</v>
      </c>
      <c r="S835" t="inlineStr">
        <is>
          <t>G000006</t>
        </is>
      </c>
      <c r="T835" t="inlineStr">
        <is>
          <t>Vertical</t>
        </is>
      </c>
      <c r="U835" t="n">
        <v>120</v>
      </c>
      <c r="V835" t="b">
        <v>1</v>
      </c>
      <c r="W835" t="inlineStr">
        <is>
          <t>Loan calculator!G17:G136</t>
        </is>
      </c>
      <c r="X835">
        <f>IFERROR(IF(LoanIsNotPaid*LoanIsGood,InterestAmt,0), 0)</f>
        <v/>
      </c>
    </row>
    <row r="836">
      <c r="A836" t="inlineStr">
        <is>
          <t>Loan calculator</t>
        </is>
      </c>
      <c r="B836" t="inlineStr">
        <is>
          <t>H88</t>
        </is>
      </c>
      <c r="C836" t="n">
        <v>88</v>
      </c>
      <c r="D836" t="n">
        <v>8</v>
      </c>
      <c r="E836" t="inlineStr">
        <is>
          <t>Output</t>
        </is>
      </c>
      <c r="F836" t="inlineStr">
        <is>
          <t>'=IFERROR(IF(LoanIsNotPaid*LoanIsGood,EndingBalance,0), 0)</t>
        </is>
      </c>
      <c r="G836" t="n">
        <v>4666.497261517523</v>
      </c>
      <c r="H836" t="inlineStr"/>
      <c r="I836" t="inlineStr">
        <is>
          <t>"$"#,##0.00</t>
        </is>
      </c>
      <c r="J836" t="b">
        <v>0</v>
      </c>
      <c r="K836" t="b">
        <v>0</v>
      </c>
      <c r="L836" t="n">
        <v>9</v>
      </c>
      <c r="M836" t="inlineStr">
        <is>
          <t>Values must be of type &lt;class 'str'&gt;</t>
        </is>
      </c>
      <c r="N836" t="inlineStr">
        <is>
          <t>00000000</t>
        </is>
      </c>
      <c r="O836" t="inlineStr">
        <is>
          <t>center</t>
        </is>
      </c>
      <c r="P836" t="inlineStr">
        <is>
          <t>center</t>
        </is>
      </c>
      <c r="R836" t="b">
        <v>1</v>
      </c>
      <c r="S836" t="inlineStr">
        <is>
          <t>G000007</t>
        </is>
      </c>
      <c r="T836" t="inlineStr">
        <is>
          <t>Vertical</t>
        </is>
      </c>
      <c r="U836" t="n">
        <v>120</v>
      </c>
      <c r="V836" t="b">
        <v>1</v>
      </c>
      <c r="W836" t="inlineStr">
        <is>
          <t>Loan calculator!H17:H136</t>
        </is>
      </c>
      <c r="X836">
        <f>IFERROR(IF(LoanIsNotPaid*LoanIsGood,EndingBalance,0), 0)</f>
        <v/>
      </c>
    </row>
    <row r="837">
      <c r="A837" t="inlineStr">
        <is>
          <t>Loan calculator</t>
        </is>
      </c>
      <c r="B837" t="inlineStr">
        <is>
          <t>I88</t>
        </is>
      </c>
      <c r="C837" t="n">
        <v>88</v>
      </c>
      <c r="D837" t="n">
        <v>9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11</v>
      </c>
      <c r="M837" t="inlineStr">
        <is>
          <t>Values must be of type &lt;class 'str'&gt;</t>
        </is>
      </c>
      <c r="N837" t="inlineStr">
        <is>
          <t>Values must be of type &lt;class 'str'&gt;</t>
        </is>
      </c>
      <c r="O837" t="n">
        <v/>
      </c>
      <c r="P837" t="inlineStr">
        <is>
          <t>center</t>
        </is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</row>
    <row r="838">
      <c r="A838" t="inlineStr">
        <is>
          <t>Loan calculator</t>
        </is>
      </c>
      <c r="B838" t="inlineStr">
        <is>
          <t>A89</t>
        </is>
      </c>
      <c r="C838" t="n">
        <v>89</v>
      </c>
      <c r="D838" t="n">
        <v>1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11</v>
      </c>
      <c r="M838" t="inlineStr">
        <is>
          <t>Values must be of type &lt;class 'str'&gt;</t>
        </is>
      </c>
      <c r="N838" t="inlineStr">
        <is>
          <t>Values must be of type &lt;class 'str'&gt;</t>
        </is>
      </c>
      <c r="O838" t="n">
        <v/>
      </c>
      <c r="P838" t="inlineStr">
        <is>
          <t>center</t>
        </is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</row>
    <row r="839">
      <c r="A839" t="inlineStr">
        <is>
          <t>Loan calculator</t>
        </is>
      </c>
      <c r="B839" t="inlineStr">
        <is>
          <t>B89</t>
        </is>
      </c>
      <c r="C839" t="n">
        <v>89</v>
      </c>
      <c r="D839" t="n">
        <v>2</v>
      </c>
      <c r="E839" t="inlineStr">
        <is>
          <t>Output</t>
        </is>
      </c>
      <c r="F839" t="inlineStr">
        <is>
          <t>'=IFERROR(IF(LoanIsNotPaid*LoanIsGood,PaymentNumber,""), "")</t>
        </is>
      </c>
      <c r="G839" t="n">
        <v>73</v>
      </c>
      <c r="H839" t="inlineStr"/>
      <c r="I839" t="inlineStr">
        <is>
          <t>#,##0</t>
        </is>
      </c>
      <c r="J839" t="b">
        <v>0</v>
      </c>
      <c r="K839" t="b">
        <v>0</v>
      </c>
      <c r="L839" t="n">
        <v>9</v>
      </c>
      <c r="M839" t="inlineStr">
        <is>
          <t>Values must be of type &lt;class 'str'&gt;</t>
        </is>
      </c>
      <c r="N839" t="inlineStr">
        <is>
          <t>00000000</t>
        </is>
      </c>
      <c r="O839" t="inlineStr">
        <is>
          <t>center</t>
        </is>
      </c>
      <c r="P839" t="inlineStr">
        <is>
          <t>center</t>
        </is>
      </c>
      <c r="R839" t="b">
        <v>1</v>
      </c>
      <c r="S839" t="inlineStr">
        <is>
          <t>G000001</t>
        </is>
      </c>
      <c r="T839" t="inlineStr">
        <is>
          <t>Vertical</t>
        </is>
      </c>
      <c r="U839" t="n">
        <v>120</v>
      </c>
      <c r="V839" t="b">
        <v>1</v>
      </c>
      <c r="W839" t="inlineStr">
        <is>
          <t>Loan calculator!B17:B136</t>
        </is>
      </c>
      <c r="X839">
        <f>IFERROR(IF(LoanIsNotPaid*LoanIsGood,PaymentNumber,""), "")</f>
        <v/>
      </c>
    </row>
    <row r="840">
      <c r="A840" t="inlineStr">
        <is>
          <t>Loan calculator</t>
        </is>
      </c>
      <c r="B840" t="inlineStr">
        <is>
          <t>C89</t>
        </is>
      </c>
      <c r="C840" t="n">
        <v>89</v>
      </c>
      <c r="D840" t="n">
        <v>3</v>
      </c>
      <c r="E840" t="inlineStr">
        <is>
          <t>Output</t>
        </is>
      </c>
      <c r="F840" t="inlineStr">
        <is>
          <t>'=IFERROR(IF(LoanIsNotPaid*LoanIsGood,PaymentDate,LoanStartDate), LoanStartDate)</t>
        </is>
      </c>
      <c r="G840" s="1" t="n">
        <v>48309</v>
      </c>
      <c r="H840" t="inlineStr"/>
      <c r="I840" t="inlineStr">
        <is>
          <t>mm-dd-yy</t>
        </is>
      </c>
      <c r="J840" t="b">
        <v>0</v>
      </c>
      <c r="K840" t="b">
        <v>0</v>
      </c>
      <c r="L840" t="n">
        <v>9</v>
      </c>
      <c r="M840" t="inlineStr">
        <is>
          <t>Values must be of type &lt;class 'str'&gt;</t>
        </is>
      </c>
      <c r="N840" t="inlineStr">
        <is>
          <t>00000000</t>
        </is>
      </c>
      <c r="O840" t="inlineStr">
        <is>
          <t>center</t>
        </is>
      </c>
      <c r="P840" t="inlineStr">
        <is>
          <t>center</t>
        </is>
      </c>
      <c r="R840" t="b">
        <v>1</v>
      </c>
      <c r="S840" t="inlineStr">
        <is>
          <t>G000002</t>
        </is>
      </c>
      <c r="T840" t="inlineStr">
        <is>
          <t>Vertical</t>
        </is>
      </c>
      <c r="U840" t="n">
        <v>120</v>
      </c>
      <c r="V840" t="b">
        <v>1</v>
      </c>
      <c r="W840" t="inlineStr">
        <is>
          <t>Loan calculator!C17:C136</t>
        </is>
      </c>
      <c r="X840">
        <f>IFERROR(IF(LoanIsNotPaid*LoanIsGood,PaymentDate,LoanStartDate), LoanStartDate)</f>
        <v/>
      </c>
    </row>
    <row r="841">
      <c r="A841" t="inlineStr">
        <is>
          <t>Loan calculator</t>
        </is>
      </c>
      <c r="B841" t="inlineStr">
        <is>
          <t>D89</t>
        </is>
      </c>
      <c r="C841" t="n">
        <v>89</v>
      </c>
      <c r="D841" t="n">
        <v>4</v>
      </c>
      <c r="E841" t="inlineStr">
        <is>
          <t>Output</t>
        </is>
      </c>
      <c r="F841" t="inlineStr">
        <is>
          <t>'=IFERROR(IF(LoanIsNotPaid*LoanIsGood,LoanValue,""), "")</t>
        </is>
      </c>
      <c r="G841" t="n">
        <v>4666.497261517523</v>
      </c>
      <c r="H841" t="inlineStr"/>
      <c r="I841" t="inlineStr">
        <is>
          <t>"$"#,##0.00</t>
        </is>
      </c>
      <c r="J841" t="b">
        <v>0</v>
      </c>
      <c r="K841" t="b">
        <v>0</v>
      </c>
      <c r="L841" t="n">
        <v>9</v>
      </c>
      <c r="M841" t="inlineStr">
        <is>
          <t>Values must be of type &lt;class 'str'&gt;</t>
        </is>
      </c>
      <c r="N841" t="inlineStr">
        <is>
          <t>00000000</t>
        </is>
      </c>
      <c r="O841" t="inlineStr">
        <is>
          <t>center</t>
        </is>
      </c>
      <c r="P841" t="inlineStr">
        <is>
          <t>center</t>
        </is>
      </c>
      <c r="R841" t="b">
        <v>1</v>
      </c>
      <c r="S841" t="inlineStr">
        <is>
          <t>G000003</t>
        </is>
      </c>
      <c r="T841" t="inlineStr">
        <is>
          <t>Vertical</t>
        </is>
      </c>
      <c r="U841" t="n">
        <v>120</v>
      </c>
      <c r="V841" t="b">
        <v>1</v>
      </c>
      <c r="W841" t="inlineStr">
        <is>
          <t>Loan calculator!D17:D136</t>
        </is>
      </c>
      <c r="X841">
        <f>IFERROR(IF(LoanIsNotPaid*LoanIsGood,LoanValue,""), "")</f>
        <v/>
      </c>
    </row>
    <row r="842">
      <c r="A842" t="inlineStr">
        <is>
          <t>Loan calculator</t>
        </is>
      </c>
      <c r="B842" t="inlineStr">
        <is>
          <t>E89</t>
        </is>
      </c>
      <c r="C842" t="n">
        <v>89</v>
      </c>
      <c r="D842" t="n">
        <v>5</v>
      </c>
      <c r="E842" t="inlineStr">
        <is>
          <t>Output</t>
        </is>
      </c>
      <c r="F842" t="inlineStr">
        <is>
          <t>'=IFERROR(IF(LoanIsNotPaid*LoanIsGood,MonthlyPayment,0), 0)</t>
        </is>
      </c>
      <c r="G842" t="n">
        <v>108.5262779604807</v>
      </c>
      <c r="H842" t="inlineStr"/>
      <c r="I842" t="inlineStr">
        <is>
          <t>"$"#,##0.00</t>
        </is>
      </c>
      <c r="J842" t="b">
        <v>0</v>
      </c>
      <c r="K842" t="b">
        <v>0</v>
      </c>
      <c r="L842" t="n">
        <v>9</v>
      </c>
      <c r="M842" t="inlineStr">
        <is>
          <t>Values must be of type &lt;class 'str'&gt;</t>
        </is>
      </c>
      <c r="N842" t="inlineStr">
        <is>
          <t>00000000</t>
        </is>
      </c>
      <c r="O842" t="inlineStr">
        <is>
          <t>center</t>
        </is>
      </c>
      <c r="P842" t="inlineStr">
        <is>
          <t>center</t>
        </is>
      </c>
      <c r="R842" t="b">
        <v>1</v>
      </c>
      <c r="S842" t="inlineStr">
        <is>
          <t>G000004</t>
        </is>
      </c>
      <c r="T842" t="inlineStr">
        <is>
          <t>Vertical</t>
        </is>
      </c>
      <c r="U842" t="n">
        <v>120</v>
      </c>
      <c r="V842" t="b">
        <v>1</v>
      </c>
      <c r="W842" t="inlineStr">
        <is>
          <t>Loan calculator!E17:E136</t>
        </is>
      </c>
      <c r="X842">
        <f>IFERROR(IF(LoanIsNotPaid*LoanIsGood,MonthlyPayment,0), 0)</f>
        <v/>
      </c>
    </row>
    <row r="843">
      <c r="A843" t="inlineStr">
        <is>
          <t>Loan calculator</t>
        </is>
      </c>
      <c r="B843" t="inlineStr">
        <is>
          <t>F89</t>
        </is>
      </c>
      <c r="C843" t="n">
        <v>89</v>
      </c>
      <c r="D843" t="n">
        <v>6</v>
      </c>
      <c r="E843" t="inlineStr">
        <is>
          <t>Output</t>
        </is>
      </c>
      <c r="F843" t="inlineStr">
        <is>
          <t>'=IFERROR(IF(LoanIsNotPaid*LoanIsGood,Principal,0), 0)</t>
        </is>
      </c>
      <c r="G843" t="n">
        <v>87.1381655118587</v>
      </c>
      <c r="H843" t="inlineStr"/>
      <c r="I843" t="inlineStr">
        <is>
          <t>"$"#,##0.00</t>
        </is>
      </c>
      <c r="J843" t="b">
        <v>0</v>
      </c>
      <c r="K843" t="b">
        <v>0</v>
      </c>
      <c r="L843" t="n">
        <v>9</v>
      </c>
      <c r="M843" t="inlineStr">
        <is>
          <t>Values must be of type &lt;class 'str'&gt;</t>
        </is>
      </c>
      <c r="N843" t="inlineStr">
        <is>
          <t>00000000</t>
        </is>
      </c>
      <c r="O843" t="inlineStr">
        <is>
          <t>center</t>
        </is>
      </c>
      <c r="P843" t="inlineStr">
        <is>
          <t>center</t>
        </is>
      </c>
      <c r="R843" t="b">
        <v>1</v>
      </c>
      <c r="S843" t="inlineStr">
        <is>
          <t>G000005</t>
        </is>
      </c>
      <c r="T843" t="inlineStr">
        <is>
          <t>Vertical</t>
        </is>
      </c>
      <c r="U843" t="n">
        <v>120</v>
      </c>
      <c r="V843" t="b">
        <v>1</v>
      </c>
      <c r="W843" t="inlineStr">
        <is>
          <t>Loan calculator!F17:F136</t>
        </is>
      </c>
      <c r="X843">
        <f>IFERROR(IF(LoanIsNotPaid*LoanIsGood,Principal,0), 0)</f>
        <v/>
      </c>
    </row>
    <row r="844">
      <c r="A844" t="inlineStr">
        <is>
          <t>Loan calculator</t>
        </is>
      </c>
      <c r="B844" t="inlineStr">
        <is>
          <t>G89</t>
        </is>
      </c>
      <c r="C844" t="n">
        <v>89</v>
      </c>
      <c r="D844" t="n">
        <v>7</v>
      </c>
      <c r="E844" t="inlineStr">
        <is>
          <t>Output</t>
        </is>
      </c>
      <c r="F844" t="inlineStr">
        <is>
          <t>'=IFERROR(IF(LoanIsNotPaid*LoanIsGood,InterestAmt,0), 0)</t>
        </is>
      </c>
      <c r="G844" t="n">
        <v>21.38811244862203</v>
      </c>
      <c r="H844" t="inlineStr"/>
      <c r="I844" t="inlineStr">
        <is>
          <t>"$"#,##0.00</t>
        </is>
      </c>
      <c r="J844" t="b">
        <v>0</v>
      </c>
      <c r="K844" t="b">
        <v>0</v>
      </c>
      <c r="L844" t="n">
        <v>9</v>
      </c>
      <c r="M844" t="inlineStr">
        <is>
          <t>Values must be of type &lt;class 'str'&gt;</t>
        </is>
      </c>
      <c r="N844" t="inlineStr">
        <is>
          <t>00000000</t>
        </is>
      </c>
      <c r="O844" t="inlineStr">
        <is>
          <t>center</t>
        </is>
      </c>
      <c r="P844" t="inlineStr">
        <is>
          <t>center</t>
        </is>
      </c>
      <c r="R844" t="b">
        <v>1</v>
      </c>
      <c r="S844" t="inlineStr">
        <is>
          <t>G000006</t>
        </is>
      </c>
      <c r="T844" t="inlineStr">
        <is>
          <t>Vertical</t>
        </is>
      </c>
      <c r="U844" t="n">
        <v>120</v>
      </c>
      <c r="V844" t="b">
        <v>1</v>
      </c>
      <c r="W844" t="inlineStr">
        <is>
          <t>Loan calculator!G17:G136</t>
        </is>
      </c>
      <c r="X844">
        <f>IFERROR(IF(LoanIsNotPaid*LoanIsGood,InterestAmt,0), 0)</f>
        <v/>
      </c>
    </row>
    <row r="845">
      <c r="A845" t="inlineStr">
        <is>
          <t>Loan calculator</t>
        </is>
      </c>
      <c r="B845" t="inlineStr">
        <is>
          <t>H89</t>
        </is>
      </c>
      <c r="C845" t="n">
        <v>89</v>
      </c>
      <c r="D845" t="n">
        <v>8</v>
      </c>
      <c r="E845" t="inlineStr">
        <is>
          <t>Output</t>
        </is>
      </c>
      <c r="F845" t="inlineStr">
        <is>
          <t>'=IFERROR(IF(LoanIsNotPaid*LoanIsGood,EndingBalance,0), 0)</t>
        </is>
      </c>
      <c r="G845" t="n">
        <v>4579.359096005664</v>
      </c>
      <c r="H845" t="inlineStr"/>
      <c r="I845" t="inlineStr">
        <is>
          <t>"$"#,##0.00</t>
        </is>
      </c>
      <c r="J845" t="b">
        <v>0</v>
      </c>
      <c r="K845" t="b">
        <v>0</v>
      </c>
      <c r="L845" t="n">
        <v>9</v>
      </c>
      <c r="M845" t="inlineStr">
        <is>
          <t>Values must be of type &lt;class 'str'&gt;</t>
        </is>
      </c>
      <c r="N845" t="inlineStr">
        <is>
          <t>00000000</t>
        </is>
      </c>
      <c r="O845" t="inlineStr">
        <is>
          <t>center</t>
        </is>
      </c>
      <c r="P845" t="inlineStr">
        <is>
          <t>center</t>
        </is>
      </c>
      <c r="R845" t="b">
        <v>1</v>
      </c>
      <c r="S845" t="inlineStr">
        <is>
          <t>G000007</t>
        </is>
      </c>
      <c r="T845" t="inlineStr">
        <is>
          <t>Vertical</t>
        </is>
      </c>
      <c r="U845" t="n">
        <v>120</v>
      </c>
      <c r="V845" t="b">
        <v>1</v>
      </c>
      <c r="W845" t="inlineStr">
        <is>
          <t>Loan calculator!H17:H136</t>
        </is>
      </c>
      <c r="X845">
        <f>IFERROR(IF(LoanIsNotPaid*LoanIsGood,EndingBalance,0), 0)</f>
        <v/>
      </c>
    </row>
    <row r="846">
      <c r="A846" t="inlineStr">
        <is>
          <t>Loan calculator</t>
        </is>
      </c>
      <c r="B846" t="inlineStr">
        <is>
          <t>I89</t>
        </is>
      </c>
      <c r="C846" t="n">
        <v>89</v>
      </c>
      <c r="D846" t="n">
        <v>9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11</v>
      </c>
      <c r="M846" t="inlineStr">
        <is>
          <t>Values must be of type &lt;class 'str'&gt;</t>
        </is>
      </c>
      <c r="N846" t="inlineStr">
        <is>
          <t>Values must be of type &lt;class 'str'&gt;</t>
        </is>
      </c>
      <c r="O846" t="n">
        <v/>
      </c>
      <c r="P846" t="inlineStr">
        <is>
          <t>center</t>
        </is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</row>
    <row r="847">
      <c r="A847" t="inlineStr">
        <is>
          <t>Loan calculator</t>
        </is>
      </c>
      <c r="B847" t="inlineStr">
        <is>
          <t>A90</t>
        </is>
      </c>
      <c r="C847" t="n">
        <v>90</v>
      </c>
      <c r="D847" t="n">
        <v>1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11</v>
      </c>
      <c r="M847" t="inlineStr">
        <is>
          <t>Values must be of type &lt;class 'str'&gt;</t>
        </is>
      </c>
      <c r="N847" t="inlineStr">
        <is>
          <t>Values must be of type &lt;class 'str'&gt;</t>
        </is>
      </c>
      <c r="O847" t="n">
        <v/>
      </c>
      <c r="P847" t="inlineStr">
        <is>
          <t>center</t>
        </is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</row>
    <row r="848">
      <c r="A848" t="inlineStr">
        <is>
          <t>Loan calculator</t>
        </is>
      </c>
      <c r="B848" t="inlineStr">
        <is>
          <t>B90</t>
        </is>
      </c>
      <c r="C848" t="n">
        <v>90</v>
      </c>
      <c r="D848" t="n">
        <v>2</v>
      </c>
      <c r="E848" t="inlineStr">
        <is>
          <t>Output</t>
        </is>
      </c>
      <c r="F848" t="inlineStr">
        <is>
          <t>'=IFERROR(IF(LoanIsNotPaid*LoanIsGood,PaymentNumber,""), "")</t>
        </is>
      </c>
      <c r="G848" t="n">
        <v>74</v>
      </c>
      <c r="H848" t="inlineStr"/>
      <c r="I848" t="inlineStr">
        <is>
          <t>#,##0</t>
        </is>
      </c>
      <c r="J848" t="b">
        <v>0</v>
      </c>
      <c r="K848" t="b">
        <v>0</v>
      </c>
      <c r="L848" t="n">
        <v>9</v>
      </c>
      <c r="M848" t="inlineStr">
        <is>
          <t>Values must be of type &lt;class 'str'&gt;</t>
        </is>
      </c>
      <c r="N848" t="inlineStr">
        <is>
          <t>00000000</t>
        </is>
      </c>
      <c r="O848" t="inlineStr">
        <is>
          <t>center</t>
        </is>
      </c>
      <c r="P848" t="inlineStr">
        <is>
          <t>center</t>
        </is>
      </c>
      <c r="R848" t="b">
        <v>1</v>
      </c>
      <c r="S848" t="inlineStr">
        <is>
          <t>G000001</t>
        </is>
      </c>
      <c r="T848" t="inlineStr">
        <is>
          <t>Vertical</t>
        </is>
      </c>
      <c r="U848" t="n">
        <v>120</v>
      </c>
      <c r="V848" t="b">
        <v>1</v>
      </c>
      <c r="W848" t="inlineStr">
        <is>
          <t>Loan calculator!B17:B136</t>
        </is>
      </c>
      <c r="X848">
        <f>IFERROR(IF(LoanIsNotPaid*LoanIsGood,PaymentNumber,""), "")</f>
        <v/>
      </c>
    </row>
    <row r="849">
      <c r="A849" t="inlineStr">
        <is>
          <t>Loan calculator</t>
        </is>
      </c>
      <c r="B849" t="inlineStr">
        <is>
          <t>C90</t>
        </is>
      </c>
      <c r="C849" t="n">
        <v>90</v>
      </c>
      <c r="D849" t="n">
        <v>3</v>
      </c>
      <c r="E849" t="inlineStr">
        <is>
          <t>Output</t>
        </is>
      </c>
      <c r="F849" t="inlineStr">
        <is>
          <t>'=IFERROR(IF(LoanIsNotPaid*LoanIsGood,PaymentDate,LoanStartDate), LoanStartDate)</t>
        </is>
      </c>
      <c r="G849" s="1" t="n">
        <v>48339</v>
      </c>
      <c r="H849" t="inlineStr"/>
      <c r="I849" t="inlineStr">
        <is>
          <t>mm-dd-yy</t>
        </is>
      </c>
      <c r="J849" t="b">
        <v>0</v>
      </c>
      <c r="K849" t="b">
        <v>0</v>
      </c>
      <c r="L849" t="n">
        <v>9</v>
      </c>
      <c r="M849" t="inlineStr">
        <is>
          <t>Values must be of type &lt;class 'str'&gt;</t>
        </is>
      </c>
      <c r="N849" t="inlineStr">
        <is>
          <t>00000000</t>
        </is>
      </c>
      <c r="O849" t="inlineStr">
        <is>
          <t>center</t>
        </is>
      </c>
      <c r="P849" t="inlineStr">
        <is>
          <t>center</t>
        </is>
      </c>
      <c r="R849" t="b">
        <v>1</v>
      </c>
      <c r="S849" t="inlineStr">
        <is>
          <t>G000002</t>
        </is>
      </c>
      <c r="T849" t="inlineStr">
        <is>
          <t>Vertical</t>
        </is>
      </c>
      <c r="U849" t="n">
        <v>120</v>
      </c>
      <c r="V849" t="b">
        <v>1</v>
      </c>
      <c r="W849" t="inlineStr">
        <is>
          <t>Loan calculator!C17:C136</t>
        </is>
      </c>
      <c r="X849">
        <f>IFERROR(IF(LoanIsNotPaid*LoanIsGood,PaymentDate,LoanStartDate), LoanStartDate)</f>
        <v/>
      </c>
    </row>
    <row r="850">
      <c r="A850" t="inlineStr">
        <is>
          <t>Loan calculator</t>
        </is>
      </c>
      <c r="B850" t="inlineStr">
        <is>
          <t>D90</t>
        </is>
      </c>
      <c r="C850" t="n">
        <v>90</v>
      </c>
      <c r="D850" t="n">
        <v>4</v>
      </c>
      <c r="E850" t="inlineStr">
        <is>
          <t>Output</t>
        </is>
      </c>
      <c r="F850" t="inlineStr">
        <is>
          <t>'=IFERROR(IF(LoanIsNotPaid*LoanIsGood,LoanValue,""), "")</t>
        </is>
      </c>
      <c r="G850" t="n">
        <v>4579.359096005664</v>
      </c>
      <c r="H850" t="inlineStr"/>
      <c r="I850" t="inlineStr">
        <is>
          <t>"$"#,##0.00</t>
        </is>
      </c>
      <c r="J850" t="b">
        <v>0</v>
      </c>
      <c r="K850" t="b">
        <v>0</v>
      </c>
      <c r="L850" t="n">
        <v>9</v>
      </c>
      <c r="M850" t="inlineStr">
        <is>
          <t>Values must be of type &lt;class 'str'&gt;</t>
        </is>
      </c>
      <c r="N850" t="inlineStr">
        <is>
          <t>00000000</t>
        </is>
      </c>
      <c r="O850" t="inlineStr">
        <is>
          <t>center</t>
        </is>
      </c>
      <c r="P850" t="inlineStr">
        <is>
          <t>center</t>
        </is>
      </c>
      <c r="R850" t="b">
        <v>1</v>
      </c>
      <c r="S850" t="inlineStr">
        <is>
          <t>G000003</t>
        </is>
      </c>
      <c r="T850" t="inlineStr">
        <is>
          <t>Vertical</t>
        </is>
      </c>
      <c r="U850" t="n">
        <v>120</v>
      </c>
      <c r="V850" t="b">
        <v>1</v>
      </c>
      <c r="W850" t="inlineStr">
        <is>
          <t>Loan calculator!D17:D136</t>
        </is>
      </c>
      <c r="X850">
        <f>IFERROR(IF(LoanIsNotPaid*LoanIsGood,LoanValue,""), "")</f>
        <v/>
      </c>
    </row>
    <row r="851">
      <c r="A851" t="inlineStr">
        <is>
          <t>Loan calculator</t>
        </is>
      </c>
      <c r="B851" t="inlineStr">
        <is>
          <t>E90</t>
        </is>
      </c>
      <c r="C851" t="n">
        <v>90</v>
      </c>
      <c r="D851" t="n">
        <v>5</v>
      </c>
      <c r="E851" t="inlineStr">
        <is>
          <t>Output</t>
        </is>
      </c>
      <c r="F851" t="inlineStr">
        <is>
          <t>'=IFERROR(IF(LoanIsNotPaid*LoanIsGood,MonthlyPayment,0), 0)</t>
        </is>
      </c>
      <c r="G851" t="n">
        <v>108.5262779604807</v>
      </c>
      <c r="H851" t="inlineStr"/>
      <c r="I851" t="inlineStr">
        <is>
          <t>"$"#,##0.00</t>
        </is>
      </c>
      <c r="J851" t="b">
        <v>0</v>
      </c>
      <c r="K851" t="b">
        <v>0</v>
      </c>
      <c r="L851" t="n">
        <v>9</v>
      </c>
      <c r="M851" t="inlineStr">
        <is>
          <t>Values must be of type &lt;class 'str'&gt;</t>
        </is>
      </c>
      <c r="N851" t="inlineStr">
        <is>
          <t>00000000</t>
        </is>
      </c>
      <c r="O851" t="inlineStr">
        <is>
          <t>center</t>
        </is>
      </c>
      <c r="P851" t="inlineStr">
        <is>
          <t>center</t>
        </is>
      </c>
      <c r="R851" t="b">
        <v>1</v>
      </c>
      <c r="S851" t="inlineStr">
        <is>
          <t>G000004</t>
        </is>
      </c>
      <c r="T851" t="inlineStr">
        <is>
          <t>Vertical</t>
        </is>
      </c>
      <c r="U851" t="n">
        <v>120</v>
      </c>
      <c r="V851" t="b">
        <v>1</v>
      </c>
      <c r="W851" t="inlineStr">
        <is>
          <t>Loan calculator!E17:E136</t>
        </is>
      </c>
      <c r="X851">
        <f>IFERROR(IF(LoanIsNotPaid*LoanIsGood,MonthlyPayment,0), 0)</f>
        <v/>
      </c>
    </row>
    <row r="852">
      <c r="A852" t="inlineStr">
        <is>
          <t>Loan calculator</t>
        </is>
      </c>
      <c r="B852" t="inlineStr">
        <is>
          <t>F90</t>
        </is>
      </c>
      <c r="C852" t="n">
        <v>90</v>
      </c>
      <c r="D852" t="n">
        <v>6</v>
      </c>
      <c r="E852" t="inlineStr">
        <is>
          <t>Output</t>
        </is>
      </c>
      <c r="F852" t="inlineStr">
        <is>
          <t>'=IFERROR(IF(LoanIsNotPaid*LoanIsGood,Principal,0), 0)</t>
        </is>
      </c>
      <c r="G852" t="n">
        <v>87.53754877045472</v>
      </c>
      <c r="H852" t="inlineStr"/>
      <c r="I852" t="inlineStr">
        <is>
          <t>"$"#,##0.00</t>
        </is>
      </c>
      <c r="J852" t="b">
        <v>0</v>
      </c>
      <c r="K852" t="b">
        <v>0</v>
      </c>
      <c r="L852" t="n">
        <v>9</v>
      </c>
      <c r="M852" t="inlineStr">
        <is>
          <t>Values must be of type &lt;class 'str'&gt;</t>
        </is>
      </c>
      <c r="N852" t="inlineStr">
        <is>
          <t>00000000</t>
        </is>
      </c>
      <c r="O852" t="inlineStr">
        <is>
          <t>center</t>
        </is>
      </c>
      <c r="P852" t="inlineStr">
        <is>
          <t>center</t>
        </is>
      </c>
      <c r="R852" t="b">
        <v>1</v>
      </c>
      <c r="S852" t="inlineStr">
        <is>
          <t>G000005</t>
        </is>
      </c>
      <c r="T852" t="inlineStr">
        <is>
          <t>Vertical</t>
        </is>
      </c>
      <c r="U852" t="n">
        <v>120</v>
      </c>
      <c r="V852" t="b">
        <v>1</v>
      </c>
      <c r="W852" t="inlineStr">
        <is>
          <t>Loan calculator!F17:F136</t>
        </is>
      </c>
      <c r="X852">
        <f>IFERROR(IF(LoanIsNotPaid*LoanIsGood,Principal,0), 0)</f>
        <v/>
      </c>
    </row>
    <row r="853">
      <c r="A853" t="inlineStr">
        <is>
          <t>Loan calculator</t>
        </is>
      </c>
      <c r="B853" t="inlineStr">
        <is>
          <t>G90</t>
        </is>
      </c>
      <c r="C853" t="n">
        <v>90</v>
      </c>
      <c r="D853" t="n">
        <v>7</v>
      </c>
      <c r="E853" t="inlineStr">
        <is>
          <t>Output</t>
        </is>
      </c>
      <c r="F853" t="inlineStr">
        <is>
          <t>'=IFERROR(IF(LoanIsNotPaid*LoanIsGood,InterestAmt,0), 0)</t>
        </is>
      </c>
      <c r="G853" t="n">
        <v>20.98872919002601</v>
      </c>
      <c r="H853" t="inlineStr"/>
      <c r="I853" t="inlineStr">
        <is>
          <t>"$"#,##0.00</t>
        </is>
      </c>
      <c r="J853" t="b">
        <v>0</v>
      </c>
      <c r="K853" t="b">
        <v>0</v>
      </c>
      <c r="L853" t="n">
        <v>9</v>
      </c>
      <c r="M853" t="inlineStr">
        <is>
          <t>Values must be of type &lt;class 'str'&gt;</t>
        </is>
      </c>
      <c r="N853" t="inlineStr">
        <is>
          <t>00000000</t>
        </is>
      </c>
      <c r="O853" t="inlineStr">
        <is>
          <t>center</t>
        </is>
      </c>
      <c r="P853" t="inlineStr">
        <is>
          <t>center</t>
        </is>
      </c>
      <c r="R853" t="b">
        <v>1</v>
      </c>
      <c r="S853" t="inlineStr">
        <is>
          <t>G000006</t>
        </is>
      </c>
      <c r="T853" t="inlineStr">
        <is>
          <t>Vertical</t>
        </is>
      </c>
      <c r="U853" t="n">
        <v>120</v>
      </c>
      <c r="V853" t="b">
        <v>1</v>
      </c>
      <c r="W853" t="inlineStr">
        <is>
          <t>Loan calculator!G17:G136</t>
        </is>
      </c>
      <c r="X853">
        <f>IFERROR(IF(LoanIsNotPaid*LoanIsGood,InterestAmt,0), 0)</f>
        <v/>
      </c>
    </row>
    <row r="854">
      <c r="A854" t="inlineStr">
        <is>
          <t>Loan calculator</t>
        </is>
      </c>
      <c r="B854" t="inlineStr">
        <is>
          <t>H90</t>
        </is>
      </c>
      <c r="C854" t="n">
        <v>90</v>
      </c>
      <c r="D854" t="n">
        <v>8</v>
      </c>
      <c r="E854" t="inlineStr">
        <is>
          <t>Output</t>
        </is>
      </c>
      <c r="F854" t="inlineStr">
        <is>
          <t>'=IFERROR(IF(LoanIsNotPaid*LoanIsGood,EndingBalance,0), 0)</t>
        </is>
      </c>
      <c r="G854" t="n">
        <v>4491.821547235208</v>
      </c>
      <c r="H854" t="inlineStr"/>
      <c r="I854" t="inlineStr">
        <is>
          <t>"$"#,##0.00</t>
        </is>
      </c>
      <c r="J854" t="b">
        <v>0</v>
      </c>
      <c r="K854" t="b">
        <v>0</v>
      </c>
      <c r="L854" t="n">
        <v>9</v>
      </c>
      <c r="M854" t="inlineStr">
        <is>
          <t>Values must be of type &lt;class 'str'&gt;</t>
        </is>
      </c>
      <c r="N854" t="inlineStr">
        <is>
          <t>00000000</t>
        </is>
      </c>
      <c r="O854" t="inlineStr">
        <is>
          <t>center</t>
        </is>
      </c>
      <c r="P854" t="inlineStr">
        <is>
          <t>center</t>
        </is>
      </c>
      <c r="R854" t="b">
        <v>1</v>
      </c>
      <c r="S854" t="inlineStr">
        <is>
          <t>G000007</t>
        </is>
      </c>
      <c r="T854" t="inlineStr">
        <is>
          <t>Vertical</t>
        </is>
      </c>
      <c r="U854" t="n">
        <v>120</v>
      </c>
      <c r="V854" t="b">
        <v>1</v>
      </c>
      <c r="W854" t="inlineStr">
        <is>
          <t>Loan calculator!H17:H136</t>
        </is>
      </c>
      <c r="X854">
        <f>IFERROR(IF(LoanIsNotPaid*LoanIsGood,EndingBalance,0), 0)</f>
        <v/>
      </c>
    </row>
    <row r="855">
      <c r="A855" t="inlineStr">
        <is>
          <t>Loan calculator</t>
        </is>
      </c>
      <c r="B855" t="inlineStr">
        <is>
          <t>I90</t>
        </is>
      </c>
      <c r="C855" t="n">
        <v>90</v>
      </c>
      <c r="D855" t="n">
        <v>9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11</v>
      </c>
      <c r="M855" t="inlineStr">
        <is>
          <t>Values must be of type &lt;class 'str'&gt;</t>
        </is>
      </c>
      <c r="N855" t="inlineStr">
        <is>
          <t>Values must be of type &lt;class 'str'&gt;</t>
        </is>
      </c>
      <c r="O855" t="n">
        <v/>
      </c>
      <c r="P855" t="inlineStr">
        <is>
          <t>center</t>
        </is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</row>
    <row r="856">
      <c r="A856" t="inlineStr">
        <is>
          <t>Loan calculator</t>
        </is>
      </c>
      <c r="B856" t="inlineStr">
        <is>
          <t>A91</t>
        </is>
      </c>
      <c r="C856" t="n">
        <v>91</v>
      </c>
      <c r="D856" t="n">
        <v>1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11</v>
      </c>
      <c r="M856" t="inlineStr">
        <is>
          <t>Values must be of type &lt;class 'str'&gt;</t>
        </is>
      </c>
      <c r="N856" t="inlineStr">
        <is>
          <t>Values must be of type &lt;class 'str'&gt;</t>
        </is>
      </c>
      <c r="O856" t="n">
        <v/>
      </c>
      <c r="P856" t="inlineStr">
        <is>
          <t>center</t>
        </is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</row>
    <row r="857">
      <c r="A857" t="inlineStr">
        <is>
          <t>Loan calculator</t>
        </is>
      </c>
      <c r="B857" t="inlineStr">
        <is>
          <t>B91</t>
        </is>
      </c>
      <c r="C857" t="n">
        <v>91</v>
      </c>
      <c r="D857" t="n">
        <v>2</v>
      </c>
      <c r="E857" t="inlineStr">
        <is>
          <t>Output</t>
        </is>
      </c>
      <c r="F857" t="inlineStr">
        <is>
          <t>'=IFERROR(IF(LoanIsNotPaid*LoanIsGood,PaymentNumber,""), "")</t>
        </is>
      </c>
      <c r="G857" t="n">
        <v>75</v>
      </c>
      <c r="H857" t="inlineStr"/>
      <c r="I857" t="inlineStr">
        <is>
          <t>#,##0</t>
        </is>
      </c>
      <c r="J857" t="b">
        <v>0</v>
      </c>
      <c r="K857" t="b">
        <v>0</v>
      </c>
      <c r="L857" t="n">
        <v>9</v>
      </c>
      <c r="M857" t="inlineStr">
        <is>
          <t>Values must be of type &lt;class 'str'&gt;</t>
        </is>
      </c>
      <c r="N857" t="inlineStr">
        <is>
          <t>00000000</t>
        </is>
      </c>
      <c r="O857" t="inlineStr">
        <is>
          <t>center</t>
        </is>
      </c>
      <c r="P857" t="inlineStr">
        <is>
          <t>center</t>
        </is>
      </c>
      <c r="R857" t="b">
        <v>1</v>
      </c>
      <c r="S857" t="inlineStr">
        <is>
          <t>G000001</t>
        </is>
      </c>
      <c r="T857" t="inlineStr">
        <is>
          <t>Vertical</t>
        </is>
      </c>
      <c r="U857" t="n">
        <v>120</v>
      </c>
      <c r="V857" t="b">
        <v>1</v>
      </c>
      <c r="W857" t="inlineStr">
        <is>
          <t>Loan calculator!B17:B136</t>
        </is>
      </c>
      <c r="X857">
        <f>IFERROR(IF(LoanIsNotPaid*LoanIsGood,PaymentNumber,""), "")</f>
        <v/>
      </c>
    </row>
    <row r="858">
      <c r="A858" t="inlineStr">
        <is>
          <t>Loan calculator</t>
        </is>
      </c>
      <c r="B858" t="inlineStr">
        <is>
          <t>C91</t>
        </is>
      </c>
      <c r="C858" t="n">
        <v>91</v>
      </c>
      <c r="D858" t="n">
        <v>3</v>
      </c>
      <c r="E858" t="inlineStr">
        <is>
          <t>Output</t>
        </is>
      </c>
      <c r="F858" t="inlineStr">
        <is>
          <t>'=IFERROR(IF(LoanIsNotPaid*LoanIsGood,PaymentDate,LoanStartDate), LoanStartDate)</t>
        </is>
      </c>
      <c r="G858" s="1" t="n">
        <v>48370</v>
      </c>
      <c r="H858" t="inlineStr"/>
      <c r="I858" t="inlineStr">
        <is>
          <t>mm-dd-yy</t>
        </is>
      </c>
      <c r="J858" t="b">
        <v>0</v>
      </c>
      <c r="K858" t="b">
        <v>0</v>
      </c>
      <c r="L858" t="n">
        <v>9</v>
      </c>
      <c r="M858" t="inlineStr">
        <is>
          <t>Values must be of type &lt;class 'str'&gt;</t>
        </is>
      </c>
      <c r="N858" t="inlineStr">
        <is>
          <t>00000000</t>
        </is>
      </c>
      <c r="O858" t="inlineStr">
        <is>
          <t>center</t>
        </is>
      </c>
      <c r="P858" t="inlineStr">
        <is>
          <t>center</t>
        </is>
      </c>
      <c r="R858" t="b">
        <v>1</v>
      </c>
      <c r="S858" t="inlineStr">
        <is>
          <t>G000002</t>
        </is>
      </c>
      <c r="T858" t="inlineStr">
        <is>
          <t>Vertical</t>
        </is>
      </c>
      <c r="U858" t="n">
        <v>120</v>
      </c>
      <c r="V858" t="b">
        <v>1</v>
      </c>
      <c r="W858" t="inlineStr">
        <is>
          <t>Loan calculator!C17:C136</t>
        </is>
      </c>
      <c r="X858">
        <f>IFERROR(IF(LoanIsNotPaid*LoanIsGood,PaymentDate,LoanStartDate), LoanStartDate)</f>
        <v/>
      </c>
    </row>
    <row r="859">
      <c r="A859" t="inlineStr">
        <is>
          <t>Loan calculator</t>
        </is>
      </c>
      <c r="B859" t="inlineStr">
        <is>
          <t>D91</t>
        </is>
      </c>
      <c r="C859" t="n">
        <v>91</v>
      </c>
      <c r="D859" t="n">
        <v>4</v>
      </c>
      <c r="E859" t="inlineStr">
        <is>
          <t>Output</t>
        </is>
      </c>
      <c r="F859" t="inlineStr">
        <is>
          <t>'=IFERROR(IF(LoanIsNotPaid*LoanIsGood,LoanValue,""), "")</t>
        </is>
      </c>
      <c r="G859" t="n">
        <v>4491.821547235208</v>
      </c>
      <c r="H859" t="inlineStr"/>
      <c r="I859" t="inlineStr">
        <is>
          <t>"$"#,##0.00</t>
        </is>
      </c>
      <c r="J859" t="b">
        <v>0</v>
      </c>
      <c r="K859" t="b">
        <v>0</v>
      </c>
      <c r="L859" t="n">
        <v>9</v>
      </c>
      <c r="M859" t="inlineStr">
        <is>
          <t>Values must be of type &lt;class 'str'&gt;</t>
        </is>
      </c>
      <c r="N859" t="inlineStr">
        <is>
          <t>00000000</t>
        </is>
      </c>
      <c r="O859" t="inlineStr">
        <is>
          <t>center</t>
        </is>
      </c>
      <c r="P859" t="inlineStr">
        <is>
          <t>center</t>
        </is>
      </c>
      <c r="R859" t="b">
        <v>1</v>
      </c>
      <c r="S859" t="inlineStr">
        <is>
          <t>G000003</t>
        </is>
      </c>
      <c r="T859" t="inlineStr">
        <is>
          <t>Vertical</t>
        </is>
      </c>
      <c r="U859" t="n">
        <v>120</v>
      </c>
      <c r="V859" t="b">
        <v>1</v>
      </c>
      <c r="W859" t="inlineStr">
        <is>
          <t>Loan calculator!D17:D136</t>
        </is>
      </c>
      <c r="X859">
        <f>IFERROR(IF(LoanIsNotPaid*LoanIsGood,LoanValue,""), "")</f>
        <v/>
      </c>
    </row>
    <row r="860">
      <c r="A860" t="inlineStr">
        <is>
          <t>Loan calculator</t>
        </is>
      </c>
      <c r="B860" t="inlineStr">
        <is>
          <t>E91</t>
        </is>
      </c>
      <c r="C860" t="n">
        <v>91</v>
      </c>
      <c r="D860" t="n">
        <v>5</v>
      </c>
      <c r="E860" t="inlineStr">
        <is>
          <t>Output</t>
        </is>
      </c>
      <c r="F860" t="inlineStr">
        <is>
          <t>'=IFERROR(IF(LoanIsNotPaid*LoanIsGood,MonthlyPayment,0), 0)</t>
        </is>
      </c>
      <c r="G860" t="n">
        <v>108.5262779604807</v>
      </c>
      <c r="H860" t="inlineStr"/>
      <c r="I860" t="inlineStr">
        <is>
          <t>"$"#,##0.00</t>
        </is>
      </c>
      <c r="J860" t="b">
        <v>0</v>
      </c>
      <c r="K860" t="b">
        <v>0</v>
      </c>
      <c r="L860" t="n">
        <v>9</v>
      </c>
      <c r="M860" t="inlineStr">
        <is>
          <t>Values must be of type &lt;class 'str'&gt;</t>
        </is>
      </c>
      <c r="N860" t="inlineStr">
        <is>
          <t>00000000</t>
        </is>
      </c>
      <c r="O860" t="inlineStr">
        <is>
          <t>center</t>
        </is>
      </c>
      <c r="P860" t="inlineStr">
        <is>
          <t>center</t>
        </is>
      </c>
      <c r="R860" t="b">
        <v>1</v>
      </c>
      <c r="S860" t="inlineStr">
        <is>
          <t>G000004</t>
        </is>
      </c>
      <c r="T860" t="inlineStr">
        <is>
          <t>Vertical</t>
        </is>
      </c>
      <c r="U860" t="n">
        <v>120</v>
      </c>
      <c r="V860" t="b">
        <v>1</v>
      </c>
      <c r="W860" t="inlineStr">
        <is>
          <t>Loan calculator!E17:E136</t>
        </is>
      </c>
      <c r="X860">
        <f>IFERROR(IF(LoanIsNotPaid*LoanIsGood,MonthlyPayment,0), 0)</f>
        <v/>
      </c>
    </row>
    <row r="861">
      <c r="A861" t="inlineStr">
        <is>
          <t>Loan calculator</t>
        </is>
      </c>
      <c r="B861" t="inlineStr">
        <is>
          <t>F91</t>
        </is>
      </c>
      <c r="C861" t="n">
        <v>91</v>
      </c>
      <c r="D861" t="n">
        <v>6</v>
      </c>
      <c r="E861" t="inlineStr">
        <is>
          <t>Output</t>
        </is>
      </c>
      <c r="F861" t="inlineStr">
        <is>
          <t>'=IFERROR(IF(LoanIsNotPaid*LoanIsGood,Principal,0), 0)</t>
        </is>
      </c>
      <c r="G861" t="n">
        <v>87.93876253565263</v>
      </c>
      <c r="H861" t="inlineStr"/>
      <c r="I861" t="inlineStr">
        <is>
          <t>"$"#,##0.00</t>
        </is>
      </c>
      <c r="J861" t="b">
        <v>0</v>
      </c>
      <c r="K861" t="b">
        <v>0</v>
      </c>
      <c r="L861" t="n">
        <v>9</v>
      </c>
      <c r="M861" t="inlineStr">
        <is>
          <t>Values must be of type &lt;class 'str'&gt;</t>
        </is>
      </c>
      <c r="N861" t="inlineStr">
        <is>
          <t>00000000</t>
        </is>
      </c>
      <c r="O861" t="inlineStr">
        <is>
          <t>center</t>
        </is>
      </c>
      <c r="P861" t="inlineStr">
        <is>
          <t>center</t>
        </is>
      </c>
      <c r="R861" t="b">
        <v>1</v>
      </c>
      <c r="S861" t="inlineStr">
        <is>
          <t>G000005</t>
        </is>
      </c>
      <c r="T861" t="inlineStr">
        <is>
          <t>Vertical</t>
        </is>
      </c>
      <c r="U861" t="n">
        <v>120</v>
      </c>
      <c r="V861" t="b">
        <v>1</v>
      </c>
      <c r="W861" t="inlineStr">
        <is>
          <t>Loan calculator!F17:F136</t>
        </is>
      </c>
      <c r="X861">
        <f>IFERROR(IF(LoanIsNotPaid*LoanIsGood,Principal,0), 0)</f>
        <v/>
      </c>
    </row>
    <row r="862">
      <c r="A862" t="inlineStr">
        <is>
          <t>Loan calculator</t>
        </is>
      </c>
      <c r="B862" t="inlineStr">
        <is>
          <t>G91</t>
        </is>
      </c>
      <c r="C862" t="n">
        <v>91</v>
      </c>
      <c r="D862" t="n">
        <v>7</v>
      </c>
      <c r="E862" t="inlineStr">
        <is>
          <t>Output</t>
        </is>
      </c>
      <c r="F862" t="inlineStr">
        <is>
          <t>'=IFERROR(IF(LoanIsNotPaid*LoanIsGood,InterestAmt,0), 0)</t>
        </is>
      </c>
      <c r="G862" t="n">
        <v>20.5875154248281</v>
      </c>
      <c r="H862" t="inlineStr"/>
      <c r="I862" t="inlineStr">
        <is>
          <t>"$"#,##0.00</t>
        </is>
      </c>
      <c r="J862" t="b">
        <v>0</v>
      </c>
      <c r="K862" t="b">
        <v>0</v>
      </c>
      <c r="L862" t="n">
        <v>9</v>
      </c>
      <c r="M862" t="inlineStr">
        <is>
          <t>Values must be of type &lt;class 'str'&gt;</t>
        </is>
      </c>
      <c r="N862" t="inlineStr">
        <is>
          <t>00000000</t>
        </is>
      </c>
      <c r="O862" t="inlineStr">
        <is>
          <t>center</t>
        </is>
      </c>
      <c r="P862" t="inlineStr">
        <is>
          <t>center</t>
        </is>
      </c>
      <c r="R862" t="b">
        <v>1</v>
      </c>
      <c r="S862" t="inlineStr">
        <is>
          <t>G000006</t>
        </is>
      </c>
      <c r="T862" t="inlineStr">
        <is>
          <t>Vertical</t>
        </is>
      </c>
      <c r="U862" t="n">
        <v>120</v>
      </c>
      <c r="V862" t="b">
        <v>1</v>
      </c>
      <c r="W862" t="inlineStr">
        <is>
          <t>Loan calculator!G17:G136</t>
        </is>
      </c>
      <c r="X862">
        <f>IFERROR(IF(LoanIsNotPaid*LoanIsGood,InterestAmt,0), 0)</f>
        <v/>
      </c>
    </row>
    <row r="863">
      <c r="A863" t="inlineStr">
        <is>
          <t>Loan calculator</t>
        </is>
      </c>
      <c r="B863" t="inlineStr">
        <is>
          <t>H91</t>
        </is>
      </c>
      <c r="C863" t="n">
        <v>91</v>
      </c>
      <c r="D863" t="n">
        <v>8</v>
      </c>
      <c r="E863" t="inlineStr">
        <is>
          <t>Output</t>
        </is>
      </c>
      <c r="F863" t="inlineStr">
        <is>
          <t>'=IFERROR(IF(LoanIsNotPaid*LoanIsGood,EndingBalance,0), 0)</t>
        </is>
      </c>
      <c r="G863" t="n">
        <v>4403.882784699555</v>
      </c>
      <c r="H863" t="inlineStr"/>
      <c r="I863" t="inlineStr">
        <is>
          <t>"$"#,##0.00</t>
        </is>
      </c>
      <c r="J863" t="b">
        <v>0</v>
      </c>
      <c r="K863" t="b">
        <v>0</v>
      </c>
      <c r="L863" t="n">
        <v>9</v>
      </c>
      <c r="M863" t="inlineStr">
        <is>
          <t>Values must be of type &lt;class 'str'&gt;</t>
        </is>
      </c>
      <c r="N863" t="inlineStr">
        <is>
          <t>00000000</t>
        </is>
      </c>
      <c r="O863" t="inlineStr">
        <is>
          <t>center</t>
        </is>
      </c>
      <c r="P863" t="inlineStr">
        <is>
          <t>center</t>
        </is>
      </c>
      <c r="R863" t="b">
        <v>1</v>
      </c>
      <c r="S863" t="inlineStr">
        <is>
          <t>G000007</t>
        </is>
      </c>
      <c r="T863" t="inlineStr">
        <is>
          <t>Vertical</t>
        </is>
      </c>
      <c r="U863" t="n">
        <v>120</v>
      </c>
      <c r="V863" t="b">
        <v>1</v>
      </c>
      <c r="W863" t="inlineStr">
        <is>
          <t>Loan calculator!H17:H136</t>
        </is>
      </c>
      <c r="X863">
        <f>IFERROR(IF(LoanIsNotPaid*LoanIsGood,EndingBalance,0), 0)</f>
        <v/>
      </c>
    </row>
    <row r="864">
      <c r="A864" t="inlineStr">
        <is>
          <t>Loan calculator</t>
        </is>
      </c>
      <c r="B864" t="inlineStr">
        <is>
          <t>I91</t>
        </is>
      </c>
      <c r="C864" t="n">
        <v>91</v>
      </c>
      <c r="D864" t="n">
        <v>9</v>
      </c>
      <c r="E864" t="inlineStr">
        <is>
          <t>Input</t>
        </is>
      </c>
      <c r="F864" t="n">
        <v/>
      </c>
      <c r="H864" t="inlineStr"/>
      <c r="I864" t="inlineStr">
        <is>
          <t>General</t>
        </is>
      </c>
      <c r="J864" t="b">
        <v>0</v>
      </c>
      <c r="K864" t="b">
        <v>0</v>
      </c>
      <c r="L864" t="n">
        <v>11</v>
      </c>
      <c r="M864" t="inlineStr">
        <is>
          <t>Values must be of type &lt;class 'str'&gt;</t>
        </is>
      </c>
      <c r="N864" t="inlineStr">
        <is>
          <t>Values must be of type &lt;class 'str'&gt;</t>
        </is>
      </c>
      <c r="O864" t="n">
        <v/>
      </c>
      <c r="P864" t="inlineStr">
        <is>
          <t>center</t>
        </is>
      </c>
      <c r="R864" t="b">
        <v>0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</row>
    <row r="865">
      <c r="A865" t="inlineStr">
        <is>
          <t>Loan calculator</t>
        </is>
      </c>
      <c r="B865" t="inlineStr">
        <is>
          <t>A92</t>
        </is>
      </c>
      <c r="C865" t="n">
        <v>92</v>
      </c>
      <c r="D865" t="n">
        <v>1</v>
      </c>
      <c r="E865" t="inlineStr">
        <is>
          <t>Input</t>
        </is>
      </c>
      <c r="F865" t="n">
        <v/>
      </c>
      <c r="H865" t="inlineStr"/>
      <c r="I865" t="inlineStr">
        <is>
          <t>General</t>
        </is>
      </c>
      <c r="J865" t="b">
        <v>0</v>
      </c>
      <c r="K865" t="b">
        <v>0</v>
      </c>
      <c r="L865" t="n">
        <v>11</v>
      </c>
      <c r="M865" t="inlineStr">
        <is>
          <t>Values must be of type &lt;class 'str'&gt;</t>
        </is>
      </c>
      <c r="N865" t="inlineStr">
        <is>
          <t>Values must be of type &lt;class 'str'&gt;</t>
        </is>
      </c>
      <c r="O865" t="n">
        <v/>
      </c>
      <c r="P865" t="inlineStr">
        <is>
          <t>center</t>
        </is>
      </c>
      <c r="R865" t="b">
        <v>0</v>
      </c>
      <c r="S865" t="n">
        <v/>
      </c>
      <c r="T865" t="n">
        <v/>
      </c>
      <c r="U865" t="n">
        <v/>
      </c>
      <c r="V865" t="b">
        <v>0</v>
      </c>
      <c r="W865" t="inlineStr"/>
      <c r="X865" t="n">
        <v/>
      </c>
    </row>
    <row r="866">
      <c r="A866" t="inlineStr">
        <is>
          <t>Loan calculator</t>
        </is>
      </c>
      <c r="B866" t="inlineStr">
        <is>
          <t>B92</t>
        </is>
      </c>
      <c r="C866" t="n">
        <v>92</v>
      </c>
      <c r="D866" t="n">
        <v>2</v>
      </c>
      <c r="E866" t="inlineStr">
        <is>
          <t>Output</t>
        </is>
      </c>
      <c r="F866" t="inlineStr">
        <is>
          <t>'=IFERROR(IF(LoanIsNotPaid*LoanIsGood,PaymentNumber,""), "")</t>
        </is>
      </c>
      <c r="G866" t="n">
        <v>76</v>
      </c>
      <c r="H866" t="inlineStr"/>
      <c r="I866" t="inlineStr">
        <is>
          <t>#,##0</t>
        </is>
      </c>
      <c r="J866" t="b">
        <v>0</v>
      </c>
      <c r="K866" t="b">
        <v>0</v>
      </c>
      <c r="L866" t="n">
        <v>9</v>
      </c>
      <c r="M866" t="inlineStr">
        <is>
          <t>Values must be of type &lt;class 'str'&gt;</t>
        </is>
      </c>
      <c r="N866" t="inlineStr">
        <is>
          <t>00000000</t>
        </is>
      </c>
      <c r="O866" t="inlineStr">
        <is>
          <t>center</t>
        </is>
      </c>
      <c r="P866" t="inlineStr">
        <is>
          <t>center</t>
        </is>
      </c>
      <c r="R866" t="b">
        <v>1</v>
      </c>
      <c r="S866" t="inlineStr">
        <is>
          <t>G000001</t>
        </is>
      </c>
      <c r="T866" t="inlineStr">
        <is>
          <t>Vertical</t>
        </is>
      </c>
      <c r="U866" t="n">
        <v>120</v>
      </c>
      <c r="V866" t="b">
        <v>1</v>
      </c>
      <c r="W866" t="inlineStr">
        <is>
          <t>Loan calculator!B17:B136</t>
        </is>
      </c>
      <c r="X866">
        <f>IFERROR(IF(LoanIsNotPaid*LoanIsGood,PaymentNumber,""), "")</f>
        <v/>
      </c>
    </row>
    <row r="867">
      <c r="A867" t="inlineStr">
        <is>
          <t>Loan calculator</t>
        </is>
      </c>
      <c r="B867" t="inlineStr">
        <is>
          <t>C92</t>
        </is>
      </c>
      <c r="C867" t="n">
        <v>92</v>
      </c>
      <c r="D867" t="n">
        <v>3</v>
      </c>
      <c r="E867" t="inlineStr">
        <is>
          <t>Output</t>
        </is>
      </c>
      <c r="F867" t="inlineStr">
        <is>
          <t>'=IFERROR(IF(LoanIsNotPaid*LoanIsGood,PaymentDate,LoanStartDate), LoanStartDate)</t>
        </is>
      </c>
      <c r="G867" s="1" t="n">
        <v>48400</v>
      </c>
      <c r="H867" t="inlineStr"/>
      <c r="I867" t="inlineStr">
        <is>
          <t>mm-dd-yy</t>
        </is>
      </c>
      <c r="J867" t="b">
        <v>0</v>
      </c>
      <c r="K867" t="b">
        <v>0</v>
      </c>
      <c r="L867" t="n">
        <v>9</v>
      </c>
      <c r="M867" t="inlineStr">
        <is>
          <t>Values must be of type &lt;class 'str'&gt;</t>
        </is>
      </c>
      <c r="N867" t="inlineStr">
        <is>
          <t>00000000</t>
        </is>
      </c>
      <c r="O867" t="inlineStr">
        <is>
          <t>center</t>
        </is>
      </c>
      <c r="P867" t="inlineStr">
        <is>
          <t>center</t>
        </is>
      </c>
      <c r="R867" t="b">
        <v>1</v>
      </c>
      <c r="S867" t="inlineStr">
        <is>
          <t>G000002</t>
        </is>
      </c>
      <c r="T867" t="inlineStr">
        <is>
          <t>Vertical</t>
        </is>
      </c>
      <c r="U867" t="n">
        <v>120</v>
      </c>
      <c r="V867" t="b">
        <v>1</v>
      </c>
      <c r="W867" t="inlineStr">
        <is>
          <t>Loan calculator!C17:C136</t>
        </is>
      </c>
      <c r="X867">
        <f>IFERROR(IF(LoanIsNotPaid*LoanIsGood,PaymentDate,LoanStartDate), LoanStartDate)</f>
        <v/>
      </c>
    </row>
    <row r="868">
      <c r="A868" t="inlineStr">
        <is>
          <t>Loan calculator</t>
        </is>
      </c>
      <c r="B868" t="inlineStr">
        <is>
          <t>D92</t>
        </is>
      </c>
      <c r="C868" t="n">
        <v>92</v>
      </c>
      <c r="D868" t="n">
        <v>4</v>
      </c>
      <c r="E868" t="inlineStr">
        <is>
          <t>Output</t>
        </is>
      </c>
      <c r="F868" t="inlineStr">
        <is>
          <t>'=IFERROR(IF(LoanIsNotPaid*LoanIsGood,LoanValue,""), "")</t>
        </is>
      </c>
      <c r="G868" t="n">
        <v>4403.882784699555</v>
      </c>
      <c r="H868" t="inlineStr"/>
      <c r="I868" t="inlineStr">
        <is>
          <t>"$"#,##0.00</t>
        </is>
      </c>
      <c r="J868" t="b">
        <v>0</v>
      </c>
      <c r="K868" t="b">
        <v>0</v>
      </c>
      <c r="L868" t="n">
        <v>9</v>
      </c>
      <c r="M868" t="inlineStr">
        <is>
          <t>Values must be of type &lt;class 'str'&gt;</t>
        </is>
      </c>
      <c r="N868" t="inlineStr">
        <is>
          <t>00000000</t>
        </is>
      </c>
      <c r="O868" t="inlineStr">
        <is>
          <t>center</t>
        </is>
      </c>
      <c r="P868" t="inlineStr">
        <is>
          <t>center</t>
        </is>
      </c>
      <c r="R868" t="b">
        <v>1</v>
      </c>
      <c r="S868" t="inlineStr">
        <is>
          <t>G000003</t>
        </is>
      </c>
      <c r="T868" t="inlineStr">
        <is>
          <t>Vertical</t>
        </is>
      </c>
      <c r="U868" t="n">
        <v>120</v>
      </c>
      <c r="V868" t="b">
        <v>1</v>
      </c>
      <c r="W868" t="inlineStr">
        <is>
          <t>Loan calculator!D17:D136</t>
        </is>
      </c>
      <c r="X868">
        <f>IFERROR(IF(LoanIsNotPaid*LoanIsGood,LoanValue,""), "")</f>
        <v/>
      </c>
    </row>
    <row r="869">
      <c r="A869" t="inlineStr">
        <is>
          <t>Loan calculator</t>
        </is>
      </c>
      <c r="B869" t="inlineStr">
        <is>
          <t>E92</t>
        </is>
      </c>
      <c r="C869" t="n">
        <v>92</v>
      </c>
      <c r="D869" t="n">
        <v>5</v>
      </c>
      <c r="E869" t="inlineStr">
        <is>
          <t>Output</t>
        </is>
      </c>
      <c r="F869" t="inlineStr">
        <is>
          <t>'=IFERROR(IF(LoanIsNotPaid*LoanIsGood,MonthlyPayment,0), 0)</t>
        </is>
      </c>
      <c r="G869" t="n">
        <v>108.5262779604807</v>
      </c>
      <c r="H869" t="inlineStr"/>
      <c r="I869" t="inlineStr">
        <is>
          <t>"$"#,##0.00</t>
        </is>
      </c>
      <c r="J869" t="b">
        <v>0</v>
      </c>
      <c r="K869" t="b">
        <v>0</v>
      </c>
      <c r="L869" t="n">
        <v>9</v>
      </c>
      <c r="M869" t="inlineStr">
        <is>
          <t>Values must be of type &lt;class 'str'&gt;</t>
        </is>
      </c>
      <c r="N869" t="inlineStr">
        <is>
          <t>00000000</t>
        </is>
      </c>
      <c r="O869" t="inlineStr">
        <is>
          <t>center</t>
        </is>
      </c>
      <c r="P869" t="inlineStr">
        <is>
          <t>center</t>
        </is>
      </c>
      <c r="R869" t="b">
        <v>1</v>
      </c>
      <c r="S869" t="inlineStr">
        <is>
          <t>G000004</t>
        </is>
      </c>
      <c r="T869" t="inlineStr">
        <is>
          <t>Vertical</t>
        </is>
      </c>
      <c r="U869" t="n">
        <v>120</v>
      </c>
      <c r="V869" t="b">
        <v>1</v>
      </c>
      <c r="W869" t="inlineStr">
        <is>
          <t>Loan calculator!E17:E136</t>
        </is>
      </c>
      <c r="X869">
        <f>IFERROR(IF(LoanIsNotPaid*LoanIsGood,MonthlyPayment,0), 0)</f>
        <v/>
      </c>
    </row>
    <row r="870">
      <c r="A870" t="inlineStr">
        <is>
          <t>Loan calculator</t>
        </is>
      </c>
      <c r="B870" t="inlineStr">
        <is>
          <t>F92</t>
        </is>
      </c>
      <c r="C870" t="n">
        <v>92</v>
      </c>
      <c r="D870" t="n">
        <v>6</v>
      </c>
      <c r="E870" t="inlineStr">
        <is>
          <t>Output</t>
        </is>
      </c>
      <c r="F870" t="inlineStr">
        <is>
          <t>'=IFERROR(IF(LoanIsNotPaid*LoanIsGood,Principal,0), 0)</t>
        </is>
      </c>
      <c r="G870" t="n">
        <v>88.34181519727439</v>
      </c>
      <c r="H870" t="inlineStr"/>
      <c r="I870" t="inlineStr">
        <is>
          <t>"$"#,##0.00</t>
        </is>
      </c>
      <c r="J870" t="b">
        <v>0</v>
      </c>
      <c r="K870" t="b">
        <v>0</v>
      </c>
      <c r="L870" t="n">
        <v>9</v>
      </c>
      <c r="M870" t="inlineStr">
        <is>
          <t>Values must be of type &lt;class 'str'&gt;</t>
        </is>
      </c>
      <c r="N870" t="inlineStr">
        <is>
          <t>00000000</t>
        </is>
      </c>
      <c r="O870" t="inlineStr">
        <is>
          <t>center</t>
        </is>
      </c>
      <c r="P870" t="inlineStr">
        <is>
          <t>center</t>
        </is>
      </c>
      <c r="R870" t="b">
        <v>1</v>
      </c>
      <c r="S870" t="inlineStr">
        <is>
          <t>G000005</t>
        </is>
      </c>
      <c r="T870" t="inlineStr">
        <is>
          <t>Vertical</t>
        </is>
      </c>
      <c r="U870" t="n">
        <v>120</v>
      </c>
      <c r="V870" t="b">
        <v>1</v>
      </c>
      <c r="W870" t="inlineStr">
        <is>
          <t>Loan calculator!F17:F136</t>
        </is>
      </c>
      <c r="X870">
        <f>IFERROR(IF(LoanIsNotPaid*LoanIsGood,Principal,0), 0)</f>
        <v/>
      </c>
    </row>
    <row r="871">
      <c r="A871" t="inlineStr">
        <is>
          <t>Loan calculator</t>
        </is>
      </c>
      <c r="B871" t="inlineStr">
        <is>
          <t>G92</t>
        </is>
      </c>
      <c r="C871" t="n">
        <v>92</v>
      </c>
      <c r="D871" t="n">
        <v>7</v>
      </c>
      <c r="E871" t="inlineStr">
        <is>
          <t>Output</t>
        </is>
      </c>
      <c r="F871" t="inlineStr">
        <is>
          <t>'=IFERROR(IF(LoanIsNotPaid*LoanIsGood,InterestAmt,0), 0)</t>
        </is>
      </c>
      <c r="G871" t="n">
        <v>20.18446276320635</v>
      </c>
      <c r="H871" t="inlineStr"/>
      <c r="I871" t="inlineStr">
        <is>
          <t>"$"#,##0.00</t>
        </is>
      </c>
      <c r="J871" t="b">
        <v>0</v>
      </c>
      <c r="K871" t="b">
        <v>0</v>
      </c>
      <c r="L871" t="n">
        <v>9</v>
      </c>
      <c r="M871" t="inlineStr">
        <is>
          <t>Values must be of type &lt;class 'str'&gt;</t>
        </is>
      </c>
      <c r="N871" t="inlineStr">
        <is>
          <t>00000000</t>
        </is>
      </c>
      <c r="O871" t="inlineStr">
        <is>
          <t>center</t>
        </is>
      </c>
      <c r="P871" t="inlineStr">
        <is>
          <t>center</t>
        </is>
      </c>
      <c r="R871" t="b">
        <v>1</v>
      </c>
      <c r="S871" t="inlineStr">
        <is>
          <t>G000006</t>
        </is>
      </c>
      <c r="T871" t="inlineStr">
        <is>
          <t>Vertical</t>
        </is>
      </c>
      <c r="U871" t="n">
        <v>120</v>
      </c>
      <c r="V871" t="b">
        <v>1</v>
      </c>
      <c r="W871" t="inlineStr">
        <is>
          <t>Loan calculator!G17:G136</t>
        </is>
      </c>
      <c r="X871">
        <f>IFERROR(IF(LoanIsNotPaid*LoanIsGood,InterestAmt,0), 0)</f>
        <v/>
      </c>
    </row>
    <row r="872">
      <c r="A872" t="inlineStr">
        <is>
          <t>Loan calculator</t>
        </is>
      </c>
      <c r="B872" t="inlineStr">
        <is>
          <t>H92</t>
        </is>
      </c>
      <c r="C872" t="n">
        <v>92</v>
      </c>
      <c r="D872" t="n">
        <v>8</v>
      </c>
      <c r="E872" t="inlineStr">
        <is>
          <t>Output</t>
        </is>
      </c>
      <c r="F872" t="inlineStr">
        <is>
          <t>'=IFERROR(IF(LoanIsNotPaid*LoanIsGood,EndingBalance,0), 0)</t>
        </is>
      </c>
      <c r="G872" t="n">
        <v>4315.540969502281</v>
      </c>
      <c r="H872" t="inlineStr"/>
      <c r="I872" t="inlineStr">
        <is>
          <t>"$"#,##0.00</t>
        </is>
      </c>
      <c r="J872" t="b">
        <v>0</v>
      </c>
      <c r="K872" t="b">
        <v>0</v>
      </c>
      <c r="L872" t="n">
        <v>9</v>
      </c>
      <c r="M872" t="inlineStr">
        <is>
          <t>Values must be of type &lt;class 'str'&gt;</t>
        </is>
      </c>
      <c r="N872" t="inlineStr">
        <is>
          <t>00000000</t>
        </is>
      </c>
      <c r="O872" t="inlineStr">
        <is>
          <t>center</t>
        </is>
      </c>
      <c r="P872" t="inlineStr">
        <is>
          <t>center</t>
        </is>
      </c>
      <c r="R872" t="b">
        <v>1</v>
      </c>
      <c r="S872" t="inlineStr">
        <is>
          <t>G000007</t>
        </is>
      </c>
      <c r="T872" t="inlineStr">
        <is>
          <t>Vertical</t>
        </is>
      </c>
      <c r="U872" t="n">
        <v>120</v>
      </c>
      <c r="V872" t="b">
        <v>1</v>
      </c>
      <c r="W872" t="inlineStr">
        <is>
          <t>Loan calculator!H17:H136</t>
        </is>
      </c>
      <c r="X872">
        <f>IFERROR(IF(LoanIsNotPaid*LoanIsGood,EndingBalance,0), 0)</f>
        <v/>
      </c>
    </row>
    <row r="873">
      <c r="A873" t="inlineStr">
        <is>
          <t>Loan calculator</t>
        </is>
      </c>
      <c r="B873" t="inlineStr">
        <is>
          <t>I92</t>
        </is>
      </c>
      <c r="C873" t="n">
        <v>92</v>
      </c>
      <c r="D873" t="n">
        <v>9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11</v>
      </c>
      <c r="M873" t="inlineStr">
        <is>
          <t>Values must be of type &lt;class 'str'&gt;</t>
        </is>
      </c>
      <c r="N873" t="inlineStr">
        <is>
          <t>Values must be of type &lt;class 'str'&gt;</t>
        </is>
      </c>
      <c r="O873" t="n">
        <v/>
      </c>
      <c r="P873" t="inlineStr">
        <is>
          <t>center</t>
        </is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</row>
    <row r="874">
      <c r="A874" t="inlineStr">
        <is>
          <t>Loan calculator</t>
        </is>
      </c>
      <c r="B874" t="inlineStr">
        <is>
          <t>A93</t>
        </is>
      </c>
      <c r="C874" t="n">
        <v>93</v>
      </c>
      <c r="D874" t="n">
        <v>1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11</v>
      </c>
      <c r="M874" t="inlineStr">
        <is>
          <t>Values must be of type &lt;class 'str'&gt;</t>
        </is>
      </c>
      <c r="N874" t="inlineStr">
        <is>
          <t>Values must be of type &lt;class 'str'&gt;</t>
        </is>
      </c>
      <c r="O874" t="n">
        <v/>
      </c>
      <c r="P874" t="inlineStr">
        <is>
          <t>center</t>
        </is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</row>
    <row r="875">
      <c r="A875" t="inlineStr">
        <is>
          <t>Loan calculator</t>
        </is>
      </c>
      <c r="B875" t="inlineStr">
        <is>
          <t>B93</t>
        </is>
      </c>
      <c r="C875" t="n">
        <v>93</v>
      </c>
      <c r="D875" t="n">
        <v>2</v>
      </c>
      <c r="E875" t="inlineStr">
        <is>
          <t>Output</t>
        </is>
      </c>
      <c r="F875" t="inlineStr">
        <is>
          <t>'=IFERROR(IF(LoanIsNotPaid*LoanIsGood,PaymentNumber,""), "")</t>
        </is>
      </c>
      <c r="G875" t="n">
        <v>77</v>
      </c>
      <c r="H875" t="inlineStr"/>
      <c r="I875" t="inlineStr">
        <is>
          <t>#,##0</t>
        </is>
      </c>
      <c r="J875" t="b">
        <v>0</v>
      </c>
      <c r="K875" t="b">
        <v>0</v>
      </c>
      <c r="L875" t="n">
        <v>9</v>
      </c>
      <c r="M875" t="inlineStr">
        <is>
          <t>Values must be of type &lt;class 'str'&gt;</t>
        </is>
      </c>
      <c r="N875" t="inlineStr">
        <is>
          <t>00000000</t>
        </is>
      </c>
      <c r="O875" t="inlineStr">
        <is>
          <t>center</t>
        </is>
      </c>
      <c r="P875" t="inlineStr">
        <is>
          <t>center</t>
        </is>
      </c>
      <c r="R875" t="b">
        <v>1</v>
      </c>
      <c r="S875" t="inlineStr">
        <is>
          <t>G000001</t>
        </is>
      </c>
      <c r="T875" t="inlineStr">
        <is>
          <t>Vertical</t>
        </is>
      </c>
      <c r="U875" t="n">
        <v>120</v>
      </c>
      <c r="V875" t="b">
        <v>1</v>
      </c>
      <c r="W875" t="inlineStr">
        <is>
          <t>Loan calculator!B17:B136</t>
        </is>
      </c>
      <c r="X875">
        <f>IFERROR(IF(LoanIsNotPaid*LoanIsGood,PaymentNumber,""), "")</f>
        <v/>
      </c>
    </row>
    <row r="876">
      <c r="A876" t="inlineStr">
        <is>
          <t>Loan calculator</t>
        </is>
      </c>
      <c r="B876" t="inlineStr">
        <is>
          <t>C93</t>
        </is>
      </c>
      <c r="C876" t="n">
        <v>93</v>
      </c>
      <c r="D876" t="n">
        <v>3</v>
      </c>
      <c r="E876" t="inlineStr">
        <is>
          <t>Output</t>
        </is>
      </c>
      <c r="F876" t="inlineStr">
        <is>
          <t>'=IFERROR(IF(LoanIsNotPaid*LoanIsGood,PaymentDate,LoanStartDate), LoanStartDate)</t>
        </is>
      </c>
      <c r="G876" s="1" t="n">
        <v>48431</v>
      </c>
      <c r="H876" t="inlineStr"/>
      <c r="I876" t="inlineStr">
        <is>
          <t>mm-dd-yy</t>
        </is>
      </c>
      <c r="J876" t="b">
        <v>0</v>
      </c>
      <c r="K876" t="b">
        <v>0</v>
      </c>
      <c r="L876" t="n">
        <v>9</v>
      </c>
      <c r="M876" t="inlineStr">
        <is>
          <t>Values must be of type &lt;class 'str'&gt;</t>
        </is>
      </c>
      <c r="N876" t="inlineStr">
        <is>
          <t>00000000</t>
        </is>
      </c>
      <c r="O876" t="inlineStr">
        <is>
          <t>center</t>
        </is>
      </c>
      <c r="P876" t="inlineStr">
        <is>
          <t>center</t>
        </is>
      </c>
      <c r="R876" t="b">
        <v>1</v>
      </c>
      <c r="S876" t="inlineStr">
        <is>
          <t>G000002</t>
        </is>
      </c>
      <c r="T876" t="inlineStr">
        <is>
          <t>Vertical</t>
        </is>
      </c>
      <c r="U876" t="n">
        <v>120</v>
      </c>
      <c r="V876" t="b">
        <v>1</v>
      </c>
      <c r="W876" t="inlineStr">
        <is>
          <t>Loan calculator!C17:C136</t>
        </is>
      </c>
      <c r="X876">
        <f>IFERROR(IF(LoanIsNotPaid*LoanIsGood,PaymentDate,LoanStartDate), LoanStartDate)</f>
        <v/>
      </c>
    </row>
    <row r="877">
      <c r="A877" t="inlineStr">
        <is>
          <t>Loan calculator</t>
        </is>
      </c>
      <c r="B877" t="inlineStr">
        <is>
          <t>D93</t>
        </is>
      </c>
      <c r="C877" t="n">
        <v>93</v>
      </c>
      <c r="D877" t="n">
        <v>4</v>
      </c>
      <c r="E877" t="inlineStr">
        <is>
          <t>Output</t>
        </is>
      </c>
      <c r="F877" t="inlineStr">
        <is>
          <t>'=IFERROR(IF(LoanIsNotPaid*LoanIsGood,LoanValue,""), "")</t>
        </is>
      </c>
      <c r="G877" t="n">
        <v>4315.540969502281</v>
      </c>
      <c r="H877" t="inlineStr"/>
      <c r="I877" t="inlineStr">
        <is>
          <t>"$"#,##0.00</t>
        </is>
      </c>
      <c r="J877" t="b">
        <v>0</v>
      </c>
      <c r="K877" t="b">
        <v>0</v>
      </c>
      <c r="L877" t="n">
        <v>9</v>
      </c>
      <c r="M877" t="inlineStr">
        <is>
          <t>Values must be of type &lt;class 'str'&gt;</t>
        </is>
      </c>
      <c r="N877" t="inlineStr">
        <is>
          <t>00000000</t>
        </is>
      </c>
      <c r="O877" t="inlineStr">
        <is>
          <t>center</t>
        </is>
      </c>
      <c r="P877" t="inlineStr">
        <is>
          <t>center</t>
        </is>
      </c>
      <c r="R877" t="b">
        <v>1</v>
      </c>
      <c r="S877" t="inlineStr">
        <is>
          <t>G000003</t>
        </is>
      </c>
      <c r="T877" t="inlineStr">
        <is>
          <t>Vertical</t>
        </is>
      </c>
      <c r="U877" t="n">
        <v>120</v>
      </c>
      <c r="V877" t="b">
        <v>1</v>
      </c>
      <c r="W877" t="inlineStr">
        <is>
          <t>Loan calculator!D17:D136</t>
        </is>
      </c>
      <c r="X877">
        <f>IFERROR(IF(LoanIsNotPaid*LoanIsGood,LoanValue,""), "")</f>
        <v/>
      </c>
    </row>
    <row r="878">
      <c r="A878" t="inlineStr">
        <is>
          <t>Loan calculator</t>
        </is>
      </c>
      <c r="B878" t="inlineStr">
        <is>
          <t>E93</t>
        </is>
      </c>
      <c r="C878" t="n">
        <v>93</v>
      </c>
      <c r="D878" t="n">
        <v>5</v>
      </c>
      <c r="E878" t="inlineStr">
        <is>
          <t>Output</t>
        </is>
      </c>
      <c r="F878" t="inlineStr">
        <is>
          <t>'=IFERROR(IF(LoanIsNotPaid*LoanIsGood,MonthlyPayment,0), 0)</t>
        </is>
      </c>
      <c r="G878" t="n">
        <v>108.5262779604807</v>
      </c>
      <c r="H878" t="inlineStr"/>
      <c r="I878" t="inlineStr">
        <is>
          <t>"$"#,##0.00</t>
        </is>
      </c>
      <c r="J878" t="b">
        <v>0</v>
      </c>
      <c r="K878" t="b">
        <v>0</v>
      </c>
      <c r="L878" t="n">
        <v>9</v>
      </c>
      <c r="M878" t="inlineStr">
        <is>
          <t>Values must be of type &lt;class 'str'&gt;</t>
        </is>
      </c>
      <c r="N878" t="inlineStr">
        <is>
          <t>00000000</t>
        </is>
      </c>
      <c r="O878" t="inlineStr">
        <is>
          <t>center</t>
        </is>
      </c>
      <c r="P878" t="inlineStr">
        <is>
          <t>center</t>
        </is>
      </c>
      <c r="R878" t="b">
        <v>1</v>
      </c>
      <c r="S878" t="inlineStr">
        <is>
          <t>G000004</t>
        </is>
      </c>
      <c r="T878" t="inlineStr">
        <is>
          <t>Vertical</t>
        </is>
      </c>
      <c r="U878" t="n">
        <v>120</v>
      </c>
      <c r="V878" t="b">
        <v>1</v>
      </c>
      <c r="W878" t="inlineStr">
        <is>
          <t>Loan calculator!E17:E136</t>
        </is>
      </c>
      <c r="X878">
        <f>IFERROR(IF(LoanIsNotPaid*LoanIsGood,MonthlyPayment,0), 0)</f>
        <v/>
      </c>
    </row>
    <row r="879">
      <c r="A879" t="inlineStr">
        <is>
          <t>Loan calculator</t>
        </is>
      </c>
      <c r="B879" t="inlineStr">
        <is>
          <t>F93</t>
        </is>
      </c>
      <c r="C879" t="n">
        <v>93</v>
      </c>
      <c r="D879" t="n">
        <v>6</v>
      </c>
      <c r="E879" t="inlineStr">
        <is>
          <t>Output</t>
        </is>
      </c>
      <c r="F879" t="inlineStr">
        <is>
          <t>'=IFERROR(IF(LoanIsNotPaid*LoanIsGood,Principal,0), 0)</t>
        </is>
      </c>
      <c r="G879" t="n">
        <v>88.74671518359521</v>
      </c>
      <c r="H879" t="inlineStr"/>
      <c r="I879" t="inlineStr">
        <is>
          <t>"$"#,##0.00</t>
        </is>
      </c>
      <c r="J879" t="b">
        <v>0</v>
      </c>
      <c r="K879" t="b">
        <v>0</v>
      </c>
      <c r="L879" t="n">
        <v>9</v>
      </c>
      <c r="M879" t="inlineStr">
        <is>
          <t>Values must be of type &lt;class 'str'&gt;</t>
        </is>
      </c>
      <c r="N879" t="inlineStr">
        <is>
          <t>00000000</t>
        </is>
      </c>
      <c r="O879" t="inlineStr">
        <is>
          <t>center</t>
        </is>
      </c>
      <c r="P879" t="inlineStr">
        <is>
          <t>center</t>
        </is>
      </c>
      <c r="R879" t="b">
        <v>1</v>
      </c>
      <c r="S879" t="inlineStr">
        <is>
          <t>G000005</t>
        </is>
      </c>
      <c r="T879" t="inlineStr">
        <is>
          <t>Vertical</t>
        </is>
      </c>
      <c r="U879" t="n">
        <v>120</v>
      </c>
      <c r="V879" t="b">
        <v>1</v>
      </c>
      <c r="W879" t="inlineStr">
        <is>
          <t>Loan calculator!F17:F136</t>
        </is>
      </c>
      <c r="X879">
        <f>IFERROR(IF(LoanIsNotPaid*LoanIsGood,Principal,0), 0)</f>
        <v/>
      </c>
    </row>
    <row r="880">
      <c r="A880" t="inlineStr">
        <is>
          <t>Loan calculator</t>
        </is>
      </c>
      <c r="B880" t="inlineStr">
        <is>
          <t>G93</t>
        </is>
      </c>
      <c r="C880" t="n">
        <v>93</v>
      </c>
      <c r="D880" t="n">
        <v>7</v>
      </c>
      <c r="E880" t="inlineStr">
        <is>
          <t>Output</t>
        </is>
      </c>
      <c r="F880" t="inlineStr">
        <is>
          <t>'=IFERROR(IF(LoanIsNotPaid*LoanIsGood,InterestAmt,0), 0)</t>
        </is>
      </c>
      <c r="G880" t="n">
        <v>19.77956277688551</v>
      </c>
      <c r="H880" t="inlineStr"/>
      <c r="I880" t="inlineStr">
        <is>
          <t>"$"#,##0.00</t>
        </is>
      </c>
      <c r="J880" t="b">
        <v>0</v>
      </c>
      <c r="K880" t="b">
        <v>0</v>
      </c>
      <c r="L880" t="n">
        <v>9</v>
      </c>
      <c r="M880" t="inlineStr">
        <is>
          <t>Values must be of type &lt;class 'str'&gt;</t>
        </is>
      </c>
      <c r="N880" t="inlineStr">
        <is>
          <t>00000000</t>
        </is>
      </c>
      <c r="O880" t="inlineStr">
        <is>
          <t>center</t>
        </is>
      </c>
      <c r="P880" t="inlineStr">
        <is>
          <t>center</t>
        </is>
      </c>
      <c r="R880" t="b">
        <v>1</v>
      </c>
      <c r="S880" t="inlineStr">
        <is>
          <t>G000006</t>
        </is>
      </c>
      <c r="T880" t="inlineStr">
        <is>
          <t>Vertical</t>
        </is>
      </c>
      <c r="U880" t="n">
        <v>120</v>
      </c>
      <c r="V880" t="b">
        <v>1</v>
      </c>
      <c r="W880" t="inlineStr">
        <is>
          <t>Loan calculator!G17:G136</t>
        </is>
      </c>
      <c r="X880">
        <f>IFERROR(IF(LoanIsNotPaid*LoanIsGood,InterestAmt,0), 0)</f>
        <v/>
      </c>
    </row>
    <row r="881">
      <c r="A881" t="inlineStr">
        <is>
          <t>Loan calculator</t>
        </is>
      </c>
      <c r="B881" t="inlineStr">
        <is>
          <t>H93</t>
        </is>
      </c>
      <c r="C881" t="n">
        <v>93</v>
      </c>
      <c r="D881" t="n">
        <v>8</v>
      </c>
      <c r="E881" t="inlineStr">
        <is>
          <t>Output</t>
        </is>
      </c>
      <c r="F881" t="inlineStr">
        <is>
          <t>'=IFERROR(IF(LoanIsNotPaid*LoanIsGood,EndingBalance,0), 0)</t>
        </is>
      </c>
      <c r="G881" t="n">
        <v>4226.794254318684</v>
      </c>
      <c r="H881" t="inlineStr"/>
      <c r="I881" t="inlineStr">
        <is>
          <t>"$"#,##0.00</t>
        </is>
      </c>
      <c r="J881" t="b">
        <v>0</v>
      </c>
      <c r="K881" t="b">
        <v>0</v>
      </c>
      <c r="L881" t="n">
        <v>9</v>
      </c>
      <c r="M881" t="inlineStr">
        <is>
          <t>Values must be of type &lt;class 'str'&gt;</t>
        </is>
      </c>
      <c r="N881" t="inlineStr">
        <is>
          <t>00000000</t>
        </is>
      </c>
      <c r="O881" t="inlineStr">
        <is>
          <t>center</t>
        </is>
      </c>
      <c r="P881" t="inlineStr">
        <is>
          <t>center</t>
        </is>
      </c>
      <c r="R881" t="b">
        <v>1</v>
      </c>
      <c r="S881" t="inlineStr">
        <is>
          <t>G000007</t>
        </is>
      </c>
      <c r="T881" t="inlineStr">
        <is>
          <t>Vertical</t>
        </is>
      </c>
      <c r="U881" t="n">
        <v>120</v>
      </c>
      <c r="V881" t="b">
        <v>1</v>
      </c>
      <c r="W881" t="inlineStr">
        <is>
          <t>Loan calculator!H17:H136</t>
        </is>
      </c>
      <c r="X881">
        <f>IFERROR(IF(LoanIsNotPaid*LoanIsGood,EndingBalance,0), 0)</f>
        <v/>
      </c>
    </row>
    <row r="882">
      <c r="A882" t="inlineStr">
        <is>
          <t>Loan calculator</t>
        </is>
      </c>
      <c r="B882" t="inlineStr">
        <is>
          <t>I93</t>
        </is>
      </c>
      <c r="C882" t="n">
        <v>93</v>
      </c>
      <c r="D882" t="n">
        <v>9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11</v>
      </c>
      <c r="M882" t="inlineStr">
        <is>
          <t>Values must be of type &lt;class 'str'&gt;</t>
        </is>
      </c>
      <c r="N882" t="inlineStr">
        <is>
          <t>Values must be of type &lt;class 'str'&gt;</t>
        </is>
      </c>
      <c r="O882" t="n">
        <v/>
      </c>
      <c r="P882" t="inlineStr">
        <is>
          <t>center</t>
        </is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</row>
    <row r="883">
      <c r="A883" t="inlineStr">
        <is>
          <t>Loan calculator</t>
        </is>
      </c>
      <c r="B883" t="inlineStr">
        <is>
          <t>A94</t>
        </is>
      </c>
      <c r="C883" t="n">
        <v>94</v>
      </c>
      <c r="D883" t="n">
        <v>1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11</v>
      </c>
      <c r="M883" t="inlineStr">
        <is>
          <t>Values must be of type &lt;class 'str'&gt;</t>
        </is>
      </c>
      <c r="N883" t="inlineStr">
        <is>
          <t>Values must be of type &lt;class 'str'&gt;</t>
        </is>
      </c>
      <c r="O883" t="n">
        <v/>
      </c>
      <c r="P883" t="inlineStr">
        <is>
          <t>center</t>
        </is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</row>
    <row r="884">
      <c r="A884" t="inlineStr">
        <is>
          <t>Loan calculator</t>
        </is>
      </c>
      <c r="B884" t="inlineStr">
        <is>
          <t>B94</t>
        </is>
      </c>
      <c r="C884" t="n">
        <v>94</v>
      </c>
      <c r="D884" t="n">
        <v>2</v>
      </c>
      <c r="E884" t="inlineStr">
        <is>
          <t>Output</t>
        </is>
      </c>
      <c r="F884" t="inlineStr">
        <is>
          <t>'=IFERROR(IF(LoanIsNotPaid*LoanIsGood,PaymentNumber,""), "")</t>
        </is>
      </c>
      <c r="G884" t="n">
        <v>78</v>
      </c>
      <c r="H884" t="inlineStr"/>
      <c r="I884" t="inlineStr">
        <is>
          <t>#,##0</t>
        </is>
      </c>
      <c r="J884" t="b">
        <v>0</v>
      </c>
      <c r="K884" t="b">
        <v>0</v>
      </c>
      <c r="L884" t="n">
        <v>9</v>
      </c>
      <c r="M884" t="inlineStr">
        <is>
          <t>Values must be of type &lt;class 'str'&gt;</t>
        </is>
      </c>
      <c r="N884" t="inlineStr">
        <is>
          <t>00000000</t>
        </is>
      </c>
      <c r="O884" t="inlineStr">
        <is>
          <t>center</t>
        </is>
      </c>
      <c r="P884" t="inlineStr">
        <is>
          <t>center</t>
        </is>
      </c>
      <c r="R884" t="b">
        <v>1</v>
      </c>
      <c r="S884" t="inlineStr">
        <is>
          <t>G000001</t>
        </is>
      </c>
      <c r="T884" t="inlineStr">
        <is>
          <t>Vertical</t>
        </is>
      </c>
      <c r="U884" t="n">
        <v>120</v>
      </c>
      <c r="V884" t="b">
        <v>1</v>
      </c>
      <c r="W884" t="inlineStr">
        <is>
          <t>Loan calculator!B17:B136</t>
        </is>
      </c>
      <c r="X884">
        <f>IFERROR(IF(LoanIsNotPaid*LoanIsGood,PaymentNumber,""), "")</f>
        <v/>
      </c>
    </row>
    <row r="885">
      <c r="A885" t="inlineStr">
        <is>
          <t>Loan calculator</t>
        </is>
      </c>
      <c r="B885" t="inlineStr">
        <is>
          <t>C94</t>
        </is>
      </c>
      <c r="C885" t="n">
        <v>94</v>
      </c>
      <c r="D885" t="n">
        <v>3</v>
      </c>
      <c r="E885" t="inlineStr">
        <is>
          <t>Output</t>
        </is>
      </c>
      <c r="F885" t="inlineStr">
        <is>
          <t>'=IFERROR(IF(LoanIsNotPaid*LoanIsGood,PaymentDate,LoanStartDate), LoanStartDate)</t>
        </is>
      </c>
      <c r="G885" s="1" t="n">
        <v>48462</v>
      </c>
      <c r="H885" t="inlineStr"/>
      <c r="I885" t="inlineStr">
        <is>
          <t>mm-dd-yy</t>
        </is>
      </c>
      <c r="J885" t="b">
        <v>0</v>
      </c>
      <c r="K885" t="b">
        <v>0</v>
      </c>
      <c r="L885" t="n">
        <v>9</v>
      </c>
      <c r="M885" t="inlineStr">
        <is>
          <t>Values must be of type &lt;class 'str'&gt;</t>
        </is>
      </c>
      <c r="N885" t="inlineStr">
        <is>
          <t>00000000</t>
        </is>
      </c>
      <c r="O885" t="inlineStr">
        <is>
          <t>center</t>
        </is>
      </c>
      <c r="P885" t="inlineStr">
        <is>
          <t>center</t>
        </is>
      </c>
      <c r="R885" t="b">
        <v>1</v>
      </c>
      <c r="S885" t="inlineStr">
        <is>
          <t>G000002</t>
        </is>
      </c>
      <c r="T885" t="inlineStr">
        <is>
          <t>Vertical</t>
        </is>
      </c>
      <c r="U885" t="n">
        <v>120</v>
      </c>
      <c r="V885" t="b">
        <v>1</v>
      </c>
      <c r="W885" t="inlineStr">
        <is>
          <t>Loan calculator!C17:C136</t>
        </is>
      </c>
      <c r="X885">
        <f>IFERROR(IF(LoanIsNotPaid*LoanIsGood,PaymentDate,LoanStartDate), LoanStartDate)</f>
        <v/>
      </c>
    </row>
    <row r="886">
      <c r="A886" t="inlineStr">
        <is>
          <t>Loan calculator</t>
        </is>
      </c>
      <c r="B886" t="inlineStr">
        <is>
          <t>D94</t>
        </is>
      </c>
      <c r="C886" t="n">
        <v>94</v>
      </c>
      <c r="D886" t="n">
        <v>4</v>
      </c>
      <c r="E886" t="inlineStr">
        <is>
          <t>Output</t>
        </is>
      </c>
      <c r="F886" t="inlineStr">
        <is>
          <t>'=IFERROR(IF(LoanIsNotPaid*LoanIsGood,LoanValue,""), "")</t>
        </is>
      </c>
      <c r="G886" t="n">
        <v>4226.794254318684</v>
      </c>
      <c r="H886" t="inlineStr"/>
      <c r="I886" t="inlineStr">
        <is>
          <t>"$"#,##0.00</t>
        </is>
      </c>
      <c r="J886" t="b">
        <v>0</v>
      </c>
      <c r="K886" t="b">
        <v>0</v>
      </c>
      <c r="L886" t="n">
        <v>9</v>
      </c>
      <c r="M886" t="inlineStr">
        <is>
          <t>Values must be of type &lt;class 'str'&gt;</t>
        </is>
      </c>
      <c r="N886" t="inlineStr">
        <is>
          <t>00000000</t>
        </is>
      </c>
      <c r="O886" t="inlineStr">
        <is>
          <t>center</t>
        </is>
      </c>
      <c r="P886" t="inlineStr">
        <is>
          <t>center</t>
        </is>
      </c>
      <c r="R886" t="b">
        <v>1</v>
      </c>
      <c r="S886" t="inlineStr">
        <is>
          <t>G000003</t>
        </is>
      </c>
      <c r="T886" t="inlineStr">
        <is>
          <t>Vertical</t>
        </is>
      </c>
      <c r="U886" t="n">
        <v>120</v>
      </c>
      <c r="V886" t="b">
        <v>1</v>
      </c>
      <c r="W886" t="inlineStr">
        <is>
          <t>Loan calculator!D17:D136</t>
        </is>
      </c>
      <c r="X886">
        <f>IFERROR(IF(LoanIsNotPaid*LoanIsGood,LoanValue,""), "")</f>
        <v/>
      </c>
    </row>
    <row r="887">
      <c r="A887" t="inlineStr">
        <is>
          <t>Loan calculator</t>
        </is>
      </c>
      <c r="B887" t="inlineStr">
        <is>
          <t>E94</t>
        </is>
      </c>
      <c r="C887" t="n">
        <v>94</v>
      </c>
      <c r="D887" t="n">
        <v>5</v>
      </c>
      <c r="E887" t="inlineStr">
        <is>
          <t>Output</t>
        </is>
      </c>
      <c r="F887" t="inlineStr">
        <is>
          <t>'=IFERROR(IF(LoanIsNotPaid*LoanIsGood,MonthlyPayment,0), 0)</t>
        </is>
      </c>
      <c r="G887" t="n">
        <v>108.5262779604807</v>
      </c>
      <c r="H887" t="inlineStr"/>
      <c r="I887" t="inlineStr">
        <is>
          <t>"$"#,##0.00</t>
        </is>
      </c>
      <c r="J887" t="b">
        <v>0</v>
      </c>
      <c r="K887" t="b">
        <v>0</v>
      </c>
      <c r="L887" t="n">
        <v>9</v>
      </c>
      <c r="M887" t="inlineStr">
        <is>
          <t>Values must be of type &lt;class 'str'&gt;</t>
        </is>
      </c>
      <c r="N887" t="inlineStr">
        <is>
          <t>00000000</t>
        </is>
      </c>
      <c r="O887" t="inlineStr">
        <is>
          <t>center</t>
        </is>
      </c>
      <c r="P887" t="inlineStr">
        <is>
          <t>center</t>
        </is>
      </c>
      <c r="R887" t="b">
        <v>1</v>
      </c>
      <c r="S887" t="inlineStr">
        <is>
          <t>G000004</t>
        </is>
      </c>
      <c r="T887" t="inlineStr">
        <is>
          <t>Vertical</t>
        </is>
      </c>
      <c r="U887" t="n">
        <v>120</v>
      </c>
      <c r="V887" t="b">
        <v>1</v>
      </c>
      <c r="W887" t="inlineStr">
        <is>
          <t>Loan calculator!E17:E136</t>
        </is>
      </c>
      <c r="X887">
        <f>IFERROR(IF(LoanIsNotPaid*LoanIsGood,MonthlyPayment,0), 0)</f>
        <v/>
      </c>
    </row>
    <row r="888">
      <c r="A888" t="inlineStr">
        <is>
          <t>Loan calculator</t>
        </is>
      </c>
      <c r="B888" t="inlineStr">
        <is>
          <t>F94</t>
        </is>
      </c>
      <c r="C888" t="n">
        <v>94</v>
      </c>
      <c r="D888" t="n">
        <v>6</v>
      </c>
      <c r="E888" t="inlineStr">
        <is>
          <t>Output</t>
        </is>
      </c>
      <c r="F888" t="inlineStr">
        <is>
          <t>'=IFERROR(IF(LoanIsNotPaid*LoanIsGood,Principal,0), 0)</t>
        </is>
      </c>
      <c r="G888" t="n">
        <v>89.15347096152003</v>
      </c>
      <c r="H888" t="inlineStr"/>
      <c r="I888" t="inlineStr">
        <is>
          <t>"$"#,##0.00</t>
        </is>
      </c>
      <c r="J888" t="b">
        <v>0</v>
      </c>
      <c r="K888" t="b">
        <v>0</v>
      </c>
      <c r="L888" t="n">
        <v>9</v>
      </c>
      <c r="M888" t="inlineStr">
        <is>
          <t>Values must be of type &lt;class 'str'&gt;</t>
        </is>
      </c>
      <c r="N888" t="inlineStr">
        <is>
          <t>00000000</t>
        </is>
      </c>
      <c r="O888" t="inlineStr">
        <is>
          <t>center</t>
        </is>
      </c>
      <c r="P888" t="inlineStr">
        <is>
          <t>center</t>
        </is>
      </c>
      <c r="R888" t="b">
        <v>1</v>
      </c>
      <c r="S888" t="inlineStr">
        <is>
          <t>G000005</t>
        </is>
      </c>
      <c r="T888" t="inlineStr">
        <is>
          <t>Vertical</t>
        </is>
      </c>
      <c r="U888" t="n">
        <v>120</v>
      </c>
      <c r="V888" t="b">
        <v>1</v>
      </c>
      <c r="W888" t="inlineStr">
        <is>
          <t>Loan calculator!F17:F136</t>
        </is>
      </c>
      <c r="X888">
        <f>IFERROR(IF(LoanIsNotPaid*LoanIsGood,Principal,0), 0)</f>
        <v/>
      </c>
    </row>
    <row r="889">
      <c r="A889" t="inlineStr">
        <is>
          <t>Loan calculator</t>
        </is>
      </c>
      <c r="B889" t="inlineStr">
        <is>
          <t>G94</t>
        </is>
      </c>
      <c r="C889" t="n">
        <v>94</v>
      </c>
      <c r="D889" t="n">
        <v>7</v>
      </c>
      <c r="E889" t="inlineStr">
        <is>
          <t>Output</t>
        </is>
      </c>
      <c r="F889" t="inlineStr">
        <is>
          <t>'=IFERROR(IF(LoanIsNotPaid*LoanIsGood,InterestAmt,0), 0)</t>
        </is>
      </c>
      <c r="G889" t="n">
        <v>19.3728069989607</v>
      </c>
      <c r="H889" t="inlineStr"/>
      <c r="I889" t="inlineStr">
        <is>
          <t>"$"#,##0.00</t>
        </is>
      </c>
      <c r="J889" t="b">
        <v>0</v>
      </c>
      <c r="K889" t="b">
        <v>0</v>
      </c>
      <c r="L889" t="n">
        <v>9</v>
      </c>
      <c r="M889" t="inlineStr">
        <is>
          <t>Values must be of type &lt;class 'str'&gt;</t>
        </is>
      </c>
      <c r="N889" t="inlineStr">
        <is>
          <t>00000000</t>
        </is>
      </c>
      <c r="O889" t="inlineStr">
        <is>
          <t>center</t>
        </is>
      </c>
      <c r="P889" t="inlineStr">
        <is>
          <t>center</t>
        </is>
      </c>
      <c r="R889" t="b">
        <v>1</v>
      </c>
      <c r="S889" t="inlineStr">
        <is>
          <t>G000006</t>
        </is>
      </c>
      <c r="T889" t="inlineStr">
        <is>
          <t>Vertical</t>
        </is>
      </c>
      <c r="U889" t="n">
        <v>120</v>
      </c>
      <c r="V889" t="b">
        <v>1</v>
      </c>
      <c r="W889" t="inlineStr">
        <is>
          <t>Loan calculator!G17:G136</t>
        </is>
      </c>
      <c r="X889">
        <f>IFERROR(IF(LoanIsNotPaid*LoanIsGood,InterestAmt,0), 0)</f>
        <v/>
      </c>
    </row>
    <row r="890">
      <c r="A890" t="inlineStr">
        <is>
          <t>Loan calculator</t>
        </is>
      </c>
      <c r="B890" t="inlineStr">
        <is>
          <t>H94</t>
        </is>
      </c>
      <c r="C890" t="n">
        <v>94</v>
      </c>
      <c r="D890" t="n">
        <v>8</v>
      </c>
      <c r="E890" t="inlineStr">
        <is>
          <t>Output</t>
        </is>
      </c>
      <c r="F890" t="inlineStr">
        <is>
          <t>'=IFERROR(IF(LoanIsNotPaid*LoanIsGood,EndingBalance,0), 0)</t>
        </is>
      </c>
      <c r="G890" t="n">
        <v>4137.640783357165</v>
      </c>
      <c r="H890" t="inlineStr"/>
      <c r="I890" t="inlineStr">
        <is>
          <t>"$"#,##0.00</t>
        </is>
      </c>
      <c r="J890" t="b">
        <v>0</v>
      </c>
      <c r="K890" t="b">
        <v>0</v>
      </c>
      <c r="L890" t="n">
        <v>9</v>
      </c>
      <c r="M890" t="inlineStr">
        <is>
          <t>Values must be of type &lt;class 'str'&gt;</t>
        </is>
      </c>
      <c r="N890" t="inlineStr">
        <is>
          <t>00000000</t>
        </is>
      </c>
      <c r="O890" t="inlineStr">
        <is>
          <t>center</t>
        </is>
      </c>
      <c r="P890" t="inlineStr">
        <is>
          <t>center</t>
        </is>
      </c>
      <c r="R890" t="b">
        <v>1</v>
      </c>
      <c r="S890" t="inlineStr">
        <is>
          <t>G000007</t>
        </is>
      </c>
      <c r="T890" t="inlineStr">
        <is>
          <t>Vertical</t>
        </is>
      </c>
      <c r="U890" t="n">
        <v>120</v>
      </c>
      <c r="V890" t="b">
        <v>1</v>
      </c>
      <c r="W890" t="inlineStr">
        <is>
          <t>Loan calculator!H17:H136</t>
        </is>
      </c>
      <c r="X890">
        <f>IFERROR(IF(LoanIsNotPaid*LoanIsGood,EndingBalance,0), 0)</f>
        <v/>
      </c>
    </row>
    <row r="891">
      <c r="A891" t="inlineStr">
        <is>
          <t>Loan calculator</t>
        </is>
      </c>
      <c r="B891" t="inlineStr">
        <is>
          <t>I94</t>
        </is>
      </c>
      <c r="C891" t="n">
        <v>94</v>
      </c>
      <c r="D891" t="n">
        <v>9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11</v>
      </c>
      <c r="M891" t="inlineStr">
        <is>
          <t>Values must be of type &lt;class 'str'&gt;</t>
        </is>
      </c>
      <c r="N891" t="inlineStr">
        <is>
          <t>Values must be of type &lt;class 'str'&gt;</t>
        </is>
      </c>
      <c r="O891" t="n">
        <v/>
      </c>
      <c r="P891" t="inlineStr">
        <is>
          <t>center</t>
        </is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</row>
    <row r="892">
      <c r="A892" t="inlineStr">
        <is>
          <t>Loan calculator</t>
        </is>
      </c>
      <c r="B892" t="inlineStr">
        <is>
          <t>A95</t>
        </is>
      </c>
      <c r="C892" t="n">
        <v>95</v>
      </c>
      <c r="D892" t="n">
        <v>1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11</v>
      </c>
      <c r="M892" t="inlineStr">
        <is>
          <t>Values must be of type &lt;class 'str'&gt;</t>
        </is>
      </c>
      <c r="N892" t="inlineStr">
        <is>
          <t>Values must be of type &lt;class 'str'&gt;</t>
        </is>
      </c>
      <c r="O892" t="n">
        <v/>
      </c>
      <c r="P892" t="inlineStr">
        <is>
          <t>center</t>
        </is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</row>
    <row r="893">
      <c r="A893" t="inlineStr">
        <is>
          <t>Loan calculator</t>
        </is>
      </c>
      <c r="B893" t="inlineStr">
        <is>
          <t>B95</t>
        </is>
      </c>
      <c r="C893" t="n">
        <v>95</v>
      </c>
      <c r="D893" t="n">
        <v>2</v>
      </c>
      <c r="E893" t="inlineStr">
        <is>
          <t>Output</t>
        </is>
      </c>
      <c r="F893" t="inlineStr">
        <is>
          <t>'=IFERROR(IF(LoanIsNotPaid*LoanIsGood,PaymentNumber,""), "")</t>
        </is>
      </c>
      <c r="G893" t="n">
        <v>79</v>
      </c>
      <c r="H893" t="inlineStr"/>
      <c r="I893" t="inlineStr">
        <is>
          <t>#,##0</t>
        </is>
      </c>
      <c r="J893" t="b">
        <v>0</v>
      </c>
      <c r="K893" t="b">
        <v>0</v>
      </c>
      <c r="L893" t="n">
        <v>9</v>
      </c>
      <c r="M893" t="inlineStr">
        <is>
          <t>Values must be of type &lt;class 'str'&gt;</t>
        </is>
      </c>
      <c r="N893" t="inlineStr">
        <is>
          <t>00000000</t>
        </is>
      </c>
      <c r="O893" t="inlineStr">
        <is>
          <t>center</t>
        </is>
      </c>
      <c r="P893" t="inlineStr">
        <is>
          <t>center</t>
        </is>
      </c>
      <c r="R893" t="b">
        <v>1</v>
      </c>
      <c r="S893" t="inlineStr">
        <is>
          <t>G000001</t>
        </is>
      </c>
      <c r="T893" t="inlineStr">
        <is>
          <t>Vertical</t>
        </is>
      </c>
      <c r="U893" t="n">
        <v>120</v>
      </c>
      <c r="V893" t="b">
        <v>1</v>
      </c>
      <c r="W893" t="inlineStr">
        <is>
          <t>Loan calculator!B17:B136</t>
        </is>
      </c>
      <c r="X893">
        <f>IFERROR(IF(LoanIsNotPaid*LoanIsGood,PaymentNumber,""), "")</f>
        <v/>
      </c>
    </row>
    <row r="894">
      <c r="A894" t="inlineStr">
        <is>
          <t>Loan calculator</t>
        </is>
      </c>
      <c r="B894" t="inlineStr">
        <is>
          <t>C95</t>
        </is>
      </c>
      <c r="C894" t="n">
        <v>95</v>
      </c>
      <c r="D894" t="n">
        <v>3</v>
      </c>
      <c r="E894" t="inlineStr">
        <is>
          <t>Output</t>
        </is>
      </c>
      <c r="F894" t="inlineStr">
        <is>
          <t>'=IFERROR(IF(LoanIsNotPaid*LoanIsGood,PaymentDate,LoanStartDate), LoanStartDate)</t>
        </is>
      </c>
      <c r="G894" s="1" t="n">
        <v>48492</v>
      </c>
      <c r="H894" t="inlineStr"/>
      <c r="I894" t="inlineStr">
        <is>
          <t>mm-dd-yy</t>
        </is>
      </c>
      <c r="J894" t="b">
        <v>0</v>
      </c>
      <c r="K894" t="b">
        <v>0</v>
      </c>
      <c r="L894" t="n">
        <v>9</v>
      </c>
      <c r="M894" t="inlineStr">
        <is>
          <t>Values must be of type &lt;class 'str'&gt;</t>
        </is>
      </c>
      <c r="N894" t="inlineStr">
        <is>
          <t>00000000</t>
        </is>
      </c>
      <c r="O894" t="inlineStr">
        <is>
          <t>center</t>
        </is>
      </c>
      <c r="P894" t="inlineStr">
        <is>
          <t>center</t>
        </is>
      </c>
      <c r="R894" t="b">
        <v>1</v>
      </c>
      <c r="S894" t="inlineStr">
        <is>
          <t>G000002</t>
        </is>
      </c>
      <c r="T894" t="inlineStr">
        <is>
          <t>Vertical</t>
        </is>
      </c>
      <c r="U894" t="n">
        <v>120</v>
      </c>
      <c r="V894" t="b">
        <v>1</v>
      </c>
      <c r="W894" t="inlineStr">
        <is>
          <t>Loan calculator!C17:C136</t>
        </is>
      </c>
      <c r="X894">
        <f>IFERROR(IF(LoanIsNotPaid*LoanIsGood,PaymentDate,LoanStartDate), LoanStartDate)</f>
        <v/>
      </c>
    </row>
    <row r="895">
      <c r="A895" t="inlineStr">
        <is>
          <t>Loan calculator</t>
        </is>
      </c>
      <c r="B895" t="inlineStr">
        <is>
          <t>D95</t>
        </is>
      </c>
      <c r="C895" t="n">
        <v>95</v>
      </c>
      <c r="D895" t="n">
        <v>4</v>
      </c>
      <c r="E895" t="inlineStr">
        <is>
          <t>Output</t>
        </is>
      </c>
      <c r="F895" t="inlineStr">
        <is>
          <t>'=IFERROR(IF(LoanIsNotPaid*LoanIsGood,LoanValue,""), "")</t>
        </is>
      </c>
      <c r="G895" t="n">
        <v>4137.640783357165</v>
      </c>
      <c r="H895" t="inlineStr"/>
      <c r="I895" t="inlineStr">
        <is>
          <t>"$"#,##0.00</t>
        </is>
      </c>
      <c r="J895" t="b">
        <v>0</v>
      </c>
      <c r="K895" t="b">
        <v>0</v>
      </c>
      <c r="L895" t="n">
        <v>9</v>
      </c>
      <c r="M895" t="inlineStr">
        <is>
          <t>Values must be of type &lt;class 'str'&gt;</t>
        </is>
      </c>
      <c r="N895" t="inlineStr">
        <is>
          <t>00000000</t>
        </is>
      </c>
      <c r="O895" t="inlineStr">
        <is>
          <t>center</t>
        </is>
      </c>
      <c r="P895" t="inlineStr">
        <is>
          <t>center</t>
        </is>
      </c>
      <c r="R895" t="b">
        <v>1</v>
      </c>
      <c r="S895" t="inlineStr">
        <is>
          <t>G000003</t>
        </is>
      </c>
      <c r="T895" t="inlineStr">
        <is>
          <t>Vertical</t>
        </is>
      </c>
      <c r="U895" t="n">
        <v>120</v>
      </c>
      <c r="V895" t="b">
        <v>1</v>
      </c>
      <c r="W895" t="inlineStr">
        <is>
          <t>Loan calculator!D17:D136</t>
        </is>
      </c>
      <c r="X895">
        <f>IFERROR(IF(LoanIsNotPaid*LoanIsGood,LoanValue,""), "")</f>
        <v/>
      </c>
    </row>
    <row r="896">
      <c r="A896" t="inlineStr">
        <is>
          <t>Loan calculator</t>
        </is>
      </c>
      <c r="B896" t="inlineStr">
        <is>
          <t>E95</t>
        </is>
      </c>
      <c r="C896" t="n">
        <v>95</v>
      </c>
      <c r="D896" t="n">
        <v>5</v>
      </c>
      <c r="E896" t="inlineStr">
        <is>
          <t>Output</t>
        </is>
      </c>
      <c r="F896" t="inlineStr">
        <is>
          <t>'=IFERROR(IF(LoanIsNotPaid*LoanIsGood,MonthlyPayment,0), 0)</t>
        </is>
      </c>
      <c r="G896" t="n">
        <v>108.5262779604807</v>
      </c>
      <c r="H896" t="inlineStr"/>
      <c r="I896" t="inlineStr">
        <is>
          <t>"$"#,##0.00</t>
        </is>
      </c>
      <c r="J896" t="b">
        <v>0</v>
      </c>
      <c r="K896" t="b">
        <v>0</v>
      </c>
      <c r="L896" t="n">
        <v>9</v>
      </c>
      <c r="M896" t="inlineStr">
        <is>
          <t>Values must be of type &lt;class 'str'&gt;</t>
        </is>
      </c>
      <c r="N896" t="inlineStr">
        <is>
          <t>00000000</t>
        </is>
      </c>
      <c r="O896" t="inlineStr">
        <is>
          <t>center</t>
        </is>
      </c>
      <c r="P896" t="inlineStr">
        <is>
          <t>center</t>
        </is>
      </c>
      <c r="R896" t="b">
        <v>1</v>
      </c>
      <c r="S896" t="inlineStr">
        <is>
          <t>G000004</t>
        </is>
      </c>
      <c r="T896" t="inlineStr">
        <is>
          <t>Vertical</t>
        </is>
      </c>
      <c r="U896" t="n">
        <v>120</v>
      </c>
      <c r="V896" t="b">
        <v>1</v>
      </c>
      <c r="W896" t="inlineStr">
        <is>
          <t>Loan calculator!E17:E136</t>
        </is>
      </c>
      <c r="X896">
        <f>IFERROR(IF(LoanIsNotPaid*LoanIsGood,MonthlyPayment,0), 0)</f>
        <v/>
      </c>
    </row>
    <row r="897">
      <c r="A897" t="inlineStr">
        <is>
          <t>Loan calculator</t>
        </is>
      </c>
      <c r="B897" t="inlineStr">
        <is>
          <t>F95</t>
        </is>
      </c>
      <c r="C897" t="n">
        <v>95</v>
      </c>
      <c r="D897" t="n">
        <v>6</v>
      </c>
      <c r="E897" t="inlineStr">
        <is>
          <t>Output</t>
        </is>
      </c>
      <c r="F897" t="inlineStr">
        <is>
          <t>'=IFERROR(IF(LoanIsNotPaid*LoanIsGood,Principal,0), 0)</t>
        </is>
      </c>
      <c r="G897" t="n">
        <v>89.56209103676032</v>
      </c>
      <c r="H897" t="inlineStr"/>
      <c r="I897" t="inlineStr">
        <is>
          <t>"$"#,##0.00</t>
        </is>
      </c>
      <c r="J897" t="b">
        <v>0</v>
      </c>
      <c r="K897" t="b">
        <v>0</v>
      </c>
      <c r="L897" t="n">
        <v>9</v>
      </c>
      <c r="M897" t="inlineStr">
        <is>
          <t>Values must be of type &lt;class 'str'&gt;</t>
        </is>
      </c>
      <c r="N897" t="inlineStr">
        <is>
          <t>00000000</t>
        </is>
      </c>
      <c r="O897" t="inlineStr">
        <is>
          <t>center</t>
        </is>
      </c>
      <c r="P897" t="inlineStr">
        <is>
          <t>center</t>
        </is>
      </c>
      <c r="R897" t="b">
        <v>1</v>
      </c>
      <c r="S897" t="inlineStr">
        <is>
          <t>G000005</t>
        </is>
      </c>
      <c r="T897" t="inlineStr">
        <is>
          <t>Vertical</t>
        </is>
      </c>
      <c r="U897" t="n">
        <v>120</v>
      </c>
      <c r="V897" t="b">
        <v>1</v>
      </c>
      <c r="W897" t="inlineStr">
        <is>
          <t>Loan calculator!F17:F136</t>
        </is>
      </c>
      <c r="X897">
        <f>IFERROR(IF(LoanIsNotPaid*LoanIsGood,Principal,0), 0)</f>
        <v/>
      </c>
    </row>
    <row r="898">
      <c r="A898" t="inlineStr">
        <is>
          <t>Loan calculator</t>
        </is>
      </c>
      <c r="B898" t="inlineStr">
        <is>
          <t>G95</t>
        </is>
      </c>
      <c r="C898" t="n">
        <v>95</v>
      </c>
      <c r="D898" t="n">
        <v>7</v>
      </c>
      <c r="E898" t="inlineStr">
        <is>
          <t>Output</t>
        </is>
      </c>
      <c r="F898" t="inlineStr">
        <is>
          <t>'=IFERROR(IF(LoanIsNotPaid*LoanIsGood,InterestAmt,0), 0)</t>
        </is>
      </c>
      <c r="G898" t="n">
        <v>18.9641869237204</v>
      </c>
      <c r="H898" t="inlineStr"/>
      <c r="I898" t="inlineStr">
        <is>
          <t>"$"#,##0.00</t>
        </is>
      </c>
      <c r="J898" t="b">
        <v>0</v>
      </c>
      <c r="K898" t="b">
        <v>0</v>
      </c>
      <c r="L898" t="n">
        <v>9</v>
      </c>
      <c r="M898" t="inlineStr">
        <is>
          <t>Values must be of type &lt;class 'str'&gt;</t>
        </is>
      </c>
      <c r="N898" t="inlineStr">
        <is>
          <t>00000000</t>
        </is>
      </c>
      <c r="O898" t="inlineStr">
        <is>
          <t>center</t>
        </is>
      </c>
      <c r="P898" t="inlineStr">
        <is>
          <t>center</t>
        </is>
      </c>
      <c r="R898" t="b">
        <v>1</v>
      </c>
      <c r="S898" t="inlineStr">
        <is>
          <t>G000006</t>
        </is>
      </c>
      <c r="T898" t="inlineStr">
        <is>
          <t>Vertical</t>
        </is>
      </c>
      <c r="U898" t="n">
        <v>120</v>
      </c>
      <c r="V898" t="b">
        <v>1</v>
      </c>
      <c r="W898" t="inlineStr">
        <is>
          <t>Loan calculator!G17:G136</t>
        </is>
      </c>
      <c r="X898">
        <f>IFERROR(IF(LoanIsNotPaid*LoanIsGood,InterestAmt,0), 0)</f>
        <v/>
      </c>
    </row>
    <row r="899">
      <c r="A899" t="inlineStr">
        <is>
          <t>Loan calculator</t>
        </is>
      </c>
      <c r="B899" t="inlineStr">
        <is>
          <t>H95</t>
        </is>
      </c>
      <c r="C899" t="n">
        <v>95</v>
      </c>
      <c r="D899" t="n">
        <v>8</v>
      </c>
      <c r="E899" t="inlineStr">
        <is>
          <t>Output</t>
        </is>
      </c>
      <c r="F899" t="inlineStr">
        <is>
          <t>'=IFERROR(IF(LoanIsNotPaid*LoanIsGood,EndingBalance,0), 0)</t>
        </is>
      </c>
      <c r="G899" t="n">
        <v>4048.078692320407</v>
      </c>
      <c r="H899" t="inlineStr"/>
      <c r="I899" t="inlineStr">
        <is>
          <t>"$"#,##0.00</t>
        </is>
      </c>
      <c r="J899" t="b">
        <v>0</v>
      </c>
      <c r="K899" t="b">
        <v>0</v>
      </c>
      <c r="L899" t="n">
        <v>9</v>
      </c>
      <c r="M899" t="inlineStr">
        <is>
          <t>Values must be of type &lt;class 'str'&gt;</t>
        </is>
      </c>
      <c r="N899" t="inlineStr">
        <is>
          <t>00000000</t>
        </is>
      </c>
      <c r="O899" t="inlineStr">
        <is>
          <t>center</t>
        </is>
      </c>
      <c r="P899" t="inlineStr">
        <is>
          <t>center</t>
        </is>
      </c>
      <c r="R899" t="b">
        <v>1</v>
      </c>
      <c r="S899" t="inlineStr">
        <is>
          <t>G000007</t>
        </is>
      </c>
      <c r="T899" t="inlineStr">
        <is>
          <t>Vertical</t>
        </is>
      </c>
      <c r="U899" t="n">
        <v>120</v>
      </c>
      <c r="V899" t="b">
        <v>1</v>
      </c>
      <c r="W899" t="inlineStr">
        <is>
          <t>Loan calculator!H17:H136</t>
        </is>
      </c>
      <c r="X899">
        <f>IFERROR(IF(LoanIsNotPaid*LoanIsGood,EndingBalance,0), 0)</f>
        <v/>
      </c>
    </row>
    <row r="900">
      <c r="A900" t="inlineStr">
        <is>
          <t>Loan calculator</t>
        </is>
      </c>
      <c r="B900" t="inlineStr">
        <is>
          <t>I95</t>
        </is>
      </c>
      <c r="C900" t="n">
        <v>95</v>
      </c>
      <c r="D900" t="n">
        <v>9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11</v>
      </c>
      <c r="M900" t="inlineStr">
        <is>
          <t>Values must be of type &lt;class 'str'&gt;</t>
        </is>
      </c>
      <c r="N900" t="inlineStr">
        <is>
          <t>Values must be of type &lt;class 'str'&gt;</t>
        </is>
      </c>
      <c r="O900" t="n">
        <v/>
      </c>
      <c r="P900" t="inlineStr">
        <is>
          <t>center</t>
        </is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</row>
    <row r="901">
      <c r="A901" t="inlineStr">
        <is>
          <t>Loan calculator</t>
        </is>
      </c>
      <c r="B901" t="inlineStr">
        <is>
          <t>A96</t>
        </is>
      </c>
      <c r="C901" t="n">
        <v>96</v>
      </c>
      <c r="D901" t="n">
        <v>1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11</v>
      </c>
      <c r="M901" t="inlineStr">
        <is>
          <t>Values must be of type &lt;class 'str'&gt;</t>
        </is>
      </c>
      <c r="N901" t="inlineStr">
        <is>
          <t>Values must be of type &lt;class 'str'&gt;</t>
        </is>
      </c>
      <c r="O901" t="n">
        <v/>
      </c>
      <c r="P901" t="inlineStr">
        <is>
          <t>center</t>
        </is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</row>
    <row r="902">
      <c r="A902" t="inlineStr">
        <is>
          <t>Loan calculator</t>
        </is>
      </c>
      <c r="B902" t="inlineStr">
        <is>
          <t>B96</t>
        </is>
      </c>
      <c r="C902" t="n">
        <v>96</v>
      </c>
      <c r="D902" t="n">
        <v>2</v>
      </c>
      <c r="E902" t="inlineStr">
        <is>
          <t>Output</t>
        </is>
      </c>
      <c r="F902" t="inlineStr">
        <is>
          <t>'=IFERROR(IF(LoanIsNotPaid*LoanIsGood,PaymentNumber,""), "")</t>
        </is>
      </c>
      <c r="G902" t="n">
        <v>80</v>
      </c>
      <c r="H902" t="inlineStr"/>
      <c r="I902" t="inlineStr">
        <is>
          <t>#,##0</t>
        </is>
      </c>
      <c r="J902" t="b">
        <v>0</v>
      </c>
      <c r="K902" t="b">
        <v>0</v>
      </c>
      <c r="L902" t="n">
        <v>9</v>
      </c>
      <c r="M902" t="inlineStr">
        <is>
          <t>Values must be of type &lt;class 'str'&gt;</t>
        </is>
      </c>
      <c r="N902" t="inlineStr">
        <is>
          <t>00000000</t>
        </is>
      </c>
      <c r="O902" t="inlineStr">
        <is>
          <t>center</t>
        </is>
      </c>
      <c r="P902" t="inlineStr">
        <is>
          <t>center</t>
        </is>
      </c>
      <c r="R902" t="b">
        <v>1</v>
      </c>
      <c r="S902" t="inlineStr">
        <is>
          <t>G000001</t>
        </is>
      </c>
      <c r="T902" t="inlineStr">
        <is>
          <t>Vertical</t>
        </is>
      </c>
      <c r="U902" t="n">
        <v>120</v>
      </c>
      <c r="V902" t="b">
        <v>1</v>
      </c>
      <c r="W902" t="inlineStr">
        <is>
          <t>Loan calculator!B17:B136</t>
        </is>
      </c>
      <c r="X902">
        <f>IFERROR(IF(LoanIsNotPaid*LoanIsGood,PaymentNumber,""), "")</f>
        <v/>
      </c>
    </row>
    <row r="903">
      <c r="A903" t="inlineStr">
        <is>
          <t>Loan calculator</t>
        </is>
      </c>
      <c r="B903" t="inlineStr">
        <is>
          <t>C96</t>
        </is>
      </c>
      <c r="C903" t="n">
        <v>96</v>
      </c>
      <c r="D903" t="n">
        <v>3</v>
      </c>
      <c r="E903" t="inlineStr">
        <is>
          <t>Output</t>
        </is>
      </c>
      <c r="F903" t="inlineStr">
        <is>
          <t>'=IFERROR(IF(LoanIsNotPaid*LoanIsGood,PaymentDate,LoanStartDate), LoanStartDate)</t>
        </is>
      </c>
      <c r="G903" s="1" t="n">
        <v>48523</v>
      </c>
      <c r="H903" t="inlineStr"/>
      <c r="I903" t="inlineStr">
        <is>
          <t>mm-dd-yy</t>
        </is>
      </c>
      <c r="J903" t="b">
        <v>0</v>
      </c>
      <c r="K903" t="b">
        <v>0</v>
      </c>
      <c r="L903" t="n">
        <v>9</v>
      </c>
      <c r="M903" t="inlineStr">
        <is>
          <t>Values must be of type &lt;class 'str'&gt;</t>
        </is>
      </c>
      <c r="N903" t="inlineStr">
        <is>
          <t>00000000</t>
        </is>
      </c>
      <c r="O903" t="inlineStr">
        <is>
          <t>center</t>
        </is>
      </c>
      <c r="P903" t="inlineStr">
        <is>
          <t>center</t>
        </is>
      </c>
      <c r="R903" t="b">
        <v>1</v>
      </c>
      <c r="S903" t="inlineStr">
        <is>
          <t>G000002</t>
        </is>
      </c>
      <c r="T903" t="inlineStr">
        <is>
          <t>Vertical</t>
        </is>
      </c>
      <c r="U903" t="n">
        <v>120</v>
      </c>
      <c r="V903" t="b">
        <v>1</v>
      </c>
      <c r="W903" t="inlineStr">
        <is>
          <t>Loan calculator!C17:C136</t>
        </is>
      </c>
      <c r="X903">
        <f>IFERROR(IF(LoanIsNotPaid*LoanIsGood,PaymentDate,LoanStartDate), LoanStartDate)</f>
        <v/>
      </c>
    </row>
    <row r="904">
      <c r="A904" t="inlineStr">
        <is>
          <t>Loan calculator</t>
        </is>
      </c>
      <c r="B904" t="inlineStr">
        <is>
          <t>D96</t>
        </is>
      </c>
      <c r="C904" t="n">
        <v>96</v>
      </c>
      <c r="D904" t="n">
        <v>4</v>
      </c>
      <c r="E904" t="inlineStr">
        <is>
          <t>Output</t>
        </is>
      </c>
      <c r="F904" t="inlineStr">
        <is>
          <t>'=IFERROR(IF(LoanIsNotPaid*LoanIsGood,LoanValue,""), "")</t>
        </is>
      </c>
      <c r="G904" t="n">
        <v>4048.078692320407</v>
      </c>
      <c r="H904" t="inlineStr"/>
      <c r="I904" t="inlineStr">
        <is>
          <t>"$"#,##0.00</t>
        </is>
      </c>
      <c r="J904" t="b">
        <v>0</v>
      </c>
      <c r="K904" t="b">
        <v>0</v>
      </c>
      <c r="L904" t="n">
        <v>9</v>
      </c>
      <c r="M904" t="inlineStr">
        <is>
          <t>Values must be of type &lt;class 'str'&gt;</t>
        </is>
      </c>
      <c r="N904" t="inlineStr">
        <is>
          <t>00000000</t>
        </is>
      </c>
      <c r="O904" t="inlineStr">
        <is>
          <t>center</t>
        </is>
      </c>
      <c r="P904" t="inlineStr">
        <is>
          <t>center</t>
        </is>
      </c>
      <c r="R904" t="b">
        <v>1</v>
      </c>
      <c r="S904" t="inlineStr">
        <is>
          <t>G000003</t>
        </is>
      </c>
      <c r="T904" t="inlineStr">
        <is>
          <t>Vertical</t>
        </is>
      </c>
      <c r="U904" t="n">
        <v>120</v>
      </c>
      <c r="V904" t="b">
        <v>1</v>
      </c>
      <c r="W904" t="inlineStr">
        <is>
          <t>Loan calculator!D17:D136</t>
        </is>
      </c>
      <c r="X904">
        <f>IFERROR(IF(LoanIsNotPaid*LoanIsGood,LoanValue,""), "")</f>
        <v/>
      </c>
    </row>
    <row r="905">
      <c r="A905" t="inlineStr">
        <is>
          <t>Loan calculator</t>
        </is>
      </c>
      <c r="B905" t="inlineStr">
        <is>
          <t>E96</t>
        </is>
      </c>
      <c r="C905" t="n">
        <v>96</v>
      </c>
      <c r="D905" t="n">
        <v>5</v>
      </c>
      <c r="E905" t="inlineStr">
        <is>
          <t>Output</t>
        </is>
      </c>
      <c r="F905" t="inlineStr">
        <is>
          <t>'=IFERROR(IF(LoanIsNotPaid*LoanIsGood,MonthlyPayment,0), 0)</t>
        </is>
      </c>
      <c r="G905" t="n">
        <v>108.5262779604807</v>
      </c>
      <c r="H905" t="inlineStr"/>
      <c r="I905" t="inlineStr">
        <is>
          <t>"$"#,##0.00</t>
        </is>
      </c>
      <c r="J905" t="b">
        <v>0</v>
      </c>
      <c r="K905" t="b">
        <v>0</v>
      </c>
      <c r="L905" t="n">
        <v>9</v>
      </c>
      <c r="M905" t="inlineStr">
        <is>
          <t>Values must be of type &lt;class 'str'&gt;</t>
        </is>
      </c>
      <c r="N905" t="inlineStr">
        <is>
          <t>00000000</t>
        </is>
      </c>
      <c r="O905" t="inlineStr">
        <is>
          <t>center</t>
        </is>
      </c>
      <c r="P905" t="inlineStr">
        <is>
          <t>center</t>
        </is>
      </c>
      <c r="R905" t="b">
        <v>1</v>
      </c>
      <c r="S905" t="inlineStr">
        <is>
          <t>G000004</t>
        </is>
      </c>
      <c r="T905" t="inlineStr">
        <is>
          <t>Vertical</t>
        </is>
      </c>
      <c r="U905" t="n">
        <v>120</v>
      </c>
      <c r="V905" t="b">
        <v>1</v>
      </c>
      <c r="W905" t="inlineStr">
        <is>
          <t>Loan calculator!E17:E136</t>
        </is>
      </c>
      <c r="X905">
        <f>IFERROR(IF(LoanIsNotPaid*LoanIsGood,MonthlyPayment,0), 0)</f>
        <v/>
      </c>
    </row>
    <row r="906">
      <c r="A906" t="inlineStr">
        <is>
          <t>Loan calculator</t>
        </is>
      </c>
      <c r="B906" t="inlineStr">
        <is>
          <t>F96</t>
        </is>
      </c>
      <c r="C906" t="n">
        <v>96</v>
      </c>
      <c r="D906" t="n">
        <v>6</v>
      </c>
      <c r="E906" t="inlineStr">
        <is>
          <t>Output</t>
        </is>
      </c>
      <c r="F906" t="inlineStr">
        <is>
          <t>'=IFERROR(IF(LoanIsNotPaid*LoanIsGood,Principal,0), 0)</t>
        </is>
      </c>
      <c r="G906" t="n">
        <v>89.97258395401214</v>
      </c>
      <c r="H906" t="inlineStr"/>
      <c r="I906" t="inlineStr">
        <is>
          <t>"$"#,##0.00</t>
        </is>
      </c>
      <c r="J906" t="b">
        <v>0</v>
      </c>
      <c r="K906" t="b">
        <v>0</v>
      </c>
      <c r="L906" t="n">
        <v>9</v>
      </c>
      <c r="M906" t="inlineStr">
        <is>
          <t>Values must be of type &lt;class 'str'&gt;</t>
        </is>
      </c>
      <c r="N906" t="inlineStr">
        <is>
          <t>00000000</t>
        </is>
      </c>
      <c r="O906" t="inlineStr">
        <is>
          <t>center</t>
        </is>
      </c>
      <c r="P906" t="inlineStr">
        <is>
          <t>center</t>
        </is>
      </c>
      <c r="R906" t="b">
        <v>1</v>
      </c>
      <c r="S906" t="inlineStr">
        <is>
          <t>G000005</t>
        </is>
      </c>
      <c r="T906" t="inlineStr">
        <is>
          <t>Vertical</t>
        </is>
      </c>
      <c r="U906" t="n">
        <v>120</v>
      </c>
      <c r="V906" t="b">
        <v>1</v>
      </c>
      <c r="W906" t="inlineStr">
        <is>
          <t>Loan calculator!F17:F136</t>
        </is>
      </c>
      <c r="X906">
        <f>IFERROR(IF(LoanIsNotPaid*LoanIsGood,Principal,0), 0)</f>
        <v/>
      </c>
    </row>
    <row r="907">
      <c r="A907" t="inlineStr">
        <is>
          <t>Loan calculator</t>
        </is>
      </c>
      <c r="B907" t="inlineStr">
        <is>
          <t>G96</t>
        </is>
      </c>
      <c r="C907" t="n">
        <v>96</v>
      </c>
      <c r="D907" t="n">
        <v>7</v>
      </c>
      <c r="E907" t="inlineStr">
        <is>
          <t>Output</t>
        </is>
      </c>
      <c r="F907" t="inlineStr">
        <is>
          <t>'=IFERROR(IF(LoanIsNotPaid*LoanIsGood,InterestAmt,0), 0)</t>
        </is>
      </c>
      <c r="G907" t="n">
        <v>18.55369400646858</v>
      </c>
      <c r="H907" t="inlineStr"/>
      <c r="I907" t="inlineStr">
        <is>
          <t>"$"#,##0.00</t>
        </is>
      </c>
      <c r="J907" t="b">
        <v>0</v>
      </c>
      <c r="K907" t="b">
        <v>0</v>
      </c>
      <c r="L907" t="n">
        <v>9</v>
      </c>
      <c r="M907" t="inlineStr">
        <is>
          <t>Values must be of type &lt;class 'str'&gt;</t>
        </is>
      </c>
      <c r="N907" t="inlineStr">
        <is>
          <t>00000000</t>
        </is>
      </c>
      <c r="O907" t="inlineStr">
        <is>
          <t>center</t>
        </is>
      </c>
      <c r="P907" t="inlineStr">
        <is>
          <t>center</t>
        </is>
      </c>
      <c r="R907" t="b">
        <v>1</v>
      </c>
      <c r="S907" t="inlineStr">
        <is>
          <t>G000006</t>
        </is>
      </c>
      <c r="T907" t="inlineStr">
        <is>
          <t>Vertical</t>
        </is>
      </c>
      <c r="U907" t="n">
        <v>120</v>
      </c>
      <c r="V907" t="b">
        <v>1</v>
      </c>
      <c r="W907" t="inlineStr">
        <is>
          <t>Loan calculator!G17:G136</t>
        </is>
      </c>
      <c r="X907">
        <f>IFERROR(IF(LoanIsNotPaid*LoanIsGood,InterestAmt,0), 0)</f>
        <v/>
      </c>
    </row>
    <row r="908">
      <c r="A908" t="inlineStr">
        <is>
          <t>Loan calculator</t>
        </is>
      </c>
      <c r="B908" t="inlineStr">
        <is>
          <t>H96</t>
        </is>
      </c>
      <c r="C908" t="n">
        <v>96</v>
      </c>
      <c r="D908" t="n">
        <v>8</v>
      </c>
      <c r="E908" t="inlineStr">
        <is>
          <t>Output</t>
        </is>
      </c>
      <c r="F908" t="inlineStr">
        <is>
          <t>'=IFERROR(IF(LoanIsNotPaid*LoanIsGood,EndingBalance,0), 0)</t>
        </is>
      </c>
      <c r="G908" t="n">
        <v>3958.106108366394</v>
      </c>
      <c r="H908" t="inlineStr"/>
      <c r="I908" t="inlineStr">
        <is>
          <t>"$"#,##0.00</t>
        </is>
      </c>
      <c r="J908" t="b">
        <v>0</v>
      </c>
      <c r="K908" t="b">
        <v>0</v>
      </c>
      <c r="L908" t="n">
        <v>9</v>
      </c>
      <c r="M908" t="inlineStr">
        <is>
          <t>Values must be of type &lt;class 'str'&gt;</t>
        </is>
      </c>
      <c r="N908" t="inlineStr">
        <is>
          <t>00000000</t>
        </is>
      </c>
      <c r="O908" t="inlineStr">
        <is>
          <t>center</t>
        </is>
      </c>
      <c r="P908" t="inlineStr">
        <is>
          <t>center</t>
        </is>
      </c>
      <c r="R908" t="b">
        <v>1</v>
      </c>
      <c r="S908" t="inlineStr">
        <is>
          <t>G000007</t>
        </is>
      </c>
      <c r="T908" t="inlineStr">
        <is>
          <t>Vertical</t>
        </is>
      </c>
      <c r="U908" t="n">
        <v>120</v>
      </c>
      <c r="V908" t="b">
        <v>1</v>
      </c>
      <c r="W908" t="inlineStr">
        <is>
          <t>Loan calculator!H17:H136</t>
        </is>
      </c>
      <c r="X908">
        <f>IFERROR(IF(LoanIsNotPaid*LoanIsGood,EndingBalance,0), 0)</f>
        <v/>
      </c>
    </row>
    <row r="909">
      <c r="A909" t="inlineStr">
        <is>
          <t>Loan calculator</t>
        </is>
      </c>
      <c r="B909" t="inlineStr">
        <is>
          <t>I96</t>
        </is>
      </c>
      <c r="C909" t="n">
        <v>96</v>
      </c>
      <c r="D909" t="n">
        <v>9</v>
      </c>
      <c r="E909" t="inlineStr">
        <is>
          <t>Input</t>
        </is>
      </c>
      <c r="F909" t="n">
        <v/>
      </c>
      <c r="H909" t="inlineStr"/>
      <c r="I909" t="inlineStr">
        <is>
          <t>General</t>
        </is>
      </c>
      <c r="J909" t="b">
        <v>0</v>
      </c>
      <c r="K909" t="b">
        <v>0</v>
      </c>
      <c r="L909" t="n">
        <v>11</v>
      </c>
      <c r="M909" t="inlineStr">
        <is>
          <t>Values must be of type &lt;class 'str'&gt;</t>
        </is>
      </c>
      <c r="N909" t="inlineStr">
        <is>
          <t>Values must be of type &lt;class 'str'&gt;</t>
        </is>
      </c>
      <c r="O909" t="n">
        <v/>
      </c>
      <c r="P909" t="inlineStr">
        <is>
          <t>center</t>
        </is>
      </c>
      <c r="R909" t="b">
        <v>0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</row>
    <row r="910">
      <c r="A910" t="inlineStr">
        <is>
          <t>Loan calculator</t>
        </is>
      </c>
      <c r="B910" t="inlineStr">
        <is>
          <t>A97</t>
        </is>
      </c>
      <c r="C910" t="n">
        <v>97</v>
      </c>
      <c r="D910" t="n">
        <v>1</v>
      </c>
      <c r="E910" t="inlineStr">
        <is>
          <t>Input</t>
        </is>
      </c>
      <c r="F910" t="n">
        <v/>
      </c>
      <c r="H910" t="inlineStr"/>
      <c r="I910" t="inlineStr">
        <is>
          <t>General</t>
        </is>
      </c>
      <c r="J910" t="b">
        <v>0</v>
      </c>
      <c r="K910" t="b">
        <v>0</v>
      </c>
      <c r="L910" t="n">
        <v>11</v>
      </c>
      <c r="M910" t="inlineStr">
        <is>
          <t>Values must be of type &lt;class 'str'&gt;</t>
        </is>
      </c>
      <c r="N910" t="inlineStr">
        <is>
          <t>Values must be of type &lt;class 'str'&gt;</t>
        </is>
      </c>
      <c r="O910" t="n">
        <v/>
      </c>
      <c r="P910" t="inlineStr">
        <is>
          <t>center</t>
        </is>
      </c>
      <c r="R910" t="b">
        <v>0</v>
      </c>
      <c r="S910" t="n">
        <v/>
      </c>
      <c r="T910" t="n">
        <v/>
      </c>
      <c r="U910" t="n">
        <v/>
      </c>
      <c r="V910" t="b">
        <v>0</v>
      </c>
      <c r="W910" t="inlineStr"/>
      <c r="X910" t="n">
        <v/>
      </c>
    </row>
    <row r="911">
      <c r="A911" t="inlineStr">
        <is>
          <t>Loan calculator</t>
        </is>
      </c>
      <c r="B911" t="inlineStr">
        <is>
          <t>B97</t>
        </is>
      </c>
      <c r="C911" t="n">
        <v>97</v>
      </c>
      <c r="D911" t="n">
        <v>2</v>
      </c>
      <c r="E911" t="inlineStr">
        <is>
          <t>Output</t>
        </is>
      </c>
      <c r="F911" t="inlineStr">
        <is>
          <t>'=IFERROR(IF(LoanIsNotPaid*LoanIsGood,PaymentNumber,""), "")</t>
        </is>
      </c>
      <c r="G911" t="n">
        <v>81</v>
      </c>
      <c r="H911" t="inlineStr"/>
      <c r="I911" t="inlineStr">
        <is>
          <t>#,##0</t>
        </is>
      </c>
      <c r="J911" t="b">
        <v>0</v>
      </c>
      <c r="K911" t="b">
        <v>0</v>
      </c>
      <c r="L911" t="n">
        <v>9</v>
      </c>
      <c r="M911" t="inlineStr">
        <is>
          <t>Values must be of type &lt;class 'str'&gt;</t>
        </is>
      </c>
      <c r="N911" t="inlineStr">
        <is>
          <t>00000000</t>
        </is>
      </c>
      <c r="O911" t="inlineStr">
        <is>
          <t>center</t>
        </is>
      </c>
      <c r="P911" t="inlineStr">
        <is>
          <t>center</t>
        </is>
      </c>
      <c r="R911" t="b">
        <v>1</v>
      </c>
      <c r="S911" t="inlineStr">
        <is>
          <t>G000001</t>
        </is>
      </c>
      <c r="T911" t="inlineStr">
        <is>
          <t>Vertical</t>
        </is>
      </c>
      <c r="U911" t="n">
        <v>120</v>
      </c>
      <c r="V911" t="b">
        <v>1</v>
      </c>
      <c r="W911" t="inlineStr">
        <is>
          <t>Loan calculator!B17:B136</t>
        </is>
      </c>
      <c r="X911">
        <f>IFERROR(IF(LoanIsNotPaid*LoanIsGood,PaymentNumber,""), "")</f>
        <v/>
      </c>
    </row>
    <row r="912">
      <c r="A912" t="inlineStr">
        <is>
          <t>Loan calculator</t>
        </is>
      </c>
      <c r="B912" t="inlineStr">
        <is>
          <t>C97</t>
        </is>
      </c>
      <c r="C912" t="n">
        <v>97</v>
      </c>
      <c r="D912" t="n">
        <v>3</v>
      </c>
      <c r="E912" t="inlineStr">
        <is>
          <t>Output</t>
        </is>
      </c>
      <c r="F912" t="inlineStr">
        <is>
          <t>'=IFERROR(IF(LoanIsNotPaid*LoanIsGood,PaymentDate,LoanStartDate), LoanStartDate)</t>
        </is>
      </c>
      <c r="G912" s="1" t="n">
        <v>48553</v>
      </c>
      <c r="H912" t="inlineStr"/>
      <c r="I912" t="inlineStr">
        <is>
          <t>mm-dd-yy</t>
        </is>
      </c>
      <c r="J912" t="b">
        <v>0</v>
      </c>
      <c r="K912" t="b">
        <v>0</v>
      </c>
      <c r="L912" t="n">
        <v>9</v>
      </c>
      <c r="M912" t="inlineStr">
        <is>
          <t>Values must be of type &lt;class 'str'&gt;</t>
        </is>
      </c>
      <c r="N912" t="inlineStr">
        <is>
          <t>00000000</t>
        </is>
      </c>
      <c r="O912" t="inlineStr">
        <is>
          <t>center</t>
        </is>
      </c>
      <c r="P912" t="inlineStr">
        <is>
          <t>center</t>
        </is>
      </c>
      <c r="R912" t="b">
        <v>1</v>
      </c>
      <c r="S912" t="inlineStr">
        <is>
          <t>G000002</t>
        </is>
      </c>
      <c r="T912" t="inlineStr">
        <is>
          <t>Vertical</t>
        </is>
      </c>
      <c r="U912" t="n">
        <v>120</v>
      </c>
      <c r="V912" t="b">
        <v>1</v>
      </c>
      <c r="W912" t="inlineStr">
        <is>
          <t>Loan calculator!C17:C136</t>
        </is>
      </c>
      <c r="X912">
        <f>IFERROR(IF(LoanIsNotPaid*LoanIsGood,PaymentDate,LoanStartDate), LoanStartDate)</f>
        <v/>
      </c>
    </row>
    <row r="913">
      <c r="A913" t="inlineStr">
        <is>
          <t>Loan calculator</t>
        </is>
      </c>
      <c r="B913" t="inlineStr">
        <is>
          <t>D97</t>
        </is>
      </c>
      <c r="C913" t="n">
        <v>97</v>
      </c>
      <c r="D913" t="n">
        <v>4</v>
      </c>
      <c r="E913" t="inlineStr">
        <is>
          <t>Output</t>
        </is>
      </c>
      <c r="F913" t="inlineStr">
        <is>
          <t>'=IFERROR(IF(LoanIsNotPaid*LoanIsGood,LoanValue,""), "")</t>
        </is>
      </c>
      <c r="G913" t="n">
        <v>3958.106108366394</v>
      </c>
      <c r="H913" t="inlineStr"/>
      <c r="I913" t="inlineStr">
        <is>
          <t>"$"#,##0.00</t>
        </is>
      </c>
      <c r="J913" t="b">
        <v>0</v>
      </c>
      <c r="K913" t="b">
        <v>0</v>
      </c>
      <c r="L913" t="n">
        <v>9</v>
      </c>
      <c r="M913" t="inlineStr">
        <is>
          <t>Values must be of type &lt;class 'str'&gt;</t>
        </is>
      </c>
      <c r="N913" t="inlineStr">
        <is>
          <t>00000000</t>
        </is>
      </c>
      <c r="O913" t="inlineStr">
        <is>
          <t>center</t>
        </is>
      </c>
      <c r="P913" t="inlineStr">
        <is>
          <t>center</t>
        </is>
      </c>
      <c r="R913" t="b">
        <v>1</v>
      </c>
      <c r="S913" t="inlineStr">
        <is>
          <t>G000003</t>
        </is>
      </c>
      <c r="T913" t="inlineStr">
        <is>
          <t>Vertical</t>
        </is>
      </c>
      <c r="U913" t="n">
        <v>120</v>
      </c>
      <c r="V913" t="b">
        <v>1</v>
      </c>
      <c r="W913" t="inlineStr">
        <is>
          <t>Loan calculator!D17:D136</t>
        </is>
      </c>
      <c r="X913">
        <f>IFERROR(IF(LoanIsNotPaid*LoanIsGood,LoanValue,""), "")</f>
        <v/>
      </c>
    </row>
    <row r="914">
      <c r="A914" t="inlineStr">
        <is>
          <t>Loan calculator</t>
        </is>
      </c>
      <c r="B914" t="inlineStr">
        <is>
          <t>E97</t>
        </is>
      </c>
      <c r="C914" t="n">
        <v>97</v>
      </c>
      <c r="D914" t="n">
        <v>5</v>
      </c>
      <c r="E914" t="inlineStr">
        <is>
          <t>Output</t>
        </is>
      </c>
      <c r="F914" t="inlineStr">
        <is>
          <t>'=IFERROR(IF(LoanIsNotPaid*LoanIsGood,MonthlyPayment,0), 0)</t>
        </is>
      </c>
      <c r="G914" t="n">
        <v>108.5262779604807</v>
      </c>
      <c r="H914" t="inlineStr"/>
      <c r="I914" t="inlineStr">
        <is>
          <t>"$"#,##0.00</t>
        </is>
      </c>
      <c r="J914" t="b">
        <v>0</v>
      </c>
      <c r="K914" t="b">
        <v>0</v>
      </c>
      <c r="L914" t="n">
        <v>9</v>
      </c>
      <c r="M914" t="inlineStr">
        <is>
          <t>Values must be of type &lt;class 'str'&gt;</t>
        </is>
      </c>
      <c r="N914" t="inlineStr">
        <is>
          <t>00000000</t>
        </is>
      </c>
      <c r="O914" t="inlineStr">
        <is>
          <t>center</t>
        </is>
      </c>
      <c r="P914" t="inlineStr">
        <is>
          <t>center</t>
        </is>
      </c>
      <c r="R914" t="b">
        <v>1</v>
      </c>
      <c r="S914" t="inlineStr">
        <is>
          <t>G000004</t>
        </is>
      </c>
      <c r="T914" t="inlineStr">
        <is>
          <t>Vertical</t>
        </is>
      </c>
      <c r="U914" t="n">
        <v>120</v>
      </c>
      <c r="V914" t="b">
        <v>1</v>
      </c>
      <c r="W914" t="inlineStr">
        <is>
          <t>Loan calculator!E17:E136</t>
        </is>
      </c>
      <c r="X914">
        <f>IFERROR(IF(LoanIsNotPaid*LoanIsGood,MonthlyPayment,0), 0)</f>
        <v/>
      </c>
    </row>
    <row r="915">
      <c r="A915" t="inlineStr">
        <is>
          <t>Loan calculator</t>
        </is>
      </c>
      <c r="B915" t="inlineStr">
        <is>
          <t>F97</t>
        </is>
      </c>
      <c r="C915" t="n">
        <v>97</v>
      </c>
      <c r="D915" t="n">
        <v>6</v>
      </c>
      <c r="E915" t="inlineStr">
        <is>
          <t>Output</t>
        </is>
      </c>
      <c r="F915" t="inlineStr">
        <is>
          <t>'=IFERROR(IF(LoanIsNotPaid*LoanIsGood,Principal,0), 0)</t>
        </is>
      </c>
      <c r="G915" t="n">
        <v>90.3849582971347</v>
      </c>
      <c r="H915" t="inlineStr"/>
      <c r="I915" t="inlineStr">
        <is>
          <t>"$"#,##0.00</t>
        </is>
      </c>
      <c r="J915" t="b">
        <v>0</v>
      </c>
      <c r="K915" t="b">
        <v>0</v>
      </c>
      <c r="L915" t="n">
        <v>9</v>
      </c>
      <c r="M915" t="inlineStr">
        <is>
          <t>Values must be of type &lt;class 'str'&gt;</t>
        </is>
      </c>
      <c r="N915" t="inlineStr">
        <is>
          <t>00000000</t>
        </is>
      </c>
      <c r="O915" t="inlineStr">
        <is>
          <t>center</t>
        </is>
      </c>
      <c r="P915" t="inlineStr">
        <is>
          <t>center</t>
        </is>
      </c>
      <c r="R915" t="b">
        <v>1</v>
      </c>
      <c r="S915" t="inlineStr">
        <is>
          <t>G000005</t>
        </is>
      </c>
      <c r="T915" t="inlineStr">
        <is>
          <t>Vertical</t>
        </is>
      </c>
      <c r="U915" t="n">
        <v>120</v>
      </c>
      <c r="V915" t="b">
        <v>1</v>
      </c>
      <c r="W915" t="inlineStr">
        <is>
          <t>Loan calculator!F17:F136</t>
        </is>
      </c>
      <c r="X915">
        <f>IFERROR(IF(LoanIsNotPaid*LoanIsGood,Principal,0), 0)</f>
        <v/>
      </c>
    </row>
    <row r="916">
      <c r="A916" t="inlineStr">
        <is>
          <t>Loan calculator</t>
        </is>
      </c>
      <c r="B916" t="inlineStr">
        <is>
          <t>G97</t>
        </is>
      </c>
      <c r="C916" t="n">
        <v>97</v>
      </c>
      <c r="D916" t="n">
        <v>7</v>
      </c>
      <c r="E916" t="inlineStr">
        <is>
          <t>Output</t>
        </is>
      </c>
      <c r="F916" t="inlineStr">
        <is>
          <t>'=IFERROR(IF(LoanIsNotPaid*LoanIsGood,InterestAmt,0), 0)</t>
        </is>
      </c>
      <c r="G916" t="n">
        <v>18.14131966334603</v>
      </c>
      <c r="H916" t="inlineStr"/>
      <c r="I916" t="inlineStr">
        <is>
          <t>"$"#,##0.00</t>
        </is>
      </c>
      <c r="J916" t="b">
        <v>0</v>
      </c>
      <c r="K916" t="b">
        <v>0</v>
      </c>
      <c r="L916" t="n">
        <v>9</v>
      </c>
      <c r="M916" t="inlineStr">
        <is>
          <t>Values must be of type &lt;class 'str'&gt;</t>
        </is>
      </c>
      <c r="N916" t="inlineStr">
        <is>
          <t>00000000</t>
        </is>
      </c>
      <c r="O916" t="inlineStr">
        <is>
          <t>center</t>
        </is>
      </c>
      <c r="P916" t="inlineStr">
        <is>
          <t>center</t>
        </is>
      </c>
      <c r="R916" t="b">
        <v>1</v>
      </c>
      <c r="S916" t="inlineStr">
        <is>
          <t>G000006</t>
        </is>
      </c>
      <c r="T916" t="inlineStr">
        <is>
          <t>Vertical</t>
        </is>
      </c>
      <c r="U916" t="n">
        <v>120</v>
      </c>
      <c r="V916" t="b">
        <v>1</v>
      </c>
      <c r="W916" t="inlineStr">
        <is>
          <t>Loan calculator!G17:G136</t>
        </is>
      </c>
      <c r="X916">
        <f>IFERROR(IF(LoanIsNotPaid*LoanIsGood,InterestAmt,0), 0)</f>
        <v/>
      </c>
    </row>
    <row r="917">
      <c r="A917" t="inlineStr">
        <is>
          <t>Loan calculator</t>
        </is>
      </c>
      <c r="B917" t="inlineStr">
        <is>
          <t>H97</t>
        </is>
      </c>
      <c r="C917" t="n">
        <v>97</v>
      </c>
      <c r="D917" t="n">
        <v>8</v>
      </c>
      <c r="E917" t="inlineStr">
        <is>
          <t>Output</t>
        </is>
      </c>
      <c r="F917" t="inlineStr">
        <is>
          <t>'=IFERROR(IF(LoanIsNotPaid*LoanIsGood,EndingBalance,0), 0)</t>
        </is>
      </c>
      <c r="G917" t="n">
        <v>3867.721150069256</v>
      </c>
      <c r="H917" t="inlineStr"/>
      <c r="I917" t="inlineStr">
        <is>
          <t>"$"#,##0.00</t>
        </is>
      </c>
      <c r="J917" t="b">
        <v>0</v>
      </c>
      <c r="K917" t="b">
        <v>0</v>
      </c>
      <c r="L917" t="n">
        <v>9</v>
      </c>
      <c r="M917" t="inlineStr">
        <is>
          <t>Values must be of type &lt;class 'str'&gt;</t>
        </is>
      </c>
      <c r="N917" t="inlineStr">
        <is>
          <t>00000000</t>
        </is>
      </c>
      <c r="O917" t="inlineStr">
        <is>
          <t>center</t>
        </is>
      </c>
      <c r="P917" t="inlineStr">
        <is>
          <t>center</t>
        </is>
      </c>
      <c r="R917" t="b">
        <v>1</v>
      </c>
      <c r="S917" t="inlineStr">
        <is>
          <t>G000007</t>
        </is>
      </c>
      <c r="T917" t="inlineStr">
        <is>
          <t>Vertical</t>
        </is>
      </c>
      <c r="U917" t="n">
        <v>120</v>
      </c>
      <c r="V917" t="b">
        <v>1</v>
      </c>
      <c r="W917" t="inlineStr">
        <is>
          <t>Loan calculator!H17:H136</t>
        </is>
      </c>
      <c r="X917">
        <f>IFERROR(IF(LoanIsNotPaid*LoanIsGood,EndingBalance,0), 0)</f>
        <v/>
      </c>
    </row>
    <row r="918">
      <c r="A918" t="inlineStr">
        <is>
          <t>Loan calculator</t>
        </is>
      </c>
      <c r="B918" t="inlineStr">
        <is>
          <t>I97</t>
        </is>
      </c>
      <c r="C918" t="n">
        <v>97</v>
      </c>
      <c r="D918" t="n">
        <v>9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11</v>
      </c>
      <c r="M918" t="inlineStr">
        <is>
          <t>Values must be of type &lt;class 'str'&gt;</t>
        </is>
      </c>
      <c r="N918" t="inlineStr">
        <is>
          <t>Values must be of type &lt;class 'str'&gt;</t>
        </is>
      </c>
      <c r="O918" t="n">
        <v/>
      </c>
      <c r="P918" t="inlineStr">
        <is>
          <t>center</t>
        </is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</row>
    <row r="919">
      <c r="A919" t="inlineStr">
        <is>
          <t>Loan calculator</t>
        </is>
      </c>
      <c r="B919" t="inlineStr">
        <is>
          <t>A98</t>
        </is>
      </c>
      <c r="C919" t="n">
        <v>98</v>
      </c>
      <c r="D919" t="n">
        <v>1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11</v>
      </c>
      <c r="M919" t="inlineStr">
        <is>
          <t>Values must be of type &lt;class 'str'&gt;</t>
        </is>
      </c>
      <c r="N919" t="inlineStr">
        <is>
          <t>Values must be of type &lt;class 'str'&gt;</t>
        </is>
      </c>
      <c r="O919" t="n">
        <v/>
      </c>
      <c r="P919" t="inlineStr">
        <is>
          <t>center</t>
        </is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</row>
    <row r="920">
      <c r="A920" t="inlineStr">
        <is>
          <t>Loan calculator</t>
        </is>
      </c>
      <c r="B920" t="inlineStr">
        <is>
          <t>B98</t>
        </is>
      </c>
      <c r="C920" t="n">
        <v>98</v>
      </c>
      <c r="D920" t="n">
        <v>2</v>
      </c>
      <c r="E920" t="inlineStr">
        <is>
          <t>Output</t>
        </is>
      </c>
      <c r="F920" t="inlineStr">
        <is>
          <t>'=IFERROR(IF(LoanIsNotPaid*LoanIsGood,PaymentNumber,""), "")</t>
        </is>
      </c>
      <c r="G920" t="n">
        <v>82</v>
      </c>
      <c r="H920" t="inlineStr"/>
      <c r="I920" t="inlineStr">
        <is>
          <t>#,##0</t>
        </is>
      </c>
      <c r="J920" t="b">
        <v>0</v>
      </c>
      <c r="K920" t="b">
        <v>0</v>
      </c>
      <c r="L920" t="n">
        <v>9</v>
      </c>
      <c r="M920" t="inlineStr">
        <is>
          <t>Values must be of type &lt;class 'str'&gt;</t>
        </is>
      </c>
      <c r="N920" t="inlineStr">
        <is>
          <t>00000000</t>
        </is>
      </c>
      <c r="O920" t="inlineStr">
        <is>
          <t>center</t>
        </is>
      </c>
      <c r="P920" t="inlineStr">
        <is>
          <t>center</t>
        </is>
      </c>
      <c r="R920" t="b">
        <v>1</v>
      </c>
      <c r="S920" t="inlineStr">
        <is>
          <t>G000001</t>
        </is>
      </c>
      <c r="T920" t="inlineStr">
        <is>
          <t>Vertical</t>
        </is>
      </c>
      <c r="U920" t="n">
        <v>120</v>
      </c>
      <c r="V920" t="b">
        <v>1</v>
      </c>
      <c r="W920" t="inlineStr">
        <is>
          <t>Loan calculator!B17:B136</t>
        </is>
      </c>
      <c r="X920">
        <f>IFERROR(IF(LoanIsNotPaid*LoanIsGood,PaymentNumber,""), "")</f>
        <v/>
      </c>
    </row>
    <row r="921">
      <c r="A921" t="inlineStr">
        <is>
          <t>Loan calculator</t>
        </is>
      </c>
      <c r="B921" t="inlineStr">
        <is>
          <t>C98</t>
        </is>
      </c>
      <c r="C921" t="n">
        <v>98</v>
      </c>
      <c r="D921" t="n">
        <v>3</v>
      </c>
      <c r="E921" t="inlineStr">
        <is>
          <t>Output</t>
        </is>
      </c>
      <c r="F921" t="inlineStr">
        <is>
          <t>'=IFERROR(IF(LoanIsNotPaid*LoanIsGood,PaymentDate,LoanStartDate), LoanStartDate)</t>
        </is>
      </c>
      <c r="G921" s="1" t="n">
        <v>48584</v>
      </c>
      <c r="H921" t="inlineStr"/>
      <c r="I921" t="inlineStr">
        <is>
          <t>mm-dd-yy</t>
        </is>
      </c>
      <c r="J921" t="b">
        <v>0</v>
      </c>
      <c r="K921" t="b">
        <v>0</v>
      </c>
      <c r="L921" t="n">
        <v>9</v>
      </c>
      <c r="M921" t="inlineStr">
        <is>
          <t>Values must be of type &lt;class 'str'&gt;</t>
        </is>
      </c>
      <c r="N921" t="inlineStr">
        <is>
          <t>00000000</t>
        </is>
      </c>
      <c r="O921" t="inlineStr">
        <is>
          <t>center</t>
        </is>
      </c>
      <c r="P921" t="inlineStr">
        <is>
          <t>center</t>
        </is>
      </c>
      <c r="R921" t="b">
        <v>1</v>
      </c>
      <c r="S921" t="inlineStr">
        <is>
          <t>G000002</t>
        </is>
      </c>
      <c r="T921" t="inlineStr">
        <is>
          <t>Vertical</t>
        </is>
      </c>
      <c r="U921" t="n">
        <v>120</v>
      </c>
      <c r="V921" t="b">
        <v>1</v>
      </c>
      <c r="W921" t="inlineStr">
        <is>
          <t>Loan calculator!C17:C136</t>
        </is>
      </c>
      <c r="X921">
        <f>IFERROR(IF(LoanIsNotPaid*LoanIsGood,PaymentDate,LoanStartDate), LoanStartDate)</f>
        <v/>
      </c>
    </row>
    <row r="922">
      <c r="A922" t="inlineStr">
        <is>
          <t>Loan calculator</t>
        </is>
      </c>
      <c r="B922" t="inlineStr">
        <is>
          <t>D98</t>
        </is>
      </c>
      <c r="C922" t="n">
        <v>98</v>
      </c>
      <c r="D922" t="n">
        <v>4</v>
      </c>
      <c r="E922" t="inlineStr">
        <is>
          <t>Output</t>
        </is>
      </c>
      <c r="F922" t="inlineStr">
        <is>
          <t>'=IFERROR(IF(LoanIsNotPaid*LoanIsGood,LoanValue,""), "")</t>
        </is>
      </c>
      <c r="G922" t="n">
        <v>3867.721150069256</v>
      </c>
      <c r="H922" t="inlineStr"/>
      <c r="I922" t="inlineStr">
        <is>
          <t>"$"#,##0.00</t>
        </is>
      </c>
      <c r="J922" t="b">
        <v>0</v>
      </c>
      <c r="K922" t="b">
        <v>0</v>
      </c>
      <c r="L922" t="n">
        <v>9</v>
      </c>
      <c r="M922" t="inlineStr">
        <is>
          <t>Values must be of type &lt;class 'str'&gt;</t>
        </is>
      </c>
      <c r="N922" t="inlineStr">
        <is>
          <t>00000000</t>
        </is>
      </c>
      <c r="O922" t="inlineStr">
        <is>
          <t>center</t>
        </is>
      </c>
      <c r="P922" t="inlineStr">
        <is>
          <t>center</t>
        </is>
      </c>
      <c r="R922" t="b">
        <v>1</v>
      </c>
      <c r="S922" t="inlineStr">
        <is>
          <t>G000003</t>
        </is>
      </c>
      <c r="T922" t="inlineStr">
        <is>
          <t>Vertical</t>
        </is>
      </c>
      <c r="U922" t="n">
        <v>120</v>
      </c>
      <c r="V922" t="b">
        <v>1</v>
      </c>
      <c r="W922" t="inlineStr">
        <is>
          <t>Loan calculator!D17:D136</t>
        </is>
      </c>
      <c r="X922">
        <f>IFERROR(IF(LoanIsNotPaid*LoanIsGood,LoanValue,""), "")</f>
        <v/>
      </c>
    </row>
    <row r="923">
      <c r="A923" t="inlineStr">
        <is>
          <t>Loan calculator</t>
        </is>
      </c>
      <c r="B923" t="inlineStr">
        <is>
          <t>E98</t>
        </is>
      </c>
      <c r="C923" t="n">
        <v>98</v>
      </c>
      <c r="D923" t="n">
        <v>5</v>
      </c>
      <c r="E923" t="inlineStr">
        <is>
          <t>Output</t>
        </is>
      </c>
      <c r="F923" t="inlineStr">
        <is>
          <t>'=IFERROR(IF(LoanIsNotPaid*LoanIsGood,MonthlyPayment,0), 0)</t>
        </is>
      </c>
      <c r="G923" t="n">
        <v>108.5262779604807</v>
      </c>
      <c r="H923" t="inlineStr"/>
      <c r="I923" t="inlineStr">
        <is>
          <t>"$"#,##0.00</t>
        </is>
      </c>
      <c r="J923" t="b">
        <v>0</v>
      </c>
      <c r="K923" t="b">
        <v>0</v>
      </c>
      <c r="L923" t="n">
        <v>9</v>
      </c>
      <c r="M923" t="inlineStr">
        <is>
          <t>Values must be of type &lt;class 'str'&gt;</t>
        </is>
      </c>
      <c r="N923" t="inlineStr">
        <is>
          <t>00000000</t>
        </is>
      </c>
      <c r="O923" t="inlineStr">
        <is>
          <t>center</t>
        </is>
      </c>
      <c r="P923" t="inlineStr">
        <is>
          <t>center</t>
        </is>
      </c>
      <c r="R923" t="b">
        <v>1</v>
      </c>
      <c r="S923" t="inlineStr">
        <is>
          <t>G000004</t>
        </is>
      </c>
      <c r="T923" t="inlineStr">
        <is>
          <t>Vertical</t>
        </is>
      </c>
      <c r="U923" t="n">
        <v>120</v>
      </c>
      <c r="V923" t="b">
        <v>1</v>
      </c>
      <c r="W923" t="inlineStr">
        <is>
          <t>Loan calculator!E17:E136</t>
        </is>
      </c>
      <c r="X923">
        <f>IFERROR(IF(LoanIsNotPaid*LoanIsGood,MonthlyPayment,0), 0)</f>
        <v/>
      </c>
    </row>
    <row r="924">
      <c r="A924" t="inlineStr">
        <is>
          <t>Loan calculator</t>
        </is>
      </c>
      <c r="B924" t="inlineStr">
        <is>
          <t>F98</t>
        </is>
      </c>
      <c r="C924" t="n">
        <v>98</v>
      </c>
      <c r="D924" t="n">
        <v>6</v>
      </c>
      <c r="E924" t="inlineStr">
        <is>
          <t>Output</t>
        </is>
      </c>
      <c r="F924" t="inlineStr">
        <is>
          <t>'=IFERROR(IF(LoanIsNotPaid*LoanIsGood,Principal,0), 0)</t>
        </is>
      </c>
      <c r="G924" t="n">
        <v>90.79922268932991</v>
      </c>
      <c r="H924" t="inlineStr"/>
      <c r="I924" t="inlineStr">
        <is>
          <t>"$"#,##0.00</t>
        </is>
      </c>
      <c r="J924" t="b">
        <v>0</v>
      </c>
      <c r="K924" t="b">
        <v>0</v>
      </c>
      <c r="L924" t="n">
        <v>9</v>
      </c>
      <c r="M924" t="inlineStr">
        <is>
          <t>Values must be of type &lt;class 'str'&gt;</t>
        </is>
      </c>
      <c r="N924" t="inlineStr">
        <is>
          <t>00000000</t>
        </is>
      </c>
      <c r="O924" t="inlineStr">
        <is>
          <t>center</t>
        </is>
      </c>
      <c r="P924" t="inlineStr">
        <is>
          <t>center</t>
        </is>
      </c>
      <c r="R924" t="b">
        <v>1</v>
      </c>
      <c r="S924" t="inlineStr">
        <is>
          <t>G000005</t>
        </is>
      </c>
      <c r="T924" t="inlineStr">
        <is>
          <t>Vertical</t>
        </is>
      </c>
      <c r="U924" t="n">
        <v>120</v>
      </c>
      <c r="V924" t="b">
        <v>1</v>
      </c>
      <c r="W924" t="inlineStr">
        <is>
          <t>Loan calculator!F17:F136</t>
        </is>
      </c>
      <c r="X924">
        <f>IFERROR(IF(LoanIsNotPaid*LoanIsGood,Principal,0), 0)</f>
        <v/>
      </c>
    </row>
    <row r="925">
      <c r="A925" t="inlineStr">
        <is>
          <t>Loan calculator</t>
        </is>
      </c>
      <c r="B925" t="inlineStr">
        <is>
          <t>G98</t>
        </is>
      </c>
      <c r="C925" t="n">
        <v>98</v>
      </c>
      <c r="D925" t="n">
        <v>7</v>
      </c>
      <c r="E925" t="inlineStr">
        <is>
          <t>Output</t>
        </is>
      </c>
      <c r="F925" t="inlineStr">
        <is>
          <t>'=IFERROR(IF(LoanIsNotPaid*LoanIsGood,InterestAmt,0), 0)</t>
        </is>
      </c>
      <c r="G925" t="n">
        <v>17.72705527115083</v>
      </c>
      <c r="H925" t="inlineStr"/>
      <c r="I925" t="inlineStr">
        <is>
          <t>"$"#,##0.00</t>
        </is>
      </c>
      <c r="J925" t="b">
        <v>0</v>
      </c>
      <c r="K925" t="b">
        <v>0</v>
      </c>
      <c r="L925" t="n">
        <v>9</v>
      </c>
      <c r="M925" t="inlineStr">
        <is>
          <t>Values must be of type &lt;class 'str'&gt;</t>
        </is>
      </c>
      <c r="N925" t="inlineStr">
        <is>
          <t>00000000</t>
        </is>
      </c>
      <c r="O925" t="inlineStr">
        <is>
          <t>center</t>
        </is>
      </c>
      <c r="P925" t="inlineStr">
        <is>
          <t>center</t>
        </is>
      </c>
      <c r="R925" t="b">
        <v>1</v>
      </c>
      <c r="S925" t="inlineStr">
        <is>
          <t>G000006</t>
        </is>
      </c>
      <c r="T925" t="inlineStr">
        <is>
          <t>Vertical</t>
        </is>
      </c>
      <c r="U925" t="n">
        <v>120</v>
      </c>
      <c r="V925" t="b">
        <v>1</v>
      </c>
      <c r="W925" t="inlineStr">
        <is>
          <t>Loan calculator!G17:G136</t>
        </is>
      </c>
      <c r="X925">
        <f>IFERROR(IF(LoanIsNotPaid*LoanIsGood,InterestAmt,0), 0)</f>
        <v/>
      </c>
    </row>
    <row r="926">
      <c r="A926" t="inlineStr">
        <is>
          <t>Loan calculator</t>
        </is>
      </c>
      <c r="B926" t="inlineStr">
        <is>
          <t>H98</t>
        </is>
      </c>
      <c r="C926" t="n">
        <v>98</v>
      </c>
      <c r="D926" t="n">
        <v>8</v>
      </c>
      <c r="E926" t="inlineStr">
        <is>
          <t>Output</t>
        </is>
      </c>
      <c r="F926" t="inlineStr">
        <is>
          <t>'=IFERROR(IF(LoanIsNotPaid*LoanIsGood,EndingBalance,0), 0)</t>
        </is>
      </c>
      <c r="G926" t="n">
        <v>3776.921927379926</v>
      </c>
      <c r="H926" t="inlineStr"/>
      <c r="I926" t="inlineStr">
        <is>
          <t>"$"#,##0.00</t>
        </is>
      </c>
      <c r="J926" t="b">
        <v>0</v>
      </c>
      <c r="K926" t="b">
        <v>0</v>
      </c>
      <c r="L926" t="n">
        <v>9</v>
      </c>
      <c r="M926" t="inlineStr">
        <is>
          <t>Values must be of type &lt;class 'str'&gt;</t>
        </is>
      </c>
      <c r="N926" t="inlineStr">
        <is>
          <t>00000000</t>
        </is>
      </c>
      <c r="O926" t="inlineStr">
        <is>
          <t>center</t>
        </is>
      </c>
      <c r="P926" t="inlineStr">
        <is>
          <t>center</t>
        </is>
      </c>
      <c r="R926" t="b">
        <v>1</v>
      </c>
      <c r="S926" t="inlineStr">
        <is>
          <t>G000007</t>
        </is>
      </c>
      <c r="T926" t="inlineStr">
        <is>
          <t>Vertical</t>
        </is>
      </c>
      <c r="U926" t="n">
        <v>120</v>
      </c>
      <c r="V926" t="b">
        <v>1</v>
      </c>
      <c r="W926" t="inlineStr">
        <is>
          <t>Loan calculator!H17:H136</t>
        </is>
      </c>
      <c r="X926">
        <f>IFERROR(IF(LoanIsNotPaid*LoanIsGood,EndingBalance,0), 0)</f>
        <v/>
      </c>
    </row>
    <row r="927">
      <c r="A927" t="inlineStr">
        <is>
          <t>Loan calculator</t>
        </is>
      </c>
      <c r="B927" t="inlineStr">
        <is>
          <t>I98</t>
        </is>
      </c>
      <c r="C927" t="n">
        <v>98</v>
      </c>
      <c r="D927" t="n">
        <v>9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11</v>
      </c>
      <c r="M927" t="inlineStr">
        <is>
          <t>Values must be of type &lt;class 'str'&gt;</t>
        </is>
      </c>
      <c r="N927" t="inlineStr">
        <is>
          <t>Values must be of type &lt;class 'str'&gt;</t>
        </is>
      </c>
      <c r="O927" t="n">
        <v/>
      </c>
      <c r="P927" t="inlineStr">
        <is>
          <t>center</t>
        </is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</row>
    <row r="928">
      <c r="A928" t="inlineStr">
        <is>
          <t>Loan calculator</t>
        </is>
      </c>
      <c r="B928" t="inlineStr">
        <is>
          <t>A99</t>
        </is>
      </c>
      <c r="C928" t="n">
        <v>99</v>
      </c>
      <c r="D928" t="n">
        <v>1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11</v>
      </c>
      <c r="M928" t="inlineStr">
        <is>
          <t>Values must be of type &lt;class 'str'&gt;</t>
        </is>
      </c>
      <c r="N928" t="inlineStr">
        <is>
          <t>Values must be of type &lt;class 'str'&gt;</t>
        </is>
      </c>
      <c r="O928" t="n">
        <v/>
      </c>
      <c r="P928" t="inlineStr">
        <is>
          <t>center</t>
        </is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</row>
    <row r="929">
      <c r="A929" t="inlineStr">
        <is>
          <t>Loan calculator</t>
        </is>
      </c>
      <c r="B929" t="inlineStr">
        <is>
          <t>B99</t>
        </is>
      </c>
      <c r="C929" t="n">
        <v>99</v>
      </c>
      <c r="D929" t="n">
        <v>2</v>
      </c>
      <c r="E929" t="inlineStr">
        <is>
          <t>Output</t>
        </is>
      </c>
      <c r="F929" t="inlineStr">
        <is>
          <t>'=IFERROR(IF(LoanIsNotPaid*LoanIsGood,PaymentNumber,""), "")</t>
        </is>
      </c>
      <c r="G929" t="n">
        <v>83</v>
      </c>
      <c r="H929" t="inlineStr"/>
      <c r="I929" t="inlineStr">
        <is>
          <t>#,##0</t>
        </is>
      </c>
      <c r="J929" t="b">
        <v>0</v>
      </c>
      <c r="K929" t="b">
        <v>0</v>
      </c>
      <c r="L929" t="n">
        <v>9</v>
      </c>
      <c r="M929" t="inlineStr">
        <is>
          <t>Values must be of type &lt;class 'str'&gt;</t>
        </is>
      </c>
      <c r="N929" t="inlineStr">
        <is>
          <t>00000000</t>
        </is>
      </c>
      <c r="O929" t="inlineStr">
        <is>
          <t>center</t>
        </is>
      </c>
      <c r="P929" t="inlineStr">
        <is>
          <t>center</t>
        </is>
      </c>
      <c r="R929" t="b">
        <v>1</v>
      </c>
      <c r="S929" t="inlineStr">
        <is>
          <t>G000001</t>
        </is>
      </c>
      <c r="T929" t="inlineStr">
        <is>
          <t>Vertical</t>
        </is>
      </c>
      <c r="U929" t="n">
        <v>120</v>
      </c>
      <c r="V929" t="b">
        <v>1</v>
      </c>
      <c r="W929" t="inlineStr">
        <is>
          <t>Loan calculator!B17:B136</t>
        </is>
      </c>
      <c r="X929">
        <f>IFERROR(IF(LoanIsNotPaid*LoanIsGood,PaymentNumber,""), "")</f>
        <v/>
      </c>
    </row>
    <row r="930">
      <c r="A930" t="inlineStr">
        <is>
          <t>Loan calculator</t>
        </is>
      </c>
      <c r="B930" t="inlineStr">
        <is>
          <t>C99</t>
        </is>
      </c>
      <c r="C930" t="n">
        <v>99</v>
      </c>
      <c r="D930" t="n">
        <v>3</v>
      </c>
      <c r="E930" t="inlineStr">
        <is>
          <t>Output</t>
        </is>
      </c>
      <c r="F930" t="inlineStr">
        <is>
          <t>'=IFERROR(IF(LoanIsNotPaid*LoanIsGood,PaymentDate,LoanStartDate), LoanStartDate)</t>
        </is>
      </c>
      <c r="G930" s="1" t="n">
        <v>48615</v>
      </c>
      <c r="H930" t="inlineStr"/>
      <c r="I930" t="inlineStr">
        <is>
          <t>mm-dd-yy</t>
        </is>
      </c>
      <c r="J930" t="b">
        <v>0</v>
      </c>
      <c r="K930" t="b">
        <v>0</v>
      </c>
      <c r="L930" t="n">
        <v>9</v>
      </c>
      <c r="M930" t="inlineStr">
        <is>
          <t>Values must be of type &lt;class 'str'&gt;</t>
        </is>
      </c>
      <c r="N930" t="inlineStr">
        <is>
          <t>00000000</t>
        </is>
      </c>
      <c r="O930" t="inlineStr">
        <is>
          <t>center</t>
        </is>
      </c>
      <c r="P930" t="inlineStr">
        <is>
          <t>center</t>
        </is>
      </c>
      <c r="R930" t="b">
        <v>1</v>
      </c>
      <c r="S930" t="inlineStr">
        <is>
          <t>G000002</t>
        </is>
      </c>
      <c r="T930" t="inlineStr">
        <is>
          <t>Vertical</t>
        </is>
      </c>
      <c r="U930" t="n">
        <v>120</v>
      </c>
      <c r="V930" t="b">
        <v>1</v>
      </c>
      <c r="W930" t="inlineStr">
        <is>
          <t>Loan calculator!C17:C136</t>
        </is>
      </c>
      <c r="X930">
        <f>IFERROR(IF(LoanIsNotPaid*LoanIsGood,PaymentDate,LoanStartDate), LoanStartDate)</f>
        <v/>
      </c>
    </row>
    <row r="931">
      <c r="A931" t="inlineStr">
        <is>
          <t>Loan calculator</t>
        </is>
      </c>
      <c r="B931" t="inlineStr">
        <is>
          <t>D99</t>
        </is>
      </c>
      <c r="C931" t="n">
        <v>99</v>
      </c>
      <c r="D931" t="n">
        <v>4</v>
      </c>
      <c r="E931" t="inlineStr">
        <is>
          <t>Output</t>
        </is>
      </c>
      <c r="F931" t="inlineStr">
        <is>
          <t>'=IFERROR(IF(LoanIsNotPaid*LoanIsGood,LoanValue,""), "")</t>
        </is>
      </c>
      <c r="G931" t="n">
        <v>3776.921927379926</v>
      </c>
      <c r="H931" t="inlineStr"/>
      <c r="I931" t="inlineStr">
        <is>
          <t>"$"#,##0.00</t>
        </is>
      </c>
      <c r="J931" t="b">
        <v>0</v>
      </c>
      <c r="K931" t="b">
        <v>0</v>
      </c>
      <c r="L931" t="n">
        <v>9</v>
      </c>
      <c r="M931" t="inlineStr">
        <is>
          <t>Values must be of type &lt;class 'str'&gt;</t>
        </is>
      </c>
      <c r="N931" t="inlineStr">
        <is>
          <t>00000000</t>
        </is>
      </c>
      <c r="O931" t="inlineStr">
        <is>
          <t>center</t>
        </is>
      </c>
      <c r="P931" t="inlineStr">
        <is>
          <t>center</t>
        </is>
      </c>
      <c r="R931" t="b">
        <v>1</v>
      </c>
      <c r="S931" t="inlineStr">
        <is>
          <t>G000003</t>
        </is>
      </c>
      <c r="T931" t="inlineStr">
        <is>
          <t>Vertical</t>
        </is>
      </c>
      <c r="U931" t="n">
        <v>120</v>
      </c>
      <c r="V931" t="b">
        <v>1</v>
      </c>
      <c r="W931" t="inlineStr">
        <is>
          <t>Loan calculator!D17:D136</t>
        </is>
      </c>
      <c r="X931">
        <f>IFERROR(IF(LoanIsNotPaid*LoanIsGood,LoanValue,""), "")</f>
        <v/>
      </c>
    </row>
    <row r="932">
      <c r="A932" t="inlineStr">
        <is>
          <t>Loan calculator</t>
        </is>
      </c>
      <c r="B932" t="inlineStr">
        <is>
          <t>E99</t>
        </is>
      </c>
      <c r="C932" t="n">
        <v>99</v>
      </c>
      <c r="D932" t="n">
        <v>5</v>
      </c>
      <c r="E932" t="inlineStr">
        <is>
          <t>Output</t>
        </is>
      </c>
      <c r="F932" t="inlineStr">
        <is>
          <t>'=IFERROR(IF(LoanIsNotPaid*LoanIsGood,MonthlyPayment,0), 0)</t>
        </is>
      </c>
      <c r="G932" t="n">
        <v>108.5262779604807</v>
      </c>
      <c r="H932" t="inlineStr"/>
      <c r="I932" t="inlineStr">
        <is>
          <t>"$"#,##0.00</t>
        </is>
      </c>
      <c r="J932" t="b">
        <v>0</v>
      </c>
      <c r="K932" t="b">
        <v>0</v>
      </c>
      <c r="L932" t="n">
        <v>9</v>
      </c>
      <c r="M932" t="inlineStr">
        <is>
          <t>Values must be of type &lt;class 'str'&gt;</t>
        </is>
      </c>
      <c r="N932" t="inlineStr">
        <is>
          <t>00000000</t>
        </is>
      </c>
      <c r="O932" t="inlineStr">
        <is>
          <t>center</t>
        </is>
      </c>
      <c r="P932" t="inlineStr">
        <is>
          <t>center</t>
        </is>
      </c>
      <c r="R932" t="b">
        <v>1</v>
      </c>
      <c r="S932" t="inlineStr">
        <is>
          <t>G000004</t>
        </is>
      </c>
      <c r="T932" t="inlineStr">
        <is>
          <t>Vertical</t>
        </is>
      </c>
      <c r="U932" t="n">
        <v>120</v>
      </c>
      <c r="V932" t="b">
        <v>1</v>
      </c>
      <c r="W932" t="inlineStr">
        <is>
          <t>Loan calculator!E17:E136</t>
        </is>
      </c>
      <c r="X932">
        <f>IFERROR(IF(LoanIsNotPaid*LoanIsGood,MonthlyPayment,0), 0)</f>
        <v/>
      </c>
    </row>
    <row r="933">
      <c r="A933" t="inlineStr">
        <is>
          <t>Loan calculator</t>
        </is>
      </c>
      <c r="B933" t="inlineStr">
        <is>
          <t>F99</t>
        </is>
      </c>
      <c r="C933" t="n">
        <v>99</v>
      </c>
      <c r="D933" t="n">
        <v>6</v>
      </c>
      <c r="E933" t="inlineStr">
        <is>
          <t>Output</t>
        </is>
      </c>
      <c r="F933" t="inlineStr">
        <is>
          <t>'=IFERROR(IF(LoanIsNotPaid*LoanIsGood,Principal,0), 0)</t>
        </is>
      </c>
      <c r="G933" t="n">
        <v>91.21538579332265</v>
      </c>
      <c r="H933" t="inlineStr"/>
      <c r="I933" t="inlineStr">
        <is>
          <t>"$"#,##0.00</t>
        </is>
      </c>
      <c r="J933" t="b">
        <v>0</v>
      </c>
      <c r="K933" t="b">
        <v>0</v>
      </c>
      <c r="L933" t="n">
        <v>9</v>
      </c>
      <c r="M933" t="inlineStr">
        <is>
          <t>Values must be of type &lt;class 'str'&gt;</t>
        </is>
      </c>
      <c r="N933" t="inlineStr">
        <is>
          <t>00000000</t>
        </is>
      </c>
      <c r="O933" t="inlineStr">
        <is>
          <t>center</t>
        </is>
      </c>
      <c r="P933" t="inlineStr">
        <is>
          <t>center</t>
        </is>
      </c>
      <c r="R933" t="b">
        <v>1</v>
      </c>
      <c r="S933" t="inlineStr">
        <is>
          <t>G000005</t>
        </is>
      </c>
      <c r="T933" t="inlineStr">
        <is>
          <t>Vertical</t>
        </is>
      </c>
      <c r="U933" t="n">
        <v>120</v>
      </c>
      <c r="V933" t="b">
        <v>1</v>
      </c>
      <c r="W933" t="inlineStr">
        <is>
          <t>Loan calculator!F17:F136</t>
        </is>
      </c>
      <c r="X933">
        <f>IFERROR(IF(LoanIsNotPaid*LoanIsGood,Principal,0), 0)</f>
        <v/>
      </c>
    </row>
    <row r="934">
      <c r="A934" t="inlineStr">
        <is>
          <t>Loan calculator</t>
        </is>
      </c>
      <c r="B934" t="inlineStr">
        <is>
          <t>G99</t>
        </is>
      </c>
      <c r="C934" t="n">
        <v>99</v>
      </c>
      <c r="D934" t="n">
        <v>7</v>
      </c>
      <c r="E934" t="inlineStr">
        <is>
          <t>Output</t>
        </is>
      </c>
      <c r="F934" t="inlineStr">
        <is>
          <t>'=IFERROR(IF(LoanIsNotPaid*LoanIsGood,InterestAmt,0), 0)</t>
        </is>
      </c>
      <c r="G934" t="n">
        <v>17.31089216715806</v>
      </c>
      <c r="H934" t="inlineStr"/>
      <c r="I934" t="inlineStr">
        <is>
          <t>"$"#,##0.00</t>
        </is>
      </c>
      <c r="J934" t="b">
        <v>0</v>
      </c>
      <c r="K934" t="b">
        <v>0</v>
      </c>
      <c r="L934" t="n">
        <v>9</v>
      </c>
      <c r="M934" t="inlineStr">
        <is>
          <t>Values must be of type &lt;class 'str'&gt;</t>
        </is>
      </c>
      <c r="N934" t="inlineStr">
        <is>
          <t>00000000</t>
        </is>
      </c>
      <c r="O934" t="inlineStr">
        <is>
          <t>center</t>
        </is>
      </c>
      <c r="P934" t="inlineStr">
        <is>
          <t>center</t>
        </is>
      </c>
      <c r="R934" t="b">
        <v>1</v>
      </c>
      <c r="S934" t="inlineStr">
        <is>
          <t>G000006</t>
        </is>
      </c>
      <c r="T934" t="inlineStr">
        <is>
          <t>Vertical</t>
        </is>
      </c>
      <c r="U934" t="n">
        <v>120</v>
      </c>
      <c r="V934" t="b">
        <v>1</v>
      </c>
      <c r="W934" t="inlineStr">
        <is>
          <t>Loan calculator!G17:G136</t>
        </is>
      </c>
      <c r="X934">
        <f>IFERROR(IF(LoanIsNotPaid*LoanIsGood,InterestAmt,0), 0)</f>
        <v/>
      </c>
    </row>
    <row r="935">
      <c r="A935" t="inlineStr">
        <is>
          <t>Loan calculator</t>
        </is>
      </c>
      <c r="B935" t="inlineStr">
        <is>
          <t>H99</t>
        </is>
      </c>
      <c r="C935" t="n">
        <v>99</v>
      </c>
      <c r="D935" t="n">
        <v>8</v>
      </c>
      <c r="E935" t="inlineStr">
        <is>
          <t>Output</t>
        </is>
      </c>
      <c r="F935" t="inlineStr">
        <is>
          <t>'=IFERROR(IF(LoanIsNotPaid*LoanIsGood,EndingBalance,0), 0)</t>
        </is>
      </c>
      <c r="G935" t="n">
        <v>3685.706541586607</v>
      </c>
      <c r="H935" t="inlineStr"/>
      <c r="I935" t="inlineStr">
        <is>
          <t>"$"#,##0.00</t>
        </is>
      </c>
      <c r="J935" t="b">
        <v>0</v>
      </c>
      <c r="K935" t="b">
        <v>0</v>
      </c>
      <c r="L935" t="n">
        <v>9</v>
      </c>
      <c r="M935" t="inlineStr">
        <is>
          <t>Values must be of type &lt;class 'str'&gt;</t>
        </is>
      </c>
      <c r="N935" t="inlineStr">
        <is>
          <t>00000000</t>
        </is>
      </c>
      <c r="O935" t="inlineStr">
        <is>
          <t>center</t>
        </is>
      </c>
      <c r="P935" t="inlineStr">
        <is>
          <t>center</t>
        </is>
      </c>
      <c r="R935" t="b">
        <v>1</v>
      </c>
      <c r="S935" t="inlineStr">
        <is>
          <t>G000007</t>
        </is>
      </c>
      <c r="T935" t="inlineStr">
        <is>
          <t>Vertical</t>
        </is>
      </c>
      <c r="U935" t="n">
        <v>120</v>
      </c>
      <c r="V935" t="b">
        <v>1</v>
      </c>
      <c r="W935" t="inlineStr">
        <is>
          <t>Loan calculator!H17:H136</t>
        </is>
      </c>
      <c r="X935">
        <f>IFERROR(IF(LoanIsNotPaid*LoanIsGood,EndingBalance,0), 0)</f>
        <v/>
      </c>
    </row>
    <row r="936">
      <c r="A936" t="inlineStr">
        <is>
          <t>Loan calculator</t>
        </is>
      </c>
      <c r="B936" t="inlineStr">
        <is>
          <t>I99</t>
        </is>
      </c>
      <c r="C936" t="n">
        <v>99</v>
      </c>
      <c r="D936" t="n">
        <v>9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11</v>
      </c>
      <c r="M936" t="inlineStr">
        <is>
          <t>Values must be of type &lt;class 'str'&gt;</t>
        </is>
      </c>
      <c r="N936" t="inlineStr">
        <is>
          <t>Values must be of type &lt;class 'str'&gt;</t>
        </is>
      </c>
      <c r="O936" t="n">
        <v/>
      </c>
      <c r="P936" t="inlineStr">
        <is>
          <t>center</t>
        </is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</row>
    <row r="937">
      <c r="A937" t="inlineStr">
        <is>
          <t>Loan calculator</t>
        </is>
      </c>
      <c r="B937" t="inlineStr">
        <is>
          <t>A100</t>
        </is>
      </c>
      <c r="C937" t="n">
        <v>100</v>
      </c>
      <c r="D937" t="n">
        <v>1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11</v>
      </c>
      <c r="M937" t="inlineStr">
        <is>
          <t>Values must be of type &lt;class 'str'&gt;</t>
        </is>
      </c>
      <c r="N937" t="inlineStr">
        <is>
          <t>Values must be of type &lt;class 'str'&gt;</t>
        </is>
      </c>
      <c r="O937" t="n">
        <v/>
      </c>
      <c r="P937" t="inlineStr">
        <is>
          <t>center</t>
        </is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</row>
    <row r="938">
      <c r="A938" t="inlineStr">
        <is>
          <t>Loan calculator</t>
        </is>
      </c>
      <c r="B938" t="inlineStr">
        <is>
          <t>B100</t>
        </is>
      </c>
      <c r="C938" t="n">
        <v>100</v>
      </c>
      <c r="D938" t="n">
        <v>2</v>
      </c>
      <c r="E938" t="inlineStr">
        <is>
          <t>Output</t>
        </is>
      </c>
      <c r="F938" t="inlineStr">
        <is>
          <t>'=IFERROR(IF(LoanIsNotPaid*LoanIsGood,PaymentNumber,""), "")</t>
        </is>
      </c>
      <c r="G938" t="n">
        <v>84</v>
      </c>
      <c r="H938" t="inlineStr"/>
      <c r="I938" t="inlineStr">
        <is>
          <t>#,##0</t>
        </is>
      </c>
      <c r="J938" t="b">
        <v>0</v>
      </c>
      <c r="K938" t="b">
        <v>0</v>
      </c>
      <c r="L938" t="n">
        <v>9</v>
      </c>
      <c r="M938" t="inlineStr">
        <is>
          <t>Values must be of type &lt;class 'str'&gt;</t>
        </is>
      </c>
      <c r="N938" t="inlineStr">
        <is>
          <t>00000000</t>
        </is>
      </c>
      <c r="O938" t="inlineStr">
        <is>
          <t>center</t>
        </is>
      </c>
      <c r="P938" t="inlineStr">
        <is>
          <t>center</t>
        </is>
      </c>
      <c r="R938" t="b">
        <v>1</v>
      </c>
      <c r="S938" t="inlineStr">
        <is>
          <t>G000001</t>
        </is>
      </c>
      <c r="T938" t="inlineStr">
        <is>
          <t>Vertical</t>
        </is>
      </c>
      <c r="U938" t="n">
        <v>120</v>
      </c>
      <c r="V938" t="b">
        <v>1</v>
      </c>
      <c r="W938" t="inlineStr">
        <is>
          <t>Loan calculator!B17:B136</t>
        </is>
      </c>
      <c r="X938">
        <f>IFERROR(IF(LoanIsNotPaid*LoanIsGood,PaymentNumber,""), "")</f>
        <v/>
      </c>
    </row>
    <row r="939">
      <c r="A939" t="inlineStr">
        <is>
          <t>Loan calculator</t>
        </is>
      </c>
      <c r="B939" t="inlineStr">
        <is>
          <t>C100</t>
        </is>
      </c>
      <c r="C939" t="n">
        <v>100</v>
      </c>
      <c r="D939" t="n">
        <v>3</v>
      </c>
      <c r="E939" t="inlineStr">
        <is>
          <t>Output</t>
        </is>
      </c>
      <c r="F939" t="inlineStr">
        <is>
          <t>'=IFERROR(IF(LoanIsNotPaid*LoanIsGood,PaymentDate,LoanStartDate), LoanStartDate)</t>
        </is>
      </c>
      <c r="G939" s="1" t="n">
        <v>48643</v>
      </c>
      <c r="H939" t="inlineStr"/>
      <c r="I939" t="inlineStr">
        <is>
          <t>mm-dd-yy</t>
        </is>
      </c>
      <c r="J939" t="b">
        <v>0</v>
      </c>
      <c r="K939" t="b">
        <v>0</v>
      </c>
      <c r="L939" t="n">
        <v>9</v>
      </c>
      <c r="M939" t="inlineStr">
        <is>
          <t>Values must be of type &lt;class 'str'&gt;</t>
        </is>
      </c>
      <c r="N939" t="inlineStr">
        <is>
          <t>00000000</t>
        </is>
      </c>
      <c r="O939" t="inlineStr">
        <is>
          <t>center</t>
        </is>
      </c>
      <c r="P939" t="inlineStr">
        <is>
          <t>center</t>
        </is>
      </c>
      <c r="R939" t="b">
        <v>1</v>
      </c>
      <c r="S939" t="inlineStr">
        <is>
          <t>G000002</t>
        </is>
      </c>
      <c r="T939" t="inlineStr">
        <is>
          <t>Vertical</t>
        </is>
      </c>
      <c r="U939" t="n">
        <v>120</v>
      </c>
      <c r="V939" t="b">
        <v>1</v>
      </c>
      <c r="W939" t="inlineStr">
        <is>
          <t>Loan calculator!C17:C136</t>
        </is>
      </c>
      <c r="X939">
        <f>IFERROR(IF(LoanIsNotPaid*LoanIsGood,PaymentDate,LoanStartDate), LoanStartDate)</f>
        <v/>
      </c>
    </row>
    <row r="940">
      <c r="A940" t="inlineStr">
        <is>
          <t>Loan calculator</t>
        </is>
      </c>
      <c r="B940" t="inlineStr">
        <is>
          <t>D100</t>
        </is>
      </c>
      <c r="C940" t="n">
        <v>100</v>
      </c>
      <c r="D940" t="n">
        <v>4</v>
      </c>
      <c r="E940" t="inlineStr">
        <is>
          <t>Output</t>
        </is>
      </c>
      <c r="F940" t="inlineStr">
        <is>
          <t>'=IFERROR(IF(LoanIsNotPaid*LoanIsGood,LoanValue,""), "")</t>
        </is>
      </c>
      <c r="G940" t="n">
        <v>3685.706541586607</v>
      </c>
      <c r="H940" t="inlineStr"/>
      <c r="I940" t="inlineStr">
        <is>
          <t>"$"#,##0.00</t>
        </is>
      </c>
      <c r="J940" t="b">
        <v>0</v>
      </c>
      <c r="K940" t="b">
        <v>0</v>
      </c>
      <c r="L940" t="n">
        <v>9</v>
      </c>
      <c r="M940" t="inlineStr">
        <is>
          <t>Values must be of type &lt;class 'str'&gt;</t>
        </is>
      </c>
      <c r="N940" t="inlineStr">
        <is>
          <t>00000000</t>
        </is>
      </c>
      <c r="O940" t="inlineStr">
        <is>
          <t>center</t>
        </is>
      </c>
      <c r="P940" t="inlineStr">
        <is>
          <t>center</t>
        </is>
      </c>
      <c r="R940" t="b">
        <v>1</v>
      </c>
      <c r="S940" t="inlineStr">
        <is>
          <t>G000003</t>
        </is>
      </c>
      <c r="T940" t="inlineStr">
        <is>
          <t>Vertical</t>
        </is>
      </c>
      <c r="U940" t="n">
        <v>120</v>
      </c>
      <c r="V940" t="b">
        <v>1</v>
      </c>
      <c r="W940" t="inlineStr">
        <is>
          <t>Loan calculator!D17:D136</t>
        </is>
      </c>
      <c r="X940">
        <f>IFERROR(IF(LoanIsNotPaid*LoanIsGood,LoanValue,""), "")</f>
        <v/>
      </c>
    </row>
    <row r="941">
      <c r="A941" t="inlineStr">
        <is>
          <t>Loan calculator</t>
        </is>
      </c>
      <c r="B941" t="inlineStr">
        <is>
          <t>E100</t>
        </is>
      </c>
      <c r="C941" t="n">
        <v>100</v>
      </c>
      <c r="D941" t="n">
        <v>5</v>
      </c>
      <c r="E941" t="inlineStr">
        <is>
          <t>Output</t>
        </is>
      </c>
      <c r="F941" t="inlineStr">
        <is>
          <t>'=IFERROR(IF(LoanIsNotPaid*LoanIsGood,MonthlyPayment,0), 0)</t>
        </is>
      </c>
      <c r="G941" t="n">
        <v>108.5262779604807</v>
      </c>
      <c r="H941" t="inlineStr"/>
      <c r="I941" t="inlineStr">
        <is>
          <t>"$"#,##0.00</t>
        </is>
      </c>
      <c r="J941" t="b">
        <v>0</v>
      </c>
      <c r="K941" t="b">
        <v>0</v>
      </c>
      <c r="L941" t="n">
        <v>9</v>
      </c>
      <c r="M941" t="inlineStr">
        <is>
          <t>Values must be of type &lt;class 'str'&gt;</t>
        </is>
      </c>
      <c r="N941" t="inlineStr">
        <is>
          <t>00000000</t>
        </is>
      </c>
      <c r="O941" t="inlineStr">
        <is>
          <t>center</t>
        </is>
      </c>
      <c r="P941" t="inlineStr">
        <is>
          <t>center</t>
        </is>
      </c>
      <c r="R941" t="b">
        <v>1</v>
      </c>
      <c r="S941" t="inlineStr">
        <is>
          <t>G000004</t>
        </is>
      </c>
      <c r="T941" t="inlineStr">
        <is>
          <t>Vertical</t>
        </is>
      </c>
      <c r="U941" t="n">
        <v>120</v>
      </c>
      <c r="V941" t="b">
        <v>1</v>
      </c>
      <c r="W941" t="inlineStr">
        <is>
          <t>Loan calculator!E17:E136</t>
        </is>
      </c>
      <c r="X941">
        <f>IFERROR(IF(LoanIsNotPaid*LoanIsGood,MonthlyPayment,0), 0)</f>
        <v/>
      </c>
    </row>
    <row r="942">
      <c r="A942" t="inlineStr">
        <is>
          <t>Loan calculator</t>
        </is>
      </c>
      <c r="B942" t="inlineStr">
        <is>
          <t>F100</t>
        </is>
      </c>
      <c r="C942" t="n">
        <v>100</v>
      </c>
      <c r="D942" t="n">
        <v>6</v>
      </c>
      <c r="E942" t="inlineStr">
        <is>
          <t>Output</t>
        </is>
      </c>
      <c r="F942" t="inlineStr">
        <is>
          <t>'=IFERROR(IF(LoanIsNotPaid*LoanIsGood,Principal,0), 0)</t>
        </is>
      </c>
      <c r="G942" t="n">
        <v>91.63345631154205</v>
      </c>
      <c r="H942" t="inlineStr"/>
      <c r="I942" t="inlineStr">
        <is>
          <t>"$"#,##0.00</t>
        </is>
      </c>
      <c r="J942" t="b">
        <v>0</v>
      </c>
      <c r="K942" t="b">
        <v>0</v>
      </c>
      <c r="L942" t="n">
        <v>9</v>
      </c>
      <c r="M942" t="inlineStr">
        <is>
          <t>Values must be of type &lt;class 'str'&gt;</t>
        </is>
      </c>
      <c r="N942" t="inlineStr">
        <is>
          <t>00000000</t>
        </is>
      </c>
      <c r="O942" t="inlineStr">
        <is>
          <t>center</t>
        </is>
      </c>
      <c r="P942" t="inlineStr">
        <is>
          <t>center</t>
        </is>
      </c>
      <c r="R942" t="b">
        <v>1</v>
      </c>
      <c r="S942" t="inlineStr">
        <is>
          <t>G000005</t>
        </is>
      </c>
      <c r="T942" t="inlineStr">
        <is>
          <t>Vertical</t>
        </is>
      </c>
      <c r="U942" t="n">
        <v>120</v>
      </c>
      <c r="V942" t="b">
        <v>1</v>
      </c>
      <c r="W942" t="inlineStr">
        <is>
          <t>Loan calculator!F17:F136</t>
        </is>
      </c>
      <c r="X942">
        <f>IFERROR(IF(LoanIsNotPaid*LoanIsGood,Principal,0), 0)</f>
        <v/>
      </c>
    </row>
    <row r="943">
      <c r="A943" t="inlineStr">
        <is>
          <t>Loan calculator</t>
        </is>
      </c>
      <c r="B943" t="inlineStr">
        <is>
          <t>G100</t>
        </is>
      </c>
      <c r="C943" t="n">
        <v>100</v>
      </c>
      <c r="D943" t="n">
        <v>7</v>
      </c>
      <c r="E943" t="inlineStr">
        <is>
          <t>Output</t>
        </is>
      </c>
      <c r="F943" t="inlineStr">
        <is>
          <t>'=IFERROR(IF(LoanIsNotPaid*LoanIsGood,InterestAmt,0), 0)</t>
        </is>
      </c>
      <c r="G943" t="n">
        <v>16.89282164893867</v>
      </c>
      <c r="H943" t="inlineStr"/>
      <c r="I943" t="inlineStr">
        <is>
          <t>"$"#,##0.00</t>
        </is>
      </c>
      <c r="J943" t="b">
        <v>0</v>
      </c>
      <c r="K943" t="b">
        <v>0</v>
      </c>
      <c r="L943" t="n">
        <v>9</v>
      </c>
      <c r="M943" t="inlineStr">
        <is>
          <t>Values must be of type &lt;class 'str'&gt;</t>
        </is>
      </c>
      <c r="N943" t="inlineStr">
        <is>
          <t>00000000</t>
        </is>
      </c>
      <c r="O943" t="inlineStr">
        <is>
          <t>center</t>
        </is>
      </c>
      <c r="P943" t="inlineStr">
        <is>
          <t>center</t>
        </is>
      </c>
      <c r="R943" t="b">
        <v>1</v>
      </c>
      <c r="S943" t="inlineStr">
        <is>
          <t>G000006</t>
        </is>
      </c>
      <c r="T943" t="inlineStr">
        <is>
          <t>Vertical</t>
        </is>
      </c>
      <c r="U943" t="n">
        <v>120</v>
      </c>
      <c r="V943" t="b">
        <v>1</v>
      </c>
      <c r="W943" t="inlineStr">
        <is>
          <t>Loan calculator!G17:G136</t>
        </is>
      </c>
      <c r="X943">
        <f>IFERROR(IF(LoanIsNotPaid*LoanIsGood,InterestAmt,0), 0)</f>
        <v/>
      </c>
    </row>
    <row r="944">
      <c r="A944" t="inlineStr">
        <is>
          <t>Loan calculator</t>
        </is>
      </c>
      <c r="B944" t="inlineStr">
        <is>
          <t>H100</t>
        </is>
      </c>
      <c r="C944" t="n">
        <v>100</v>
      </c>
      <c r="D944" t="n">
        <v>8</v>
      </c>
      <c r="E944" t="inlineStr">
        <is>
          <t>Output</t>
        </is>
      </c>
      <c r="F944" t="inlineStr">
        <is>
          <t>'=IFERROR(IF(LoanIsNotPaid*LoanIsGood,EndingBalance,0), 0)</t>
        </is>
      </c>
      <c r="G944" t="n">
        <v>3594.073085275062</v>
      </c>
      <c r="H944" t="inlineStr"/>
      <c r="I944" t="inlineStr">
        <is>
          <t>"$"#,##0.00</t>
        </is>
      </c>
      <c r="J944" t="b">
        <v>0</v>
      </c>
      <c r="K944" t="b">
        <v>0</v>
      </c>
      <c r="L944" t="n">
        <v>9</v>
      </c>
      <c r="M944" t="inlineStr">
        <is>
          <t>Values must be of type &lt;class 'str'&gt;</t>
        </is>
      </c>
      <c r="N944" t="inlineStr">
        <is>
          <t>00000000</t>
        </is>
      </c>
      <c r="O944" t="inlineStr">
        <is>
          <t>center</t>
        </is>
      </c>
      <c r="P944" t="inlineStr">
        <is>
          <t>center</t>
        </is>
      </c>
      <c r="R944" t="b">
        <v>1</v>
      </c>
      <c r="S944" t="inlineStr">
        <is>
          <t>G000007</t>
        </is>
      </c>
      <c r="T944" t="inlineStr">
        <is>
          <t>Vertical</t>
        </is>
      </c>
      <c r="U944" t="n">
        <v>120</v>
      </c>
      <c r="V944" t="b">
        <v>1</v>
      </c>
      <c r="W944" t="inlineStr">
        <is>
          <t>Loan calculator!H17:H136</t>
        </is>
      </c>
      <c r="X944">
        <f>IFERROR(IF(LoanIsNotPaid*LoanIsGood,EndingBalance,0), 0)</f>
        <v/>
      </c>
    </row>
    <row r="945">
      <c r="A945" t="inlineStr">
        <is>
          <t>Loan calculator</t>
        </is>
      </c>
      <c r="B945" t="inlineStr">
        <is>
          <t>I100</t>
        </is>
      </c>
      <c r="C945" t="n">
        <v>100</v>
      </c>
      <c r="D945" t="n">
        <v>9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11</v>
      </c>
      <c r="M945" t="inlineStr">
        <is>
          <t>Values must be of type &lt;class 'str'&gt;</t>
        </is>
      </c>
      <c r="N945" t="inlineStr">
        <is>
          <t>Values must be of type &lt;class 'str'&gt;</t>
        </is>
      </c>
      <c r="O945" t="n">
        <v/>
      </c>
      <c r="P945" t="inlineStr">
        <is>
          <t>center</t>
        </is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</row>
    <row r="946">
      <c r="A946" t="inlineStr">
        <is>
          <t>Loan calculator</t>
        </is>
      </c>
      <c r="B946" t="inlineStr">
        <is>
          <t>A101</t>
        </is>
      </c>
      <c r="C946" t="n">
        <v>101</v>
      </c>
      <c r="D946" t="n">
        <v>1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11</v>
      </c>
      <c r="M946" t="inlineStr">
        <is>
          <t>Values must be of type &lt;class 'str'&gt;</t>
        </is>
      </c>
      <c r="N946" t="inlineStr">
        <is>
          <t>Values must be of type &lt;class 'str'&gt;</t>
        </is>
      </c>
      <c r="O946" t="n">
        <v/>
      </c>
      <c r="P946" t="inlineStr">
        <is>
          <t>center</t>
        </is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</row>
    <row r="947">
      <c r="A947" t="inlineStr">
        <is>
          <t>Loan calculator</t>
        </is>
      </c>
      <c r="B947" t="inlineStr">
        <is>
          <t>B101</t>
        </is>
      </c>
      <c r="C947" t="n">
        <v>101</v>
      </c>
      <c r="D947" t="n">
        <v>2</v>
      </c>
      <c r="E947" t="inlineStr">
        <is>
          <t>Output</t>
        </is>
      </c>
      <c r="F947" t="inlineStr">
        <is>
          <t>'=IFERROR(IF(LoanIsNotPaid*LoanIsGood,PaymentNumber,""), "")</t>
        </is>
      </c>
      <c r="G947" t="n">
        <v>85</v>
      </c>
      <c r="H947" t="inlineStr"/>
      <c r="I947" t="inlineStr">
        <is>
          <t>#,##0</t>
        </is>
      </c>
      <c r="J947" t="b">
        <v>0</v>
      </c>
      <c r="K947" t="b">
        <v>0</v>
      </c>
      <c r="L947" t="n">
        <v>9</v>
      </c>
      <c r="M947" t="inlineStr">
        <is>
          <t>Values must be of type &lt;class 'str'&gt;</t>
        </is>
      </c>
      <c r="N947" t="inlineStr">
        <is>
          <t>00000000</t>
        </is>
      </c>
      <c r="O947" t="inlineStr">
        <is>
          <t>center</t>
        </is>
      </c>
      <c r="P947" t="inlineStr">
        <is>
          <t>center</t>
        </is>
      </c>
      <c r="R947" t="b">
        <v>1</v>
      </c>
      <c r="S947" t="inlineStr">
        <is>
          <t>G000001</t>
        </is>
      </c>
      <c r="T947" t="inlineStr">
        <is>
          <t>Vertical</t>
        </is>
      </c>
      <c r="U947" t="n">
        <v>120</v>
      </c>
      <c r="V947" t="b">
        <v>1</v>
      </c>
      <c r="W947" t="inlineStr">
        <is>
          <t>Loan calculator!B17:B136</t>
        </is>
      </c>
      <c r="X947">
        <f>IFERROR(IF(LoanIsNotPaid*LoanIsGood,PaymentNumber,""), "")</f>
        <v/>
      </c>
    </row>
    <row r="948">
      <c r="A948" t="inlineStr">
        <is>
          <t>Loan calculator</t>
        </is>
      </c>
      <c r="B948" t="inlineStr">
        <is>
          <t>C101</t>
        </is>
      </c>
      <c r="C948" t="n">
        <v>101</v>
      </c>
      <c r="D948" t="n">
        <v>3</v>
      </c>
      <c r="E948" t="inlineStr">
        <is>
          <t>Output</t>
        </is>
      </c>
      <c r="F948" t="inlineStr">
        <is>
          <t>'=IFERROR(IF(LoanIsNotPaid*LoanIsGood,PaymentDate,LoanStartDate), LoanStartDate)</t>
        </is>
      </c>
      <c r="G948" s="1" t="n">
        <v>48674</v>
      </c>
      <c r="H948" t="inlineStr"/>
      <c r="I948" t="inlineStr">
        <is>
          <t>mm-dd-yy</t>
        </is>
      </c>
      <c r="J948" t="b">
        <v>0</v>
      </c>
      <c r="K948" t="b">
        <v>0</v>
      </c>
      <c r="L948" t="n">
        <v>9</v>
      </c>
      <c r="M948" t="inlineStr">
        <is>
          <t>Values must be of type &lt;class 'str'&gt;</t>
        </is>
      </c>
      <c r="N948" t="inlineStr">
        <is>
          <t>00000000</t>
        </is>
      </c>
      <c r="O948" t="inlineStr">
        <is>
          <t>center</t>
        </is>
      </c>
      <c r="P948" t="inlineStr">
        <is>
          <t>center</t>
        </is>
      </c>
      <c r="R948" t="b">
        <v>1</v>
      </c>
      <c r="S948" t="inlineStr">
        <is>
          <t>G000002</t>
        </is>
      </c>
      <c r="T948" t="inlineStr">
        <is>
          <t>Vertical</t>
        </is>
      </c>
      <c r="U948" t="n">
        <v>120</v>
      </c>
      <c r="V948" t="b">
        <v>1</v>
      </c>
      <c r="W948" t="inlineStr">
        <is>
          <t>Loan calculator!C17:C136</t>
        </is>
      </c>
      <c r="X948">
        <f>IFERROR(IF(LoanIsNotPaid*LoanIsGood,PaymentDate,LoanStartDate), LoanStartDate)</f>
        <v/>
      </c>
    </row>
    <row r="949">
      <c r="A949" t="inlineStr">
        <is>
          <t>Loan calculator</t>
        </is>
      </c>
      <c r="B949" t="inlineStr">
        <is>
          <t>D101</t>
        </is>
      </c>
      <c r="C949" t="n">
        <v>101</v>
      </c>
      <c r="D949" t="n">
        <v>4</v>
      </c>
      <c r="E949" t="inlineStr">
        <is>
          <t>Output</t>
        </is>
      </c>
      <c r="F949" t="inlineStr">
        <is>
          <t>'=IFERROR(IF(LoanIsNotPaid*LoanIsGood,LoanValue,""), "")</t>
        </is>
      </c>
      <c r="G949" t="n">
        <v>3594.073085275062</v>
      </c>
      <c r="H949" t="inlineStr"/>
      <c r="I949" t="inlineStr">
        <is>
          <t>"$"#,##0.00</t>
        </is>
      </c>
      <c r="J949" t="b">
        <v>0</v>
      </c>
      <c r="K949" t="b">
        <v>0</v>
      </c>
      <c r="L949" t="n">
        <v>9</v>
      </c>
      <c r="M949" t="inlineStr">
        <is>
          <t>Values must be of type &lt;class 'str'&gt;</t>
        </is>
      </c>
      <c r="N949" t="inlineStr">
        <is>
          <t>00000000</t>
        </is>
      </c>
      <c r="O949" t="inlineStr">
        <is>
          <t>center</t>
        </is>
      </c>
      <c r="P949" t="inlineStr">
        <is>
          <t>center</t>
        </is>
      </c>
      <c r="R949" t="b">
        <v>1</v>
      </c>
      <c r="S949" t="inlineStr">
        <is>
          <t>G000003</t>
        </is>
      </c>
      <c r="T949" t="inlineStr">
        <is>
          <t>Vertical</t>
        </is>
      </c>
      <c r="U949" t="n">
        <v>120</v>
      </c>
      <c r="V949" t="b">
        <v>1</v>
      </c>
      <c r="W949" t="inlineStr">
        <is>
          <t>Loan calculator!D17:D136</t>
        </is>
      </c>
      <c r="X949">
        <f>IFERROR(IF(LoanIsNotPaid*LoanIsGood,LoanValue,""), "")</f>
        <v/>
      </c>
    </row>
    <row r="950">
      <c r="A950" t="inlineStr">
        <is>
          <t>Loan calculator</t>
        </is>
      </c>
      <c r="B950" t="inlineStr">
        <is>
          <t>E101</t>
        </is>
      </c>
      <c r="C950" t="n">
        <v>101</v>
      </c>
      <c r="D950" t="n">
        <v>5</v>
      </c>
      <c r="E950" t="inlineStr">
        <is>
          <t>Output</t>
        </is>
      </c>
      <c r="F950" t="inlineStr">
        <is>
          <t>'=IFERROR(IF(LoanIsNotPaid*LoanIsGood,MonthlyPayment,0), 0)</t>
        </is>
      </c>
      <c r="G950" t="n">
        <v>108.5262779604807</v>
      </c>
      <c r="H950" t="inlineStr"/>
      <c r="I950" t="inlineStr">
        <is>
          <t>"$"#,##0.00</t>
        </is>
      </c>
      <c r="J950" t="b">
        <v>0</v>
      </c>
      <c r="K950" t="b">
        <v>0</v>
      </c>
      <c r="L950" t="n">
        <v>9</v>
      </c>
      <c r="M950" t="inlineStr">
        <is>
          <t>Values must be of type &lt;class 'str'&gt;</t>
        </is>
      </c>
      <c r="N950" t="inlineStr">
        <is>
          <t>00000000</t>
        </is>
      </c>
      <c r="O950" t="inlineStr">
        <is>
          <t>center</t>
        </is>
      </c>
      <c r="P950" t="inlineStr">
        <is>
          <t>center</t>
        </is>
      </c>
      <c r="R950" t="b">
        <v>1</v>
      </c>
      <c r="S950" t="inlineStr">
        <is>
          <t>G000004</t>
        </is>
      </c>
      <c r="T950" t="inlineStr">
        <is>
          <t>Vertical</t>
        </is>
      </c>
      <c r="U950" t="n">
        <v>120</v>
      </c>
      <c r="V950" t="b">
        <v>1</v>
      </c>
      <c r="W950" t="inlineStr">
        <is>
          <t>Loan calculator!E17:E136</t>
        </is>
      </c>
      <c r="X950">
        <f>IFERROR(IF(LoanIsNotPaid*LoanIsGood,MonthlyPayment,0), 0)</f>
        <v/>
      </c>
    </row>
    <row r="951">
      <c r="A951" t="inlineStr">
        <is>
          <t>Loan calculator</t>
        </is>
      </c>
      <c r="B951" t="inlineStr">
        <is>
          <t>F101</t>
        </is>
      </c>
      <c r="C951" t="n">
        <v>101</v>
      </c>
      <c r="D951" t="n">
        <v>6</v>
      </c>
      <c r="E951" t="inlineStr">
        <is>
          <t>Output</t>
        </is>
      </c>
      <c r="F951" t="inlineStr">
        <is>
          <t>'=IFERROR(IF(LoanIsNotPaid*LoanIsGood,Principal,0), 0)</t>
        </is>
      </c>
      <c r="G951" t="n">
        <v>92.0534429863033</v>
      </c>
      <c r="H951" t="inlineStr"/>
      <c r="I951" t="inlineStr">
        <is>
          <t>"$"#,##0.00</t>
        </is>
      </c>
      <c r="J951" t="b">
        <v>0</v>
      </c>
      <c r="K951" t="b">
        <v>0</v>
      </c>
      <c r="L951" t="n">
        <v>9</v>
      </c>
      <c r="M951" t="inlineStr">
        <is>
          <t>Values must be of type &lt;class 'str'&gt;</t>
        </is>
      </c>
      <c r="N951" t="inlineStr">
        <is>
          <t>00000000</t>
        </is>
      </c>
      <c r="O951" t="inlineStr">
        <is>
          <t>center</t>
        </is>
      </c>
      <c r="P951" t="inlineStr">
        <is>
          <t>center</t>
        </is>
      </c>
      <c r="R951" t="b">
        <v>1</v>
      </c>
      <c r="S951" t="inlineStr">
        <is>
          <t>G000005</t>
        </is>
      </c>
      <c r="T951" t="inlineStr">
        <is>
          <t>Vertical</t>
        </is>
      </c>
      <c r="U951" t="n">
        <v>120</v>
      </c>
      <c r="V951" t="b">
        <v>1</v>
      </c>
      <c r="W951" t="inlineStr">
        <is>
          <t>Loan calculator!F17:F136</t>
        </is>
      </c>
      <c r="X951">
        <f>IFERROR(IF(LoanIsNotPaid*LoanIsGood,Principal,0), 0)</f>
        <v/>
      </c>
    </row>
    <row r="952">
      <c r="A952" t="inlineStr">
        <is>
          <t>Loan calculator</t>
        </is>
      </c>
      <c r="B952" t="inlineStr">
        <is>
          <t>G101</t>
        </is>
      </c>
      <c r="C952" t="n">
        <v>101</v>
      </c>
      <c r="D952" t="n">
        <v>7</v>
      </c>
      <c r="E952" t="inlineStr">
        <is>
          <t>Output</t>
        </is>
      </c>
      <c r="F952" t="inlineStr">
        <is>
          <t>'=IFERROR(IF(LoanIsNotPaid*LoanIsGood,InterestAmt,0), 0)</t>
        </is>
      </c>
      <c r="G952" t="n">
        <v>16.47283497417744</v>
      </c>
      <c r="H952" t="inlineStr"/>
      <c r="I952" t="inlineStr">
        <is>
          <t>"$"#,##0.00</t>
        </is>
      </c>
      <c r="J952" t="b">
        <v>0</v>
      </c>
      <c r="K952" t="b">
        <v>0</v>
      </c>
      <c r="L952" t="n">
        <v>9</v>
      </c>
      <c r="M952" t="inlineStr">
        <is>
          <t>Values must be of type &lt;class 'str'&gt;</t>
        </is>
      </c>
      <c r="N952" t="inlineStr">
        <is>
          <t>00000000</t>
        </is>
      </c>
      <c r="O952" t="inlineStr">
        <is>
          <t>center</t>
        </is>
      </c>
      <c r="P952" t="inlineStr">
        <is>
          <t>center</t>
        </is>
      </c>
      <c r="R952" t="b">
        <v>1</v>
      </c>
      <c r="S952" t="inlineStr">
        <is>
          <t>G000006</t>
        </is>
      </c>
      <c r="T952" t="inlineStr">
        <is>
          <t>Vertical</t>
        </is>
      </c>
      <c r="U952" t="n">
        <v>120</v>
      </c>
      <c r="V952" t="b">
        <v>1</v>
      </c>
      <c r="W952" t="inlineStr">
        <is>
          <t>Loan calculator!G17:G136</t>
        </is>
      </c>
      <c r="X952">
        <f>IFERROR(IF(LoanIsNotPaid*LoanIsGood,InterestAmt,0), 0)</f>
        <v/>
      </c>
    </row>
    <row r="953">
      <c r="A953" t="inlineStr">
        <is>
          <t>Loan calculator</t>
        </is>
      </c>
      <c r="B953" t="inlineStr">
        <is>
          <t>H101</t>
        </is>
      </c>
      <c r="C953" t="n">
        <v>101</v>
      </c>
      <c r="D953" t="n">
        <v>8</v>
      </c>
      <c r="E953" t="inlineStr">
        <is>
          <t>Output</t>
        </is>
      </c>
      <c r="F953" t="inlineStr">
        <is>
          <t>'=IFERROR(IF(LoanIsNotPaid*LoanIsGood,EndingBalance,0), 0)</t>
        </is>
      </c>
      <c r="G953" t="n">
        <v>3502.019642288758</v>
      </c>
      <c r="H953" t="inlineStr"/>
      <c r="I953" t="inlineStr">
        <is>
          <t>"$"#,##0.00</t>
        </is>
      </c>
      <c r="J953" t="b">
        <v>0</v>
      </c>
      <c r="K953" t="b">
        <v>0</v>
      </c>
      <c r="L953" t="n">
        <v>9</v>
      </c>
      <c r="M953" t="inlineStr">
        <is>
          <t>Values must be of type &lt;class 'str'&gt;</t>
        </is>
      </c>
      <c r="N953" t="inlineStr">
        <is>
          <t>00000000</t>
        </is>
      </c>
      <c r="O953" t="inlineStr">
        <is>
          <t>center</t>
        </is>
      </c>
      <c r="P953" t="inlineStr">
        <is>
          <t>center</t>
        </is>
      </c>
      <c r="R953" t="b">
        <v>1</v>
      </c>
      <c r="S953" t="inlineStr">
        <is>
          <t>G000007</t>
        </is>
      </c>
      <c r="T953" t="inlineStr">
        <is>
          <t>Vertical</t>
        </is>
      </c>
      <c r="U953" t="n">
        <v>120</v>
      </c>
      <c r="V953" t="b">
        <v>1</v>
      </c>
      <c r="W953" t="inlineStr">
        <is>
          <t>Loan calculator!H17:H136</t>
        </is>
      </c>
      <c r="X953">
        <f>IFERROR(IF(LoanIsNotPaid*LoanIsGood,EndingBalance,0), 0)</f>
        <v/>
      </c>
    </row>
    <row r="954">
      <c r="A954" t="inlineStr">
        <is>
          <t>Loan calculator</t>
        </is>
      </c>
      <c r="B954" t="inlineStr">
        <is>
          <t>I101</t>
        </is>
      </c>
      <c r="C954" t="n">
        <v>101</v>
      </c>
      <c r="D954" t="n">
        <v>9</v>
      </c>
      <c r="E954" t="inlineStr">
        <is>
          <t>Input</t>
        </is>
      </c>
      <c r="F954" t="n">
        <v/>
      </c>
      <c r="H954" t="inlineStr"/>
      <c r="I954" t="inlineStr">
        <is>
          <t>General</t>
        </is>
      </c>
      <c r="J954" t="b">
        <v>0</v>
      </c>
      <c r="K954" t="b">
        <v>0</v>
      </c>
      <c r="L954" t="n">
        <v>11</v>
      </c>
      <c r="M954" t="inlineStr">
        <is>
          <t>Values must be of type &lt;class 'str'&gt;</t>
        </is>
      </c>
      <c r="N954" t="inlineStr">
        <is>
          <t>Values must be of type &lt;class 'str'&gt;</t>
        </is>
      </c>
      <c r="O954" t="n">
        <v/>
      </c>
      <c r="P954" t="inlineStr">
        <is>
          <t>center</t>
        </is>
      </c>
      <c r="R954" t="b">
        <v>0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</row>
    <row r="955">
      <c r="A955" t="inlineStr">
        <is>
          <t>Loan calculator</t>
        </is>
      </c>
      <c r="B955" t="inlineStr">
        <is>
          <t>A102</t>
        </is>
      </c>
      <c r="C955" t="n">
        <v>102</v>
      </c>
      <c r="D955" t="n">
        <v>1</v>
      </c>
      <c r="E955" t="inlineStr">
        <is>
          <t>Input</t>
        </is>
      </c>
      <c r="F955" t="n">
        <v/>
      </c>
      <c r="H955" t="inlineStr"/>
      <c r="I955" t="inlineStr">
        <is>
          <t>General</t>
        </is>
      </c>
      <c r="J955" t="b">
        <v>0</v>
      </c>
      <c r="K955" t="b">
        <v>0</v>
      </c>
      <c r="L955" t="n">
        <v>11</v>
      </c>
      <c r="M955" t="inlineStr">
        <is>
          <t>Values must be of type &lt;class 'str'&gt;</t>
        </is>
      </c>
      <c r="N955" t="inlineStr">
        <is>
          <t>Values must be of type &lt;class 'str'&gt;</t>
        </is>
      </c>
      <c r="O955" t="n">
        <v/>
      </c>
      <c r="P955" t="inlineStr">
        <is>
          <t>center</t>
        </is>
      </c>
      <c r="R955" t="b">
        <v>0</v>
      </c>
      <c r="S955" t="n">
        <v/>
      </c>
      <c r="T955" t="n">
        <v/>
      </c>
      <c r="U955" t="n">
        <v/>
      </c>
      <c r="V955" t="b">
        <v>0</v>
      </c>
      <c r="W955" t="inlineStr"/>
      <c r="X955" t="n">
        <v/>
      </c>
    </row>
    <row r="956">
      <c r="A956" t="inlineStr">
        <is>
          <t>Loan calculator</t>
        </is>
      </c>
      <c r="B956" t="inlineStr">
        <is>
          <t>B102</t>
        </is>
      </c>
      <c r="C956" t="n">
        <v>102</v>
      </c>
      <c r="D956" t="n">
        <v>2</v>
      </c>
      <c r="E956" t="inlineStr">
        <is>
          <t>Output</t>
        </is>
      </c>
      <c r="F956" t="inlineStr">
        <is>
          <t>'=IFERROR(IF(LoanIsNotPaid*LoanIsGood,PaymentNumber,""), "")</t>
        </is>
      </c>
      <c r="G956" t="n">
        <v>86</v>
      </c>
      <c r="H956" t="inlineStr"/>
      <c r="I956" t="inlineStr">
        <is>
          <t>#,##0</t>
        </is>
      </c>
      <c r="J956" t="b">
        <v>0</v>
      </c>
      <c r="K956" t="b">
        <v>0</v>
      </c>
      <c r="L956" t="n">
        <v>9</v>
      </c>
      <c r="M956" t="inlineStr">
        <is>
          <t>Values must be of type &lt;class 'str'&gt;</t>
        </is>
      </c>
      <c r="N956" t="inlineStr">
        <is>
          <t>00000000</t>
        </is>
      </c>
      <c r="O956" t="inlineStr">
        <is>
          <t>center</t>
        </is>
      </c>
      <c r="P956" t="inlineStr">
        <is>
          <t>center</t>
        </is>
      </c>
      <c r="R956" t="b">
        <v>1</v>
      </c>
      <c r="S956" t="inlineStr">
        <is>
          <t>G000001</t>
        </is>
      </c>
      <c r="T956" t="inlineStr">
        <is>
          <t>Vertical</t>
        </is>
      </c>
      <c r="U956" t="n">
        <v>120</v>
      </c>
      <c r="V956" t="b">
        <v>1</v>
      </c>
      <c r="W956" t="inlineStr">
        <is>
          <t>Loan calculator!B17:B136</t>
        </is>
      </c>
      <c r="X956">
        <f>IFERROR(IF(LoanIsNotPaid*LoanIsGood,PaymentNumber,""), "")</f>
        <v/>
      </c>
    </row>
    <row r="957">
      <c r="A957" t="inlineStr">
        <is>
          <t>Loan calculator</t>
        </is>
      </c>
      <c r="B957" t="inlineStr">
        <is>
          <t>C102</t>
        </is>
      </c>
      <c r="C957" t="n">
        <v>102</v>
      </c>
      <c r="D957" t="n">
        <v>3</v>
      </c>
      <c r="E957" t="inlineStr">
        <is>
          <t>Output</t>
        </is>
      </c>
      <c r="F957" t="inlineStr">
        <is>
          <t>'=IFERROR(IF(LoanIsNotPaid*LoanIsGood,PaymentDate,LoanStartDate), LoanStartDate)</t>
        </is>
      </c>
      <c r="G957" s="1" t="n">
        <v>48704</v>
      </c>
      <c r="H957" t="inlineStr"/>
      <c r="I957" t="inlineStr">
        <is>
          <t>mm-dd-yy</t>
        </is>
      </c>
      <c r="J957" t="b">
        <v>0</v>
      </c>
      <c r="K957" t="b">
        <v>0</v>
      </c>
      <c r="L957" t="n">
        <v>9</v>
      </c>
      <c r="M957" t="inlineStr">
        <is>
          <t>Values must be of type &lt;class 'str'&gt;</t>
        </is>
      </c>
      <c r="N957" t="inlineStr">
        <is>
          <t>00000000</t>
        </is>
      </c>
      <c r="O957" t="inlineStr">
        <is>
          <t>center</t>
        </is>
      </c>
      <c r="P957" t="inlineStr">
        <is>
          <t>center</t>
        </is>
      </c>
      <c r="R957" t="b">
        <v>1</v>
      </c>
      <c r="S957" t="inlineStr">
        <is>
          <t>G000002</t>
        </is>
      </c>
      <c r="T957" t="inlineStr">
        <is>
          <t>Vertical</t>
        </is>
      </c>
      <c r="U957" t="n">
        <v>120</v>
      </c>
      <c r="V957" t="b">
        <v>1</v>
      </c>
      <c r="W957" t="inlineStr">
        <is>
          <t>Loan calculator!C17:C136</t>
        </is>
      </c>
      <c r="X957">
        <f>IFERROR(IF(LoanIsNotPaid*LoanIsGood,PaymentDate,LoanStartDate), LoanStartDate)</f>
        <v/>
      </c>
    </row>
    <row r="958">
      <c r="A958" t="inlineStr">
        <is>
          <t>Loan calculator</t>
        </is>
      </c>
      <c r="B958" t="inlineStr">
        <is>
          <t>D102</t>
        </is>
      </c>
      <c r="C958" t="n">
        <v>102</v>
      </c>
      <c r="D958" t="n">
        <v>4</v>
      </c>
      <c r="E958" t="inlineStr">
        <is>
          <t>Output</t>
        </is>
      </c>
      <c r="F958" t="inlineStr">
        <is>
          <t>'=IFERROR(IF(LoanIsNotPaid*LoanIsGood,LoanValue,""), "")</t>
        </is>
      </c>
      <c r="G958" t="n">
        <v>3502.019642288758</v>
      </c>
      <c r="H958" t="inlineStr"/>
      <c r="I958" t="inlineStr">
        <is>
          <t>"$"#,##0.00</t>
        </is>
      </c>
      <c r="J958" t="b">
        <v>0</v>
      </c>
      <c r="K958" t="b">
        <v>0</v>
      </c>
      <c r="L958" t="n">
        <v>9</v>
      </c>
      <c r="M958" t="inlineStr">
        <is>
          <t>Values must be of type &lt;class 'str'&gt;</t>
        </is>
      </c>
      <c r="N958" t="inlineStr">
        <is>
          <t>00000000</t>
        </is>
      </c>
      <c r="O958" t="inlineStr">
        <is>
          <t>center</t>
        </is>
      </c>
      <c r="P958" t="inlineStr">
        <is>
          <t>center</t>
        </is>
      </c>
      <c r="R958" t="b">
        <v>1</v>
      </c>
      <c r="S958" t="inlineStr">
        <is>
          <t>G000003</t>
        </is>
      </c>
      <c r="T958" t="inlineStr">
        <is>
          <t>Vertical</t>
        </is>
      </c>
      <c r="U958" t="n">
        <v>120</v>
      </c>
      <c r="V958" t="b">
        <v>1</v>
      </c>
      <c r="W958" t="inlineStr">
        <is>
          <t>Loan calculator!D17:D136</t>
        </is>
      </c>
      <c r="X958">
        <f>IFERROR(IF(LoanIsNotPaid*LoanIsGood,LoanValue,""), "")</f>
        <v/>
      </c>
    </row>
    <row r="959">
      <c r="A959" t="inlineStr">
        <is>
          <t>Loan calculator</t>
        </is>
      </c>
      <c r="B959" t="inlineStr">
        <is>
          <t>E102</t>
        </is>
      </c>
      <c r="C959" t="n">
        <v>102</v>
      </c>
      <c r="D959" t="n">
        <v>5</v>
      </c>
      <c r="E959" t="inlineStr">
        <is>
          <t>Output</t>
        </is>
      </c>
      <c r="F959" t="inlineStr">
        <is>
          <t>'=IFERROR(IF(LoanIsNotPaid*LoanIsGood,MonthlyPayment,0), 0)</t>
        </is>
      </c>
      <c r="G959" t="n">
        <v>108.5262779604807</v>
      </c>
      <c r="H959" t="inlineStr"/>
      <c r="I959" t="inlineStr">
        <is>
          <t>"$"#,##0.00</t>
        </is>
      </c>
      <c r="J959" t="b">
        <v>0</v>
      </c>
      <c r="K959" t="b">
        <v>0</v>
      </c>
      <c r="L959" t="n">
        <v>9</v>
      </c>
      <c r="M959" t="inlineStr">
        <is>
          <t>Values must be of type &lt;class 'str'&gt;</t>
        </is>
      </c>
      <c r="N959" t="inlineStr">
        <is>
          <t>00000000</t>
        </is>
      </c>
      <c r="O959" t="inlineStr">
        <is>
          <t>center</t>
        </is>
      </c>
      <c r="P959" t="inlineStr">
        <is>
          <t>center</t>
        </is>
      </c>
      <c r="R959" t="b">
        <v>1</v>
      </c>
      <c r="S959" t="inlineStr">
        <is>
          <t>G000004</t>
        </is>
      </c>
      <c r="T959" t="inlineStr">
        <is>
          <t>Vertical</t>
        </is>
      </c>
      <c r="U959" t="n">
        <v>120</v>
      </c>
      <c r="V959" t="b">
        <v>1</v>
      </c>
      <c r="W959" t="inlineStr">
        <is>
          <t>Loan calculator!E17:E136</t>
        </is>
      </c>
      <c r="X959">
        <f>IFERROR(IF(LoanIsNotPaid*LoanIsGood,MonthlyPayment,0), 0)</f>
        <v/>
      </c>
    </row>
    <row r="960">
      <c r="A960" t="inlineStr">
        <is>
          <t>Loan calculator</t>
        </is>
      </c>
      <c r="B960" t="inlineStr">
        <is>
          <t>F102</t>
        </is>
      </c>
      <c r="C960" t="n">
        <v>102</v>
      </c>
      <c r="D960" t="n">
        <v>6</v>
      </c>
      <c r="E960" t="inlineStr">
        <is>
          <t>Output</t>
        </is>
      </c>
      <c r="F960" t="inlineStr">
        <is>
          <t>'=IFERROR(IF(LoanIsNotPaid*LoanIsGood,Principal,0), 0)</t>
        </is>
      </c>
      <c r="G960" t="n">
        <v>92.47535459999051</v>
      </c>
      <c r="H960" t="inlineStr"/>
      <c r="I960" t="inlineStr">
        <is>
          <t>"$"#,##0.00</t>
        </is>
      </c>
      <c r="J960" t="b">
        <v>0</v>
      </c>
      <c r="K960" t="b">
        <v>0</v>
      </c>
      <c r="L960" t="n">
        <v>9</v>
      </c>
      <c r="M960" t="inlineStr">
        <is>
          <t>Values must be of type &lt;class 'str'&gt;</t>
        </is>
      </c>
      <c r="N960" t="inlineStr">
        <is>
          <t>00000000</t>
        </is>
      </c>
      <c r="O960" t="inlineStr">
        <is>
          <t>center</t>
        </is>
      </c>
      <c r="P960" t="inlineStr">
        <is>
          <t>center</t>
        </is>
      </c>
      <c r="R960" t="b">
        <v>1</v>
      </c>
      <c r="S960" t="inlineStr">
        <is>
          <t>G000005</t>
        </is>
      </c>
      <c r="T960" t="inlineStr">
        <is>
          <t>Vertical</t>
        </is>
      </c>
      <c r="U960" t="n">
        <v>120</v>
      </c>
      <c r="V960" t="b">
        <v>1</v>
      </c>
      <c r="W960" t="inlineStr">
        <is>
          <t>Loan calculator!F17:F136</t>
        </is>
      </c>
      <c r="X960">
        <f>IFERROR(IF(LoanIsNotPaid*LoanIsGood,Principal,0), 0)</f>
        <v/>
      </c>
    </row>
    <row r="961">
      <c r="A961" t="inlineStr">
        <is>
          <t>Loan calculator</t>
        </is>
      </c>
      <c r="B961" t="inlineStr">
        <is>
          <t>G102</t>
        </is>
      </c>
      <c r="C961" t="n">
        <v>102</v>
      </c>
      <c r="D961" t="n">
        <v>7</v>
      </c>
      <c r="E961" t="inlineStr">
        <is>
          <t>Output</t>
        </is>
      </c>
      <c r="F961" t="inlineStr">
        <is>
          <t>'=IFERROR(IF(LoanIsNotPaid*LoanIsGood,InterestAmt,0), 0)</t>
        </is>
      </c>
      <c r="G961" t="n">
        <v>16.05092336049021</v>
      </c>
      <c r="H961" t="inlineStr"/>
      <c r="I961" t="inlineStr">
        <is>
          <t>"$"#,##0.00</t>
        </is>
      </c>
      <c r="J961" t="b">
        <v>0</v>
      </c>
      <c r="K961" t="b">
        <v>0</v>
      </c>
      <c r="L961" t="n">
        <v>9</v>
      </c>
      <c r="M961" t="inlineStr">
        <is>
          <t>Values must be of type &lt;class 'str'&gt;</t>
        </is>
      </c>
      <c r="N961" t="inlineStr">
        <is>
          <t>00000000</t>
        </is>
      </c>
      <c r="O961" t="inlineStr">
        <is>
          <t>center</t>
        </is>
      </c>
      <c r="P961" t="inlineStr">
        <is>
          <t>center</t>
        </is>
      </c>
      <c r="R961" t="b">
        <v>1</v>
      </c>
      <c r="S961" t="inlineStr">
        <is>
          <t>G000006</t>
        </is>
      </c>
      <c r="T961" t="inlineStr">
        <is>
          <t>Vertical</t>
        </is>
      </c>
      <c r="U961" t="n">
        <v>120</v>
      </c>
      <c r="V961" t="b">
        <v>1</v>
      </c>
      <c r="W961" t="inlineStr">
        <is>
          <t>Loan calculator!G17:G136</t>
        </is>
      </c>
      <c r="X961">
        <f>IFERROR(IF(LoanIsNotPaid*LoanIsGood,InterestAmt,0), 0)</f>
        <v/>
      </c>
    </row>
    <row r="962">
      <c r="A962" t="inlineStr">
        <is>
          <t>Loan calculator</t>
        </is>
      </c>
      <c r="B962" t="inlineStr">
        <is>
          <t>H102</t>
        </is>
      </c>
      <c r="C962" t="n">
        <v>102</v>
      </c>
      <c r="D962" t="n">
        <v>8</v>
      </c>
      <c r="E962" t="inlineStr">
        <is>
          <t>Output</t>
        </is>
      </c>
      <c r="F962" t="inlineStr">
        <is>
          <t>'=IFERROR(IF(LoanIsNotPaid*LoanIsGood,EndingBalance,0), 0)</t>
        </is>
      </c>
      <c r="G962" t="n">
        <v>3409.544287688766</v>
      </c>
      <c r="H962" t="inlineStr"/>
      <c r="I962" t="inlineStr">
        <is>
          <t>"$"#,##0.00</t>
        </is>
      </c>
      <c r="J962" t="b">
        <v>0</v>
      </c>
      <c r="K962" t="b">
        <v>0</v>
      </c>
      <c r="L962" t="n">
        <v>9</v>
      </c>
      <c r="M962" t="inlineStr">
        <is>
          <t>Values must be of type &lt;class 'str'&gt;</t>
        </is>
      </c>
      <c r="N962" t="inlineStr">
        <is>
          <t>00000000</t>
        </is>
      </c>
      <c r="O962" t="inlineStr">
        <is>
          <t>center</t>
        </is>
      </c>
      <c r="P962" t="inlineStr">
        <is>
          <t>center</t>
        </is>
      </c>
      <c r="R962" t="b">
        <v>1</v>
      </c>
      <c r="S962" t="inlineStr">
        <is>
          <t>G000007</t>
        </is>
      </c>
      <c r="T962" t="inlineStr">
        <is>
          <t>Vertical</t>
        </is>
      </c>
      <c r="U962" t="n">
        <v>120</v>
      </c>
      <c r="V962" t="b">
        <v>1</v>
      </c>
      <c r="W962" t="inlineStr">
        <is>
          <t>Loan calculator!H17:H136</t>
        </is>
      </c>
      <c r="X962">
        <f>IFERROR(IF(LoanIsNotPaid*LoanIsGood,EndingBalance,0), 0)</f>
        <v/>
      </c>
    </row>
    <row r="963">
      <c r="A963" t="inlineStr">
        <is>
          <t>Loan calculator</t>
        </is>
      </c>
      <c r="B963" t="inlineStr">
        <is>
          <t>I102</t>
        </is>
      </c>
      <c r="C963" t="n">
        <v>102</v>
      </c>
      <c r="D963" t="n">
        <v>9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11</v>
      </c>
      <c r="M963" t="inlineStr">
        <is>
          <t>Values must be of type &lt;class 'str'&gt;</t>
        </is>
      </c>
      <c r="N963" t="inlineStr">
        <is>
          <t>Values must be of type &lt;class 'str'&gt;</t>
        </is>
      </c>
      <c r="O963" t="n">
        <v/>
      </c>
      <c r="P963" t="inlineStr">
        <is>
          <t>center</t>
        </is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</row>
    <row r="964">
      <c r="A964" t="inlineStr">
        <is>
          <t>Loan calculator</t>
        </is>
      </c>
      <c r="B964" t="inlineStr">
        <is>
          <t>A103</t>
        </is>
      </c>
      <c r="C964" t="n">
        <v>103</v>
      </c>
      <c r="D964" t="n">
        <v>1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11</v>
      </c>
      <c r="M964" t="inlineStr">
        <is>
          <t>Values must be of type &lt;class 'str'&gt;</t>
        </is>
      </c>
      <c r="N964" t="inlineStr">
        <is>
          <t>Values must be of type &lt;class 'str'&gt;</t>
        </is>
      </c>
      <c r="O964" t="n">
        <v/>
      </c>
      <c r="P964" t="inlineStr">
        <is>
          <t>center</t>
        </is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</row>
    <row r="965">
      <c r="A965" t="inlineStr">
        <is>
          <t>Loan calculator</t>
        </is>
      </c>
      <c r="B965" t="inlineStr">
        <is>
          <t>B103</t>
        </is>
      </c>
      <c r="C965" t="n">
        <v>103</v>
      </c>
      <c r="D965" t="n">
        <v>2</v>
      </c>
      <c r="E965" t="inlineStr">
        <is>
          <t>Output</t>
        </is>
      </c>
      <c r="F965" t="inlineStr">
        <is>
          <t>'=IFERROR(IF(LoanIsNotPaid*LoanIsGood,PaymentNumber,""), "")</t>
        </is>
      </c>
      <c r="G965" t="n">
        <v>87</v>
      </c>
      <c r="H965" t="inlineStr"/>
      <c r="I965" t="inlineStr">
        <is>
          <t>#,##0</t>
        </is>
      </c>
      <c r="J965" t="b">
        <v>0</v>
      </c>
      <c r="K965" t="b">
        <v>0</v>
      </c>
      <c r="L965" t="n">
        <v>9</v>
      </c>
      <c r="M965" t="inlineStr">
        <is>
          <t>Values must be of type &lt;class 'str'&gt;</t>
        </is>
      </c>
      <c r="N965" t="inlineStr">
        <is>
          <t>00000000</t>
        </is>
      </c>
      <c r="O965" t="inlineStr">
        <is>
          <t>center</t>
        </is>
      </c>
      <c r="P965" t="inlineStr">
        <is>
          <t>center</t>
        </is>
      </c>
      <c r="R965" t="b">
        <v>1</v>
      </c>
      <c r="S965" t="inlineStr">
        <is>
          <t>G000001</t>
        </is>
      </c>
      <c r="T965" t="inlineStr">
        <is>
          <t>Vertical</t>
        </is>
      </c>
      <c r="U965" t="n">
        <v>120</v>
      </c>
      <c r="V965" t="b">
        <v>1</v>
      </c>
      <c r="W965" t="inlineStr">
        <is>
          <t>Loan calculator!B17:B136</t>
        </is>
      </c>
      <c r="X965">
        <f>IFERROR(IF(LoanIsNotPaid*LoanIsGood,PaymentNumber,""), "")</f>
        <v/>
      </c>
    </row>
    <row r="966">
      <c r="A966" t="inlineStr">
        <is>
          <t>Loan calculator</t>
        </is>
      </c>
      <c r="B966" t="inlineStr">
        <is>
          <t>C103</t>
        </is>
      </c>
      <c r="C966" t="n">
        <v>103</v>
      </c>
      <c r="D966" t="n">
        <v>3</v>
      </c>
      <c r="E966" t="inlineStr">
        <is>
          <t>Output</t>
        </is>
      </c>
      <c r="F966" t="inlineStr">
        <is>
          <t>'=IFERROR(IF(LoanIsNotPaid*LoanIsGood,PaymentDate,LoanStartDate), LoanStartDate)</t>
        </is>
      </c>
      <c r="G966" s="1" t="n">
        <v>48735</v>
      </c>
      <c r="H966" t="inlineStr"/>
      <c r="I966" t="inlineStr">
        <is>
          <t>mm-dd-yy</t>
        </is>
      </c>
      <c r="J966" t="b">
        <v>0</v>
      </c>
      <c r="K966" t="b">
        <v>0</v>
      </c>
      <c r="L966" t="n">
        <v>9</v>
      </c>
      <c r="M966" t="inlineStr">
        <is>
          <t>Values must be of type &lt;class 'str'&gt;</t>
        </is>
      </c>
      <c r="N966" t="inlineStr">
        <is>
          <t>00000000</t>
        </is>
      </c>
      <c r="O966" t="inlineStr">
        <is>
          <t>center</t>
        </is>
      </c>
      <c r="P966" t="inlineStr">
        <is>
          <t>center</t>
        </is>
      </c>
      <c r="R966" t="b">
        <v>1</v>
      </c>
      <c r="S966" t="inlineStr">
        <is>
          <t>G000002</t>
        </is>
      </c>
      <c r="T966" t="inlineStr">
        <is>
          <t>Vertical</t>
        </is>
      </c>
      <c r="U966" t="n">
        <v>120</v>
      </c>
      <c r="V966" t="b">
        <v>1</v>
      </c>
      <c r="W966" t="inlineStr">
        <is>
          <t>Loan calculator!C17:C136</t>
        </is>
      </c>
      <c r="X966">
        <f>IFERROR(IF(LoanIsNotPaid*LoanIsGood,PaymentDate,LoanStartDate), LoanStartDate)</f>
        <v/>
      </c>
    </row>
    <row r="967">
      <c r="A967" t="inlineStr">
        <is>
          <t>Loan calculator</t>
        </is>
      </c>
      <c r="B967" t="inlineStr">
        <is>
          <t>D103</t>
        </is>
      </c>
      <c r="C967" t="n">
        <v>103</v>
      </c>
      <c r="D967" t="n">
        <v>4</v>
      </c>
      <c r="E967" t="inlineStr">
        <is>
          <t>Output</t>
        </is>
      </c>
      <c r="F967" t="inlineStr">
        <is>
          <t>'=IFERROR(IF(LoanIsNotPaid*LoanIsGood,LoanValue,""), "")</t>
        </is>
      </c>
      <c r="G967" t="n">
        <v>3409.544287688766</v>
      </c>
      <c r="H967" t="inlineStr"/>
      <c r="I967" t="inlineStr">
        <is>
          <t>"$"#,##0.00</t>
        </is>
      </c>
      <c r="J967" t="b">
        <v>0</v>
      </c>
      <c r="K967" t="b">
        <v>0</v>
      </c>
      <c r="L967" t="n">
        <v>9</v>
      </c>
      <c r="M967" t="inlineStr">
        <is>
          <t>Values must be of type &lt;class 'str'&gt;</t>
        </is>
      </c>
      <c r="N967" t="inlineStr">
        <is>
          <t>00000000</t>
        </is>
      </c>
      <c r="O967" t="inlineStr">
        <is>
          <t>center</t>
        </is>
      </c>
      <c r="P967" t="inlineStr">
        <is>
          <t>center</t>
        </is>
      </c>
      <c r="R967" t="b">
        <v>1</v>
      </c>
      <c r="S967" t="inlineStr">
        <is>
          <t>G000003</t>
        </is>
      </c>
      <c r="T967" t="inlineStr">
        <is>
          <t>Vertical</t>
        </is>
      </c>
      <c r="U967" t="n">
        <v>120</v>
      </c>
      <c r="V967" t="b">
        <v>1</v>
      </c>
      <c r="W967" t="inlineStr">
        <is>
          <t>Loan calculator!D17:D136</t>
        </is>
      </c>
      <c r="X967">
        <f>IFERROR(IF(LoanIsNotPaid*LoanIsGood,LoanValue,""), "")</f>
        <v/>
      </c>
    </row>
    <row r="968">
      <c r="A968" t="inlineStr">
        <is>
          <t>Loan calculator</t>
        </is>
      </c>
      <c r="B968" t="inlineStr">
        <is>
          <t>E103</t>
        </is>
      </c>
      <c r="C968" t="n">
        <v>103</v>
      </c>
      <c r="D968" t="n">
        <v>5</v>
      </c>
      <c r="E968" t="inlineStr">
        <is>
          <t>Output</t>
        </is>
      </c>
      <c r="F968" t="inlineStr">
        <is>
          <t>'=IFERROR(IF(LoanIsNotPaid*LoanIsGood,MonthlyPayment,0), 0)</t>
        </is>
      </c>
      <c r="G968" t="n">
        <v>108.5262779604807</v>
      </c>
      <c r="H968" t="inlineStr"/>
      <c r="I968" t="inlineStr">
        <is>
          <t>"$"#,##0.00</t>
        </is>
      </c>
      <c r="J968" t="b">
        <v>0</v>
      </c>
      <c r="K968" t="b">
        <v>0</v>
      </c>
      <c r="L968" t="n">
        <v>9</v>
      </c>
      <c r="M968" t="inlineStr">
        <is>
          <t>Values must be of type &lt;class 'str'&gt;</t>
        </is>
      </c>
      <c r="N968" t="inlineStr">
        <is>
          <t>00000000</t>
        </is>
      </c>
      <c r="O968" t="inlineStr">
        <is>
          <t>center</t>
        </is>
      </c>
      <c r="P968" t="inlineStr">
        <is>
          <t>center</t>
        </is>
      </c>
      <c r="R968" t="b">
        <v>1</v>
      </c>
      <c r="S968" t="inlineStr">
        <is>
          <t>G000004</t>
        </is>
      </c>
      <c r="T968" t="inlineStr">
        <is>
          <t>Vertical</t>
        </is>
      </c>
      <c r="U968" t="n">
        <v>120</v>
      </c>
      <c r="V968" t="b">
        <v>1</v>
      </c>
      <c r="W968" t="inlineStr">
        <is>
          <t>Loan calculator!E17:E136</t>
        </is>
      </c>
      <c r="X968">
        <f>IFERROR(IF(LoanIsNotPaid*LoanIsGood,MonthlyPayment,0), 0)</f>
        <v/>
      </c>
    </row>
    <row r="969">
      <c r="A969" t="inlineStr">
        <is>
          <t>Loan calculator</t>
        </is>
      </c>
      <c r="B969" t="inlineStr">
        <is>
          <t>F103</t>
        </is>
      </c>
      <c r="C969" t="n">
        <v>103</v>
      </c>
      <c r="D969" t="n">
        <v>6</v>
      </c>
      <c r="E969" t="inlineStr">
        <is>
          <t>Output</t>
        </is>
      </c>
      <c r="F969" t="inlineStr">
        <is>
          <t>'=IFERROR(IF(LoanIsNotPaid*LoanIsGood,Principal,0), 0)</t>
        </is>
      </c>
      <c r="G969" t="n">
        <v>92.89919997524046</v>
      </c>
      <c r="H969" t="inlineStr"/>
      <c r="I969" t="inlineStr">
        <is>
          <t>"$"#,##0.00</t>
        </is>
      </c>
      <c r="J969" t="b">
        <v>0</v>
      </c>
      <c r="K969" t="b">
        <v>0</v>
      </c>
      <c r="L969" t="n">
        <v>9</v>
      </c>
      <c r="M969" t="inlineStr">
        <is>
          <t>Values must be of type &lt;class 'str'&gt;</t>
        </is>
      </c>
      <c r="N969" t="inlineStr">
        <is>
          <t>00000000</t>
        </is>
      </c>
      <c r="O969" t="inlineStr">
        <is>
          <t>center</t>
        </is>
      </c>
      <c r="P969" t="inlineStr">
        <is>
          <t>center</t>
        </is>
      </c>
      <c r="R969" t="b">
        <v>1</v>
      </c>
      <c r="S969" t="inlineStr">
        <is>
          <t>G000005</t>
        </is>
      </c>
      <c r="T969" t="inlineStr">
        <is>
          <t>Vertical</t>
        </is>
      </c>
      <c r="U969" t="n">
        <v>120</v>
      </c>
      <c r="V969" t="b">
        <v>1</v>
      </c>
      <c r="W969" t="inlineStr">
        <is>
          <t>Loan calculator!F17:F136</t>
        </is>
      </c>
      <c r="X969">
        <f>IFERROR(IF(LoanIsNotPaid*LoanIsGood,Principal,0), 0)</f>
        <v/>
      </c>
    </row>
    <row r="970">
      <c r="A970" t="inlineStr">
        <is>
          <t>Loan calculator</t>
        </is>
      </c>
      <c r="B970" t="inlineStr">
        <is>
          <t>G103</t>
        </is>
      </c>
      <c r="C970" t="n">
        <v>103</v>
      </c>
      <c r="D970" t="n">
        <v>7</v>
      </c>
      <c r="E970" t="inlineStr">
        <is>
          <t>Output</t>
        </is>
      </c>
      <c r="F970" t="inlineStr">
        <is>
          <t>'=IFERROR(IF(LoanIsNotPaid*LoanIsGood,InterestAmt,0), 0)</t>
        </is>
      </c>
      <c r="G970" t="n">
        <v>15.62707798524025</v>
      </c>
      <c r="H970" t="inlineStr"/>
      <c r="I970" t="inlineStr">
        <is>
          <t>"$"#,##0.00</t>
        </is>
      </c>
      <c r="J970" t="b">
        <v>0</v>
      </c>
      <c r="K970" t="b">
        <v>0</v>
      </c>
      <c r="L970" t="n">
        <v>9</v>
      </c>
      <c r="M970" t="inlineStr">
        <is>
          <t>Values must be of type &lt;class 'str'&gt;</t>
        </is>
      </c>
      <c r="N970" t="inlineStr">
        <is>
          <t>00000000</t>
        </is>
      </c>
      <c r="O970" t="inlineStr">
        <is>
          <t>center</t>
        </is>
      </c>
      <c r="P970" t="inlineStr">
        <is>
          <t>center</t>
        </is>
      </c>
      <c r="R970" t="b">
        <v>1</v>
      </c>
      <c r="S970" t="inlineStr">
        <is>
          <t>G000006</t>
        </is>
      </c>
      <c r="T970" t="inlineStr">
        <is>
          <t>Vertical</t>
        </is>
      </c>
      <c r="U970" t="n">
        <v>120</v>
      </c>
      <c r="V970" t="b">
        <v>1</v>
      </c>
      <c r="W970" t="inlineStr">
        <is>
          <t>Loan calculator!G17:G136</t>
        </is>
      </c>
      <c r="X970">
        <f>IFERROR(IF(LoanIsNotPaid*LoanIsGood,InterestAmt,0), 0)</f>
        <v/>
      </c>
    </row>
    <row r="971">
      <c r="A971" t="inlineStr">
        <is>
          <t>Loan calculator</t>
        </is>
      </c>
      <c r="B971" t="inlineStr">
        <is>
          <t>H103</t>
        </is>
      </c>
      <c r="C971" t="n">
        <v>103</v>
      </c>
      <c r="D971" t="n">
        <v>8</v>
      </c>
      <c r="E971" t="inlineStr">
        <is>
          <t>Output</t>
        </is>
      </c>
      <c r="F971" t="inlineStr">
        <is>
          <t>'=IFERROR(IF(LoanIsNotPaid*LoanIsGood,EndingBalance,0), 0)</t>
        </is>
      </c>
      <c r="G971" t="n">
        <v>3316.645087713527</v>
      </c>
      <c r="H971" t="inlineStr"/>
      <c r="I971" t="inlineStr">
        <is>
          <t>"$"#,##0.00</t>
        </is>
      </c>
      <c r="J971" t="b">
        <v>0</v>
      </c>
      <c r="K971" t="b">
        <v>0</v>
      </c>
      <c r="L971" t="n">
        <v>9</v>
      </c>
      <c r="M971" t="inlineStr">
        <is>
          <t>Values must be of type &lt;class 'str'&gt;</t>
        </is>
      </c>
      <c r="N971" t="inlineStr">
        <is>
          <t>00000000</t>
        </is>
      </c>
      <c r="O971" t="inlineStr">
        <is>
          <t>center</t>
        </is>
      </c>
      <c r="P971" t="inlineStr">
        <is>
          <t>center</t>
        </is>
      </c>
      <c r="R971" t="b">
        <v>1</v>
      </c>
      <c r="S971" t="inlineStr">
        <is>
          <t>G000007</t>
        </is>
      </c>
      <c r="T971" t="inlineStr">
        <is>
          <t>Vertical</t>
        </is>
      </c>
      <c r="U971" t="n">
        <v>120</v>
      </c>
      <c r="V971" t="b">
        <v>1</v>
      </c>
      <c r="W971" t="inlineStr">
        <is>
          <t>Loan calculator!H17:H136</t>
        </is>
      </c>
      <c r="X971">
        <f>IFERROR(IF(LoanIsNotPaid*LoanIsGood,EndingBalance,0), 0)</f>
        <v/>
      </c>
    </row>
    <row r="972">
      <c r="A972" t="inlineStr">
        <is>
          <t>Loan calculator</t>
        </is>
      </c>
      <c r="B972" t="inlineStr">
        <is>
          <t>I103</t>
        </is>
      </c>
      <c r="C972" t="n">
        <v>103</v>
      </c>
      <c r="D972" t="n">
        <v>9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11</v>
      </c>
      <c r="M972" t="inlineStr">
        <is>
          <t>Values must be of type &lt;class 'str'&gt;</t>
        </is>
      </c>
      <c r="N972" t="inlineStr">
        <is>
          <t>Values must be of type &lt;class 'str'&gt;</t>
        </is>
      </c>
      <c r="O972" t="n">
        <v/>
      </c>
      <c r="P972" t="inlineStr">
        <is>
          <t>center</t>
        </is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</row>
    <row r="973">
      <c r="A973" t="inlineStr">
        <is>
          <t>Loan calculator</t>
        </is>
      </c>
      <c r="B973" t="inlineStr">
        <is>
          <t>A104</t>
        </is>
      </c>
      <c r="C973" t="n">
        <v>104</v>
      </c>
      <c r="D973" t="n">
        <v>1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11</v>
      </c>
      <c r="M973" t="inlineStr">
        <is>
          <t>Values must be of type &lt;class 'str'&gt;</t>
        </is>
      </c>
      <c r="N973" t="inlineStr">
        <is>
          <t>Values must be of type &lt;class 'str'&gt;</t>
        </is>
      </c>
      <c r="O973" t="n">
        <v/>
      </c>
      <c r="P973" t="inlineStr">
        <is>
          <t>center</t>
        </is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</row>
    <row r="974">
      <c r="A974" t="inlineStr">
        <is>
          <t>Loan calculator</t>
        </is>
      </c>
      <c r="B974" t="inlineStr">
        <is>
          <t>B104</t>
        </is>
      </c>
      <c r="C974" t="n">
        <v>104</v>
      </c>
      <c r="D974" t="n">
        <v>2</v>
      </c>
      <c r="E974" t="inlineStr">
        <is>
          <t>Output</t>
        </is>
      </c>
      <c r="F974" t="inlineStr">
        <is>
          <t>'=IFERROR(IF(LoanIsNotPaid*LoanIsGood,PaymentNumber,""), "")</t>
        </is>
      </c>
      <c r="G974" t="n">
        <v>88</v>
      </c>
      <c r="H974" t="inlineStr"/>
      <c r="I974" t="inlineStr">
        <is>
          <t>#,##0</t>
        </is>
      </c>
      <c r="J974" t="b">
        <v>0</v>
      </c>
      <c r="K974" t="b">
        <v>0</v>
      </c>
      <c r="L974" t="n">
        <v>9</v>
      </c>
      <c r="M974" t="inlineStr">
        <is>
          <t>Values must be of type &lt;class 'str'&gt;</t>
        </is>
      </c>
      <c r="N974" t="inlineStr">
        <is>
          <t>00000000</t>
        </is>
      </c>
      <c r="O974" t="inlineStr">
        <is>
          <t>center</t>
        </is>
      </c>
      <c r="P974" t="inlineStr">
        <is>
          <t>center</t>
        </is>
      </c>
      <c r="R974" t="b">
        <v>1</v>
      </c>
      <c r="S974" t="inlineStr">
        <is>
          <t>G000001</t>
        </is>
      </c>
      <c r="T974" t="inlineStr">
        <is>
          <t>Vertical</t>
        </is>
      </c>
      <c r="U974" t="n">
        <v>120</v>
      </c>
      <c r="V974" t="b">
        <v>1</v>
      </c>
      <c r="W974" t="inlineStr">
        <is>
          <t>Loan calculator!B17:B136</t>
        </is>
      </c>
      <c r="X974">
        <f>IFERROR(IF(LoanIsNotPaid*LoanIsGood,PaymentNumber,""), "")</f>
        <v/>
      </c>
    </row>
    <row r="975">
      <c r="A975" t="inlineStr">
        <is>
          <t>Loan calculator</t>
        </is>
      </c>
      <c r="B975" t="inlineStr">
        <is>
          <t>C104</t>
        </is>
      </c>
      <c r="C975" t="n">
        <v>104</v>
      </c>
      <c r="D975" t="n">
        <v>3</v>
      </c>
      <c r="E975" t="inlineStr">
        <is>
          <t>Output</t>
        </is>
      </c>
      <c r="F975" t="inlineStr">
        <is>
          <t>'=IFERROR(IF(LoanIsNotPaid*LoanIsGood,PaymentDate,LoanStartDate), LoanStartDate)</t>
        </is>
      </c>
      <c r="G975" s="1" t="n">
        <v>48765</v>
      </c>
      <c r="H975" t="inlineStr"/>
      <c r="I975" t="inlineStr">
        <is>
          <t>mm-dd-yy</t>
        </is>
      </c>
      <c r="J975" t="b">
        <v>0</v>
      </c>
      <c r="K975" t="b">
        <v>0</v>
      </c>
      <c r="L975" t="n">
        <v>9</v>
      </c>
      <c r="M975" t="inlineStr">
        <is>
          <t>Values must be of type &lt;class 'str'&gt;</t>
        </is>
      </c>
      <c r="N975" t="inlineStr">
        <is>
          <t>00000000</t>
        </is>
      </c>
      <c r="O975" t="inlineStr">
        <is>
          <t>center</t>
        </is>
      </c>
      <c r="P975" t="inlineStr">
        <is>
          <t>center</t>
        </is>
      </c>
      <c r="R975" t="b">
        <v>1</v>
      </c>
      <c r="S975" t="inlineStr">
        <is>
          <t>G000002</t>
        </is>
      </c>
      <c r="T975" t="inlineStr">
        <is>
          <t>Vertical</t>
        </is>
      </c>
      <c r="U975" t="n">
        <v>120</v>
      </c>
      <c r="V975" t="b">
        <v>1</v>
      </c>
      <c r="W975" t="inlineStr">
        <is>
          <t>Loan calculator!C17:C136</t>
        </is>
      </c>
      <c r="X975">
        <f>IFERROR(IF(LoanIsNotPaid*LoanIsGood,PaymentDate,LoanStartDate), LoanStartDate)</f>
        <v/>
      </c>
    </row>
    <row r="976">
      <c r="A976" t="inlineStr">
        <is>
          <t>Loan calculator</t>
        </is>
      </c>
      <c r="B976" t="inlineStr">
        <is>
          <t>D104</t>
        </is>
      </c>
      <c r="C976" t="n">
        <v>104</v>
      </c>
      <c r="D976" t="n">
        <v>4</v>
      </c>
      <c r="E976" t="inlineStr">
        <is>
          <t>Output</t>
        </is>
      </c>
      <c r="F976" t="inlineStr">
        <is>
          <t>'=IFERROR(IF(LoanIsNotPaid*LoanIsGood,LoanValue,""), "")</t>
        </is>
      </c>
      <c r="G976" t="n">
        <v>3316.645087713527</v>
      </c>
      <c r="H976" t="inlineStr"/>
      <c r="I976" t="inlineStr">
        <is>
          <t>"$"#,##0.00</t>
        </is>
      </c>
      <c r="J976" t="b">
        <v>0</v>
      </c>
      <c r="K976" t="b">
        <v>0</v>
      </c>
      <c r="L976" t="n">
        <v>9</v>
      </c>
      <c r="M976" t="inlineStr">
        <is>
          <t>Values must be of type &lt;class 'str'&gt;</t>
        </is>
      </c>
      <c r="N976" t="inlineStr">
        <is>
          <t>00000000</t>
        </is>
      </c>
      <c r="O976" t="inlineStr">
        <is>
          <t>center</t>
        </is>
      </c>
      <c r="P976" t="inlineStr">
        <is>
          <t>center</t>
        </is>
      </c>
      <c r="R976" t="b">
        <v>1</v>
      </c>
      <c r="S976" t="inlineStr">
        <is>
          <t>G000003</t>
        </is>
      </c>
      <c r="T976" t="inlineStr">
        <is>
          <t>Vertical</t>
        </is>
      </c>
      <c r="U976" t="n">
        <v>120</v>
      </c>
      <c r="V976" t="b">
        <v>1</v>
      </c>
      <c r="W976" t="inlineStr">
        <is>
          <t>Loan calculator!D17:D136</t>
        </is>
      </c>
      <c r="X976">
        <f>IFERROR(IF(LoanIsNotPaid*LoanIsGood,LoanValue,""), "")</f>
        <v/>
      </c>
    </row>
    <row r="977">
      <c r="A977" t="inlineStr">
        <is>
          <t>Loan calculator</t>
        </is>
      </c>
      <c r="B977" t="inlineStr">
        <is>
          <t>E104</t>
        </is>
      </c>
      <c r="C977" t="n">
        <v>104</v>
      </c>
      <c r="D977" t="n">
        <v>5</v>
      </c>
      <c r="E977" t="inlineStr">
        <is>
          <t>Output</t>
        </is>
      </c>
      <c r="F977" t="inlineStr">
        <is>
          <t>'=IFERROR(IF(LoanIsNotPaid*LoanIsGood,MonthlyPayment,0), 0)</t>
        </is>
      </c>
      <c r="G977" t="n">
        <v>108.5262779604807</v>
      </c>
      <c r="H977" t="inlineStr"/>
      <c r="I977" t="inlineStr">
        <is>
          <t>"$"#,##0.00</t>
        </is>
      </c>
      <c r="J977" t="b">
        <v>0</v>
      </c>
      <c r="K977" t="b">
        <v>0</v>
      </c>
      <c r="L977" t="n">
        <v>9</v>
      </c>
      <c r="M977" t="inlineStr">
        <is>
          <t>Values must be of type &lt;class 'str'&gt;</t>
        </is>
      </c>
      <c r="N977" t="inlineStr">
        <is>
          <t>00000000</t>
        </is>
      </c>
      <c r="O977" t="inlineStr">
        <is>
          <t>center</t>
        </is>
      </c>
      <c r="P977" t="inlineStr">
        <is>
          <t>center</t>
        </is>
      </c>
      <c r="R977" t="b">
        <v>1</v>
      </c>
      <c r="S977" t="inlineStr">
        <is>
          <t>G000004</t>
        </is>
      </c>
      <c r="T977" t="inlineStr">
        <is>
          <t>Vertical</t>
        </is>
      </c>
      <c r="U977" t="n">
        <v>120</v>
      </c>
      <c r="V977" t="b">
        <v>1</v>
      </c>
      <c r="W977" t="inlineStr">
        <is>
          <t>Loan calculator!E17:E136</t>
        </is>
      </c>
      <c r="X977">
        <f>IFERROR(IF(LoanIsNotPaid*LoanIsGood,MonthlyPayment,0), 0)</f>
        <v/>
      </c>
    </row>
    <row r="978">
      <c r="A978" t="inlineStr">
        <is>
          <t>Loan calculator</t>
        </is>
      </c>
      <c r="B978" t="inlineStr">
        <is>
          <t>F104</t>
        </is>
      </c>
      <c r="C978" t="n">
        <v>104</v>
      </c>
      <c r="D978" t="n">
        <v>6</v>
      </c>
      <c r="E978" t="inlineStr">
        <is>
          <t>Output</t>
        </is>
      </c>
      <c r="F978" t="inlineStr">
        <is>
          <t>'=IFERROR(IF(LoanIsNotPaid*LoanIsGood,Principal,0), 0)</t>
        </is>
      </c>
      <c r="G978" t="n">
        <v>93.32498797512699</v>
      </c>
      <c r="H978" t="inlineStr"/>
      <c r="I978" t="inlineStr">
        <is>
          <t>"$"#,##0.00</t>
        </is>
      </c>
      <c r="J978" t="b">
        <v>0</v>
      </c>
      <c r="K978" t="b">
        <v>0</v>
      </c>
      <c r="L978" t="n">
        <v>9</v>
      </c>
      <c r="M978" t="inlineStr">
        <is>
          <t>Values must be of type &lt;class 'str'&gt;</t>
        </is>
      </c>
      <c r="N978" t="inlineStr">
        <is>
          <t>00000000</t>
        </is>
      </c>
      <c r="O978" t="inlineStr">
        <is>
          <t>center</t>
        </is>
      </c>
      <c r="P978" t="inlineStr">
        <is>
          <t>center</t>
        </is>
      </c>
      <c r="R978" t="b">
        <v>1</v>
      </c>
      <c r="S978" t="inlineStr">
        <is>
          <t>G000005</t>
        </is>
      </c>
      <c r="T978" t="inlineStr">
        <is>
          <t>Vertical</t>
        </is>
      </c>
      <c r="U978" t="n">
        <v>120</v>
      </c>
      <c r="V978" t="b">
        <v>1</v>
      </c>
      <c r="W978" t="inlineStr">
        <is>
          <t>Loan calculator!F17:F136</t>
        </is>
      </c>
      <c r="X978">
        <f>IFERROR(IF(LoanIsNotPaid*LoanIsGood,Principal,0), 0)</f>
        <v/>
      </c>
    </row>
    <row r="979">
      <c r="A979" t="inlineStr">
        <is>
          <t>Loan calculator</t>
        </is>
      </c>
      <c r="B979" t="inlineStr">
        <is>
          <t>G104</t>
        </is>
      </c>
      <c r="C979" t="n">
        <v>104</v>
      </c>
      <c r="D979" t="n">
        <v>7</v>
      </c>
      <c r="E979" t="inlineStr">
        <is>
          <t>Output</t>
        </is>
      </c>
      <c r="F979" t="inlineStr">
        <is>
          <t>'=IFERROR(IF(LoanIsNotPaid*LoanIsGood,InterestAmt,0), 0)</t>
        </is>
      </c>
      <c r="G979" t="n">
        <v>15.20128998535373</v>
      </c>
      <c r="H979" t="inlineStr"/>
      <c r="I979" t="inlineStr">
        <is>
          <t>"$"#,##0.00</t>
        </is>
      </c>
      <c r="J979" t="b">
        <v>0</v>
      </c>
      <c r="K979" t="b">
        <v>0</v>
      </c>
      <c r="L979" t="n">
        <v>9</v>
      </c>
      <c r="M979" t="inlineStr">
        <is>
          <t>Values must be of type &lt;class 'str'&gt;</t>
        </is>
      </c>
      <c r="N979" t="inlineStr">
        <is>
          <t>00000000</t>
        </is>
      </c>
      <c r="O979" t="inlineStr">
        <is>
          <t>center</t>
        </is>
      </c>
      <c r="P979" t="inlineStr">
        <is>
          <t>center</t>
        </is>
      </c>
      <c r="R979" t="b">
        <v>1</v>
      </c>
      <c r="S979" t="inlineStr">
        <is>
          <t>G000006</t>
        </is>
      </c>
      <c r="T979" t="inlineStr">
        <is>
          <t>Vertical</t>
        </is>
      </c>
      <c r="U979" t="n">
        <v>120</v>
      </c>
      <c r="V979" t="b">
        <v>1</v>
      </c>
      <c r="W979" t="inlineStr">
        <is>
          <t>Loan calculator!G17:G136</t>
        </is>
      </c>
      <c r="X979">
        <f>IFERROR(IF(LoanIsNotPaid*LoanIsGood,InterestAmt,0), 0)</f>
        <v/>
      </c>
    </row>
    <row r="980">
      <c r="A980" t="inlineStr">
        <is>
          <t>Loan calculator</t>
        </is>
      </c>
      <c r="B980" t="inlineStr">
        <is>
          <t>H104</t>
        </is>
      </c>
      <c r="C980" t="n">
        <v>104</v>
      </c>
      <c r="D980" t="n">
        <v>8</v>
      </c>
      <c r="E980" t="inlineStr">
        <is>
          <t>Output</t>
        </is>
      </c>
      <c r="F980" t="inlineStr">
        <is>
          <t>'=IFERROR(IF(LoanIsNotPaid*LoanIsGood,EndingBalance,0), 0)</t>
        </is>
      </c>
      <c r="G980" t="n">
        <v>3223.320099738399</v>
      </c>
      <c r="H980" t="inlineStr"/>
      <c r="I980" t="inlineStr">
        <is>
          <t>"$"#,##0.00</t>
        </is>
      </c>
      <c r="J980" t="b">
        <v>0</v>
      </c>
      <c r="K980" t="b">
        <v>0</v>
      </c>
      <c r="L980" t="n">
        <v>9</v>
      </c>
      <c r="M980" t="inlineStr">
        <is>
          <t>Values must be of type &lt;class 'str'&gt;</t>
        </is>
      </c>
      <c r="N980" t="inlineStr">
        <is>
          <t>00000000</t>
        </is>
      </c>
      <c r="O980" t="inlineStr">
        <is>
          <t>center</t>
        </is>
      </c>
      <c r="P980" t="inlineStr">
        <is>
          <t>center</t>
        </is>
      </c>
      <c r="R980" t="b">
        <v>1</v>
      </c>
      <c r="S980" t="inlineStr">
        <is>
          <t>G000007</t>
        </is>
      </c>
      <c r="T980" t="inlineStr">
        <is>
          <t>Vertical</t>
        </is>
      </c>
      <c r="U980" t="n">
        <v>120</v>
      </c>
      <c r="V980" t="b">
        <v>1</v>
      </c>
      <c r="W980" t="inlineStr">
        <is>
          <t>Loan calculator!H17:H136</t>
        </is>
      </c>
      <c r="X980">
        <f>IFERROR(IF(LoanIsNotPaid*LoanIsGood,EndingBalance,0), 0)</f>
        <v/>
      </c>
    </row>
    <row r="981">
      <c r="A981" t="inlineStr">
        <is>
          <t>Loan calculator</t>
        </is>
      </c>
      <c r="B981" t="inlineStr">
        <is>
          <t>I104</t>
        </is>
      </c>
      <c r="C981" t="n">
        <v>104</v>
      </c>
      <c r="D981" t="n">
        <v>9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11</v>
      </c>
      <c r="M981" t="inlineStr">
        <is>
          <t>Values must be of type &lt;class 'str'&gt;</t>
        </is>
      </c>
      <c r="N981" t="inlineStr">
        <is>
          <t>Values must be of type &lt;class 'str'&gt;</t>
        </is>
      </c>
      <c r="O981" t="n">
        <v/>
      </c>
      <c r="P981" t="inlineStr">
        <is>
          <t>center</t>
        </is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</row>
    <row r="982">
      <c r="A982" t="inlineStr">
        <is>
          <t>Loan calculator</t>
        </is>
      </c>
      <c r="B982" t="inlineStr">
        <is>
          <t>A105</t>
        </is>
      </c>
      <c r="C982" t="n">
        <v>105</v>
      </c>
      <c r="D982" t="n">
        <v>1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11</v>
      </c>
      <c r="M982" t="inlineStr">
        <is>
          <t>Values must be of type &lt;class 'str'&gt;</t>
        </is>
      </c>
      <c r="N982" t="inlineStr">
        <is>
          <t>Values must be of type &lt;class 'str'&gt;</t>
        </is>
      </c>
      <c r="O982" t="n">
        <v/>
      </c>
      <c r="P982" t="inlineStr">
        <is>
          <t>center</t>
        </is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</row>
    <row r="983">
      <c r="A983" t="inlineStr">
        <is>
          <t>Loan calculator</t>
        </is>
      </c>
      <c r="B983" t="inlineStr">
        <is>
          <t>B105</t>
        </is>
      </c>
      <c r="C983" t="n">
        <v>105</v>
      </c>
      <c r="D983" t="n">
        <v>2</v>
      </c>
      <c r="E983" t="inlineStr">
        <is>
          <t>Output</t>
        </is>
      </c>
      <c r="F983" t="inlineStr">
        <is>
          <t>'=IFERROR(IF(LoanIsNotPaid*LoanIsGood,PaymentNumber,""), "")</t>
        </is>
      </c>
      <c r="G983" t="n">
        <v>89</v>
      </c>
      <c r="H983" t="inlineStr"/>
      <c r="I983" t="inlineStr">
        <is>
          <t>#,##0</t>
        </is>
      </c>
      <c r="J983" t="b">
        <v>0</v>
      </c>
      <c r="K983" t="b">
        <v>0</v>
      </c>
      <c r="L983" t="n">
        <v>9</v>
      </c>
      <c r="M983" t="inlineStr">
        <is>
          <t>Values must be of type &lt;class 'str'&gt;</t>
        </is>
      </c>
      <c r="N983" t="inlineStr">
        <is>
          <t>00000000</t>
        </is>
      </c>
      <c r="O983" t="inlineStr">
        <is>
          <t>center</t>
        </is>
      </c>
      <c r="P983" t="inlineStr">
        <is>
          <t>center</t>
        </is>
      </c>
      <c r="R983" t="b">
        <v>1</v>
      </c>
      <c r="S983" t="inlineStr">
        <is>
          <t>G000001</t>
        </is>
      </c>
      <c r="T983" t="inlineStr">
        <is>
          <t>Vertical</t>
        </is>
      </c>
      <c r="U983" t="n">
        <v>120</v>
      </c>
      <c r="V983" t="b">
        <v>1</v>
      </c>
      <c r="W983" t="inlineStr">
        <is>
          <t>Loan calculator!B17:B136</t>
        </is>
      </c>
      <c r="X983">
        <f>IFERROR(IF(LoanIsNotPaid*LoanIsGood,PaymentNumber,""), "")</f>
        <v/>
      </c>
    </row>
    <row r="984">
      <c r="A984" t="inlineStr">
        <is>
          <t>Loan calculator</t>
        </is>
      </c>
      <c r="B984" t="inlineStr">
        <is>
          <t>C105</t>
        </is>
      </c>
      <c r="C984" t="n">
        <v>105</v>
      </c>
      <c r="D984" t="n">
        <v>3</v>
      </c>
      <c r="E984" t="inlineStr">
        <is>
          <t>Output</t>
        </is>
      </c>
      <c r="F984" t="inlineStr">
        <is>
          <t>'=IFERROR(IF(LoanIsNotPaid*LoanIsGood,PaymentDate,LoanStartDate), LoanStartDate)</t>
        </is>
      </c>
      <c r="G984" s="1" t="n">
        <v>48796</v>
      </c>
      <c r="H984" t="inlineStr"/>
      <c r="I984" t="inlineStr">
        <is>
          <t>mm-dd-yy</t>
        </is>
      </c>
      <c r="J984" t="b">
        <v>0</v>
      </c>
      <c r="K984" t="b">
        <v>0</v>
      </c>
      <c r="L984" t="n">
        <v>9</v>
      </c>
      <c r="M984" t="inlineStr">
        <is>
          <t>Values must be of type &lt;class 'str'&gt;</t>
        </is>
      </c>
      <c r="N984" t="inlineStr">
        <is>
          <t>00000000</t>
        </is>
      </c>
      <c r="O984" t="inlineStr">
        <is>
          <t>center</t>
        </is>
      </c>
      <c r="P984" t="inlineStr">
        <is>
          <t>center</t>
        </is>
      </c>
      <c r="R984" t="b">
        <v>1</v>
      </c>
      <c r="S984" t="inlineStr">
        <is>
          <t>G000002</t>
        </is>
      </c>
      <c r="T984" t="inlineStr">
        <is>
          <t>Vertical</t>
        </is>
      </c>
      <c r="U984" t="n">
        <v>120</v>
      </c>
      <c r="V984" t="b">
        <v>1</v>
      </c>
      <c r="W984" t="inlineStr">
        <is>
          <t>Loan calculator!C17:C136</t>
        </is>
      </c>
      <c r="X984">
        <f>IFERROR(IF(LoanIsNotPaid*LoanIsGood,PaymentDate,LoanStartDate), LoanStartDate)</f>
        <v/>
      </c>
    </row>
    <row r="985">
      <c r="A985" t="inlineStr">
        <is>
          <t>Loan calculator</t>
        </is>
      </c>
      <c r="B985" t="inlineStr">
        <is>
          <t>D105</t>
        </is>
      </c>
      <c r="C985" t="n">
        <v>105</v>
      </c>
      <c r="D985" t="n">
        <v>4</v>
      </c>
      <c r="E985" t="inlineStr">
        <is>
          <t>Output</t>
        </is>
      </c>
      <c r="F985" t="inlineStr">
        <is>
          <t>'=IFERROR(IF(LoanIsNotPaid*LoanIsGood,LoanValue,""), "")</t>
        </is>
      </c>
      <c r="G985" t="n">
        <v>3223.320099738399</v>
      </c>
      <c r="H985" t="inlineStr"/>
      <c r="I985" t="inlineStr">
        <is>
          <t>"$"#,##0.00</t>
        </is>
      </c>
      <c r="J985" t="b">
        <v>0</v>
      </c>
      <c r="K985" t="b">
        <v>0</v>
      </c>
      <c r="L985" t="n">
        <v>9</v>
      </c>
      <c r="M985" t="inlineStr">
        <is>
          <t>Values must be of type &lt;class 'str'&gt;</t>
        </is>
      </c>
      <c r="N985" t="inlineStr">
        <is>
          <t>00000000</t>
        </is>
      </c>
      <c r="O985" t="inlineStr">
        <is>
          <t>center</t>
        </is>
      </c>
      <c r="P985" t="inlineStr">
        <is>
          <t>center</t>
        </is>
      </c>
      <c r="R985" t="b">
        <v>1</v>
      </c>
      <c r="S985" t="inlineStr">
        <is>
          <t>G000003</t>
        </is>
      </c>
      <c r="T985" t="inlineStr">
        <is>
          <t>Vertical</t>
        </is>
      </c>
      <c r="U985" t="n">
        <v>120</v>
      </c>
      <c r="V985" t="b">
        <v>1</v>
      </c>
      <c r="W985" t="inlineStr">
        <is>
          <t>Loan calculator!D17:D136</t>
        </is>
      </c>
      <c r="X985">
        <f>IFERROR(IF(LoanIsNotPaid*LoanIsGood,LoanValue,""), "")</f>
        <v/>
      </c>
    </row>
    <row r="986">
      <c r="A986" t="inlineStr">
        <is>
          <t>Loan calculator</t>
        </is>
      </c>
      <c r="B986" t="inlineStr">
        <is>
          <t>E105</t>
        </is>
      </c>
      <c r="C986" t="n">
        <v>105</v>
      </c>
      <c r="D986" t="n">
        <v>5</v>
      </c>
      <c r="E986" t="inlineStr">
        <is>
          <t>Output</t>
        </is>
      </c>
      <c r="F986" t="inlineStr">
        <is>
          <t>'=IFERROR(IF(LoanIsNotPaid*LoanIsGood,MonthlyPayment,0), 0)</t>
        </is>
      </c>
      <c r="G986" t="n">
        <v>108.5262779604807</v>
      </c>
      <c r="H986" t="inlineStr"/>
      <c r="I986" t="inlineStr">
        <is>
          <t>"$"#,##0.00</t>
        </is>
      </c>
      <c r="J986" t="b">
        <v>0</v>
      </c>
      <c r="K986" t="b">
        <v>0</v>
      </c>
      <c r="L986" t="n">
        <v>9</v>
      </c>
      <c r="M986" t="inlineStr">
        <is>
          <t>Values must be of type &lt;class 'str'&gt;</t>
        </is>
      </c>
      <c r="N986" t="inlineStr">
        <is>
          <t>00000000</t>
        </is>
      </c>
      <c r="O986" t="inlineStr">
        <is>
          <t>center</t>
        </is>
      </c>
      <c r="P986" t="inlineStr">
        <is>
          <t>center</t>
        </is>
      </c>
      <c r="R986" t="b">
        <v>1</v>
      </c>
      <c r="S986" t="inlineStr">
        <is>
          <t>G000004</t>
        </is>
      </c>
      <c r="T986" t="inlineStr">
        <is>
          <t>Vertical</t>
        </is>
      </c>
      <c r="U986" t="n">
        <v>120</v>
      </c>
      <c r="V986" t="b">
        <v>1</v>
      </c>
      <c r="W986" t="inlineStr">
        <is>
          <t>Loan calculator!E17:E136</t>
        </is>
      </c>
      <c r="X986">
        <f>IFERROR(IF(LoanIsNotPaid*LoanIsGood,MonthlyPayment,0), 0)</f>
        <v/>
      </c>
    </row>
    <row r="987">
      <c r="A987" t="inlineStr">
        <is>
          <t>Loan calculator</t>
        </is>
      </c>
      <c r="B987" t="inlineStr">
        <is>
          <t>F105</t>
        </is>
      </c>
      <c r="C987" t="n">
        <v>105</v>
      </c>
      <c r="D987" t="n">
        <v>6</v>
      </c>
      <c r="E987" t="inlineStr">
        <is>
          <t>Output</t>
        </is>
      </c>
      <c r="F987" t="inlineStr">
        <is>
          <t>'=IFERROR(IF(LoanIsNotPaid*LoanIsGood,Principal,0), 0)</t>
        </is>
      </c>
      <c r="G987" t="n">
        <v>93.75272750334632</v>
      </c>
      <c r="H987" t="inlineStr"/>
      <c r="I987" t="inlineStr">
        <is>
          <t>"$"#,##0.00</t>
        </is>
      </c>
      <c r="J987" t="b">
        <v>0</v>
      </c>
      <c r="K987" t="b">
        <v>0</v>
      </c>
      <c r="L987" t="n">
        <v>9</v>
      </c>
      <c r="M987" t="inlineStr">
        <is>
          <t>Values must be of type &lt;class 'str'&gt;</t>
        </is>
      </c>
      <c r="N987" t="inlineStr">
        <is>
          <t>00000000</t>
        </is>
      </c>
      <c r="O987" t="inlineStr">
        <is>
          <t>center</t>
        </is>
      </c>
      <c r="P987" t="inlineStr">
        <is>
          <t>center</t>
        </is>
      </c>
      <c r="R987" t="b">
        <v>1</v>
      </c>
      <c r="S987" t="inlineStr">
        <is>
          <t>G000005</t>
        </is>
      </c>
      <c r="T987" t="inlineStr">
        <is>
          <t>Vertical</t>
        </is>
      </c>
      <c r="U987" t="n">
        <v>120</v>
      </c>
      <c r="V987" t="b">
        <v>1</v>
      </c>
      <c r="W987" t="inlineStr">
        <is>
          <t>Loan calculator!F17:F136</t>
        </is>
      </c>
      <c r="X987">
        <f>IFERROR(IF(LoanIsNotPaid*LoanIsGood,Principal,0), 0)</f>
        <v/>
      </c>
    </row>
    <row r="988">
      <c r="A988" t="inlineStr">
        <is>
          <t>Loan calculator</t>
        </is>
      </c>
      <c r="B988" t="inlineStr">
        <is>
          <t>G105</t>
        </is>
      </c>
      <c r="C988" t="n">
        <v>105</v>
      </c>
      <c r="D988" t="n">
        <v>7</v>
      </c>
      <c r="E988" t="inlineStr">
        <is>
          <t>Output</t>
        </is>
      </c>
      <c r="F988" t="inlineStr">
        <is>
          <t>'=IFERROR(IF(LoanIsNotPaid*LoanIsGood,InterestAmt,0), 0)</t>
        </is>
      </c>
      <c r="G988" t="n">
        <v>14.7735504571344</v>
      </c>
      <c r="H988" t="inlineStr"/>
      <c r="I988" t="inlineStr">
        <is>
          <t>"$"#,##0.00</t>
        </is>
      </c>
      <c r="J988" t="b">
        <v>0</v>
      </c>
      <c r="K988" t="b">
        <v>0</v>
      </c>
      <c r="L988" t="n">
        <v>9</v>
      </c>
      <c r="M988" t="inlineStr">
        <is>
          <t>Values must be of type &lt;class 'str'&gt;</t>
        </is>
      </c>
      <c r="N988" t="inlineStr">
        <is>
          <t>00000000</t>
        </is>
      </c>
      <c r="O988" t="inlineStr">
        <is>
          <t>center</t>
        </is>
      </c>
      <c r="P988" t="inlineStr">
        <is>
          <t>center</t>
        </is>
      </c>
      <c r="R988" t="b">
        <v>1</v>
      </c>
      <c r="S988" t="inlineStr">
        <is>
          <t>G000006</t>
        </is>
      </c>
      <c r="T988" t="inlineStr">
        <is>
          <t>Vertical</t>
        </is>
      </c>
      <c r="U988" t="n">
        <v>120</v>
      </c>
      <c r="V988" t="b">
        <v>1</v>
      </c>
      <c r="W988" t="inlineStr">
        <is>
          <t>Loan calculator!G17:G136</t>
        </is>
      </c>
      <c r="X988">
        <f>IFERROR(IF(LoanIsNotPaid*LoanIsGood,InterestAmt,0), 0)</f>
        <v/>
      </c>
    </row>
    <row r="989">
      <c r="A989" t="inlineStr">
        <is>
          <t>Loan calculator</t>
        </is>
      </c>
      <c r="B989" t="inlineStr">
        <is>
          <t>H105</t>
        </is>
      </c>
      <c r="C989" t="n">
        <v>105</v>
      </c>
      <c r="D989" t="n">
        <v>8</v>
      </c>
      <c r="E989" t="inlineStr">
        <is>
          <t>Output</t>
        </is>
      </c>
      <c r="F989" t="inlineStr">
        <is>
          <t>'=IFERROR(IF(LoanIsNotPaid*LoanIsGood,EndingBalance,0), 0)</t>
        </is>
      </c>
      <c r="G989" t="n">
        <v>3129.567372235055</v>
      </c>
      <c r="H989" t="inlineStr"/>
      <c r="I989" t="inlineStr">
        <is>
          <t>"$"#,##0.00</t>
        </is>
      </c>
      <c r="J989" t="b">
        <v>0</v>
      </c>
      <c r="K989" t="b">
        <v>0</v>
      </c>
      <c r="L989" t="n">
        <v>9</v>
      </c>
      <c r="M989" t="inlineStr">
        <is>
          <t>Values must be of type &lt;class 'str'&gt;</t>
        </is>
      </c>
      <c r="N989" t="inlineStr">
        <is>
          <t>00000000</t>
        </is>
      </c>
      <c r="O989" t="inlineStr">
        <is>
          <t>center</t>
        </is>
      </c>
      <c r="P989" t="inlineStr">
        <is>
          <t>center</t>
        </is>
      </c>
      <c r="R989" t="b">
        <v>1</v>
      </c>
      <c r="S989" t="inlineStr">
        <is>
          <t>G000007</t>
        </is>
      </c>
      <c r="T989" t="inlineStr">
        <is>
          <t>Vertical</t>
        </is>
      </c>
      <c r="U989" t="n">
        <v>120</v>
      </c>
      <c r="V989" t="b">
        <v>1</v>
      </c>
      <c r="W989" t="inlineStr">
        <is>
          <t>Loan calculator!H17:H136</t>
        </is>
      </c>
      <c r="X989">
        <f>IFERROR(IF(LoanIsNotPaid*LoanIsGood,EndingBalance,0), 0)</f>
        <v/>
      </c>
    </row>
    <row r="990">
      <c r="A990" t="inlineStr">
        <is>
          <t>Loan calculator</t>
        </is>
      </c>
      <c r="B990" t="inlineStr">
        <is>
          <t>I105</t>
        </is>
      </c>
      <c r="C990" t="n">
        <v>105</v>
      </c>
      <c r="D990" t="n">
        <v>9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11</v>
      </c>
      <c r="M990" t="inlineStr">
        <is>
          <t>Values must be of type &lt;class 'str'&gt;</t>
        </is>
      </c>
      <c r="N990" t="inlineStr">
        <is>
          <t>Values must be of type &lt;class 'str'&gt;</t>
        </is>
      </c>
      <c r="O990" t="n">
        <v/>
      </c>
      <c r="P990" t="inlineStr">
        <is>
          <t>center</t>
        </is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</row>
    <row r="991">
      <c r="A991" t="inlineStr">
        <is>
          <t>Loan calculator</t>
        </is>
      </c>
      <c r="B991" t="inlineStr">
        <is>
          <t>A106</t>
        </is>
      </c>
      <c r="C991" t="n">
        <v>106</v>
      </c>
      <c r="D991" t="n">
        <v>1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11</v>
      </c>
      <c r="M991" t="inlineStr">
        <is>
          <t>Values must be of type &lt;class 'str'&gt;</t>
        </is>
      </c>
      <c r="N991" t="inlineStr">
        <is>
          <t>Values must be of type &lt;class 'str'&gt;</t>
        </is>
      </c>
      <c r="O991" t="n">
        <v/>
      </c>
      <c r="P991" t="inlineStr">
        <is>
          <t>center</t>
        </is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</row>
    <row r="992">
      <c r="A992" t="inlineStr">
        <is>
          <t>Loan calculator</t>
        </is>
      </c>
      <c r="B992" t="inlineStr">
        <is>
          <t>B106</t>
        </is>
      </c>
      <c r="C992" t="n">
        <v>106</v>
      </c>
      <c r="D992" t="n">
        <v>2</v>
      </c>
      <c r="E992" t="inlineStr">
        <is>
          <t>Output</t>
        </is>
      </c>
      <c r="F992" t="inlineStr">
        <is>
          <t>'=IFERROR(IF(LoanIsNotPaid*LoanIsGood,PaymentNumber,""), "")</t>
        </is>
      </c>
      <c r="G992" t="n">
        <v>90</v>
      </c>
      <c r="H992" t="inlineStr"/>
      <c r="I992" t="inlineStr">
        <is>
          <t>#,##0</t>
        </is>
      </c>
      <c r="J992" t="b">
        <v>0</v>
      </c>
      <c r="K992" t="b">
        <v>0</v>
      </c>
      <c r="L992" t="n">
        <v>9</v>
      </c>
      <c r="M992" t="inlineStr">
        <is>
          <t>Values must be of type &lt;class 'str'&gt;</t>
        </is>
      </c>
      <c r="N992" t="inlineStr">
        <is>
          <t>00000000</t>
        </is>
      </c>
      <c r="O992" t="inlineStr">
        <is>
          <t>center</t>
        </is>
      </c>
      <c r="P992" t="inlineStr">
        <is>
          <t>center</t>
        </is>
      </c>
      <c r="R992" t="b">
        <v>1</v>
      </c>
      <c r="S992" t="inlineStr">
        <is>
          <t>G000001</t>
        </is>
      </c>
      <c r="T992" t="inlineStr">
        <is>
          <t>Vertical</t>
        </is>
      </c>
      <c r="U992" t="n">
        <v>120</v>
      </c>
      <c r="V992" t="b">
        <v>1</v>
      </c>
      <c r="W992" t="inlineStr">
        <is>
          <t>Loan calculator!B17:B136</t>
        </is>
      </c>
      <c r="X992">
        <f>IFERROR(IF(LoanIsNotPaid*LoanIsGood,PaymentNumber,""), "")</f>
        <v/>
      </c>
    </row>
    <row r="993">
      <c r="A993" t="inlineStr">
        <is>
          <t>Loan calculator</t>
        </is>
      </c>
      <c r="B993" t="inlineStr">
        <is>
          <t>C106</t>
        </is>
      </c>
      <c r="C993" t="n">
        <v>106</v>
      </c>
      <c r="D993" t="n">
        <v>3</v>
      </c>
      <c r="E993" t="inlineStr">
        <is>
          <t>Output</t>
        </is>
      </c>
      <c r="F993" t="inlineStr">
        <is>
          <t>'=IFERROR(IF(LoanIsNotPaid*LoanIsGood,PaymentDate,LoanStartDate), LoanStartDate)</t>
        </is>
      </c>
      <c r="G993" s="1" t="n">
        <v>48827</v>
      </c>
      <c r="H993" t="inlineStr"/>
      <c r="I993" t="inlineStr">
        <is>
          <t>mm-dd-yy</t>
        </is>
      </c>
      <c r="J993" t="b">
        <v>0</v>
      </c>
      <c r="K993" t="b">
        <v>0</v>
      </c>
      <c r="L993" t="n">
        <v>9</v>
      </c>
      <c r="M993" t="inlineStr">
        <is>
          <t>Values must be of type &lt;class 'str'&gt;</t>
        </is>
      </c>
      <c r="N993" t="inlineStr">
        <is>
          <t>00000000</t>
        </is>
      </c>
      <c r="O993" t="inlineStr">
        <is>
          <t>center</t>
        </is>
      </c>
      <c r="P993" t="inlineStr">
        <is>
          <t>center</t>
        </is>
      </c>
      <c r="R993" t="b">
        <v>1</v>
      </c>
      <c r="S993" t="inlineStr">
        <is>
          <t>G000002</t>
        </is>
      </c>
      <c r="T993" t="inlineStr">
        <is>
          <t>Vertical</t>
        </is>
      </c>
      <c r="U993" t="n">
        <v>120</v>
      </c>
      <c r="V993" t="b">
        <v>1</v>
      </c>
      <c r="W993" t="inlineStr">
        <is>
          <t>Loan calculator!C17:C136</t>
        </is>
      </c>
      <c r="X993">
        <f>IFERROR(IF(LoanIsNotPaid*LoanIsGood,PaymentDate,LoanStartDate), LoanStartDate)</f>
        <v/>
      </c>
    </row>
    <row r="994">
      <c r="A994" t="inlineStr">
        <is>
          <t>Loan calculator</t>
        </is>
      </c>
      <c r="B994" t="inlineStr">
        <is>
          <t>D106</t>
        </is>
      </c>
      <c r="C994" t="n">
        <v>106</v>
      </c>
      <c r="D994" t="n">
        <v>4</v>
      </c>
      <c r="E994" t="inlineStr">
        <is>
          <t>Output</t>
        </is>
      </c>
      <c r="F994" t="inlineStr">
        <is>
          <t>'=IFERROR(IF(LoanIsNotPaid*LoanIsGood,LoanValue,""), "")</t>
        </is>
      </c>
      <c r="G994" t="n">
        <v>3129.567372235055</v>
      </c>
      <c r="H994" t="inlineStr"/>
      <c r="I994" t="inlineStr">
        <is>
          <t>"$"#,##0.00</t>
        </is>
      </c>
      <c r="J994" t="b">
        <v>0</v>
      </c>
      <c r="K994" t="b">
        <v>0</v>
      </c>
      <c r="L994" t="n">
        <v>9</v>
      </c>
      <c r="M994" t="inlineStr">
        <is>
          <t>Values must be of type &lt;class 'str'&gt;</t>
        </is>
      </c>
      <c r="N994" t="inlineStr">
        <is>
          <t>00000000</t>
        </is>
      </c>
      <c r="O994" t="inlineStr">
        <is>
          <t>center</t>
        </is>
      </c>
      <c r="P994" t="inlineStr">
        <is>
          <t>center</t>
        </is>
      </c>
      <c r="R994" t="b">
        <v>1</v>
      </c>
      <c r="S994" t="inlineStr">
        <is>
          <t>G000003</t>
        </is>
      </c>
      <c r="T994" t="inlineStr">
        <is>
          <t>Vertical</t>
        </is>
      </c>
      <c r="U994" t="n">
        <v>120</v>
      </c>
      <c r="V994" t="b">
        <v>1</v>
      </c>
      <c r="W994" t="inlineStr">
        <is>
          <t>Loan calculator!D17:D136</t>
        </is>
      </c>
      <c r="X994">
        <f>IFERROR(IF(LoanIsNotPaid*LoanIsGood,LoanValue,""), "")</f>
        <v/>
      </c>
    </row>
    <row r="995">
      <c r="A995" t="inlineStr">
        <is>
          <t>Loan calculator</t>
        </is>
      </c>
      <c r="B995" t="inlineStr">
        <is>
          <t>E106</t>
        </is>
      </c>
      <c r="C995" t="n">
        <v>106</v>
      </c>
      <c r="D995" t="n">
        <v>5</v>
      </c>
      <c r="E995" t="inlineStr">
        <is>
          <t>Output</t>
        </is>
      </c>
      <c r="F995" t="inlineStr">
        <is>
          <t>'=IFERROR(IF(LoanIsNotPaid*LoanIsGood,MonthlyPayment,0), 0)</t>
        </is>
      </c>
      <c r="G995" t="n">
        <v>108.5262779604807</v>
      </c>
      <c r="H995" t="inlineStr"/>
      <c r="I995" t="inlineStr">
        <is>
          <t>"$"#,##0.00</t>
        </is>
      </c>
      <c r="J995" t="b">
        <v>0</v>
      </c>
      <c r="K995" t="b">
        <v>0</v>
      </c>
      <c r="L995" t="n">
        <v>9</v>
      </c>
      <c r="M995" t="inlineStr">
        <is>
          <t>Values must be of type &lt;class 'str'&gt;</t>
        </is>
      </c>
      <c r="N995" t="inlineStr">
        <is>
          <t>00000000</t>
        </is>
      </c>
      <c r="O995" t="inlineStr">
        <is>
          <t>center</t>
        </is>
      </c>
      <c r="P995" t="inlineStr">
        <is>
          <t>center</t>
        </is>
      </c>
      <c r="R995" t="b">
        <v>1</v>
      </c>
      <c r="S995" t="inlineStr">
        <is>
          <t>G000004</t>
        </is>
      </c>
      <c r="T995" t="inlineStr">
        <is>
          <t>Vertical</t>
        </is>
      </c>
      <c r="U995" t="n">
        <v>120</v>
      </c>
      <c r="V995" t="b">
        <v>1</v>
      </c>
      <c r="W995" t="inlineStr">
        <is>
          <t>Loan calculator!E17:E136</t>
        </is>
      </c>
      <c r="X995">
        <f>IFERROR(IF(LoanIsNotPaid*LoanIsGood,MonthlyPayment,0), 0)</f>
        <v/>
      </c>
    </row>
    <row r="996">
      <c r="A996" t="inlineStr">
        <is>
          <t>Loan calculator</t>
        </is>
      </c>
      <c r="B996" t="inlineStr">
        <is>
          <t>F106</t>
        </is>
      </c>
      <c r="C996" t="n">
        <v>106</v>
      </c>
      <c r="D996" t="n">
        <v>6</v>
      </c>
      <c r="E996" t="inlineStr">
        <is>
          <t>Output</t>
        </is>
      </c>
      <c r="F996" t="inlineStr">
        <is>
          <t>'=IFERROR(IF(LoanIsNotPaid*LoanIsGood,Principal,0), 0)</t>
        </is>
      </c>
      <c r="G996" t="n">
        <v>94.18242750440332</v>
      </c>
      <c r="H996" t="inlineStr"/>
      <c r="I996" t="inlineStr">
        <is>
          <t>"$"#,##0.00</t>
        </is>
      </c>
      <c r="J996" t="b">
        <v>0</v>
      </c>
      <c r="K996" t="b">
        <v>0</v>
      </c>
      <c r="L996" t="n">
        <v>9</v>
      </c>
      <c r="M996" t="inlineStr">
        <is>
          <t>Values must be of type &lt;class 'str'&gt;</t>
        </is>
      </c>
      <c r="N996" t="inlineStr">
        <is>
          <t>00000000</t>
        </is>
      </c>
      <c r="O996" t="inlineStr">
        <is>
          <t>center</t>
        </is>
      </c>
      <c r="P996" t="inlineStr">
        <is>
          <t>center</t>
        </is>
      </c>
      <c r="R996" t="b">
        <v>1</v>
      </c>
      <c r="S996" t="inlineStr">
        <is>
          <t>G000005</t>
        </is>
      </c>
      <c r="T996" t="inlineStr">
        <is>
          <t>Vertical</t>
        </is>
      </c>
      <c r="U996" t="n">
        <v>120</v>
      </c>
      <c r="V996" t="b">
        <v>1</v>
      </c>
      <c r="W996" t="inlineStr">
        <is>
          <t>Loan calculator!F17:F136</t>
        </is>
      </c>
      <c r="X996">
        <f>IFERROR(IF(LoanIsNotPaid*LoanIsGood,Principal,0), 0)</f>
        <v/>
      </c>
    </row>
    <row r="997">
      <c r="A997" t="inlineStr">
        <is>
          <t>Loan calculator</t>
        </is>
      </c>
      <c r="B997" t="inlineStr">
        <is>
          <t>G106</t>
        </is>
      </c>
      <c r="C997" t="n">
        <v>106</v>
      </c>
      <c r="D997" t="n">
        <v>7</v>
      </c>
      <c r="E997" t="inlineStr">
        <is>
          <t>Output</t>
        </is>
      </c>
      <c r="F997" t="inlineStr">
        <is>
          <t>'=IFERROR(IF(LoanIsNotPaid*LoanIsGood,InterestAmt,0), 0)</t>
        </is>
      </c>
      <c r="G997" t="n">
        <v>14.3438504560774</v>
      </c>
      <c r="H997" t="inlineStr"/>
      <c r="I997" t="inlineStr">
        <is>
          <t>"$"#,##0.00</t>
        </is>
      </c>
      <c r="J997" t="b">
        <v>0</v>
      </c>
      <c r="K997" t="b">
        <v>0</v>
      </c>
      <c r="L997" t="n">
        <v>9</v>
      </c>
      <c r="M997" t="inlineStr">
        <is>
          <t>Values must be of type &lt;class 'str'&gt;</t>
        </is>
      </c>
      <c r="N997" t="inlineStr">
        <is>
          <t>00000000</t>
        </is>
      </c>
      <c r="O997" t="inlineStr">
        <is>
          <t>center</t>
        </is>
      </c>
      <c r="P997" t="inlineStr">
        <is>
          <t>center</t>
        </is>
      </c>
      <c r="R997" t="b">
        <v>1</v>
      </c>
      <c r="S997" t="inlineStr">
        <is>
          <t>G000006</t>
        </is>
      </c>
      <c r="T997" t="inlineStr">
        <is>
          <t>Vertical</t>
        </is>
      </c>
      <c r="U997" t="n">
        <v>120</v>
      </c>
      <c r="V997" t="b">
        <v>1</v>
      </c>
      <c r="W997" t="inlineStr">
        <is>
          <t>Loan calculator!G17:G136</t>
        </is>
      </c>
      <c r="X997">
        <f>IFERROR(IF(LoanIsNotPaid*LoanIsGood,InterestAmt,0), 0)</f>
        <v/>
      </c>
    </row>
    <row r="998">
      <c r="A998" t="inlineStr">
        <is>
          <t>Loan calculator</t>
        </is>
      </c>
      <c r="B998" t="inlineStr">
        <is>
          <t>H106</t>
        </is>
      </c>
      <c r="C998" t="n">
        <v>106</v>
      </c>
      <c r="D998" t="n">
        <v>8</v>
      </c>
      <c r="E998" t="inlineStr">
        <is>
          <t>Output</t>
        </is>
      </c>
      <c r="F998" t="inlineStr">
        <is>
          <t>'=IFERROR(IF(LoanIsNotPaid*LoanIsGood,EndingBalance,0), 0)</t>
        </is>
      </c>
      <c r="G998" t="n">
        <v>3035.384944730651</v>
      </c>
      <c r="H998" t="inlineStr"/>
      <c r="I998" t="inlineStr">
        <is>
          <t>"$"#,##0.00</t>
        </is>
      </c>
      <c r="J998" t="b">
        <v>0</v>
      </c>
      <c r="K998" t="b">
        <v>0</v>
      </c>
      <c r="L998" t="n">
        <v>9</v>
      </c>
      <c r="M998" t="inlineStr">
        <is>
          <t>Values must be of type &lt;class 'str'&gt;</t>
        </is>
      </c>
      <c r="N998" t="inlineStr">
        <is>
          <t>00000000</t>
        </is>
      </c>
      <c r="O998" t="inlineStr">
        <is>
          <t>center</t>
        </is>
      </c>
      <c r="P998" t="inlineStr">
        <is>
          <t>center</t>
        </is>
      </c>
      <c r="R998" t="b">
        <v>1</v>
      </c>
      <c r="S998" t="inlineStr">
        <is>
          <t>G000007</t>
        </is>
      </c>
      <c r="T998" t="inlineStr">
        <is>
          <t>Vertical</t>
        </is>
      </c>
      <c r="U998" t="n">
        <v>120</v>
      </c>
      <c r="V998" t="b">
        <v>1</v>
      </c>
      <c r="W998" t="inlineStr">
        <is>
          <t>Loan calculator!H17:H136</t>
        </is>
      </c>
      <c r="X998">
        <f>IFERROR(IF(LoanIsNotPaid*LoanIsGood,EndingBalance,0), 0)</f>
        <v/>
      </c>
    </row>
    <row r="999">
      <c r="A999" t="inlineStr">
        <is>
          <t>Loan calculator</t>
        </is>
      </c>
      <c r="B999" t="inlineStr">
        <is>
          <t>I106</t>
        </is>
      </c>
      <c r="C999" t="n">
        <v>106</v>
      </c>
      <c r="D999" t="n">
        <v>9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11</v>
      </c>
      <c r="M999" t="inlineStr">
        <is>
          <t>Values must be of type &lt;class 'str'&gt;</t>
        </is>
      </c>
      <c r="N999" t="inlineStr">
        <is>
          <t>Values must be of type &lt;class 'str'&gt;</t>
        </is>
      </c>
      <c r="O999" t="n">
        <v/>
      </c>
      <c r="P999" t="inlineStr">
        <is>
          <t>center</t>
        </is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</row>
    <row r="1000">
      <c r="A1000" t="inlineStr">
        <is>
          <t>Loan calculator</t>
        </is>
      </c>
      <c r="B1000" t="inlineStr">
        <is>
          <t>A107</t>
        </is>
      </c>
      <c r="C1000" t="n">
        <v>107</v>
      </c>
      <c r="D1000" t="n">
        <v>1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11</v>
      </c>
      <c r="M1000" t="inlineStr">
        <is>
          <t>Values must be of type &lt;class 'str'&gt;</t>
        </is>
      </c>
      <c r="N1000" t="inlineStr">
        <is>
          <t>Values must be of type &lt;class 'str'&gt;</t>
        </is>
      </c>
      <c r="O1000" t="n">
        <v/>
      </c>
      <c r="P1000" t="inlineStr">
        <is>
          <t>center</t>
        </is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</row>
    <row r="1001">
      <c r="A1001" t="inlineStr">
        <is>
          <t>Loan calculator</t>
        </is>
      </c>
      <c r="B1001" t="inlineStr">
        <is>
          <t>B107</t>
        </is>
      </c>
      <c r="C1001" t="n">
        <v>107</v>
      </c>
      <c r="D1001" t="n">
        <v>2</v>
      </c>
      <c r="E1001" t="inlineStr">
        <is>
          <t>Output</t>
        </is>
      </c>
      <c r="F1001" t="inlineStr">
        <is>
          <t>'=IFERROR(IF(LoanIsNotPaid*LoanIsGood,PaymentNumber,""), "")</t>
        </is>
      </c>
      <c r="G1001" t="n">
        <v>91</v>
      </c>
      <c r="H1001" t="inlineStr"/>
      <c r="I1001" t="inlineStr">
        <is>
          <t>#,##0</t>
        </is>
      </c>
      <c r="J1001" t="b">
        <v>0</v>
      </c>
      <c r="K1001" t="b">
        <v>0</v>
      </c>
      <c r="L1001" t="n">
        <v>9</v>
      </c>
      <c r="M1001" t="inlineStr">
        <is>
          <t>Values must be of type &lt;class 'str'&gt;</t>
        </is>
      </c>
      <c r="N1001" t="inlineStr">
        <is>
          <t>00000000</t>
        </is>
      </c>
      <c r="O1001" t="inlineStr">
        <is>
          <t>center</t>
        </is>
      </c>
      <c r="P1001" t="inlineStr">
        <is>
          <t>center</t>
        </is>
      </c>
      <c r="R1001" t="b">
        <v>1</v>
      </c>
      <c r="S1001" t="inlineStr">
        <is>
          <t>G000001</t>
        </is>
      </c>
      <c r="T1001" t="inlineStr">
        <is>
          <t>Vertical</t>
        </is>
      </c>
      <c r="U1001" t="n">
        <v>120</v>
      </c>
      <c r="V1001" t="b">
        <v>1</v>
      </c>
      <c r="W1001" t="inlineStr">
        <is>
          <t>Loan calculator!B17:B136</t>
        </is>
      </c>
      <c r="X1001">
        <f>IFERROR(IF(LoanIsNotPaid*LoanIsGood,PaymentNumber,""), "")</f>
        <v/>
      </c>
    </row>
    <row r="1002">
      <c r="A1002" t="inlineStr">
        <is>
          <t>Loan calculator</t>
        </is>
      </c>
      <c r="B1002" t="inlineStr">
        <is>
          <t>C107</t>
        </is>
      </c>
      <c r="C1002" t="n">
        <v>107</v>
      </c>
      <c r="D1002" t="n">
        <v>3</v>
      </c>
      <c r="E1002" t="inlineStr">
        <is>
          <t>Output</t>
        </is>
      </c>
      <c r="F1002" t="inlineStr">
        <is>
          <t>'=IFERROR(IF(LoanIsNotPaid*LoanIsGood,PaymentDate,LoanStartDate), LoanStartDate)</t>
        </is>
      </c>
      <c r="G1002" s="1" t="n">
        <v>48857</v>
      </c>
      <c r="H1002" t="inlineStr"/>
      <c r="I1002" t="inlineStr">
        <is>
          <t>mm-dd-yy</t>
        </is>
      </c>
      <c r="J1002" t="b">
        <v>0</v>
      </c>
      <c r="K1002" t="b">
        <v>0</v>
      </c>
      <c r="L1002" t="n">
        <v>9</v>
      </c>
      <c r="M1002" t="inlineStr">
        <is>
          <t>Values must be of type &lt;class 'str'&gt;</t>
        </is>
      </c>
      <c r="N1002" t="inlineStr">
        <is>
          <t>00000000</t>
        </is>
      </c>
      <c r="O1002" t="inlineStr">
        <is>
          <t>center</t>
        </is>
      </c>
      <c r="P1002" t="inlineStr">
        <is>
          <t>center</t>
        </is>
      </c>
      <c r="R1002" t="b">
        <v>1</v>
      </c>
      <c r="S1002" t="inlineStr">
        <is>
          <t>G000002</t>
        </is>
      </c>
      <c r="T1002" t="inlineStr">
        <is>
          <t>Vertical</t>
        </is>
      </c>
      <c r="U1002" t="n">
        <v>120</v>
      </c>
      <c r="V1002" t="b">
        <v>1</v>
      </c>
      <c r="W1002" t="inlineStr">
        <is>
          <t>Loan calculator!C17:C136</t>
        </is>
      </c>
      <c r="X1002">
        <f>IFERROR(IF(LoanIsNotPaid*LoanIsGood,PaymentDate,LoanStartDate), LoanStartDate)</f>
        <v/>
      </c>
    </row>
    <row r="1003">
      <c r="A1003" t="inlineStr">
        <is>
          <t>Loan calculator</t>
        </is>
      </c>
      <c r="B1003" t="inlineStr">
        <is>
          <t>D107</t>
        </is>
      </c>
      <c r="C1003" t="n">
        <v>107</v>
      </c>
      <c r="D1003" t="n">
        <v>4</v>
      </c>
      <c r="E1003" t="inlineStr">
        <is>
          <t>Output</t>
        </is>
      </c>
      <c r="F1003" t="inlineStr">
        <is>
          <t>'=IFERROR(IF(LoanIsNotPaid*LoanIsGood,LoanValue,""), "")</t>
        </is>
      </c>
      <c r="G1003" t="n">
        <v>3035.384944730651</v>
      </c>
      <c r="H1003" t="inlineStr"/>
      <c r="I1003" t="inlineStr">
        <is>
          <t>"$"#,##0.00</t>
        </is>
      </c>
      <c r="J1003" t="b">
        <v>0</v>
      </c>
      <c r="K1003" t="b">
        <v>0</v>
      </c>
      <c r="L1003" t="n">
        <v>9</v>
      </c>
      <c r="M1003" t="inlineStr">
        <is>
          <t>Values must be of type &lt;class 'str'&gt;</t>
        </is>
      </c>
      <c r="N1003" t="inlineStr">
        <is>
          <t>00000000</t>
        </is>
      </c>
      <c r="O1003" t="inlineStr">
        <is>
          <t>center</t>
        </is>
      </c>
      <c r="P1003" t="inlineStr">
        <is>
          <t>center</t>
        </is>
      </c>
      <c r="R1003" t="b">
        <v>1</v>
      </c>
      <c r="S1003" t="inlineStr">
        <is>
          <t>G000003</t>
        </is>
      </c>
      <c r="T1003" t="inlineStr">
        <is>
          <t>Vertical</t>
        </is>
      </c>
      <c r="U1003" t="n">
        <v>120</v>
      </c>
      <c r="V1003" t="b">
        <v>1</v>
      </c>
      <c r="W1003" t="inlineStr">
        <is>
          <t>Loan calculator!D17:D136</t>
        </is>
      </c>
      <c r="X1003">
        <f>IFERROR(IF(LoanIsNotPaid*LoanIsGood,LoanValue,""), "")</f>
        <v/>
      </c>
    </row>
    <row r="1004">
      <c r="A1004" t="inlineStr">
        <is>
          <t>Loan calculator</t>
        </is>
      </c>
      <c r="B1004" t="inlineStr">
        <is>
          <t>E107</t>
        </is>
      </c>
      <c r="C1004" t="n">
        <v>107</v>
      </c>
      <c r="D1004" t="n">
        <v>5</v>
      </c>
      <c r="E1004" t="inlineStr">
        <is>
          <t>Output</t>
        </is>
      </c>
      <c r="F1004" t="inlineStr">
        <is>
          <t>'=IFERROR(IF(LoanIsNotPaid*LoanIsGood,MonthlyPayment,0), 0)</t>
        </is>
      </c>
      <c r="G1004" t="n">
        <v>108.5262779604807</v>
      </c>
      <c r="H1004" t="inlineStr"/>
      <c r="I1004" t="inlineStr">
        <is>
          <t>"$"#,##0.00</t>
        </is>
      </c>
      <c r="J1004" t="b">
        <v>0</v>
      </c>
      <c r="K1004" t="b">
        <v>0</v>
      </c>
      <c r="L1004" t="n">
        <v>9</v>
      </c>
      <c r="M1004" t="inlineStr">
        <is>
          <t>Values must be of type &lt;class 'str'&gt;</t>
        </is>
      </c>
      <c r="N1004" t="inlineStr">
        <is>
          <t>00000000</t>
        </is>
      </c>
      <c r="O1004" t="inlineStr">
        <is>
          <t>center</t>
        </is>
      </c>
      <c r="P1004" t="inlineStr">
        <is>
          <t>center</t>
        </is>
      </c>
      <c r="R1004" t="b">
        <v>1</v>
      </c>
      <c r="S1004" t="inlineStr">
        <is>
          <t>G000004</t>
        </is>
      </c>
      <c r="T1004" t="inlineStr">
        <is>
          <t>Vertical</t>
        </is>
      </c>
      <c r="U1004" t="n">
        <v>120</v>
      </c>
      <c r="V1004" t="b">
        <v>1</v>
      </c>
      <c r="W1004" t="inlineStr">
        <is>
          <t>Loan calculator!E17:E136</t>
        </is>
      </c>
      <c r="X1004">
        <f>IFERROR(IF(LoanIsNotPaid*LoanIsGood,MonthlyPayment,0), 0)</f>
        <v/>
      </c>
    </row>
    <row r="1005">
      <c r="A1005" t="inlineStr">
        <is>
          <t>Loan calculator</t>
        </is>
      </c>
      <c r="B1005" t="inlineStr">
        <is>
          <t>F107</t>
        </is>
      </c>
      <c r="C1005" t="n">
        <v>107</v>
      </c>
      <c r="D1005" t="n">
        <v>6</v>
      </c>
      <c r="E1005" t="inlineStr">
        <is>
          <t>Output</t>
        </is>
      </c>
      <c r="F1005" t="inlineStr">
        <is>
          <t>'=IFERROR(IF(LoanIsNotPaid*LoanIsGood,Principal,0), 0)</t>
        </is>
      </c>
      <c r="G1005" t="n">
        <v>94.61409696379852</v>
      </c>
      <c r="H1005" t="inlineStr"/>
      <c r="I1005" t="inlineStr">
        <is>
          <t>"$"#,##0.00</t>
        </is>
      </c>
      <c r="J1005" t="b">
        <v>0</v>
      </c>
      <c r="K1005" t="b">
        <v>0</v>
      </c>
      <c r="L1005" t="n">
        <v>9</v>
      </c>
      <c r="M1005" t="inlineStr">
        <is>
          <t>Values must be of type &lt;class 'str'&gt;</t>
        </is>
      </c>
      <c r="N1005" t="inlineStr">
        <is>
          <t>00000000</t>
        </is>
      </c>
      <c r="O1005" t="inlineStr">
        <is>
          <t>center</t>
        </is>
      </c>
      <c r="P1005" t="inlineStr">
        <is>
          <t>center</t>
        </is>
      </c>
      <c r="R1005" t="b">
        <v>1</v>
      </c>
      <c r="S1005" t="inlineStr">
        <is>
          <t>G000005</t>
        </is>
      </c>
      <c r="T1005" t="inlineStr">
        <is>
          <t>Vertical</t>
        </is>
      </c>
      <c r="U1005" t="n">
        <v>120</v>
      </c>
      <c r="V1005" t="b">
        <v>1</v>
      </c>
      <c r="W1005" t="inlineStr">
        <is>
          <t>Loan calculator!F17:F136</t>
        </is>
      </c>
      <c r="X1005">
        <f>IFERROR(IF(LoanIsNotPaid*LoanIsGood,Principal,0), 0)</f>
        <v/>
      </c>
    </row>
    <row r="1006">
      <c r="A1006" t="inlineStr">
        <is>
          <t>Loan calculator</t>
        </is>
      </c>
      <c r="B1006" t="inlineStr">
        <is>
          <t>G107</t>
        </is>
      </c>
      <c r="C1006" t="n">
        <v>107</v>
      </c>
      <c r="D1006" t="n">
        <v>7</v>
      </c>
      <c r="E1006" t="inlineStr">
        <is>
          <t>Output</t>
        </is>
      </c>
      <c r="F1006" t="inlineStr">
        <is>
          <t>'=IFERROR(IF(LoanIsNotPaid*LoanIsGood,InterestAmt,0), 0)</t>
        </is>
      </c>
      <c r="G1006" t="n">
        <v>13.91218099668222</v>
      </c>
      <c r="H1006" t="inlineStr"/>
      <c r="I1006" t="inlineStr">
        <is>
          <t>"$"#,##0.00</t>
        </is>
      </c>
      <c r="J1006" t="b">
        <v>0</v>
      </c>
      <c r="K1006" t="b">
        <v>0</v>
      </c>
      <c r="L1006" t="n">
        <v>9</v>
      </c>
      <c r="M1006" t="inlineStr">
        <is>
          <t>Values must be of type &lt;class 'str'&gt;</t>
        </is>
      </c>
      <c r="N1006" t="inlineStr">
        <is>
          <t>00000000</t>
        </is>
      </c>
      <c r="O1006" t="inlineStr">
        <is>
          <t>center</t>
        </is>
      </c>
      <c r="P1006" t="inlineStr">
        <is>
          <t>center</t>
        </is>
      </c>
      <c r="R1006" t="b">
        <v>1</v>
      </c>
      <c r="S1006" t="inlineStr">
        <is>
          <t>G000006</t>
        </is>
      </c>
      <c r="T1006" t="inlineStr">
        <is>
          <t>Vertical</t>
        </is>
      </c>
      <c r="U1006" t="n">
        <v>120</v>
      </c>
      <c r="V1006" t="b">
        <v>1</v>
      </c>
      <c r="W1006" t="inlineStr">
        <is>
          <t>Loan calculator!G17:G136</t>
        </is>
      </c>
      <c r="X1006">
        <f>IFERROR(IF(LoanIsNotPaid*LoanIsGood,InterestAmt,0), 0)</f>
        <v/>
      </c>
    </row>
    <row r="1007">
      <c r="A1007" t="inlineStr">
        <is>
          <t>Loan calculator</t>
        </is>
      </c>
      <c r="B1007" t="inlineStr">
        <is>
          <t>H107</t>
        </is>
      </c>
      <c r="C1007" t="n">
        <v>107</v>
      </c>
      <c r="D1007" t="n">
        <v>8</v>
      </c>
      <c r="E1007" t="inlineStr">
        <is>
          <t>Output</t>
        </is>
      </c>
      <c r="F1007" t="inlineStr">
        <is>
          <t>'=IFERROR(IF(LoanIsNotPaid*LoanIsGood,EndingBalance,0), 0)</t>
        </is>
      </c>
      <c r="G1007" t="n">
        <v>2940.770847766853</v>
      </c>
      <c r="H1007" t="inlineStr"/>
      <c r="I1007" t="inlineStr">
        <is>
          <t>"$"#,##0.00</t>
        </is>
      </c>
      <c r="J1007" t="b">
        <v>0</v>
      </c>
      <c r="K1007" t="b">
        <v>0</v>
      </c>
      <c r="L1007" t="n">
        <v>9</v>
      </c>
      <c r="M1007" t="inlineStr">
        <is>
          <t>Values must be of type &lt;class 'str'&gt;</t>
        </is>
      </c>
      <c r="N1007" t="inlineStr">
        <is>
          <t>00000000</t>
        </is>
      </c>
      <c r="O1007" t="inlineStr">
        <is>
          <t>center</t>
        </is>
      </c>
      <c r="P1007" t="inlineStr">
        <is>
          <t>center</t>
        </is>
      </c>
      <c r="R1007" t="b">
        <v>1</v>
      </c>
      <c r="S1007" t="inlineStr">
        <is>
          <t>G000007</t>
        </is>
      </c>
      <c r="T1007" t="inlineStr">
        <is>
          <t>Vertical</t>
        </is>
      </c>
      <c r="U1007" t="n">
        <v>120</v>
      </c>
      <c r="V1007" t="b">
        <v>1</v>
      </c>
      <c r="W1007" t="inlineStr">
        <is>
          <t>Loan calculator!H17:H136</t>
        </is>
      </c>
      <c r="X1007">
        <f>IFERROR(IF(LoanIsNotPaid*LoanIsGood,EndingBalance,0), 0)</f>
        <v/>
      </c>
    </row>
    <row r="1008">
      <c r="A1008" t="inlineStr">
        <is>
          <t>Loan calculator</t>
        </is>
      </c>
      <c r="B1008" t="inlineStr">
        <is>
          <t>I107</t>
        </is>
      </c>
      <c r="C1008" t="n">
        <v>107</v>
      </c>
      <c r="D1008" t="n">
        <v>9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11</v>
      </c>
      <c r="M1008" t="inlineStr">
        <is>
          <t>Values must be of type &lt;class 'str'&gt;</t>
        </is>
      </c>
      <c r="N1008" t="inlineStr">
        <is>
          <t>Values must be of type &lt;class 'str'&gt;</t>
        </is>
      </c>
      <c r="O1008" t="n">
        <v/>
      </c>
      <c r="P1008" t="inlineStr">
        <is>
          <t>center</t>
        </is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</row>
    <row r="1009">
      <c r="A1009" t="inlineStr">
        <is>
          <t>Loan calculator</t>
        </is>
      </c>
      <c r="B1009" t="inlineStr">
        <is>
          <t>A108</t>
        </is>
      </c>
      <c r="C1009" t="n">
        <v>108</v>
      </c>
      <c r="D1009" t="n">
        <v>1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11</v>
      </c>
      <c r="M1009" t="inlineStr">
        <is>
          <t>Values must be of type &lt;class 'str'&gt;</t>
        </is>
      </c>
      <c r="N1009" t="inlineStr">
        <is>
          <t>Values must be of type &lt;class 'str'&gt;</t>
        </is>
      </c>
      <c r="O1009" t="n">
        <v/>
      </c>
      <c r="P1009" t="inlineStr">
        <is>
          <t>center</t>
        </is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</row>
    <row r="1010">
      <c r="A1010" t="inlineStr">
        <is>
          <t>Loan calculator</t>
        </is>
      </c>
      <c r="B1010" t="inlineStr">
        <is>
          <t>B108</t>
        </is>
      </c>
      <c r="C1010" t="n">
        <v>108</v>
      </c>
      <c r="D1010" t="n">
        <v>2</v>
      </c>
      <c r="E1010" t="inlineStr">
        <is>
          <t>Output</t>
        </is>
      </c>
      <c r="F1010" t="inlineStr">
        <is>
          <t>'=IFERROR(IF(LoanIsNotPaid*LoanIsGood,PaymentNumber,""), "")</t>
        </is>
      </c>
      <c r="G1010" t="n">
        <v>92</v>
      </c>
      <c r="H1010" t="inlineStr"/>
      <c r="I1010" t="inlineStr">
        <is>
          <t>#,##0</t>
        </is>
      </c>
      <c r="J1010" t="b">
        <v>0</v>
      </c>
      <c r="K1010" t="b">
        <v>0</v>
      </c>
      <c r="L1010" t="n">
        <v>9</v>
      </c>
      <c r="M1010" t="inlineStr">
        <is>
          <t>Values must be of type &lt;class 'str'&gt;</t>
        </is>
      </c>
      <c r="N1010" t="inlineStr">
        <is>
          <t>00000000</t>
        </is>
      </c>
      <c r="O1010" t="inlineStr">
        <is>
          <t>center</t>
        </is>
      </c>
      <c r="P1010" t="inlineStr">
        <is>
          <t>center</t>
        </is>
      </c>
      <c r="R1010" t="b">
        <v>1</v>
      </c>
      <c r="S1010" t="inlineStr">
        <is>
          <t>G000001</t>
        </is>
      </c>
      <c r="T1010" t="inlineStr">
        <is>
          <t>Vertical</t>
        </is>
      </c>
      <c r="U1010" t="n">
        <v>120</v>
      </c>
      <c r="V1010" t="b">
        <v>1</v>
      </c>
      <c r="W1010" t="inlineStr">
        <is>
          <t>Loan calculator!B17:B136</t>
        </is>
      </c>
      <c r="X1010">
        <f>IFERROR(IF(LoanIsNotPaid*LoanIsGood,PaymentNumber,""), "")</f>
        <v/>
      </c>
    </row>
    <row r="1011">
      <c r="A1011" t="inlineStr">
        <is>
          <t>Loan calculator</t>
        </is>
      </c>
      <c r="B1011" t="inlineStr">
        <is>
          <t>C108</t>
        </is>
      </c>
      <c r="C1011" t="n">
        <v>108</v>
      </c>
      <c r="D1011" t="n">
        <v>3</v>
      </c>
      <c r="E1011" t="inlineStr">
        <is>
          <t>Output</t>
        </is>
      </c>
      <c r="F1011" t="inlineStr">
        <is>
          <t>'=IFERROR(IF(LoanIsNotPaid*LoanIsGood,PaymentDate,LoanStartDate), LoanStartDate)</t>
        </is>
      </c>
      <c r="G1011" s="1" t="n">
        <v>48888</v>
      </c>
      <c r="H1011" t="inlineStr"/>
      <c r="I1011" t="inlineStr">
        <is>
          <t>mm-dd-yy</t>
        </is>
      </c>
      <c r="J1011" t="b">
        <v>0</v>
      </c>
      <c r="K1011" t="b">
        <v>0</v>
      </c>
      <c r="L1011" t="n">
        <v>9</v>
      </c>
      <c r="M1011" t="inlineStr">
        <is>
          <t>Values must be of type &lt;class 'str'&gt;</t>
        </is>
      </c>
      <c r="N1011" t="inlineStr">
        <is>
          <t>00000000</t>
        </is>
      </c>
      <c r="O1011" t="inlineStr">
        <is>
          <t>center</t>
        </is>
      </c>
      <c r="P1011" t="inlineStr">
        <is>
          <t>center</t>
        </is>
      </c>
      <c r="R1011" t="b">
        <v>1</v>
      </c>
      <c r="S1011" t="inlineStr">
        <is>
          <t>G000002</t>
        </is>
      </c>
      <c r="T1011" t="inlineStr">
        <is>
          <t>Vertical</t>
        </is>
      </c>
      <c r="U1011" t="n">
        <v>120</v>
      </c>
      <c r="V1011" t="b">
        <v>1</v>
      </c>
      <c r="W1011" t="inlineStr">
        <is>
          <t>Loan calculator!C17:C136</t>
        </is>
      </c>
      <c r="X1011">
        <f>IFERROR(IF(LoanIsNotPaid*LoanIsGood,PaymentDate,LoanStartDate), LoanStartDate)</f>
        <v/>
      </c>
    </row>
    <row r="1012">
      <c r="A1012" t="inlineStr">
        <is>
          <t>Loan calculator</t>
        </is>
      </c>
      <c r="B1012" t="inlineStr">
        <is>
          <t>D108</t>
        </is>
      </c>
      <c r="C1012" t="n">
        <v>108</v>
      </c>
      <c r="D1012" t="n">
        <v>4</v>
      </c>
      <c r="E1012" t="inlineStr">
        <is>
          <t>Output</t>
        </is>
      </c>
      <c r="F1012" t="inlineStr">
        <is>
          <t>'=IFERROR(IF(LoanIsNotPaid*LoanIsGood,LoanValue,""), "")</t>
        </is>
      </c>
      <c r="G1012" t="n">
        <v>2940.770847766853</v>
      </c>
      <c r="H1012" t="inlineStr"/>
      <c r="I1012" t="inlineStr">
        <is>
          <t>"$"#,##0.00</t>
        </is>
      </c>
      <c r="J1012" t="b">
        <v>0</v>
      </c>
      <c r="K1012" t="b">
        <v>0</v>
      </c>
      <c r="L1012" t="n">
        <v>9</v>
      </c>
      <c r="M1012" t="inlineStr">
        <is>
          <t>Values must be of type &lt;class 'str'&gt;</t>
        </is>
      </c>
      <c r="N1012" t="inlineStr">
        <is>
          <t>00000000</t>
        </is>
      </c>
      <c r="O1012" t="inlineStr">
        <is>
          <t>center</t>
        </is>
      </c>
      <c r="P1012" t="inlineStr">
        <is>
          <t>center</t>
        </is>
      </c>
      <c r="R1012" t="b">
        <v>1</v>
      </c>
      <c r="S1012" t="inlineStr">
        <is>
          <t>G000003</t>
        </is>
      </c>
      <c r="T1012" t="inlineStr">
        <is>
          <t>Vertical</t>
        </is>
      </c>
      <c r="U1012" t="n">
        <v>120</v>
      </c>
      <c r="V1012" t="b">
        <v>1</v>
      </c>
      <c r="W1012" t="inlineStr">
        <is>
          <t>Loan calculator!D17:D136</t>
        </is>
      </c>
      <c r="X1012">
        <f>IFERROR(IF(LoanIsNotPaid*LoanIsGood,LoanValue,""), "")</f>
        <v/>
      </c>
    </row>
    <row r="1013">
      <c r="A1013" t="inlineStr">
        <is>
          <t>Loan calculator</t>
        </is>
      </c>
      <c r="B1013" t="inlineStr">
        <is>
          <t>E108</t>
        </is>
      </c>
      <c r="C1013" t="n">
        <v>108</v>
      </c>
      <c r="D1013" t="n">
        <v>5</v>
      </c>
      <c r="E1013" t="inlineStr">
        <is>
          <t>Output</t>
        </is>
      </c>
      <c r="F1013" t="inlineStr">
        <is>
          <t>'=IFERROR(IF(LoanIsNotPaid*LoanIsGood,MonthlyPayment,0), 0)</t>
        </is>
      </c>
      <c r="G1013" t="n">
        <v>108.5262779604807</v>
      </c>
      <c r="H1013" t="inlineStr"/>
      <c r="I1013" t="inlineStr">
        <is>
          <t>"$"#,##0.00</t>
        </is>
      </c>
      <c r="J1013" t="b">
        <v>0</v>
      </c>
      <c r="K1013" t="b">
        <v>0</v>
      </c>
      <c r="L1013" t="n">
        <v>9</v>
      </c>
      <c r="M1013" t="inlineStr">
        <is>
          <t>Values must be of type &lt;class 'str'&gt;</t>
        </is>
      </c>
      <c r="N1013" t="inlineStr">
        <is>
          <t>00000000</t>
        </is>
      </c>
      <c r="O1013" t="inlineStr">
        <is>
          <t>center</t>
        </is>
      </c>
      <c r="P1013" t="inlineStr">
        <is>
          <t>center</t>
        </is>
      </c>
      <c r="R1013" t="b">
        <v>1</v>
      </c>
      <c r="S1013" t="inlineStr">
        <is>
          <t>G000004</t>
        </is>
      </c>
      <c r="T1013" t="inlineStr">
        <is>
          <t>Vertical</t>
        </is>
      </c>
      <c r="U1013" t="n">
        <v>120</v>
      </c>
      <c r="V1013" t="b">
        <v>1</v>
      </c>
      <c r="W1013" t="inlineStr">
        <is>
          <t>Loan calculator!E17:E136</t>
        </is>
      </c>
      <c r="X1013">
        <f>IFERROR(IF(LoanIsNotPaid*LoanIsGood,MonthlyPayment,0), 0)</f>
        <v/>
      </c>
    </row>
    <row r="1014">
      <c r="A1014" t="inlineStr">
        <is>
          <t>Loan calculator</t>
        </is>
      </c>
      <c r="B1014" t="inlineStr">
        <is>
          <t>F108</t>
        </is>
      </c>
      <c r="C1014" t="n">
        <v>108</v>
      </c>
      <c r="D1014" t="n">
        <v>6</v>
      </c>
      <c r="E1014" t="inlineStr">
        <is>
          <t>Output</t>
        </is>
      </c>
      <c r="F1014" t="inlineStr">
        <is>
          <t>'=IFERROR(IF(LoanIsNotPaid*LoanIsGood,Principal,0), 0)</t>
        </is>
      </c>
      <c r="G1014" t="n">
        <v>95.04774490821592</v>
      </c>
      <c r="H1014" t="inlineStr"/>
      <c r="I1014" t="inlineStr">
        <is>
          <t>"$"#,##0.00</t>
        </is>
      </c>
      <c r="J1014" t="b">
        <v>0</v>
      </c>
      <c r="K1014" t="b">
        <v>0</v>
      </c>
      <c r="L1014" t="n">
        <v>9</v>
      </c>
      <c r="M1014" t="inlineStr">
        <is>
          <t>Values must be of type &lt;class 'str'&gt;</t>
        </is>
      </c>
      <c r="N1014" t="inlineStr">
        <is>
          <t>00000000</t>
        </is>
      </c>
      <c r="O1014" t="inlineStr">
        <is>
          <t>center</t>
        </is>
      </c>
      <c r="P1014" t="inlineStr">
        <is>
          <t>center</t>
        </is>
      </c>
      <c r="R1014" t="b">
        <v>1</v>
      </c>
      <c r="S1014" t="inlineStr">
        <is>
          <t>G000005</t>
        </is>
      </c>
      <c r="T1014" t="inlineStr">
        <is>
          <t>Vertical</t>
        </is>
      </c>
      <c r="U1014" t="n">
        <v>120</v>
      </c>
      <c r="V1014" t="b">
        <v>1</v>
      </c>
      <c r="W1014" t="inlineStr">
        <is>
          <t>Loan calculator!F17:F136</t>
        </is>
      </c>
      <c r="X1014">
        <f>IFERROR(IF(LoanIsNotPaid*LoanIsGood,Principal,0), 0)</f>
        <v/>
      </c>
    </row>
    <row r="1015">
      <c r="A1015" t="inlineStr">
        <is>
          <t>Loan calculator</t>
        </is>
      </c>
      <c r="B1015" t="inlineStr">
        <is>
          <t>G108</t>
        </is>
      </c>
      <c r="C1015" t="n">
        <v>108</v>
      </c>
      <c r="D1015" t="n">
        <v>7</v>
      </c>
      <c r="E1015" t="inlineStr">
        <is>
          <t>Output</t>
        </is>
      </c>
      <c r="F1015" t="inlineStr">
        <is>
          <t>'=IFERROR(IF(LoanIsNotPaid*LoanIsGood,InterestAmt,0), 0)</t>
        </is>
      </c>
      <c r="G1015" t="n">
        <v>13.4785330522648</v>
      </c>
      <c r="H1015" t="inlineStr"/>
      <c r="I1015" t="inlineStr">
        <is>
          <t>"$"#,##0.00</t>
        </is>
      </c>
      <c r="J1015" t="b">
        <v>0</v>
      </c>
      <c r="K1015" t="b">
        <v>0</v>
      </c>
      <c r="L1015" t="n">
        <v>9</v>
      </c>
      <c r="M1015" t="inlineStr">
        <is>
          <t>Values must be of type &lt;class 'str'&gt;</t>
        </is>
      </c>
      <c r="N1015" t="inlineStr">
        <is>
          <t>00000000</t>
        </is>
      </c>
      <c r="O1015" t="inlineStr">
        <is>
          <t>center</t>
        </is>
      </c>
      <c r="P1015" t="inlineStr">
        <is>
          <t>center</t>
        </is>
      </c>
      <c r="R1015" t="b">
        <v>1</v>
      </c>
      <c r="S1015" t="inlineStr">
        <is>
          <t>G000006</t>
        </is>
      </c>
      <c r="T1015" t="inlineStr">
        <is>
          <t>Vertical</t>
        </is>
      </c>
      <c r="U1015" t="n">
        <v>120</v>
      </c>
      <c r="V1015" t="b">
        <v>1</v>
      </c>
      <c r="W1015" t="inlineStr">
        <is>
          <t>Loan calculator!G17:G136</t>
        </is>
      </c>
      <c r="X1015">
        <f>IFERROR(IF(LoanIsNotPaid*LoanIsGood,InterestAmt,0), 0)</f>
        <v/>
      </c>
    </row>
    <row r="1016">
      <c r="A1016" t="inlineStr">
        <is>
          <t>Loan calculator</t>
        </is>
      </c>
      <c r="B1016" t="inlineStr">
        <is>
          <t>H108</t>
        </is>
      </c>
      <c r="C1016" t="n">
        <v>108</v>
      </c>
      <c r="D1016" t="n">
        <v>8</v>
      </c>
      <c r="E1016" t="inlineStr">
        <is>
          <t>Output</t>
        </is>
      </c>
      <c r="F1016" t="inlineStr">
        <is>
          <t>'=IFERROR(IF(LoanIsNotPaid*LoanIsGood,EndingBalance,0), 0)</t>
        </is>
      </c>
      <c r="G1016" t="n">
        <v>2845.723102858638</v>
      </c>
      <c r="H1016" t="inlineStr"/>
      <c r="I1016" t="inlineStr">
        <is>
          <t>"$"#,##0.00</t>
        </is>
      </c>
      <c r="J1016" t="b">
        <v>0</v>
      </c>
      <c r="K1016" t="b">
        <v>0</v>
      </c>
      <c r="L1016" t="n">
        <v>9</v>
      </c>
      <c r="M1016" t="inlineStr">
        <is>
          <t>Values must be of type &lt;class 'str'&gt;</t>
        </is>
      </c>
      <c r="N1016" t="inlineStr">
        <is>
          <t>00000000</t>
        </is>
      </c>
      <c r="O1016" t="inlineStr">
        <is>
          <t>center</t>
        </is>
      </c>
      <c r="P1016" t="inlineStr">
        <is>
          <t>center</t>
        </is>
      </c>
      <c r="R1016" t="b">
        <v>1</v>
      </c>
      <c r="S1016" t="inlineStr">
        <is>
          <t>G000007</t>
        </is>
      </c>
      <c r="T1016" t="inlineStr">
        <is>
          <t>Vertical</t>
        </is>
      </c>
      <c r="U1016" t="n">
        <v>120</v>
      </c>
      <c r="V1016" t="b">
        <v>1</v>
      </c>
      <c r="W1016" t="inlineStr">
        <is>
          <t>Loan calculator!H17:H136</t>
        </is>
      </c>
      <c r="X1016">
        <f>IFERROR(IF(LoanIsNotPaid*LoanIsGood,EndingBalance,0), 0)</f>
        <v/>
      </c>
    </row>
    <row r="1017">
      <c r="A1017" t="inlineStr">
        <is>
          <t>Loan calculator</t>
        </is>
      </c>
      <c r="B1017" t="inlineStr">
        <is>
          <t>I108</t>
        </is>
      </c>
      <c r="C1017" t="n">
        <v>108</v>
      </c>
      <c r="D1017" t="n">
        <v>9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11</v>
      </c>
      <c r="M1017" t="inlineStr">
        <is>
          <t>Values must be of type &lt;class 'str'&gt;</t>
        </is>
      </c>
      <c r="N1017" t="inlineStr">
        <is>
          <t>Values must be of type &lt;class 'str'&gt;</t>
        </is>
      </c>
      <c r="O1017" t="n">
        <v/>
      </c>
      <c r="P1017" t="inlineStr">
        <is>
          <t>center</t>
        </is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</row>
    <row r="1018">
      <c r="A1018" t="inlineStr">
        <is>
          <t>Loan calculator</t>
        </is>
      </c>
      <c r="B1018" t="inlineStr">
        <is>
          <t>A109</t>
        </is>
      </c>
      <c r="C1018" t="n">
        <v>109</v>
      </c>
      <c r="D1018" t="n">
        <v>1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11</v>
      </c>
      <c r="M1018" t="inlineStr">
        <is>
          <t>Values must be of type &lt;class 'str'&gt;</t>
        </is>
      </c>
      <c r="N1018" t="inlineStr">
        <is>
          <t>Values must be of type &lt;class 'str'&gt;</t>
        </is>
      </c>
      <c r="O1018" t="n">
        <v/>
      </c>
      <c r="P1018" t="inlineStr">
        <is>
          <t>center</t>
        </is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</row>
    <row r="1019">
      <c r="A1019" t="inlineStr">
        <is>
          <t>Loan calculator</t>
        </is>
      </c>
      <c r="B1019" t="inlineStr">
        <is>
          <t>B109</t>
        </is>
      </c>
      <c r="C1019" t="n">
        <v>109</v>
      </c>
      <c r="D1019" t="n">
        <v>2</v>
      </c>
      <c r="E1019" t="inlineStr">
        <is>
          <t>Output</t>
        </is>
      </c>
      <c r="F1019" t="inlineStr">
        <is>
          <t>'=IFERROR(IF(LoanIsNotPaid*LoanIsGood,PaymentNumber,""), "")</t>
        </is>
      </c>
      <c r="G1019" t="n">
        <v>93</v>
      </c>
      <c r="H1019" t="inlineStr"/>
      <c r="I1019" t="inlineStr">
        <is>
          <t>#,##0</t>
        </is>
      </c>
      <c r="J1019" t="b">
        <v>0</v>
      </c>
      <c r="K1019" t="b">
        <v>0</v>
      </c>
      <c r="L1019" t="n">
        <v>9</v>
      </c>
      <c r="M1019" t="inlineStr">
        <is>
          <t>Values must be of type &lt;class 'str'&gt;</t>
        </is>
      </c>
      <c r="N1019" t="inlineStr">
        <is>
          <t>00000000</t>
        </is>
      </c>
      <c r="O1019" t="inlineStr">
        <is>
          <t>center</t>
        </is>
      </c>
      <c r="P1019" t="inlineStr">
        <is>
          <t>center</t>
        </is>
      </c>
      <c r="R1019" t="b">
        <v>1</v>
      </c>
      <c r="S1019" t="inlineStr">
        <is>
          <t>G000001</t>
        </is>
      </c>
      <c r="T1019" t="inlineStr">
        <is>
          <t>Vertical</t>
        </is>
      </c>
      <c r="U1019" t="n">
        <v>120</v>
      </c>
      <c r="V1019" t="b">
        <v>1</v>
      </c>
      <c r="W1019" t="inlineStr">
        <is>
          <t>Loan calculator!B17:B136</t>
        </is>
      </c>
      <c r="X1019">
        <f>IFERROR(IF(LoanIsNotPaid*LoanIsGood,PaymentNumber,""), "")</f>
        <v/>
      </c>
    </row>
    <row r="1020">
      <c r="A1020" t="inlineStr">
        <is>
          <t>Loan calculator</t>
        </is>
      </c>
      <c r="B1020" t="inlineStr">
        <is>
          <t>C109</t>
        </is>
      </c>
      <c r="C1020" t="n">
        <v>109</v>
      </c>
      <c r="D1020" t="n">
        <v>3</v>
      </c>
      <c r="E1020" t="inlineStr">
        <is>
          <t>Output</t>
        </is>
      </c>
      <c r="F1020" t="inlineStr">
        <is>
          <t>'=IFERROR(IF(LoanIsNotPaid*LoanIsGood,PaymentDate,LoanStartDate), LoanStartDate)</t>
        </is>
      </c>
      <c r="G1020" s="1" t="n">
        <v>48918</v>
      </c>
      <c r="H1020" t="inlineStr"/>
      <c r="I1020" t="inlineStr">
        <is>
          <t>mm-dd-yy</t>
        </is>
      </c>
      <c r="J1020" t="b">
        <v>0</v>
      </c>
      <c r="K1020" t="b">
        <v>0</v>
      </c>
      <c r="L1020" t="n">
        <v>9</v>
      </c>
      <c r="M1020" t="inlineStr">
        <is>
          <t>Values must be of type &lt;class 'str'&gt;</t>
        </is>
      </c>
      <c r="N1020" t="inlineStr">
        <is>
          <t>00000000</t>
        </is>
      </c>
      <c r="O1020" t="inlineStr">
        <is>
          <t>center</t>
        </is>
      </c>
      <c r="P1020" t="inlineStr">
        <is>
          <t>center</t>
        </is>
      </c>
      <c r="R1020" t="b">
        <v>1</v>
      </c>
      <c r="S1020" t="inlineStr">
        <is>
          <t>G000002</t>
        </is>
      </c>
      <c r="T1020" t="inlineStr">
        <is>
          <t>Vertical</t>
        </is>
      </c>
      <c r="U1020" t="n">
        <v>120</v>
      </c>
      <c r="V1020" t="b">
        <v>1</v>
      </c>
      <c r="W1020" t="inlineStr">
        <is>
          <t>Loan calculator!C17:C136</t>
        </is>
      </c>
      <c r="X1020">
        <f>IFERROR(IF(LoanIsNotPaid*LoanIsGood,PaymentDate,LoanStartDate), LoanStartDate)</f>
        <v/>
      </c>
    </row>
    <row r="1021">
      <c r="A1021" t="inlineStr">
        <is>
          <t>Loan calculator</t>
        </is>
      </c>
      <c r="B1021" t="inlineStr">
        <is>
          <t>D109</t>
        </is>
      </c>
      <c r="C1021" t="n">
        <v>109</v>
      </c>
      <c r="D1021" t="n">
        <v>4</v>
      </c>
      <c r="E1021" t="inlineStr">
        <is>
          <t>Output</t>
        </is>
      </c>
      <c r="F1021" t="inlineStr">
        <is>
          <t>'=IFERROR(IF(LoanIsNotPaid*LoanIsGood,LoanValue,""), "")</t>
        </is>
      </c>
      <c r="G1021" t="n">
        <v>2845.723102858638</v>
      </c>
      <c r="H1021" t="inlineStr"/>
      <c r="I1021" t="inlineStr">
        <is>
          <t>"$"#,##0.00</t>
        </is>
      </c>
      <c r="J1021" t="b">
        <v>0</v>
      </c>
      <c r="K1021" t="b">
        <v>0</v>
      </c>
      <c r="L1021" t="n">
        <v>9</v>
      </c>
      <c r="M1021" t="inlineStr">
        <is>
          <t>Values must be of type &lt;class 'str'&gt;</t>
        </is>
      </c>
      <c r="N1021" t="inlineStr">
        <is>
          <t>00000000</t>
        </is>
      </c>
      <c r="O1021" t="inlineStr">
        <is>
          <t>center</t>
        </is>
      </c>
      <c r="P1021" t="inlineStr">
        <is>
          <t>center</t>
        </is>
      </c>
      <c r="R1021" t="b">
        <v>1</v>
      </c>
      <c r="S1021" t="inlineStr">
        <is>
          <t>G000003</t>
        </is>
      </c>
      <c r="T1021" t="inlineStr">
        <is>
          <t>Vertical</t>
        </is>
      </c>
      <c r="U1021" t="n">
        <v>120</v>
      </c>
      <c r="V1021" t="b">
        <v>1</v>
      </c>
      <c r="W1021" t="inlineStr">
        <is>
          <t>Loan calculator!D17:D136</t>
        </is>
      </c>
      <c r="X1021">
        <f>IFERROR(IF(LoanIsNotPaid*LoanIsGood,LoanValue,""), "")</f>
        <v/>
      </c>
    </row>
    <row r="1022">
      <c r="A1022" t="inlineStr">
        <is>
          <t>Loan calculator</t>
        </is>
      </c>
      <c r="B1022" t="inlineStr">
        <is>
          <t>E109</t>
        </is>
      </c>
      <c r="C1022" t="n">
        <v>109</v>
      </c>
      <c r="D1022" t="n">
        <v>5</v>
      </c>
      <c r="E1022" t="inlineStr">
        <is>
          <t>Output</t>
        </is>
      </c>
      <c r="F1022" t="inlineStr">
        <is>
          <t>'=IFERROR(IF(LoanIsNotPaid*LoanIsGood,MonthlyPayment,0), 0)</t>
        </is>
      </c>
      <c r="G1022" t="n">
        <v>108.5262779604807</v>
      </c>
      <c r="H1022" t="inlineStr"/>
      <c r="I1022" t="inlineStr">
        <is>
          <t>"$"#,##0.00</t>
        </is>
      </c>
      <c r="J1022" t="b">
        <v>0</v>
      </c>
      <c r="K1022" t="b">
        <v>0</v>
      </c>
      <c r="L1022" t="n">
        <v>9</v>
      </c>
      <c r="M1022" t="inlineStr">
        <is>
          <t>Values must be of type &lt;class 'str'&gt;</t>
        </is>
      </c>
      <c r="N1022" t="inlineStr">
        <is>
          <t>00000000</t>
        </is>
      </c>
      <c r="O1022" t="inlineStr">
        <is>
          <t>center</t>
        </is>
      </c>
      <c r="P1022" t="inlineStr">
        <is>
          <t>center</t>
        </is>
      </c>
      <c r="R1022" t="b">
        <v>1</v>
      </c>
      <c r="S1022" t="inlineStr">
        <is>
          <t>G000004</t>
        </is>
      </c>
      <c r="T1022" t="inlineStr">
        <is>
          <t>Vertical</t>
        </is>
      </c>
      <c r="U1022" t="n">
        <v>120</v>
      </c>
      <c r="V1022" t="b">
        <v>1</v>
      </c>
      <c r="W1022" t="inlineStr">
        <is>
          <t>Loan calculator!E17:E136</t>
        </is>
      </c>
      <c r="X1022">
        <f>IFERROR(IF(LoanIsNotPaid*LoanIsGood,MonthlyPayment,0), 0)</f>
        <v/>
      </c>
    </row>
    <row r="1023">
      <c r="A1023" t="inlineStr">
        <is>
          <t>Loan calculator</t>
        </is>
      </c>
      <c r="B1023" t="inlineStr">
        <is>
          <t>F109</t>
        </is>
      </c>
      <c r="C1023" t="n">
        <v>109</v>
      </c>
      <c r="D1023" t="n">
        <v>6</v>
      </c>
      <c r="E1023" t="inlineStr">
        <is>
          <t>Output</t>
        </is>
      </c>
      <c r="F1023" t="inlineStr">
        <is>
          <t>'=IFERROR(IF(LoanIsNotPaid*LoanIsGood,Principal,0), 0)</t>
        </is>
      </c>
      <c r="G1023" t="n">
        <v>95.48338040571191</v>
      </c>
      <c r="H1023" t="inlineStr"/>
      <c r="I1023" t="inlineStr">
        <is>
          <t>"$"#,##0.00</t>
        </is>
      </c>
      <c r="J1023" t="b">
        <v>0</v>
      </c>
      <c r="K1023" t="b">
        <v>0</v>
      </c>
      <c r="L1023" t="n">
        <v>9</v>
      </c>
      <c r="M1023" t="inlineStr">
        <is>
          <t>Values must be of type &lt;class 'str'&gt;</t>
        </is>
      </c>
      <c r="N1023" t="inlineStr">
        <is>
          <t>00000000</t>
        </is>
      </c>
      <c r="O1023" t="inlineStr">
        <is>
          <t>center</t>
        </is>
      </c>
      <c r="P1023" t="inlineStr">
        <is>
          <t>center</t>
        </is>
      </c>
      <c r="R1023" t="b">
        <v>1</v>
      </c>
      <c r="S1023" t="inlineStr">
        <is>
          <t>G000005</t>
        </is>
      </c>
      <c r="T1023" t="inlineStr">
        <is>
          <t>Vertical</t>
        </is>
      </c>
      <c r="U1023" t="n">
        <v>120</v>
      </c>
      <c r="V1023" t="b">
        <v>1</v>
      </c>
      <c r="W1023" t="inlineStr">
        <is>
          <t>Loan calculator!F17:F136</t>
        </is>
      </c>
      <c r="X1023">
        <f>IFERROR(IF(LoanIsNotPaid*LoanIsGood,Principal,0), 0)</f>
        <v/>
      </c>
    </row>
    <row r="1024">
      <c r="A1024" t="inlineStr">
        <is>
          <t>Loan calculator</t>
        </is>
      </c>
      <c r="B1024" t="inlineStr">
        <is>
          <t>G109</t>
        </is>
      </c>
      <c r="C1024" t="n">
        <v>109</v>
      </c>
      <c r="D1024" t="n">
        <v>7</v>
      </c>
      <c r="E1024" t="inlineStr">
        <is>
          <t>Output</t>
        </is>
      </c>
      <c r="F1024" t="inlineStr">
        <is>
          <t>'=IFERROR(IF(LoanIsNotPaid*LoanIsGood,InterestAmt,0), 0)</t>
        </is>
      </c>
      <c r="G1024" t="n">
        <v>13.04289755476882</v>
      </c>
      <c r="H1024" t="inlineStr"/>
      <c r="I1024" t="inlineStr">
        <is>
          <t>"$"#,##0.00</t>
        </is>
      </c>
      <c r="J1024" t="b">
        <v>0</v>
      </c>
      <c r="K1024" t="b">
        <v>0</v>
      </c>
      <c r="L1024" t="n">
        <v>9</v>
      </c>
      <c r="M1024" t="inlineStr">
        <is>
          <t>Values must be of type &lt;class 'str'&gt;</t>
        </is>
      </c>
      <c r="N1024" t="inlineStr">
        <is>
          <t>00000000</t>
        </is>
      </c>
      <c r="O1024" t="inlineStr">
        <is>
          <t>center</t>
        </is>
      </c>
      <c r="P1024" t="inlineStr">
        <is>
          <t>center</t>
        </is>
      </c>
      <c r="R1024" t="b">
        <v>1</v>
      </c>
      <c r="S1024" t="inlineStr">
        <is>
          <t>G000006</t>
        </is>
      </c>
      <c r="T1024" t="inlineStr">
        <is>
          <t>Vertical</t>
        </is>
      </c>
      <c r="U1024" t="n">
        <v>120</v>
      </c>
      <c r="V1024" t="b">
        <v>1</v>
      </c>
      <c r="W1024" t="inlineStr">
        <is>
          <t>Loan calculator!G17:G136</t>
        </is>
      </c>
      <c r="X1024">
        <f>IFERROR(IF(LoanIsNotPaid*LoanIsGood,InterestAmt,0), 0)</f>
        <v/>
      </c>
    </row>
    <row r="1025">
      <c r="A1025" t="inlineStr">
        <is>
          <t>Loan calculator</t>
        </is>
      </c>
      <c r="B1025" t="inlineStr">
        <is>
          <t>H109</t>
        </is>
      </c>
      <c r="C1025" t="n">
        <v>109</v>
      </c>
      <c r="D1025" t="n">
        <v>8</v>
      </c>
      <c r="E1025" t="inlineStr">
        <is>
          <t>Output</t>
        </is>
      </c>
      <c r="F1025" t="inlineStr">
        <is>
          <t>'=IFERROR(IF(LoanIsNotPaid*LoanIsGood,EndingBalance,0), 0)</t>
        </is>
      </c>
      <c r="G1025" t="n">
        <v>2750.239722452923</v>
      </c>
      <c r="H1025" t="inlineStr"/>
      <c r="I1025" t="inlineStr">
        <is>
          <t>"$"#,##0.00</t>
        </is>
      </c>
      <c r="J1025" t="b">
        <v>0</v>
      </c>
      <c r="K1025" t="b">
        <v>0</v>
      </c>
      <c r="L1025" t="n">
        <v>9</v>
      </c>
      <c r="M1025" t="inlineStr">
        <is>
          <t>Values must be of type &lt;class 'str'&gt;</t>
        </is>
      </c>
      <c r="N1025" t="inlineStr">
        <is>
          <t>00000000</t>
        </is>
      </c>
      <c r="O1025" t="inlineStr">
        <is>
          <t>center</t>
        </is>
      </c>
      <c r="P1025" t="inlineStr">
        <is>
          <t>center</t>
        </is>
      </c>
      <c r="R1025" t="b">
        <v>1</v>
      </c>
      <c r="S1025" t="inlineStr">
        <is>
          <t>G000007</t>
        </is>
      </c>
      <c r="T1025" t="inlineStr">
        <is>
          <t>Vertical</t>
        </is>
      </c>
      <c r="U1025" t="n">
        <v>120</v>
      </c>
      <c r="V1025" t="b">
        <v>1</v>
      </c>
      <c r="W1025" t="inlineStr">
        <is>
          <t>Loan calculator!H17:H136</t>
        </is>
      </c>
      <c r="X1025">
        <f>IFERROR(IF(LoanIsNotPaid*LoanIsGood,EndingBalance,0), 0)</f>
        <v/>
      </c>
    </row>
    <row r="1026">
      <c r="A1026" t="inlineStr">
        <is>
          <t>Loan calculator</t>
        </is>
      </c>
      <c r="B1026" t="inlineStr">
        <is>
          <t>I109</t>
        </is>
      </c>
      <c r="C1026" t="n">
        <v>109</v>
      </c>
      <c r="D1026" t="n">
        <v>9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11</v>
      </c>
      <c r="M1026" t="inlineStr">
        <is>
          <t>Values must be of type &lt;class 'str'&gt;</t>
        </is>
      </c>
      <c r="N1026" t="inlineStr">
        <is>
          <t>Values must be of type &lt;class 'str'&gt;</t>
        </is>
      </c>
      <c r="O1026" t="n">
        <v/>
      </c>
      <c r="P1026" t="inlineStr">
        <is>
          <t>center</t>
        </is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</row>
    <row r="1027">
      <c r="A1027" t="inlineStr">
        <is>
          <t>Loan calculator</t>
        </is>
      </c>
      <c r="B1027" t="inlineStr">
        <is>
          <t>A110</t>
        </is>
      </c>
      <c r="C1027" t="n">
        <v>110</v>
      </c>
      <c r="D1027" t="n">
        <v>1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11</v>
      </c>
      <c r="M1027" t="inlineStr">
        <is>
          <t>Values must be of type &lt;class 'str'&gt;</t>
        </is>
      </c>
      <c r="N1027" t="inlineStr">
        <is>
          <t>Values must be of type &lt;class 'str'&gt;</t>
        </is>
      </c>
      <c r="O1027" t="n">
        <v/>
      </c>
      <c r="P1027" t="inlineStr">
        <is>
          <t>center</t>
        </is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</row>
    <row r="1028">
      <c r="A1028" t="inlineStr">
        <is>
          <t>Loan calculator</t>
        </is>
      </c>
      <c r="B1028" t="inlineStr">
        <is>
          <t>B110</t>
        </is>
      </c>
      <c r="C1028" t="n">
        <v>110</v>
      </c>
      <c r="D1028" t="n">
        <v>2</v>
      </c>
      <c r="E1028" t="inlineStr">
        <is>
          <t>Output</t>
        </is>
      </c>
      <c r="F1028" t="inlineStr">
        <is>
          <t>'=IFERROR(IF(LoanIsNotPaid*LoanIsGood,PaymentNumber,""), "")</t>
        </is>
      </c>
      <c r="G1028" t="n">
        <v>94</v>
      </c>
      <c r="H1028" t="inlineStr"/>
      <c r="I1028" t="inlineStr">
        <is>
          <t>#,##0</t>
        </is>
      </c>
      <c r="J1028" t="b">
        <v>0</v>
      </c>
      <c r="K1028" t="b">
        <v>0</v>
      </c>
      <c r="L1028" t="n">
        <v>9</v>
      </c>
      <c r="M1028" t="inlineStr">
        <is>
          <t>Values must be of type &lt;class 'str'&gt;</t>
        </is>
      </c>
      <c r="N1028" t="inlineStr">
        <is>
          <t>00000000</t>
        </is>
      </c>
      <c r="O1028" t="inlineStr">
        <is>
          <t>center</t>
        </is>
      </c>
      <c r="P1028" t="inlineStr">
        <is>
          <t>center</t>
        </is>
      </c>
      <c r="R1028" t="b">
        <v>1</v>
      </c>
      <c r="S1028" t="inlineStr">
        <is>
          <t>G000001</t>
        </is>
      </c>
      <c r="T1028" t="inlineStr">
        <is>
          <t>Vertical</t>
        </is>
      </c>
      <c r="U1028" t="n">
        <v>120</v>
      </c>
      <c r="V1028" t="b">
        <v>1</v>
      </c>
      <c r="W1028" t="inlineStr">
        <is>
          <t>Loan calculator!B17:B136</t>
        </is>
      </c>
      <c r="X1028">
        <f>IFERROR(IF(LoanIsNotPaid*LoanIsGood,PaymentNumber,""), "")</f>
        <v/>
      </c>
    </row>
    <row r="1029">
      <c r="A1029" t="inlineStr">
        <is>
          <t>Loan calculator</t>
        </is>
      </c>
      <c r="B1029" t="inlineStr">
        <is>
          <t>C110</t>
        </is>
      </c>
      <c r="C1029" t="n">
        <v>110</v>
      </c>
      <c r="D1029" t="n">
        <v>3</v>
      </c>
      <c r="E1029" t="inlineStr">
        <is>
          <t>Output</t>
        </is>
      </c>
      <c r="F1029" t="inlineStr">
        <is>
          <t>'=IFERROR(IF(LoanIsNotPaid*LoanIsGood,PaymentDate,LoanStartDate), LoanStartDate)</t>
        </is>
      </c>
      <c r="G1029" s="1" t="n">
        <v>48949</v>
      </c>
      <c r="H1029" t="inlineStr"/>
      <c r="I1029" t="inlineStr">
        <is>
          <t>mm-dd-yy</t>
        </is>
      </c>
      <c r="J1029" t="b">
        <v>0</v>
      </c>
      <c r="K1029" t="b">
        <v>0</v>
      </c>
      <c r="L1029" t="n">
        <v>9</v>
      </c>
      <c r="M1029" t="inlineStr">
        <is>
          <t>Values must be of type &lt;class 'str'&gt;</t>
        </is>
      </c>
      <c r="N1029" t="inlineStr">
        <is>
          <t>00000000</t>
        </is>
      </c>
      <c r="O1029" t="inlineStr">
        <is>
          <t>center</t>
        </is>
      </c>
      <c r="P1029" t="inlineStr">
        <is>
          <t>center</t>
        </is>
      </c>
      <c r="R1029" t="b">
        <v>1</v>
      </c>
      <c r="S1029" t="inlineStr">
        <is>
          <t>G000002</t>
        </is>
      </c>
      <c r="T1029" t="inlineStr">
        <is>
          <t>Vertical</t>
        </is>
      </c>
      <c r="U1029" t="n">
        <v>120</v>
      </c>
      <c r="V1029" t="b">
        <v>1</v>
      </c>
      <c r="W1029" t="inlineStr">
        <is>
          <t>Loan calculator!C17:C136</t>
        </is>
      </c>
      <c r="X1029">
        <f>IFERROR(IF(LoanIsNotPaid*LoanIsGood,PaymentDate,LoanStartDate), LoanStartDate)</f>
        <v/>
      </c>
    </row>
    <row r="1030">
      <c r="A1030" t="inlineStr">
        <is>
          <t>Loan calculator</t>
        </is>
      </c>
      <c r="B1030" t="inlineStr">
        <is>
          <t>D110</t>
        </is>
      </c>
      <c r="C1030" t="n">
        <v>110</v>
      </c>
      <c r="D1030" t="n">
        <v>4</v>
      </c>
      <c r="E1030" t="inlineStr">
        <is>
          <t>Output</t>
        </is>
      </c>
      <c r="F1030" t="inlineStr">
        <is>
          <t>'=IFERROR(IF(LoanIsNotPaid*LoanIsGood,LoanValue,""), "")</t>
        </is>
      </c>
      <c r="G1030" t="n">
        <v>2750.239722452923</v>
      </c>
      <c r="H1030" t="inlineStr"/>
      <c r="I1030" t="inlineStr">
        <is>
          <t>"$"#,##0.00</t>
        </is>
      </c>
      <c r="J1030" t="b">
        <v>0</v>
      </c>
      <c r="K1030" t="b">
        <v>0</v>
      </c>
      <c r="L1030" t="n">
        <v>9</v>
      </c>
      <c r="M1030" t="inlineStr">
        <is>
          <t>Values must be of type &lt;class 'str'&gt;</t>
        </is>
      </c>
      <c r="N1030" t="inlineStr">
        <is>
          <t>00000000</t>
        </is>
      </c>
      <c r="O1030" t="inlineStr">
        <is>
          <t>center</t>
        </is>
      </c>
      <c r="P1030" t="inlineStr">
        <is>
          <t>center</t>
        </is>
      </c>
      <c r="R1030" t="b">
        <v>1</v>
      </c>
      <c r="S1030" t="inlineStr">
        <is>
          <t>G000003</t>
        </is>
      </c>
      <c r="T1030" t="inlineStr">
        <is>
          <t>Vertical</t>
        </is>
      </c>
      <c r="U1030" t="n">
        <v>120</v>
      </c>
      <c r="V1030" t="b">
        <v>1</v>
      </c>
      <c r="W1030" t="inlineStr">
        <is>
          <t>Loan calculator!D17:D136</t>
        </is>
      </c>
      <c r="X1030">
        <f>IFERROR(IF(LoanIsNotPaid*LoanIsGood,LoanValue,""), "")</f>
        <v/>
      </c>
    </row>
    <row r="1031">
      <c r="A1031" t="inlineStr">
        <is>
          <t>Loan calculator</t>
        </is>
      </c>
      <c r="B1031" t="inlineStr">
        <is>
          <t>E110</t>
        </is>
      </c>
      <c r="C1031" t="n">
        <v>110</v>
      </c>
      <c r="D1031" t="n">
        <v>5</v>
      </c>
      <c r="E1031" t="inlineStr">
        <is>
          <t>Output</t>
        </is>
      </c>
      <c r="F1031" t="inlineStr">
        <is>
          <t>'=IFERROR(IF(LoanIsNotPaid*LoanIsGood,MonthlyPayment,0), 0)</t>
        </is>
      </c>
      <c r="G1031" t="n">
        <v>108.5262779604807</v>
      </c>
      <c r="H1031" t="inlineStr"/>
      <c r="I1031" t="inlineStr">
        <is>
          <t>"$"#,##0.00</t>
        </is>
      </c>
      <c r="J1031" t="b">
        <v>0</v>
      </c>
      <c r="K1031" t="b">
        <v>0</v>
      </c>
      <c r="L1031" t="n">
        <v>9</v>
      </c>
      <c r="M1031" t="inlineStr">
        <is>
          <t>Values must be of type &lt;class 'str'&gt;</t>
        </is>
      </c>
      <c r="N1031" t="inlineStr">
        <is>
          <t>00000000</t>
        </is>
      </c>
      <c r="O1031" t="inlineStr">
        <is>
          <t>center</t>
        </is>
      </c>
      <c r="P1031" t="inlineStr">
        <is>
          <t>center</t>
        </is>
      </c>
      <c r="R1031" t="b">
        <v>1</v>
      </c>
      <c r="S1031" t="inlineStr">
        <is>
          <t>G000004</t>
        </is>
      </c>
      <c r="T1031" t="inlineStr">
        <is>
          <t>Vertical</t>
        </is>
      </c>
      <c r="U1031" t="n">
        <v>120</v>
      </c>
      <c r="V1031" t="b">
        <v>1</v>
      </c>
      <c r="W1031" t="inlineStr">
        <is>
          <t>Loan calculator!E17:E136</t>
        </is>
      </c>
      <c r="X1031">
        <f>IFERROR(IF(LoanIsNotPaid*LoanIsGood,MonthlyPayment,0), 0)</f>
        <v/>
      </c>
    </row>
    <row r="1032">
      <c r="A1032" t="inlineStr">
        <is>
          <t>Loan calculator</t>
        </is>
      </c>
      <c r="B1032" t="inlineStr">
        <is>
          <t>F110</t>
        </is>
      </c>
      <c r="C1032" t="n">
        <v>110</v>
      </c>
      <c r="D1032" t="n">
        <v>6</v>
      </c>
      <c r="E1032" t="inlineStr">
        <is>
          <t>Output</t>
        </is>
      </c>
      <c r="F1032" t="inlineStr">
        <is>
          <t>'=IFERROR(IF(LoanIsNotPaid*LoanIsGood,Principal,0), 0)</t>
        </is>
      </c>
      <c r="G1032" t="n">
        <v>95.92101256590476</v>
      </c>
      <c r="H1032" t="inlineStr"/>
      <c r="I1032" t="inlineStr">
        <is>
          <t>"$"#,##0.00</t>
        </is>
      </c>
      <c r="J1032" t="b">
        <v>0</v>
      </c>
      <c r="K1032" t="b">
        <v>0</v>
      </c>
      <c r="L1032" t="n">
        <v>9</v>
      </c>
      <c r="M1032" t="inlineStr">
        <is>
          <t>Values must be of type &lt;class 'str'&gt;</t>
        </is>
      </c>
      <c r="N1032" t="inlineStr">
        <is>
          <t>00000000</t>
        </is>
      </c>
      <c r="O1032" t="inlineStr">
        <is>
          <t>center</t>
        </is>
      </c>
      <c r="P1032" t="inlineStr">
        <is>
          <t>center</t>
        </is>
      </c>
      <c r="R1032" t="b">
        <v>1</v>
      </c>
      <c r="S1032" t="inlineStr">
        <is>
          <t>G000005</t>
        </is>
      </c>
      <c r="T1032" t="inlineStr">
        <is>
          <t>Vertical</t>
        </is>
      </c>
      <c r="U1032" t="n">
        <v>120</v>
      </c>
      <c r="V1032" t="b">
        <v>1</v>
      </c>
      <c r="W1032" t="inlineStr">
        <is>
          <t>Loan calculator!F17:F136</t>
        </is>
      </c>
      <c r="X1032">
        <f>IFERROR(IF(LoanIsNotPaid*LoanIsGood,Principal,0), 0)</f>
        <v/>
      </c>
    </row>
    <row r="1033">
      <c r="A1033" t="inlineStr">
        <is>
          <t>Loan calculator</t>
        </is>
      </c>
      <c r="B1033" t="inlineStr">
        <is>
          <t>G110</t>
        </is>
      </c>
      <c r="C1033" t="n">
        <v>110</v>
      </c>
      <c r="D1033" t="n">
        <v>7</v>
      </c>
      <c r="E1033" t="inlineStr">
        <is>
          <t>Output</t>
        </is>
      </c>
      <c r="F1033" t="inlineStr">
        <is>
          <t>'=IFERROR(IF(LoanIsNotPaid*LoanIsGood,InterestAmt,0), 0)</t>
        </is>
      </c>
      <c r="G1033" t="n">
        <v>12.60526539457597</v>
      </c>
      <c r="H1033" t="inlineStr"/>
      <c r="I1033" t="inlineStr">
        <is>
          <t>"$"#,##0.00</t>
        </is>
      </c>
      <c r="J1033" t="b">
        <v>0</v>
      </c>
      <c r="K1033" t="b">
        <v>0</v>
      </c>
      <c r="L1033" t="n">
        <v>9</v>
      </c>
      <c r="M1033" t="inlineStr">
        <is>
          <t>Values must be of type &lt;class 'str'&gt;</t>
        </is>
      </c>
      <c r="N1033" t="inlineStr">
        <is>
          <t>00000000</t>
        </is>
      </c>
      <c r="O1033" t="inlineStr">
        <is>
          <t>center</t>
        </is>
      </c>
      <c r="P1033" t="inlineStr">
        <is>
          <t>center</t>
        </is>
      </c>
      <c r="R1033" t="b">
        <v>1</v>
      </c>
      <c r="S1033" t="inlineStr">
        <is>
          <t>G000006</t>
        </is>
      </c>
      <c r="T1033" t="inlineStr">
        <is>
          <t>Vertical</t>
        </is>
      </c>
      <c r="U1033" t="n">
        <v>120</v>
      </c>
      <c r="V1033" t="b">
        <v>1</v>
      </c>
      <c r="W1033" t="inlineStr">
        <is>
          <t>Loan calculator!G17:G136</t>
        </is>
      </c>
      <c r="X1033">
        <f>IFERROR(IF(LoanIsNotPaid*LoanIsGood,InterestAmt,0), 0)</f>
        <v/>
      </c>
    </row>
    <row r="1034">
      <c r="A1034" t="inlineStr">
        <is>
          <t>Loan calculator</t>
        </is>
      </c>
      <c r="B1034" t="inlineStr">
        <is>
          <t>H110</t>
        </is>
      </c>
      <c r="C1034" t="n">
        <v>110</v>
      </c>
      <c r="D1034" t="n">
        <v>8</v>
      </c>
      <c r="E1034" t="inlineStr">
        <is>
          <t>Output</t>
        </is>
      </c>
      <c r="F1034" t="inlineStr">
        <is>
          <t>'=IFERROR(IF(LoanIsNotPaid*LoanIsGood,EndingBalance,0), 0)</t>
        </is>
      </c>
      <c r="G1034" t="n">
        <v>2654.31870988702</v>
      </c>
      <c r="H1034" t="inlineStr"/>
      <c r="I1034" t="inlineStr">
        <is>
          <t>"$"#,##0.00</t>
        </is>
      </c>
      <c r="J1034" t="b">
        <v>0</v>
      </c>
      <c r="K1034" t="b">
        <v>0</v>
      </c>
      <c r="L1034" t="n">
        <v>9</v>
      </c>
      <c r="M1034" t="inlineStr">
        <is>
          <t>Values must be of type &lt;class 'str'&gt;</t>
        </is>
      </c>
      <c r="N1034" t="inlineStr">
        <is>
          <t>00000000</t>
        </is>
      </c>
      <c r="O1034" t="inlineStr">
        <is>
          <t>center</t>
        </is>
      </c>
      <c r="P1034" t="inlineStr">
        <is>
          <t>center</t>
        </is>
      </c>
      <c r="R1034" t="b">
        <v>1</v>
      </c>
      <c r="S1034" t="inlineStr">
        <is>
          <t>G000007</t>
        </is>
      </c>
      <c r="T1034" t="inlineStr">
        <is>
          <t>Vertical</t>
        </is>
      </c>
      <c r="U1034" t="n">
        <v>120</v>
      </c>
      <c r="V1034" t="b">
        <v>1</v>
      </c>
      <c r="W1034" t="inlineStr">
        <is>
          <t>Loan calculator!H17:H136</t>
        </is>
      </c>
      <c r="X1034">
        <f>IFERROR(IF(LoanIsNotPaid*LoanIsGood,EndingBalance,0), 0)</f>
        <v/>
      </c>
    </row>
    <row r="1035">
      <c r="A1035" t="inlineStr">
        <is>
          <t>Loan calculator</t>
        </is>
      </c>
      <c r="B1035" t="inlineStr">
        <is>
          <t>I110</t>
        </is>
      </c>
      <c r="C1035" t="n">
        <v>110</v>
      </c>
      <c r="D1035" t="n">
        <v>9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11</v>
      </c>
      <c r="M1035" t="inlineStr">
        <is>
          <t>Values must be of type &lt;class 'str'&gt;</t>
        </is>
      </c>
      <c r="N1035" t="inlineStr">
        <is>
          <t>Values must be of type &lt;class 'str'&gt;</t>
        </is>
      </c>
      <c r="O1035" t="n">
        <v/>
      </c>
      <c r="P1035" t="inlineStr">
        <is>
          <t>center</t>
        </is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</row>
    <row r="1036">
      <c r="A1036" t="inlineStr">
        <is>
          <t>Loan calculator</t>
        </is>
      </c>
      <c r="B1036" t="inlineStr">
        <is>
          <t>A111</t>
        </is>
      </c>
      <c r="C1036" t="n">
        <v>111</v>
      </c>
      <c r="D1036" t="n">
        <v>1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11</v>
      </c>
      <c r="M1036" t="inlineStr">
        <is>
          <t>Values must be of type &lt;class 'str'&gt;</t>
        </is>
      </c>
      <c r="N1036" t="inlineStr">
        <is>
          <t>Values must be of type &lt;class 'str'&gt;</t>
        </is>
      </c>
      <c r="O1036" t="n">
        <v/>
      </c>
      <c r="P1036" t="inlineStr">
        <is>
          <t>center</t>
        </is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</row>
    <row r="1037">
      <c r="A1037" t="inlineStr">
        <is>
          <t>Loan calculator</t>
        </is>
      </c>
      <c r="B1037" t="inlineStr">
        <is>
          <t>B111</t>
        </is>
      </c>
      <c r="C1037" t="n">
        <v>111</v>
      </c>
      <c r="D1037" t="n">
        <v>2</v>
      </c>
      <c r="E1037" t="inlineStr">
        <is>
          <t>Output</t>
        </is>
      </c>
      <c r="F1037" t="inlineStr">
        <is>
          <t>'=IFERROR(IF(LoanIsNotPaid*LoanIsGood,PaymentNumber,""), "")</t>
        </is>
      </c>
      <c r="G1037" t="n">
        <v>95</v>
      </c>
      <c r="H1037" t="inlineStr"/>
      <c r="I1037" t="inlineStr">
        <is>
          <t>#,##0</t>
        </is>
      </c>
      <c r="J1037" t="b">
        <v>0</v>
      </c>
      <c r="K1037" t="b">
        <v>0</v>
      </c>
      <c r="L1037" t="n">
        <v>9</v>
      </c>
      <c r="M1037" t="inlineStr">
        <is>
          <t>Values must be of type &lt;class 'str'&gt;</t>
        </is>
      </c>
      <c r="N1037" t="inlineStr">
        <is>
          <t>00000000</t>
        </is>
      </c>
      <c r="O1037" t="inlineStr">
        <is>
          <t>center</t>
        </is>
      </c>
      <c r="P1037" t="inlineStr">
        <is>
          <t>center</t>
        </is>
      </c>
      <c r="R1037" t="b">
        <v>1</v>
      </c>
      <c r="S1037" t="inlineStr">
        <is>
          <t>G000001</t>
        </is>
      </c>
      <c r="T1037" t="inlineStr">
        <is>
          <t>Vertical</t>
        </is>
      </c>
      <c r="U1037" t="n">
        <v>120</v>
      </c>
      <c r="V1037" t="b">
        <v>1</v>
      </c>
      <c r="W1037" t="inlineStr">
        <is>
          <t>Loan calculator!B17:B136</t>
        </is>
      </c>
      <c r="X1037">
        <f>IFERROR(IF(LoanIsNotPaid*LoanIsGood,PaymentNumber,""), "")</f>
        <v/>
      </c>
    </row>
    <row r="1038">
      <c r="A1038" t="inlineStr">
        <is>
          <t>Loan calculator</t>
        </is>
      </c>
      <c r="B1038" t="inlineStr">
        <is>
          <t>C111</t>
        </is>
      </c>
      <c r="C1038" t="n">
        <v>111</v>
      </c>
      <c r="D1038" t="n">
        <v>3</v>
      </c>
      <c r="E1038" t="inlineStr">
        <is>
          <t>Output</t>
        </is>
      </c>
      <c r="F1038" t="inlineStr">
        <is>
          <t>'=IFERROR(IF(LoanIsNotPaid*LoanIsGood,PaymentDate,LoanStartDate), LoanStartDate)</t>
        </is>
      </c>
      <c r="G1038" s="1" t="n">
        <v>48980</v>
      </c>
      <c r="H1038" t="inlineStr"/>
      <c r="I1038" t="inlineStr">
        <is>
          <t>mm-dd-yy</t>
        </is>
      </c>
      <c r="J1038" t="b">
        <v>0</v>
      </c>
      <c r="K1038" t="b">
        <v>0</v>
      </c>
      <c r="L1038" t="n">
        <v>9</v>
      </c>
      <c r="M1038" t="inlineStr">
        <is>
          <t>Values must be of type &lt;class 'str'&gt;</t>
        </is>
      </c>
      <c r="N1038" t="inlineStr">
        <is>
          <t>00000000</t>
        </is>
      </c>
      <c r="O1038" t="inlineStr">
        <is>
          <t>center</t>
        </is>
      </c>
      <c r="P1038" t="inlineStr">
        <is>
          <t>center</t>
        </is>
      </c>
      <c r="R1038" t="b">
        <v>1</v>
      </c>
      <c r="S1038" t="inlineStr">
        <is>
          <t>G000002</t>
        </is>
      </c>
      <c r="T1038" t="inlineStr">
        <is>
          <t>Vertical</t>
        </is>
      </c>
      <c r="U1038" t="n">
        <v>120</v>
      </c>
      <c r="V1038" t="b">
        <v>1</v>
      </c>
      <c r="W1038" t="inlineStr">
        <is>
          <t>Loan calculator!C17:C136</t>
        </is>
      </c>
      <c r="X1038">
        <f>IFERROR(IF(LoanIsNotPaid*LoanIsGood,PaymentDate,LoanStartDate), LoanStartDate)</f>
        <v/>
      </c>
    </row>
    <row r="1039">
      <c r="A1039" t="inlineStr">
        <is>
          <t>Loan calculator</t>
        </is>
      </c>
      <c r="B1039" t="inlineStr">
        <is>
          <t>D111</t>
        </is>
      </c>
      <c r="C1039" t="n">
        <v>111</v>
      </c>
      <c r="D1039" t="n">
        <v>4</v>
      </c>
      <c r="E1039" t="inlineStr">
        <is>
          <t>Output</t>
        </is>
      </c>
      <c r="F1039" t="inlineStr">
        <is>
          <t>'=IFERROR(IF(LoanIsNotPaid*LoanIsGood,LoanValue,""), "")</t>
        </is>
      </c>
      <c r="G1039" t="n">
        <v>2654.31870988702</v>
      </c>
      <c r="H1039" t="inlineStr"/>
      <c r="I1039" t="inlineStr">
        <is>
          <t>"$"#,##0.00</t>
        </is>
      </c>
      <c r="J1039" t="b">
        <v>0</v>
      </c>
      <c r="K1039" t="b">
        <v>0</v>
      </c>
      <c r="L1039" t="n">
        <v>9</v>
      </c>
      <c r="M1039" t="inlineStr">
        <is>
          <t>Values must be of type &lt;class 'str'&gt;</t>
        </is>
      </c>
      <c r="N1039" t="inlineStr">
        <is>
          <t>00000000</t>
        </is>
      </c>
      <c r="O1039" t="inlineStr">
        <is>
          <t>center</t>
        </is>
      </c>
      <c r="P1039" t="inlineStr">
        <is>
          <t>center</t>
        </is>
      </c>
      <c r="R1039" t="b">
        <v>1</v>
      </c>
      <c r="S1039" t="inlineStr">
        <is>
          <t>G000003</t>
        </is>
      </c>
      <c r="T1039" t="inlineStr">
        <is>
          <t>Vertical</t>
        </is>
      </c>
      <c r="U1039" t="n">
        <v>120</v>
      </c>
      <c r="V1039" t="b">
        <v>1</v>
      </c>
      <c r="W1039" t="inlineStr">
        <is>
          <t>Loan calculator!D17:D136</t>
        </is>
      </c>
      <c r="X1039">
        <f>IFERROR(IF(LoanIsNotPaid*LoanIsGood,LoanValue,""), "")</f>
        <v/>
      </c>
    </row>
    <row r="1040">
      <c r="A1040" t="inlineStr">
        <is>
          <t>Loan calculator</t>
        </is>
      </c>
      <c r="B1040" t="inlineStr">
        <is>
          <t>E111</t>
        </is>
      </c>
      <c r="C1040" t="n">
        <v>111</v>
      </c>
      <c r="D1040" t="n">
        <v>5</v>
      </c>
      <c r="E1040" t="inlineStr">
        <is>
          <t>Output</t>
        </is>
      </c>
      <c r="F1040" t="inlineStr">
        <is>
          <t>'=IFERROR(IF(LoanIsNotPaid*LoanIsGood,MonthlyPayment,0), 0)</t>
        </is>
      </c>
      <c r="G1040" t="n">
        <v>108.5262779604807</v>
      </c>
      <c r="H1040" t="inlineStr"/>
      <c r="I1040" t="inlineStr">
        <is>
          <t>"$"#,##0.00</t>
        </is>
      </c>
      <c r="J1040" t="b">
        <v>0</v>
      </c>
      <c r="K1040" t="b">
        <v>0</v>
      </c>
      <c r="L1040" t="n">
        <v>9</v>
      </c>
      <c r="M1040" t="inlineStr">
        <is>
          <t>Values must be of type &lt;class 'str'&gt;</t>
        </is>
      </c>
      <c r="N1040" t="inlineStr">
        <is>
          <t>00000000</t>
        </is>
      </c>
      <c r="O1040" t="inlineStr">
        <is>
          <t>center</t>
        </is>
      </c>
      <c r="P1040" t="inlineStr">
        <is>
          <t>center</t>
        </is>
      </c>
      <c r="R1040" t="b">
        <v>1</v>
      </c>
      <c r="S1040" t="inlineStr">
        <is>
          <t>G000004</t>
        </is>
      </c>
      <c r="T1040" t="inlineStr">
        <is>
          <t>Vertical</t>
        </is>
      </c>
      <c r="U1040" t="n">
        <v>120</v>
      </c>
      <c r="V1040" t="b">
        <v>1</v>
      </c>
      <c r="W1040" t="inlineStr">
        <is>
          <t>Loan calculator!E17:E136</t>
        </is>
      </c>
      <c r="X1040">
        <f>IFERROR(IF(LoanIsNotPaid*LoanIsGood,MonthlyPayment,0), 0)</f>
        <v/>
      </c>
    </row>
    <row r="1041">
      <c r="A1041" t="inlineStr">
        <is>
          <t>Loan calculator</t>
        </is>
      </c>
      <c r="B1041" t="inlineStr">
        <is>
          <t>F111</t>
        </is>
      </c>
      <c r="C1041" t="n">
        <v>111</v>
      </c>
      <c r="D1041" t="n">
        <v>6</v>
      </c>
      <c r="E1041" t="inlineStr">
        <is>
          <t>Output</t>
        </is>
      </c>
      <c r="F1041" t="inlineStr">
        <is>
          <t>'=IFERROR(IF(LoanIsNotPaid*LoanIsGood,Principal,0), 0)</t>
        </is>
      </c>
      <c r="G1041" t="n">
        <v>96.36065054016515</v>
      </c>
      <c r="H1041" t="inlineStr"/>
      <c r="I1041" t="inlineStr">
        <is>
          <t>"$"#,##0.00</t>
        </is>
      </c>
      <c r="J1041" t="b">
        <v>0</v>
      </c>
      <c r="K1041" t="b">
        <v>0</v>
      </c>
      <c r="L1041" t="n">
        <v>9</v>
      </c>
      <c r="M1041" t="inlineStr">
        <is>
          <t>Values must be of type &lt;class 'str'&gt;</t>
        </is>
      </c>
      <c r="N1041" t="inlineStr">
        <is>
          <t>00000000</t>
        </is>
      </c>
      <c r="O1041" t="inlineStr">
        <is>
          <t>center</t>
        </is>
      </c>
      <c r="P1041" t="inlineStr">
        <is>
          <t>center</t>
        </is>
      </c>
      <c r="R1041" t="b">
        <v>1</v>
      </c>
      <c r="S1041" t="inlineStr">
        <is>
          <t>G000005</t>
        </is>
      </c>
      <c r="T1041" t="inlineStr">
        <is>
          <t>Vertical</t>
        </is>
      </c>
      <c r="U1041" t="n">
        <v>120</v>
      </c>
      <c r="V1041" t="b">
        <v>1</v>
      </c>
      <c r="W1041" t="inlineStr">
        <is>
          <t>Loan calculator!F17:F136</t>
        </is>
      </c>
      <c r="X1041">
        <f>IFERROR(IF(LoanIsNotPaid*LoanIsGood,Principal,0), 0)</f>
        <v/>
      </c>
    </row>
    <row r="1042">
      <c r="A1042" t="inlineStr">
        <is>
          <t>Loan calculator</t>
        </is>
      </c>
      <c r="B1042" t="inlineStr">
        <is>
          <t>G111</t>
        </is>
      </c>
      <c r="C1042" t="n">
        <v>111</v>
      </c>
      <c r="D1042" t="n">
        <v>7</v>
      </c>
      <c r="E1042" t="inlineStr">
        <is>
          <t>Output</t>
        </is>
      </c>
      <c r="F1042" t="inlineStr">
        <is>
          <t>'=IFERROR(IF(LoanIsNotPaid*LoanIsGood,InterestAmt,0), 0)</t>
        </is>
      </c>
      <c r="G1042" t="n">
        <v>12.16562742031557</v>
      </c>
      <c r="H1042" t="inlineStr"/>
      <c r="I1042" t="inlineStr">
        <is>
          <t>"$"#,##0.00</t>
        </is>
      </c>
      <c r="J1042" t="b">
        <v>0</v>
      </c>
      <c r="K1042" t="b">
        <v>0</v>
      </c>
      <c r="L1042" t="n">
        <v>9</v>
      </c>
      <c r="M1042" t="inlineStr">
        <is>
          <t>Values must be of type &lt;class 'str'&gt;</t>
        </is>
      </c>
      <c r="N1042" t="inlineStr">
        <is>
          <t>00000000</t>
        </is>
      </c>
      <c r="O1042" t="inlineStr">
        <is>
          <t>center</t>
        </is>
      </c>
      <c r="P1042" t="inlineStr">
        <is>
          <t>center</t>
        </is>
      </c>
      <c r="R1042" t="b">
        <v>1</v>
      </c>
      <c r="S1042" t="inlineStr">
        <is>
          <t>G000006</t>
        </is>
      </c>
      <c r="T1042" t="inlineStr">
        <is>
          <t>Vertical</t>
        </is>
      </c>
      <c r="U1042" t="n">
        <v>120</v>
      </c>
      <c r="V1042" t="b">
        <v>1</v>
      </c>
      <c r="W1042" t="inlineStr">
        <is>
          <t>Loan calculator!G17:G136</t>
        </is>
      </c>
      <c r="X1042">
        <f>IFERROR(IF(LoanIsNotPaid*LoanIsGood,InterestAmt,0), 0)</f>
        <v/>
      </c>
    </row>
    <row r="1043">
      <c r="A1043" t="inlineStr">
        <is>
          <t>Loan calculator</t>
        </is>
      </c>
      <c r="B1043" t="inlineStr">
        <is>
          <t>H111</t>
        </is>
      </c>
      <c r="C1043" t="n">
        <v>111</v>
      </c>
      <c r="D1043" t="n">
        <v>8</v>
      </c>
      <c r="E1043" t="inlineStr">
        <is>
          <t>Output</t>
        </is>
      </c>
      <c r="F1043" t="inlineStr">
        <is>
          <t>'=IFERROR(IF(LoanIsNotPaid*LoanIsGood,EndingBalance,0), 0)</t>
        </is>
      </c>
      <c r="G1043" t="n">
        <v>2557.958059346854</v>
      </c>
      <c r="H1043" t="inlineStr"/>
      <c r="I1043" t="inlineStr">
        <is>
          <t>"$"#,##0.00</t>
        </is>
      </c>
      <c r="J1043" t="b">
        <v>0</v>
      </c>
      <c r="K1043" t="b">
        <v>0</v>
      </c>
      <c r="L1043" t="n">
        <v>9</v>
      </c>
      <c r="M1043" t="inlineStr">
        <is>
          <t>Values must be of type &lt;class 'str'&gt;</t>
        </is>
      </c>
      <c r="N1043" t="inlineStr">
        <is>
          <t>00000000</t>
        </is>
      </c>
      <c r="O1043" t="inlineStr">
        <is>
          <t>center</t>
        </is>
      </c>
      <c r="P1043" t="inlineStr">
        <is>
          <t>center</t>
        </is>
      </c>
      <c r="R1043" t="b">
        <v>1</v>
      </c>
      <c r="S1043" t="inlineStr">
        <is>
          <t>G000007</t>
        </is>
      </c>
      <c r="T1043" t="inlineStr">
        <is>
          <t>Vertical</t>
        </is>
      </c>
      <c r="U1043" t="n">
        <v>120</v>
      </c>
      <c r="V1043" t="b">
        <v>1</v>
      </c>
      <c r="W1043" t="inlineStr">
        <is>
          <t>Loan calculator!H17:H136</t>
        </is>
      </c>
      <c r="X1043">
        <f>IFERROR(IF(LoanIsNotPaid*LoanIsGood,EndingBalance,0), 0)</f>
        <v/>
      </c>
    </row>
    <row r="1044">
      <c r="A1044" t="inlineStr">
        <is>
          <t>Loan calculator</t>
        </is>
      </c>
      <c r="B1044" t="inlineStr">
        <is>
          <t>I111</t>
        </is>
      </c>
      <c r="C1044" t="n">
        <v>111</v>
      </c>
      <c r="D1044" t="n">
        <v>9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11</v>
      </c>
      <c r="M1044" t="inlineStr">
        <is>
          <t>Values must be of type &lt;class 'str'&gt;</t>
        </is>
      </c>
      <c r="N1044" t="inlineStr">
        <is>
          <t>Values must be of type &lt;class 'str'&gt;</t>
        </is>
      </c>
      <c r="O1044" t="n">
        <v/>
      </c>
      <c r="P1044" t="inlineStr">
        <is>
          <t>center</t>
        </is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</row>
    <row r="1045">
      <c r="A1045" t="inlineStr">
        <is>
          <t>Loan calculator</t>
        </is>
      </c>
      <c r="B1045" t="inlineStr">
        <is>
          <t>A112</t>
        </is>
      </c>
      <c r="C1045" t="n">
        <v>112</v>
      </c>
      <c r="D1045" t="n">
        <v>1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11</v>
      </c>
      <c r="M1045" t="inlineStr">
        <is>
          <t>Values must be of type &lt;class 'str'&gt;</t>
        </is>
      </c>
      <c r="N1045" t="inlineStr">
        <is>
          <t>Values must be of type &lt;class 'str'&gt;</t>
        </is>
      </c>
      <c r="O1045" t="n">
        <v/>
      </c>
      <c r="P1045" t="inlineStr">
        <is>
          <t>center</t>
        </is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</row>
    <row r="1046">
      <c r="A1046" t="inlineStr">
        <is>
          <t>Loan calculator</t>
        </is>
      </c>
      <c r="B1046" t="inlineStr">
        <is>
          <t>B112</t>
        </is>
      </c>
      <c r="C1046" t="n">
        <v>112</v>
      </c>
      <c r="D1046" t="n">
        <v>2</v>
      </c>
      <c r="E1046" t="inlineStr">
        <is>
          <t>Output</t>
        </is>
      </c>
      <c r="F1046" t="inlineStr">
        <is>
          <t>'=IFERROR(IF(LoanIsNotPaid*LoanIsGood,PaymentNumber,""), "")</t>
        </is>
      </c>
      <c r="G1046" t="n">
        <v>96</v>
      </c>
      <c r="H1046" t="inlineStr"/>
      <c r="I1046" t="inlineStr">
        <is>
          <t>#,##0</t>
        </is>
      </c>
      <c r="J1046" t="b">
        <v>0</v>
      </c>
      <c r="K1046" t="b">
        <v>0</v>
      </c>
      <c r="L1046" t="n">
        <v>9</v>
      </c>
      <c r="M1046" t="inlineStr">
        <is>
          <t>Values must be of type &lt;class 'str'&gt;</t>
        </is>
      </c>
      <c r="N1046" t="inlineStr">
        <is>
          <t>00000000</t>
        </is>
      </c>
      <c r="O1046" t="inlineStr">
        <is>
          <t>center</t>
        </is>
      </c>
      <c r="P1046" t="inlineStr">
        <is>
          <t>center</t>
        </is>
      </c>
      <c r="R1046" t="b">
        <v>1</v>
      </c>
      <c r="S1046" t="inlineStr">
        <is>
          <t>G000001</t>
        </is>
      </c>
      <c r="T1046" t="inlineStr">
        <is>
          <t>Vertical</t>
        </is>
      </c>
      <c r="U1046" t="n">
        <v>120</v>
      </c>
      <c r="V1046" t="b">
        <v>1</v>
      </c>
      <c r="W1046" t="inlineStr">
        <is>
          <t>Loan calculator!B17:B136</t>
        </is>
      </c>
      <c r="X1046">
        <f>IFERROR(IF(LoanIsNotPaid*LoanIsGood,PaymentNumber,""), "")</f>
        <v/>
      </c>
    </row>
    <row r="1047">
      <c r="A1047" t="inlineStr">
        <is>
          <t>Loan calculator</t>
        </is>
      </c>
      <c r="B1047" t="inlineStr">
        <is>
          <t>C112</t>
        </is>
      </c>
      <c r="C1047" t="n">
        <v>112</v>
      </c>
      <c r="D1047" t="n">
        <v>3</v>
      </c>
      <c r="E1047" t="inlineStr">
        <is>
          <t>Output</t>
        </is>
      </c>
      <c r="F1047" t="inlineStr">
        <is>
          <t>'=IFERROR(IF(LoanIsNotPaid*LoanIsGood,PaymentDate,LoanStartDate), LoanStartDate)</t>
        </is>
      </c>
      <c r="G1047" s="1" t="n">
        <v>49008</v>
      </c>
      <c r="H1047" t="inlineStr"/>
      <c r="I1047" t="inlineStr">
        <is>
          <t>mm-dd-yy</t>
        </is>
      </c>
      <c r="J1047" t="b">
        <v>0</v>
      </c>
      <c r="K1047" t="b">
        <v>0</v>
      </c>
      <c r="L1047" t="n">
        <v>9</v>
      </c>
      <c r="M1047" t="inlineStr">
        <is>
          <t>Values must be of type &lt;class 'str'&gt;</t>
        </is>
      </c>
      <c r="N1047" t="inlineStr">
        <is>
          <t>00000000</t>
        </is>
      </c>
      <c r="O1047" t="inlineStr">
        <is>
          <t>center</t>
        </is>
      </c>
      <c r="P1047" t="inlineStr">
        <is>
          <t>center</t>
        </is>
      </c>
      <c r="R1047" t="b">
        <v>1</v>
      </c>
      <c r="S1047" t="inlineStr">
        <is>
          <t>G000002</t>
        </is>
      </c>
      <c r="T1047" t="inlineStr">
        <is>
          <t>Vertical</t>
        </is>
      </c>
      <c r="U1047" t="n">
        <v>120</v>
      </c>
      <c r="V1047" t="b">
        <v>1</v>
      </c>
      <c r="W1047" t="inlineStr">
        <is>
          <t>Loan calculator!C17:C136</t>
        </is>
      </c>
      <c r="X1047">
        <f>IFERROR(IF(LoanIsNotPaid*LoanIsGood,PaymentDate,LoanStartDate), LoanStartDate)</f>
        <v/>
      </c>
    </row>
    <row r="1048">
      <c r="A1048" t="inlineStr">
        <is>
          <t>Loan calculator</t>
        </is>
      </c>
      <c r="B1048" t="inlineStr">
        <is>
          <t>D112</t>
        </is>
      </c>
      <c r="C1048" t="n">
        <v>112</v>
      </c>
      <c r="D1048" t="n">
        <v>4</v>
      </c>
      <c r="E1048" t="inlineStr">
        <is>
          <t>Output</t>
        </is>
      </c>
      <c r="F1048" t="inlineStr">
        <is>
          <t>'=IFERROR(IF(LoanIsNotPaid*LoanIsGood,LoanValue,""), "")</t>
        </is>
      </c>
      <c r="G1048" t="n">
        <v>2557.958059346854</v>
      </c>
      <c r="H1048" t="inlineStr"/>
      <c r="I1048" t="inlineStr">
        <is>
          <t>"$"#,##0.00</t>
        </is>
      </c>
      <c r="J1048" t="b">
        <v>0</v>
      </c>
      <c r="K1048" t="b">
        <v>0</v>
      </c>
      <c r="L1048" t="n">
        <v>9</v>
      </c>
      <c r="M1048" t="inlineStr">
        <is>
          <t>Values must be of type &lt;class 'str'&gt;</t>
        </is>
      </c>
      <c r="N1048" t="inlineStr">
        <is>
          <t>00000000</t>
        </is>
      </c>
      <c r="O1048" t="inlineStr">
        <is>
          <t>center</t>
        </is>
      </c>
      <c r="P1048" t="inlineStr">
        <is>
          <t>center</t>
        </is>
      </c>
      <c r="R1048" t="b">
        <v>1</v>
      </c>
      <c r="S1048" t="inlineStr">
        <is>
          <t>G000003</t>
        </is>
      </c>
      <c r="T1048" t="inlineStr">
        <is>
          <t>Vertical</t>
        </is>
      </c>
      <c r="U1048" t="n">
        <v>120</v>
      </c>
      <c r="V1048" t="b">
        <v>1</v>
      </c>
      <c r="W1048" t="inlineStr">
        <is>
          <t>Loan calculator!D17:D136</t>
        </is>
      </c>
      <c r="X1048">
        <f>IFERROR(IF(LoanIsNotPaid*LoanIsGood,LoanValue,""), "")</f>
        <v/>
      </c>
    </row>
    <row r="1049">
      <c r="A1049" t="inlineStr">
        <is>
          <t>Loan calculator</t>
        </is>
      </c>
      <c r="B1049" t="inlineStr">
        <is>
          <t>E112</t>
        </is>
      </c>
      <c r="C1049" t="n">
        <v>112</v>
      </c>
      <c r="D1049" t="n">
        <v>5</v>
      </c>
      <c r="E1049" t="inlineStr">
        <is>
          <t>Output</t>
        </is>
      </c>
      <c r="F1049" t="inlineStr">
        <is>
          <t>'=IFERROR(IF(LoanIsNotPaid*LoanIsGood,MonthlyPayment,0), 0)</t>
        </is>
      </c>
      <c r="G1049" t="n">
        <v>108.5262779604807</v>
      </c>
      <c r="H1049" t="inlineStr"/>
      <c r="I1049" t="inlineStr">
        <is>
          <t>"$"#,##0.00</t>
        </is>
      </c>
      <c r="J1049" t="b">
        <v>0</v>
      </c>
      <c r="K1049" t="b">
        <v>0</v>
      </c>
      <c r="L1049" t="n">
        <v>9</v>
      </c>
      <c r="M1049" t="inlineStr">
        <is>
          <t>Values must be of type &lt;class 'str'&gt;</t>
        </is>
      </c>
      <c r="N1049" t="inlineStr">
        <is>
          <t>00000000</t>
        </is>
      </c>
      <c r="O1049" t="inlineStr">
        <is>
          <t>center</t>
        </is>
      </c>
      <c r="P1049" t="inlineStr">
        <is>
          <t>center</t>
        </is>
      </c>
      <c r="R1049" t="b">
        <v>1</v>
      </c>
      <c r="S1049" t="inlineStr">
        <is>
          <t>G000004</t>
        </is>
      </c>
      <c r="T1049" t="inlineStr">
        <is>
          <t>Vertical</t>
        </is>
      </c>
      <c r="U1049" t="n">
        <v>120</v>
      </c>
      <c r="V1049" t="b">
        <v>1</v>
      </c>
      <c r="W1049" t="inlineStr">
        <is>
          <t>Loan calculator!E17:E136</t>
        </is>
      </c>
      <c r="X1049">
        <f>IFERROR(IF(LoanIsNotPaid*LoanIsGood,MonthlyPayment,0), 0)</f>
        <v/>
      </c>
    </row>
    <row r="1050">
      <c r="A1050" t="inlineStr">
        <is>
          <t>Loan calculator</t>
        </is>
      </c>
      <c r="B1050" t="inlineStr">
        <is>
          <t>F112</t>
        </is>
      </c>
      <c r="C1050" t="n">
        <v>112</v>
      </c>
      <c r="D1050" t="n">
        <v>6</v>
      </c>
      <c r="E1050" t="inlineStr">
        <is>
          <t>Output</t>
        </is>
      </c>
      <c r="F1050" t="inlineStr">
        <is>
          <t>'=IFERROR(IF(LoanIsNotPaid*LoanIsGood,Principal,0), 0)</t>
        </is>
      </c>
      <c r="G1050" t="n">
        <v>96.80230352180759</v>
      </c>
      <c r="H1050" t="inlineStr"/>
      <c r="I1050" t="inlineStr">
        <is>
          <t>"$"#,##0.00</t>
        </is>
      </c>
      <c r="J1050" t="b">
        <v>0</v>
      </c>
      <c r="K1050" t="b">
        <v>0</v>
      </c>
      <c r="L1050" t="n">
        <v>9</v>
      </c>
      <c r="M1050" t="inlineStr">
        <is>
          <t>Values must be of type &lt;class 'str'&gt;</t>
        </is>
      </c>
      <c r="N1050" t="inlineStr">
        <is>
          <t>00000000</t>
        </is>
      </c>
      <c r="O1050" t="inlineStr">
        <is>
          <t>center</t>
        </is>
      </c>
      <c r="P1050" t="inlineStr">
        <is>
          <t>center</t>
        </is>
      </c>
      <c r="R1050" t="b">
        <v>1</v>
      </c>
      <c r="S1050" t="inlineStr">
        <is>
          <t>G000005</t>
        </is>
      </c>
      <c r="T1050" t="inlineStr">
        <is>
          <t>Vertical</t>
        </is>
      </c>
      <c r="U1050" t="n">
        <v>120</v>
      </c>
      <c r="V1050" t="b">
        <v>1</v>
      </c>
      <c r="W1050" t="inlineStr">
        <is>
          <t>Loan calculator!F17:F136</t>
        </is>
      </c>
      <c r="X1050">
        <f>IFERROR(IF(LoanIsNotPaid*LoanIsGood,Principal,0), 0)</f>
        <v/>
      </c>
    </row>
    <row r="1051">
      <c r="A1051" t="inlineStr">
        <is>
          <t>Loan calculator</t>
        </is>
      </c>
      <c r="B1051" t="inlineStr">
        <is>
          <t>G112</t>
        </is>
      </c>
      <c r="C1051" t="n">
        <v>112</v>
      </c>
      <c r="D1051" t="n">
        <v>7</v>
      </c>
      <c r="E1051" t="inlineStr">
        <is>
          <t>Output</t>
        </is>
      </c>
      <c r="F1051" t="inlineStr">
        <is>
          <t>'=IFERROR(IF(LoanIsNotPaid*LoanIsGood,InterestAmt,0), 0)</t>
        </is>
      </c>
      <c r="G1051" t="n">
        <v>11.72397443867315</v>
      </c>
      <c r="H1051" t="inlineStr"/>
      <c r="I1051" t="inlineStr">
        <is>
          <t>"$"#,##0.00</t>
        </is>
      </c>
      <c r="J1051" t="b">
        <v>0</v>
      </c>
      <c r="K1051" t="b">
        <v>0</v>
      </c>
      <c r="L1051" t="n">
        <v>9</v>
      </c>
      <c r="M1051" t="inlineStr">
        <is>
          <t>Values must be of type &lt;class 'str'&gt;</t>
        </is>
      </c>
      <c r="N1051" t="inlineStr">
        <is>
          <t>00000000</t>
        </is>
      </c>
      <c r="O1051" t="inlineStr">
        <is>
          <t>center</t>
        </is>
      </c>
      <c r="P1051" t="inlineStr">
        <is>
          <t>center</t>
        </is>
      </c>
      <c r="R1051" t="b">
        <v>1</v>
      </c>
      <c r="S1051" t="inlineStr">
        <is>
          <t>G000006</t>
        </is>
      </c>
      <c r="T1051" t="inlineStr">
        <is>
          <t>Vertical</t>
        </is>
      </c>
      <c r="U1051" t="n">
        <v>120</v>
      </c>
      <c r="V1051" t="b">
        <v>1</v>
      </c>
      <c r="W1051" t="inlineStr">
        <is>
          <t>Loan calculator!G17:G136</t>
        </is>
      </c>
      <c r="X1051">
        <f>IFERROR(IF(LoanIsNotPaid*LoanIsGood,InterestAmt,0), 0)</f>
        <v/>
      </c>
    </row>
    <row r="1052">
      <c r="A1052" t="inlineStr">
        <is>
          <t>Loan calculator</t>
        </is>
      </c>
      <c r="B1052" t="inlineStr">
        <is>
          <t>H112</t>
        </is>
      </c>
      <c r="C1052" t="n">
        <v>112</v>
      </c>
      <c r="D1052" t="n">
        <v>8</v>
      </c>
      <c r="E1052" t="inlineStr">
        <is>
          <t>Output</t>
        </is>
      </c>
      <c r="F1052" t="inlineStr">
        <is>
          <t>'=IFERROR(IF(LoanIsNotPaid*LoanIsGood,EndingBalance,0), 0)</t>
        </is>
      </c>
      <c r="G1052" t="n">
        <v>2461.155755825044</v>
      </c>
      <c r="H1052" t="inlineStr"/>
      <c r="I1052" t="inlineStr">
        <is>
          <t>"$"#,##0.00</t>
        </is>
      </c>
      <c r="J1052" t="b">
        <v>0</v>
      </c>
      <c r="K1052" t="b">
        <v>0</v>
      </c>
      <c r="L1052" t="n">
        <v>9</v>
      </c>
      <c r="M1052" t="inlineStr">
        <is>
          <t>Values must be of type &lt;class 'str'&gt;</t>
        </is>
      </c>
      <c r="N1052" t="inlineStr">
        <is>
          <t>00000000</t>
        </is>
      </c>
      <c r="O1052" t="inlineStr">
        <is>
          <t>center</t>
        </is>
      </c>
      <c r="P1052" t="inlineStr">
        <is>
          <t>center</t>
        </is>
      </c>
      <c r="R1052" t="b">
        <v>1</v>
      </c>
      <c r="S1052" t="inlineStr">
        <is>
          <t>G000007</t>
        </is>
      </c>
      <c r="T1052" t="inlineStr">
        <is>
          <t>Vertical</t>
        </is>
      </c>
      <c r="U1052" t="n">
        <v>120</v>
      </c>
      <c r="V1052" t="b">
        <v>1</v>
      </c>
      <c r="W1052" t="inlineStr">
        <is>
          <t>Loan calculator!H17:H136</t>
        </is>
      </c>
      <c r="X1052">
        <f>IFERROR(IF(LoanIsNotPaid*LoanIsGood,EndingBalance,0), 0)</f>
        <v/>
      </c>
    </row>
    <row r="1053">
      <c r="A1053" t="inlineStr">
        <is>
          <t>Loan calculator</t>
        </is>
      </c>
      <c r="B1053" t="inlineStr">
        <is>
          <t>I112</t>
        </is>
      </c>
      <c r="C1053" t="n">
        <v>112</v>
      </c>
      <c r="D1053" t="n">
        <v>9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11</v>
      </c>
      <c r="M1053" t="inlineStr">
        <is>
          <t>Values must be of type &lt;class 'str'&gt;</t>
        </is>
      </c>
      <c r="N1053" t="inlineStr">
        <is>
          <t>Values must be of type &lt;class 'str'&gt;</t>
        </is>
      </c>
      <c r="O1053" t="n">
        <v/>
      </c>
      <c r="P1053" t="inlineStr">
        <is>
          <t>center</t>
        </is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</row>
    <row r="1054">
      <c r="A1054" t="inlineStr">
        <is>
          <t>Loan calculator</t>
        </is>
      </c>
      <c r="B1054" t="inlineStr">
        <is>
          <t>A113</t>
        </is>
      </c>
      <c r="C1054" t="n">
        <v>113</v>
      </c>
      <c r="D1054" t="n">
        <v>1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11</v>
      </c>
      <c r="M1054" t="inlineStr">
        <is>
          <t>Values must be of type &lt;class 'str'&gt;</t>
        </is>
      </c>
      <c r="N1054" t="inlineStr">
        <is>
          <t>Values must be of type &lt;class 'str'&gt;</t>
        </is>
      </c>
      <c r="O1054" t="n">
        <v/>
      </c>
      <c r="P1054" t="inlineStr">
        <is>
          <t>center</t>
        </is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</row>
    <row r="1055">
      <c r="A1055" t="inlineStr">
        <is>
          <t>Loan calculator</t>
        </is>
      </c>
      <c r="B1055" t="inlineStr">
        <is>
          <t>B113</t>
        </is>
      </c>
      <c r="C1055" t="n">
        <v>113</v>
      </c>
      <c r="D1055" t="n">
        <v>2</v>
      </c>
      <c r="E1055" t="inlineStr">
        <is>
          <t>Output</t>
        </is>
      </c>
      <c r="F1055" t="inlineStr">
        <is>
          <t>'=IFERROR(IF(LoanIsNotPaid*LoanIsGood,PaymentNumber,""), "")</t>
        </is>
      </c>
      <c r="G1055" t="n">
        <v>97</v>
      </c>
      <c r="H1055" t="inlineStr"/>
      <c r="I1055" t="inlineStr">
        <is>
          <t>#,##0</t>
        </is>
      </c>
      <c r="J1055" t="b">
        <v>0</v>
      </c>
      <c r="K1055" t="b">
        <v>0</v>
      </c>
      <c r="L1055" t="n">
        <v>9</v>
      </c>
      <c r="M1055" t="inlineStr">
        <is>
          <t>Values must be of type &lt;class 'str'&gt;</t>
        </is>
      </c>
      <c r="N1055" t="inlineStr">
        <is>
          <t>00000000</t>
        </is>
      </c>
      <c r="O1055" t="inlineStr">
        <is>
          <t>center</t>
        </is>
      </c>
      <c r="P1055" t="inlineStr">
        <is>
          <t>center</t>
        </is>
      </c>
      <c r="R1055" t="b">
        <v>1</v>
      </c>
      <c r="S1055" t="inlineStr">
        <is>
          <t>G000001</t>
        </is>
      </c>
      <c r="T1055" t="inlineStr">
        <is>
          <t>Vertical</t>
        </is>
      </c>
      <c r="U1055" t="n">
        <v>120</v>
      </c>
      <c r="V1055" t="b">
        <v>1</v>
      </c>
      <c r="W1055" t="inlineStr">
        <is>
          <t>Loan calculator!B17:B136</t>
        </is>
      </c>
      <c r="X1055">
        <f>IFERROR(IF(LoanIsNotPaid*LoanIsGood,PaymentNumber,""), "")</f>
        <v/>
      </c>
    </row>
    <row r="1056">
      <c r="A1056" t="inlineStr">
        <is>
          <t>Loan calculator</t>
        </is>
      </c>
      <c r="B1056" t="inlineStr">
        <is>
          <t>C113</t>
        </is>
      </c>
      <c r="C1056" t="n">
        <v>113</v>
      </c>
      <c r="D1056" t="n">
        <v>3</v>
      </c>
      <c r="E1056" t="inlineStr">
        <is>
          <t>Output</t>
        </is>
      </c>
      <c r="F1056" t="inlineStr">
        <is>
          <t>'=IFERROR(IF(LoanIsNotPaid*LoanIsGood,PaymentDate,LoanStartDate), LoanStartDate)</t>
        </is>
      </c>
      <c r="G1056" s="1" t="n">
        <v>49039</v>
      </c>
      <c r="H1056" t="inlineStr"/>
      <c r="I1056" t="inlineStr">
        <is>
          <t>mm-dd-yy</t>
        </is>
      </c>
      <c r="J1056" t="b">
        <v>0</v>
      </c>
      <c r="K1056" t="b">
        <v>0</v>
      </c>
      <c r="L1056" t="n">
        <v>9</v>
      </c>
      <c r="M1056" t="inlineStr">
        <is>
          <t>Values must be of type &lt;class 'str'&gt;</t>
        </is>
      </c>
      <c r="N1056" t="inlineStr">
        <is>
          <t>00000000</t>
        </is>
      </c>
      <c r="O1056" t="inlineStr">
        <is>
          <t>center</t>
        </is>
      </c>
      <c r="P1056" t="inlineStr">
        <is>
          <t>center</t>
        </is>
      </c>
      <c r="R1056" t="b">
        <v>1</v>
      </c>
      <c r="S1056" t="inlineStr">
        <is>
          <t>G000002</t>
        </is>
      </c>
      <c r="T1056" t="inlineStr">
        <is>
          <t>Vertical</t>
        </is>
      </c>
      <c r="U1056" t="n">
        <v>120</v>
      </c>
      <c r="V1056" t="b">
        <v>1</v>
      </c>
      <c r="W1056" t="inlineStr">
        <is>
          <t>Loan calculator!C17:C136</t>
        </is>
      </c>
      <c r="X1056">
        <f>IFERROR(IF(LoanIsNotPaid*LoanIsGood,PaymentDate,LoanStartDate), LoanStartDate)</f>
        <v/>
      </c>
    </row>
    <row r="1057">
      <c r="A1057" t="inlineStr">
        <is>
          <t>Loan calculator</t>
        </is>
      </c>
      <c r="B1057" t="inlineStr">
        <is>
          <t>D113</t>
        </is>
      </c>
      <c r="C1057" t="n">
        <v>113</v>
      </c>
      <c r="D1057" t="n">
        <v>4</v>
      </c>
      <c r="E1057" t="inlineStr">
        <is>
          <t>Output</t>
        </is>
      </c>
      <c r="F1057" t="inlineStr">
        <is>
          <t>'=IFERROR(IF(LoanIsNotPaid*LoanIsGood,LoanValue,""), "")</t>
        </is>
      </c>
      <c r="G1057" t="n">
        <v>2461.155755825044</v>
      </c>
      <c r="H1057" t="inlineStr"/>
      <c r="I1057" t="inlineStr">
        <is>
          <t>"$"#,##0.00</t>
        </is>
      </c>
      <c r="J1057" t="b">
        <v>0</v>
      </c>
      <c r="K1057" t="b">
        <v>0</v>
      </c>
      <c r="L1057" t="n">
        <v>9</v>
      </c>
      <c r="M1057" t="inlineStr">
        <is>
          <t>Values must be of type &lt;class 'str'&gt;</t>
        </is>
      </c>
      <c r="N1057" t="inlineStr">
        <is>
          <t>00000000</t>
        </is>
      </c>
      <c r="O1057" t="inlineStr">
        <is>
          <t>center</t>
        </is>
      </c>
      <c r="P1057" t="inlineStr">
        <is>
          <t>center</t>
        </is>
      </c>
      <c r="R1057" t="b">
        <v>1</v>
      </c>
      <c r="S1057" t="inlineStr">
        <is>
          <t>G000003</t>
        </is>
      </c>
      <c r="T1057" t="inlineStr">
        <is>
          <t>Vertical</t>
        </is>
      </c>
      <c r="U1057" t="n">
        <v>120</v>
      </c>
      <c r="V1057" t="b">
        <v>1</v>
      </c>
      <c r="W1057" t="inlineStr">
        <is>
          <t>Loan calculator!D17:D136</t>
        </is>
      </c>
      <c r="X1057">
        <f>IFERROR(IF(LoanIsNotPaid*LoanIsGood,LoanValue,""), "")</f>
        <v/>
      </c>
    </row>
    <row r="1058">
      <c r="A1058" t="inlineStr">
        <is>
          <t>Loan calculator</t>
        </is>
      </c>
      <c r="B1058" t="inlineStr">
        <is>
          <t>E113</t>
        </is>
      </c>
      <c r="C1058" t="n">
        <v>113</v>
      </c>
      <c r="D1058" t="n">
        <v>5</v>
      </c>
      <c r="E1058" t="inlineStr">
        <is>
          <t>Output</t>
        </is>
      </c>
      <c r="F1058" t="inlineStr">
        <is>
          <t>'=IFERROR(IF(LoanIsNotPaid*LoanIsGood,MonthlyPayment,0), 0)</t>
        </is>
      </c>
      <c r="G1058" t="n">
        <v>108.5262779604807</v>
      </c>
      <c r="H1058" t="inlineStr"/>
      <c r="I1058" t="inlineStr">
        <is>
          <t>"$"#,##0.00</t>
        </is>
      </c>
      <c r="J1058" t="b">
        <v>0</v>
      </c>
      <c r="K1058" t="b">
        <v>0</v>
      </c>
      <c r="L1058" t="n">
        <v>9</v>
      </c>
      <c r="M1058" t="inlineStr">
        <is>
          <t>Values must be of type &lt;class 'str'&gt;</t>
        </is>
      </c>
      <c r="N1058" t="inlineStr">
        <is>
          <t>00000000</t>
        </is>
      </c>
      <c r="O1058" t="inlineStr">
        <is>
          <t>center</t>
        </is>
      </c>
      <c r="P1058" t="inlineStr">
        <is>
          <t>center</t>
        </is>
      </c>
      <c r="R1058" t="b">
        <v>1</v>
      </c>
      <c r="S1058" t="inlineStr">
        <is>
          <t>G000004</t>
        </is>
      </c>
      <c r="T1058" t="inlineStr">
        <is>
          <t>Vertical</t>
        </is>
      </c>
      <c r="U1058" t="n">
        <v>120</v>
      </c>
      <c r="V1058" t="b">
        <v>1</v>
      </c>
      <c r="W1058" t="inlineStr">
        <is>
          <t>Loan calculator!E17:E136</t>
        </is>
      </c>
      <c r="X1058">
        <f>IFERROR(IF(LoanIsNotPaid*LoanIsGood,MonthlyPayment,0), 0)</f>
        <v/>
      </c>
    </row>
    <row r="1059">
      <c r="A1059" t="inlineStr">
        <is>
          <t>Loan calculator</t>
        </is>
      </c>
      <c r="B1059" t="inlineStr">
        <is>
          <t>F113</t>
        </is>
      </c>
      <c r="C1059" t="n">
        <v>113</v>
      </c>
      <c r="D1059" t="n">
        <v>6</v>
      </c>
      <c r="E1059" t="inlineStr">
        <is>
          <t>Output</t>
        </is>
      </c>
      <c r="F1059" t="inlineStr">
        <is>
          <t>'=IFERROR(IF(LoanIsNotPaid*LoanIsGood,Principal,0), 0)</t>
        </is>
      </c>
      <c r="G1059" t="n">
        <v>97.24598074628253</v>
      </c>
      <c r="H1059" t="inlineStr"/>
      <c r="I1059" t="inlineStr">
        <is>
          <t>"$"#,##0.00</t>
        </is>
      </c>
      <c r="J1059" t="b">
        <v>0</v>
      </c>
      <c r="K1059" t="b">
        <v>0</v>
      </c>
      <c r="L1059" t="n">
        <v>9</v>
      </c>
      <c r="M1059" t="inlineStr">
        <is>
          <t>Values must be of type &lt;class 'str'&gt;</t>
        </is>
      </c>
      <c r="N1059" t="inlineStr">
        <is>
          <t>00000000</t>
        </is>
      </c>
      <c r="O1059" t="inlineStr">
        <is>
          <t>center</t>
        </is>
      </c>
      <c r="P1059" t="inlineStr">
        <is>
          <t>center</t>
        </is>
      </c>
      <c r="R1059" t="b">
        <v>1</v>
      </c>
      <c r="S1059" t="inlineStr">
        <is>
          <t>G000005</t>
        </is>
      </c>
      <c r="T1059" t="inlineStr">
        <is>
          <t>Vertical</t>
        </is>
      </c>
      <c r="U1059" t="n">
        <v>120</v>
      </c>
      <c r="V1059" t="b">
        <v>1</v>
      </c>
      <c r="W1059" t="inlineStr">
        <is>
          <t>Loan calculator!F17:F136</t>
        </is>
      </c>
      <c r="X1059">
        <f>IFERROR(IF(LoanIsNotPaid*LoanIsGood,Principal,0), 0)</f>
        <v/>
      </c>
    </row>
    <row r="1060">
      <c r="A1060" t="inlineStr">
        <is>
          <t>Loan calculator</t>
        </is>
      </c>
      <c r="B1060" t="inlineStr">
        <is>
          <t>G113</t>
        </is>
      </c>
      <c r="C1060" t="n">
        <v>113</v>
      </c>
      <c r="D1060" t="n">
        <v>7</v>
      </c>
      <c r="E1060" t="inlineStr">
        <is>
          <t>Output</t>
        </is>
      </c>
      <c r="F1060" t="inlineStr">
        <is>
          <t>'=IFERROR(IF(LoanIsNotPaid*LoanIsGood,InterestAmt,0), 0)</t>
        </is>
      </c>
      <c r="G1060" t="n">
        <v>11.2802972141982</v>
      </c>
      <c r="H1060" t="inlineStr"/>
      <c r="I1060" t="inlineStr">
        <is>
          <t>"$"#,##0.00</t>
        </is>
      </c>
      <c r="J1060" t="b">
        <v>0</v>
      </c>
      <c r="K1060" t="b">
        <v>0</v>
      </c>
      <c r="L1060" t="n">
        <v>9</v>
      </c>
      <c r="M1060" t="inlineStr">
        <is>
          <t>Values must be of type &lt;class 'str'&gt;</t>
        </is>
      </c>
      <c r="N1060" t="inlineStr">
        <is>
          <t>00000000</t>
        </is>
      </c>
      <c r="O1060" t="inlineStr">
        <is>
          <t>center</t>
        </is>
      </c>
      <c r="P1060" t="inlineStr">
        <is>
          <t>center</t>
        </is>
      </c>
      <c r="R1060" t="b">
        <v>1</v>
      </c>
      <c r="S1060" t="inlineStr">
        <is>
          <t>G000006</t>
        </is>
      </c>
      <c r="T1060" t="inlineStr">
        <is>
          <t>Vertical</t>
        </is>
      </c>
      <c r="U1060" t="n">
        <v>120</v>
      </c>
      <c r="V1060" t="b">
        <v>1</v>
      </c>
      <c r="W1060" t="inlineStr">
        <is>
          <t>Loan calculator!G17:G136</t>
        </is>
      </c>
      <c r="X1060">
        <f>IFERROR(IF(LoanIsNotPaid*LoanIsGood,InterestAmt,0), 0)</f>
        <v/>
      </c>
    </row>
    <row r="1061">
      <c r="A1061" t="inlineStr">
        <is>
          <t>Loan calculator</t>
        </is>
      </c>
      <c r="B1061" t="inlineStr">
        <is>
          <t>H113</t>
        </is>
      </c>
      <c r="C1061" t="n">
        <v>113</v>
      </c>
      <c r="D1061" t="n">
        <v>8</v>
      </c>
      <c r="E1061" t="inlineStr">
        <is>
          <t>Output</t>
        </is>
      </c>
      <c r="F1061" t="inlineStr">
        <is>
          <t>'=IFERROR(IF(LoanIsNotPaid*LoanIsGood,EndingBalance,0), 0)</t>
        </is>
      </c>
      <c r="G1061" t="n">
        <v>2363.909775078761</v>
      </c>
      <c r="H1061" t="inlineStr"/>
      <c r="I1061" t="inlineStr">
        <is>
          <t>"$"#,##0.00</t>
        </is>
      </c>
      <c r="J1061" t="b">
        <v>0</v>
      </c>
      <c r="K1061" t="b">
        <v>0</v>
      </c>
      <c r="L1061" t="n">
        <v>9</v>
      </c>
      <c r="M1061" t="inlineStr">
        <is>
          <t>Values must be of type &lt;class 'str'&gt;</t>
        </is>
      </c>
      <c r="N1061" t="inlineStr">
        <is>
          <t>00000000</t>
        </is>
      </c>
      <c r="O1061" t="inlineStr">
        <is>
          <t>center</t>
        </is>
      </c>
      <c r="P1061" t="inlineStr">
        <is>
          <t>center</t>
        </is>
      </c>
      <c r="R1061" t="b">
        <v>1</v>
      </c>
      <c r="S1061" t="inlineStr">
        <is>
          <t>G000007</t>
        </is>
      </c>
      <c r="T1061" t="inlineStr">
        <is>
          <t>Vertical</t>
        </is>
      </c>
      <c r="U1061" t="n">
        <v>120</v>
      </c>
      <c r="V1061" t="b">
        <v>1</v>
      </c>
      <c r="W1061" t="inlineStr">
        <is>
          <t>Loan calculator!H17:H136</t>
        </is>
      </c>
      <c r="X1061">
        <f>IFERROR(IF(LoanIsNotPaid*LoanIsGood,EndingBalance,0), 0)</f>
        <v/>
      </c>
    </row>
    <row r="1062">
      <c r="A1062" t="inlineStr">
        <is>
          <t>Loan calculator</t>
        </is>
      </c>
      <c r="B1062" t="inlineStr">
        <is>
          <t>I113</t>
        </is>
      </c>
      <c r="C1062" t="n">
        <v>113</v>
      </c>
      <c r="D1062" t="n">
        <v>9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11</v>
      </c>
      <c r="M1062" t="inlineStr">
        <is>
          <t>Values must be of type &lt;class 'str'&gt;</t>
        </is>
      </c>
      <c r="N1062" t="inlineStr">
        <is>
          <t>Values must be of type &lt;class 'str'&gt;</t>
        </is>
      </c>
      <c r="O1062" t="n">
        <v/>
      </c>
      <c r="P1062" t="inlineStr">
        <is>
          <t>center</t>
        </is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</row>
    <row r="1063">
      <c r="A1063" t="inlineStr">
        <is>
          <t>Loan calculator</t>
        </is>
      </c>
      <c r="B1063" t="inlineStr">
        <is>
          <t>A114</t>
        </is>
      </c>
      <c r="C1063" t="n">
        <v>114</v>
      </c>
      <c r="D1063" t="n">
        <v>1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11</v>
      </c>
      <c r="M1063" t="inlineStr">
        <is>
          <t>Values must be of type &lt;class 'str'&gt;</t>
        </is>
      </c>
      <c r="N1063" t="inlineStr">
        <is>
          <t>Values must be of type &lt;class 'str'&gt;</t>
        </is>
      </c>
      <c r="O1063" t="n">
        <v/>
      </c>
      <c r="P1063" t="inlineStr">
        <is>
          <t>center</t>
        </is>
      </c>
      <c r="R1063" t="b">
        <v>0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</row>
    <row r="1064">
      <c r="A1064" t="inlineStr">
        <is>
          <t>Loan calculator</t>
        </is>
      </c>
      <c r="B1064" t="inlineStr">
        <is>
          <t>B114</t>
        </is>
      </c>
      <c r="C1064" t="n">
        <v>114</v>
      </c>
      <c r="D1064" t="n">
        <v>2</v>
      </c>
      <c r="E1064" t="inlineStr">
        <is>
          <t>Output</t>
        </is>
      </c>
      <c r="F1064" t="inlineStr">
        <is>
          <t>'=IFERROR(IF(LoanIsNotPaid*LoanIsGood,PaymentNumber,""), "")</t>
        </is>
      </c>
      <c r="G1064" t="n">
        <v>98</v>
      </c>
      <c r="H1064" t="inlineStr"/>
      <c r="I1064" t="inlineStr">
        <is>
          <t>#,##0</t>
        </is>
      </c>
      <c r="J1064" t="b">
        <v>0</v>
      </c>
      <c r="K1064" t="b">
        <v>0</v>
      </c>
      <c r="L1064" t="n">
        <v>9</v>
      </c>
      <c r="M1064" t="inlineStr">
        <is>
          <t>Values must be of type &lt;class 'str'&gt;</t>
        </is>
      </c>
      <c r="N1064" t="inlineStr">
        <is>
          <t>00000000</t>
        </is>
      </c>
      <c r="O1064" t="inlineStr">
        <is>
          <t>center</t>
        </is>
      </c>
      <c r="P1064" t="inlineStr">
        <is>
          <t>center</t>
        </is>
      </c>
      <c r="R1064" t="b">
        <v>1</v>
      </c>
      <c r="S1064" t="inlineStr">
        <is>
          <t>G000001</t>
        </is>
      </c>
      <c r="T1064" t="inlineStr">
        <is>
          <t>Vertical</t>
        </is>
      </c>
      <c r="U1064" t="n">
        <v>120</v>
      </c>
      <c r="V1064" t="b">
        <v>1</v>
      </c>
      <c r="W1064" t="inlineStr">
        <is>
          <t>Loan calculator!B17:B136</t>
        </is>
      </c>
      <c r="X1064">
        <f>IFERROR(IF(LoanIsNotPaid*LoanIsGood,PaymentNumber,""), "")</f>
        <v/>
      </c>
    </row>
    <row r="1065">
      <c r="A1065" t="inlineStr">
        <is>
          <t>Loan calculator</t>
        </is>
      </c>
      <c r="B1065" t="inlineStr">
        <is>
          <t>C114</t>
        </is>
      </c>
      <c r="C1065" t="n">
        <v>114</v>
      </c>
      <c r="D1065" t="n">
        <v>3</v>
      </c>
      <c r="E1065" t="inlineStr">
        <is>
          <t>Output</t>
        </is>
      </c>
      <c r="F1065" t="inlineStr">
        <is>
          <t>'=IFERROR(IF(LoanIsNotPaid*LoanIsGood,PaymentDate,LoanStartDate), LoanStartDate)</t>
        </is>
      </c>
      <c r="G1065" s="1" t="n">
        <v>49069</v>
      </c>
      <c r="H1065" t="inlineStr"/>
      <c r="I1065" t="inlineStr">
        <is>
          <t>mm-dd-yy</t>
        </is>
      </c>
      <c r="J1065" t="b">
        <v>0</v>
      </c>
      <c r="K1065" t="b">
        <v>0</v>
      </c>
      <c r="L1065" t="n">
        <v>9</v>
      </c>
      <c r="M1065" t="inlineStr">
        <is>
          <t>Values must be of type &lt;class 'str'&gt;</t>
        </is>
      </c>
      <c r="N1065" t="inlineStr">
        <is>
          <t>00000000</t>
        </is>
      </c>
      <c r="O1065" t="inlineStr">
        <is>
          <t>center</t>
        </is>
      </c>
      <c r="P1065" t="inlineStr">
        <is>
          <t>center</t>
        </is>
      </c>
      <c r="R1065" t="b">
        <v>1</v>
      </c>
      <c r="S1065" t="inlineStr">
        <is>
          <t>G000002</t>
        </is>
      </c>
      <c r="T1065" t="inlineStr">
        <is>
          <t>Vertical</t>
        </is>
      </c>
      <c r="U1065" t="n">
        <v>120</v>
      </c>
      <c r="V1065" t="b">
        <v>1</v>
      </c>
      <c r="W1065" t="inlineStr">
        <is>
          <t>Loan calculator!C17:C136</t>
        </is>
      </c>
      <c r="X1065">
        <f>IFERROR(IF(LoanIsNotPaid*LoanIsGood,PaymentDate,LoanStartDate), LoanStartDate)</f>
        <v/>
      </c>
    </row>
    <row r="1066">
      <c r="A1066" t="inlineStr">
        <is>
          <t>Loan calculator</t>
        </is>
      </c>
      <c r="B1066" t="inlineStr">
        <is>
          <t>D114</t>
        </is>
      </c>
      <c r="C1066" t="n">
        <v>114</v>
      </c>
      <c r="D1066" t="n">
        <v>4</v>
      </c>
      <c r="E1066" t="inlineStr">
        <is>
          <t>Output</t>
        </is>
      </c>
      <c r="F1066" t="inlineStr">
        <is>
          <t>'=IFERROR(IF(LoanIsNotPaid*LoanIsGood,LoanValue,""), "")</t>
        </is>
      </c>
      <c r="G1066" t="n">
        <v>2363.909775078761</v>
      </c>
      <c r="H1066" t="inlineStr"/>
      <c r="I1066" t="inlineStr">
        <is>
          <t>"$"#,##0.00</t>
        </is>
      </c>
      <c r="J1066" t="b">
        <v>0</v>
      </c>
      <c r="K1066" t="b">
        <v>0</v>
      </c>
      <c r="L1066" t="n">
        <v>9</v>
      </c>
      <c r="M1066" t="inlineStr">
        <is>
          <t>Values must be of type &lt;class 'str'&gt;</t>
        </is>
      </c>
      <c r="N1066" t="inlineStr">
        <is>
          <t>00000000</t>
        </is>
      </c>
      <c r="O1066" t="inlineStr">
        <is>
          <t>center</t>
        </is>
      </c>
      <c r="P1066" t="inlineStr">
        <is>
          <t>center</t>
        </is>
      </c>
      <c r="R1066" t="b">
        <v>1</v>
      </c>
      <c r="S1066" t="inlineStr">
        <is>
          <t>G000003</t>
        </is>
      </c>
      <c r="T1066" t="inlineStr">
        <is>
          <t>Vertical</t>
        </is>
      </c>
      <c r="U1066" t="n">
        <v>120</v>
      </c>
      <c r="V1066" t="b">
        <v>1</v>
      </c>
      <c r="W1066" t="inlineStr">
        <is>
          <t>Loan calculator!D17:D136</t>
        </is>
      </c>
      <c r="X1066">
        <f>IFERROR(IF(LoanIsNotPaid*LoanIsGood,LoanValue,""), "")</f>
        <v/>
      </c>
    </row>
    <row r="1067">
      <c r="A1067" t="inlineStr">
        <is>
          <t>Loan calculator</t>
        </is>
      </c>
      <c r="B1067" t="inlineStr">
        <is>
          <t>E114</t>
        </is>
      </c>
      <c r="C1067" t="n">
        <v>114</v>
      </c>
      <c r="D1067" t="n">
        <v>5</v>
      </c>
      <c r="E1067" t="inlineStr">
        <is>
          <t>Output</t>
        </is>
      </c>
      <c r="F1067" t="inlineStr">
        <is>
          <t>'=IFERROR(IF(LoanIsNotPaid*LoanIsGood,MonthlyPayment,0), 0)</t>
        </is>
      </c>
      <c r="G1067" t="n">
        <v>108.5262779604807</v>
      </c>
      <c r="H1067" t="inlineStr"/>
      <c r="I1067" t="inlineStr">
        <is>
          <t>"$"#,##0.00</t>
        </is>
      </c>
      <c r="J1067" t="b">
        <v>0</v>
      </c>
      <c r="K1067" t="b">
        <v>0</v>
      </c>
      <c r="L1067" t="n">
        <v>9</v>
      </c>
      <c r="M1067" t="inlineStr">
        <is>
          <t>Values must be of type &lt;class 'str'&gt;</t>
        </is>
      </c>
      <c r="N1067" t="inlineStr">
        <is>
          <t>00000000</t>
        </is>
      </c>
      <c r="O1067" t="inlineStr">
        <is>
          <t>center</t>
        </is>
      </c>
      <c r="P1067" t="inlineStr">
        <is>
          <t>center</t>
        </is>
      </c>
      <c r="R1067" t="b">
        <v>1</v>
      </c>
      <c r="S1067" t="inlineStr">
        <is>
          <t>G000004</t>
        </is>
      </c>
      <c r="T1067" t="inlineStr">
        <is>
          <t>Vertical</t>
        </is>
      </c>
      <c r="U1067" t="n">
        <v>120</v>
      </c>
      <c r="V1067" t="b">
        <v>1</v>
      </c>
      <c r="W1067" t="inlineStr">
        <is>
          <t>Loan calculator!E17:E136</t>
        </is>
      </c>
      <c r="X1067">
        <f>IFERROR(IF(LoanIsNotPaid*LoanIsGood,MonthlyPayment,0), 0)</f>
        <v/>
      </c>
    </row>
    <row r="1068">
      <c r="A1068" t="inlineStr">
        <is>
          <t>Loan calculator</t>
        </is>
      </c>
      <c r="B1068" t="inlineStr">
        <is>
          <t>F114</t>
        </is>
      </c>
      <c r="C1068" t="n">
        <v>114</v>
      </c>
      <c r="D1068" t="n">
        <v>6</v>
      </c>
      <c r="E1068" t="inlineStr">
        <is>
          <t>Output</t>
        </is>
      </c>
      <c r="F1068" t="inlineStr">
        <is>
          <t>'=IFERROR(IF(LoanIsNotPaid*LoanIsGood,Principal,0), 0)</t>
        </is>
      </c>
      <c r="G1068" t="n">
        <v>97.69169149136965</v>
      </c>
      <c r="H1068" t="inlineStr"/>
      <c r="I1068" t="inlineStr">
        <is>
          <t>"$"#,##0.00</t>
        </is>
      </c>
      <c r="J1068" t="b">
        <v>0</v>
      </c>
      <c r="K1068" t="b">
        <v>0</v>
      </c>
      <c r="L1068" t="n">
        <v>9</v>
      </c>
      <c r="M1068" t="inlineStr">
        <is>
          <t>Values must be of type &lt;class 'str'&gt;</t>
        </is>
      </c>
      <c r="N1068" t="inlineStr">
        <is>
          <t>00000000</t>
        </is>
      </c>
      <c r="O1068" t="inlineStr">
        <is>
          <t>center</t>
        </is>
      </c>
      <c r="P1068" t="inlineStr">
        <is>
          <t>center</t>
        </is>
      </c>
      <c r="R1068" t="b">
        <v>1</v>
      </c>
      <c r="S1068" t="inlineStr">
        <is>
          <t>G000005</t>
        </is>
      </c>
      <c r="T1068" t="inlineStr">
        <is>
          <t>Vertical</t>
        </is>
      </c>
      <c r="U1068" t="n">
        <v>120</v>
      </c>
      <c r="V1068" t="b">
        <v>1</v>
      </c>
      <c r="W1068" t="inlineStr">
        <is>
          <t>Loan calculator!F17:F136</t>
        </is>
      </c>
      <c r="X1068">
        <f>IFERROR(IF(LoanIsNotPaid*LoanIsGood,Principal,0), 0)</f>
        <v/>
      </c>
    </row>
    <row r="1069">
      <c r="A1069" t="inlineStr">
        <is>
          <t>Loan calculator</t>
        </is>
      </c>
      <c r="B1069" t="inlineStr">
        <is>
          <t>G114</t>
        </is>
      </c>
      <c r="C1069" t="n">
        <v>114</v>
      </c>
      <c r="D1069" t="n">
        <v>7</v>
      </c>
      <c r="E1069" t="inlineStr">
        <is>
          <t>Output</t>
        </is>
      </c>
      <c r="F1069" t="inlineStr">
        <is>
          <t>'=IFERROR(IF(LoanIsNotPaid*LoanIsGood,InterestAmt,0), 0)</t>
        </is>
      </c>
      <c r="G1069" t="n">
        <v>10.83458646911107</v>
      </c>
      <c r="H1069" t="inlineStr"/>
      <c r="I1069" t="inlineStr">
        <is>
          <t>"$"#,##0.00</t>
        </is>
      </c>
      <c r="J1069" t="b">
        <v>0</v>
      </c>
      <c r="K1069" t="b">
        <v>0</v>
      </c>
      <c r="L1069" t="n">
        <v>9</v>
      </c>
      <c r="M1069" t="inlineStr">
        <is>
          <t>Values must be of type &lt;class 'str'&gt;</t>
        </is>
      </c>
      <c r="N1069" t="inlineStr">
        <is>
          <t>00000000</t>
        </is>
      </c>
      <c r="O1069" t="inlineStr">
        <is>
          <t>center</t>
        </is>
      </c>
      <c r="P1069" t="inlineStr">
        <is>
          <t>center</t>
        </is>
      </c>
      <c r="R1069" t="b">
        <v>1</v>
      </c>
      <c r="S1069" t="inlineStr">
        <is>
          <t>G000006</t>
        </is>
      </c>
      <c r="T1069" t="inlineStr">
        <is>
          <t>Vertical</t>
        </is>
      </c>
      <c r="U1069" t="n">
        <v>120</v>
      </c>
      <c r="V1069" t="b">
        <v>1</v>
      </c>
      <c r="W1069" t="inlineStr">
        <is>
          <t>Loan calculator!G17:G136</t>
        </is>
      </c>
      <c r="X1069">
        <f>IFERROR(IF(LoanIsNotPaid*LoanIsGood,InterestAmt,0), 0)</f>
        <v/>
      </c>
    </row>
    <row r="1070">
      <c r="A1070" t="inlineStr">
        <is>
          <t>Loan calculator</t>
        </is>
      </c>
      <c r="B1070" t="inlineStr">
        <is>
          <t>H114</t>
        </is>
      </c>
      <c r="C1070" t="n">
        <v>114</v>
      </c>
      <c r="D1070" t="n">
        <v>8</v>
      </c>
      <c r="E1070" t="inlineStr">
        <is>
          <t>Output</t>
        </is>
      </c>
      <c r="F1070" t="inlineStr">
        <is>
          <t>'=IFERROR(IF(LoanIsNotPaid*LoanIsGood,EndingBalance,0), 0)</t>
        </is>
      </c>
      <c r="G1070" t="n">
        <v>2266.21808358739</v>
      </c>
      <c r="H1070" t="inlineStr"/>
      <c r="I1070" t="inlineStr">
        <is>
          <t>"$"#,##0.00</t>
        </is>
      </c>
      <c r="J1070" t="b">
        <v>0</v>
      </c>
      <c r="K1070" t="b">
        <v>0</v>
      </c>
      <c r="L1070" t="n">
        <v>9</v>
      </c>
      <c r="M1070" t="inlineStr">
        <is>
          <t>Values must be of type &lt;class 'str'&gt;</t>
        </is>
      </c>
      <c r="N1070" t="inlineStr">
        <is>
          <t>00000000</t>
        </is>
      </c>
      <c r="O1070" t="inlineStr">
        <is>
          <t>center</t>
        </is>
      </c>
      <c r="P1070" t="inlineStr">
        <is>
          <t>center</t>
        </is>
      </c>
      <c r="R1070" t="b">
        <v>1</v>
      </c>
      <c r="S1070" t="inlineStr">
        <is>
          <t>G000007</t>
        </is>
      </c>
      <c r="T1070" t="inlineStr">
        <is>
          <t>Vertical</t>
        </is>
      </c>
      <c r="U1070" t="n">
        <v>120</v>
      </c>
      <c r="V1070" t="b">
        <v>1</v>
      </c>
      <c r="W1070" t="inlineStr">
        <is>
          <t>Loan calculator!H17:H136</t>
        </is>
      </c>
      <c r="X1070">
        <f>IFERROR(IF(LoanIsNotPaid*LoanIsGood,EndingBalance,0), 0)</f>
        <v/>
      </c>
    </row>
    <row r="1071">
      <c r="A1071" t="inlineStr">
        <is>
          <t>Loan calculator</t>
        </is>
      </c>
      <c r="B1071" t="inlineStr">
        <is>
          <t>I114</t>
        </is>
      </c>
      <c r="C1071" t="n">
        <v>114</v>
      </c>
      <c r="D1071" t="n">
        <v>9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11</v>
      </c>
      <c r="M1071" t="inlineStr">
        <is>
          <t>Values must be of type &lt;class 'str'&gt;</t>
        </is>
      </c>
      <c r="N1071" t="inlineStr">
        <is>
          <t>Values must be of type &lt;class 'str'&gt;</t>
        </is>
      </c>
      <c r="O1071" t="n">
        <v/>
      </c>
      <c r="P1071" t="inlineStr">
        <is>
          <t>center</t>
        </is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</row>
    <row r="1072">
      <c r="A1072" t="inlineStr">
        <is>
          <t>Loan calculator</t>
        </is>
      </c>
      <c r="B1072" t="inlineStr">
        <is>
          <t>A115</t>
        </is>
      </c>
      <c r="C1072" t="n">
        <v>115</v>
      </c>
      <c r="D1072" t="n">
        <v>1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11</v>
      </c>
      <c r="M1072" t="inlineStr">
        <is>
          <t>Values must be of type &lt;class 'str'&gt;</t>
        </is>
      </c>
      <c r="N1072" t="inlineStr">
        <is>
          <t>Values must be of type &lt;class 'str'&gt;</t>
        </is>
      </c>
      <c r="O1072" t="n">
        <v/>
      </c>
      <c r="P1072" t="inlineStr">
        <is>
          <t>center</t>
        </is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</row>
    <row r="1073">
      <c r="A1073" t="inlineStr">
        <is>
          <t>Loan calculator</t>
        </is>
      </c>
      <c r="B1073" t="inlineStr">
        <is>
          <t>B115</t>
        </is>
      </c>
      <c r="C1073" t="n">
        <v>115</v>
      </c>
      <c r="D1073" t="n">
        <v>2</v>
      </c>
      <c r="E1073" t="inlineStr">
        <is>
          <t>Output</t>
        </is>
      </c>
      <c r="F1073" t="inlineStr">
        <is>
          <t>'=IFERROR(IF(LoanIsNotPaid*LoanIsGood,PaymentNumber,""), "")</t>
        </is>
      </c>
      <c r="G1073" t="n">
        <v>99</v>
      </c>
      <c r="H1073" t="inlineStr"/>
      <c r="I1073" t="inlineStr">
        <is>
          <t>#,##0</t>
        </is>
      </c>
      <c r="J1073" t="b">
        <v>0</v>
      </c>
      <c r="K1073" t="b">
        <v>0</v>
      </c>
      <c r="L1073" t="n">
        <v>9</v>
      </c>
      <c r="M1073" t="inlineStr">
        <is>
          <t>Values must be of type &lt;class 'str'&gt;</t>
        </is>
      </c>
      <c r="N1073" t="inlineStr">
        <is>
          <t>00000000</t>
        </is>
      </c>
      <c r="O1073" t="inlineStr">
        <is>
          <t>center</t>
        </is>
      </c>
      <c r="P1073" t="inlineStr">
        <is>
          <t>center</t>
        </is>
      </c>
      <c r="R1073" t="b">
        <v>1</v>
      </c>
      <c r="S1073" t="inlineStr">
        <is>
          <t>G000001</t>
        </is>
      </c>
      <c r="T1073" t="inlineStr">
        <is>
          <t>Vertical</t>
        </is>
      </c>
      <c r="U1073" t="n">
        <v>120</v>
      </c>
      <c r="V1073" t="b">
        <v>1</v>
      </c>
      <c r="W1073" t="inlineStr">
        <is>
          <t>Loan calculator!B17:B136</t>
        </is>
      </c>
      <c r="X1073">
        <f>IFERROR(IF(LoanIsNotPaid*LoanIsGood,PaymentNumber,""), "")</f>
        <v/>
      </c>
    </row>
    <row r="1074">
      <c r="A1074" t="inlineStr">
        <is>
          <t>Loan calculator</t>
        </is>
      </c>
      <c r="B1074" t="inlineStr">
        <is>
          <t>C115</t>
        </is>
      </c>
      <c r="C1074" t="n">
        <v>115</v>
      </c>
      <c r="D1074" t="n">
        <v>3</v>
      </c>
      <c r="E1074" t="inlineStr">
        <is>
          <t>Output</t>
        </is>
      </c>
      <c r="F1074" t="inlineStr">
        <is>
          <t>'=IFERROR(IF(LoanIsNotPaid*LoanIsGood,PaymentDate,LoanStartDate), LoanStartDate)</t>
        </is>
      </c>
      <c r="G1074" s="1" t="n">
        <v>49100</v>
      </c>
      <c r="H1074" t="inlineStr"/>
      <c r="I1074" t="inlineStr">
        <is>
          <t>mm-dd-yy</t>
        </is>
      </c>
      <c r="J1074" t="b">
        <v>0</v>
      </c>
      <c r="K1074" t="b">
        <v>0</v>
      </c>
      <c r="L1074" t="n">
        <v>9</v>
      </c>
      <c r="M1074" t="inlineStr">
        <is>
          <t>Values must be of type &lt;class 'str'&gt;</t>
        </is>
      </c>
      <c r="N1074" t="inlineStr">
        <is>
          <t>00000000</t>
        </is>
      </c>
      <c r="O1074" t="inlineStr">
        <is>
          <t>center</t>
        </is>
      </c>
      <c r="P1074" t="inlineStr">
        <is>
          <t>center</t>
        </is>
      </c>
      <c r="R1074" t="b">
        <v>1</v>
      </c>
      <c r="S1074" t="inlineStr">
        <is>
          <t>G000002</t>
        </is>
      </c>
      <c r="T1074" t="inlineStr">
        <is>
          <t>Vertical</t>
        </is>
      </c>
      <c r="U1074" t="n">
        <v>120</v>
      </c>
      <c r="V1074" t="b">
        <v>1</v>
      </c>
      <c r="W1074" t="inlineStr">
        <is>
          <t>Loan calculator!C17:C136</t>
        </is>
      </c>
      <c r="X1074">
        <f>IFERROR(IF(LoanIsNotPaid*LoanIsGood,PaymentDate,LoanStartDate), LoanStartDate)</f>
        <v/>
      </c>
    </row>
    <row r="1075">
      <c r="A1075" t="inlineStr">
        <is>
          <t>Loan calculator</t>
        </is>
      </c>
      <c r="B1075" t="inlineStr">
        <is>
          <t>D115</t>
        </is>
      </c>
      <c r="C1075" t="n">
        <v>115</v>
      </c>
      <c r="D1075" t="n">
        <v>4</v>
      </c>
      <c r="E1075" t="inlineStr">
        <is>
          <t>Output</t>
        </is>
      </c>
      <c r="F1075" t="inlineStr">
        <is>
          <t>'=IFERROR(IF(LoanIsNotPaid*LoanIsGood,LoanValue,""), "")</t>
        </is>
      </c>
      <c r="G1075" t="n">
        <v>2266.21808358739</v>
      </c>
      <c r="H1075" t="inlineStr"/>
      <c r="I1075" t="inlineStr">
        <is>
          <t>"$"#,##0.00</t>
        </is>
      </c>
      <c r="J1075" t="b">
        <v>0</v>
      </c>
      <c r="K1075" t="b">
        <v>0</v>
      </c>
      <c r="L1075" t="n">
        <v>9</v>
      </c>
      <c r="M1075" t="inlineStr">
        <is>
          <t>Values must be of type &lt;class 'str'&gt;</t>
        </is>
      </c>
      <c r="N1075" t="inlineStr">
        <is>
          <t>00000000</t>
        </is>
      </c>
      <c r="O1075" t="inlineStr">
        <is>
          <t>center</t>
        </is>
      </c>
      <c r="P1075" t="inlineStr">
        <is>
          <t>center</t>
        </is>
      </c>
      <c r="R1075" t="b">
        <v>1</v>
      </c>
      <c r="S1075" t="inlineStr">
        <is>
          <t>G000003</t>
        </is>
      </c>
      <c r="T1075" t="inlineStr">
        <is>
          <t>Vertical</t>
        </is>
      </c>
      <c r="U1075" t="n">
        <v>120</v>
      </c>
      <c r="V1075" t="b">
        <v>1</v>
      </c>
      <c r="W1075" t="inlineStr">
        <is>
          <t>Loan calculator!D17:D136</t>
        </is>
      </c>
      <c r="X1075">
        <f>IFERROR(IF(LoanIsNotPaid*LoanIsGood,LoanValue,""), "")</f>
        <v/>
      </c>
    </row>
    <row r="1076">
      <c r="A1076" t="inlineStr">
        <is>
          <t>Loan calculator</t>
        </is>
      </c>
      <c r="B1076" t="inlineStr">
        <is>
          <t>E115</t>
        </is>
      </c>
      <c r="C1076" t="n">
        <v>115</v>
      </c>
      <c r="D1076" t="n">
        <v>5</v>
      </c>
      <c r="E1076" t="inlineStr">
        <is>
          <t>Output</t>
        </is>
      </c>
      <c r="F1076" t="inlineStr">
        <is>
          <t>'=IFERROR(IF(LoanIsNotPaid*LoanIsGood,MonthlyPayment,0), 0)</t>
        </is>
      </c>
      <c r="G1076" t="n">
        <v>108.5262779604807</v>
      </c>
      <c r="H1076" t="inlineStr"/>
      <c r="I1076" t="inlineStr">
        <is>
          <t>"$"#,##0.00</t>
        </is>
      </c>
      <c r="J1076" t="b">
        <v>0</v>
      </c>
      <c r="K1076" t="b">
        <v>0</v>
      </c>
      <c r="L1076" t="n">
        <v>9</v>
      </c>
      <c r="M1076" t="inlineStr">
        <is>
          <t>Values must be of type &lt;class 'str'&gt;</t>
        </is>
      </c>
      <c r="N1076" t="inlineStr">
        <is>
          <t>00000000</t>
        </is>
      </c>
      <c r="O1076" t="inlineStr">
        <is>
          <t>center</t>
        </is>
      </c>
      <c r="P1076" t="inlineStr">
        <is>
          <t>center</t>
        </is>
      </c>
      <c r="R1076" t="b">
        <v>1</v>
      </c>
      <c r="S1076" t="inlineStr">
        <is>
          <t>G000004</t>
        </is>
      </c>
      <c r="T1076" t="inlineStr">
        <is>
          <t>Vertical</t>
        </is>
      </c>
      <c r="U1076" t="n">
        <v>120</v>
      </c>
      <c r="V1076" t="b">
        <v>1</v>
      </c>
      <c r="W1076" t="inlineStr">
        <is>
          <t>Loan calculator!E17:E136</t>
        </is>
      </c>
      <c r="X1076">
        <f>IFERROR(IF(LoanIsNotPaid*LoanIsGood,MonthlyPayment,0), 0)</f>
        <v/>
      </c>
    </row>
    <row r="1077">
      <c r="A1077" t="inlineStr">
        <is>
          <t>Loan calculator</t>
        </is>
      </c>
      <c r="B1077" t="inlineStr">
        <is>
          <t>F115</t>
        </is>
      </c>
      <c r="C1077" t="n">
        <v>115</v>
      </c>
      <c r="D1077" t="n">
        <v>6</v>
      </c>
      <c r="E1077" t="inlineStr">
        <is>
          <t>Output</t>
        </is>
      </c>
      <c r="F1077" t="inlineStr">
        <is>
          <t>'=IFERROR(IF(LoanIsNotPaid*LoanIsGood,Principal,0), 0)</t>
        </is>
      </c>
      <c r="G1077" t="n">
        <v>98.13944507737176</v>
      </c>
      <c r="H1077" t="inlineStr"/>
      <c r="I1077" t="inlineStr">
        <is>
          <t>"$"#,##0.00</t>
        </is>
      </c>
      <c r="J1077" t="b">
        <v>0</v>
      </c>
      <c r="K1077" t="b">
        <v>0</v>
      </c>
      <c r="L1077" t="n">
        <v>9</v>
      </c>
      <c r="M1077" t="inlineStr">
        <is>
          <t>Values must be of type &lt;class 'str'&gt;</t>
        </is>
      </c>
      <c r="N1077" t="inlineStr">
        <is>
          <t>00000000</t>
        </is>
      </c>
      <c r="O1077" t="inlineStr">
        <is>
          <t>center</t>
        </is>
      </c>
      <c r="P1077" t="inlineStr">
        <is>
          <t>center</t>
        </is>
      </c>
      <c r="R1077" t="b">
        <v>1</v>
      </c>
      <c r="S1077" t="inlineStr">
        <is>
          <t>G000005</t>
        </is>
      </c>
      <c r="T1077" t="inlineStr">
        <is>
          <t>Vertical</t>
        </is>
      </c>
      <c r="U1077" t="n">
        <v>120</v>
      </c>
      <c r="V1077" t="b">
        <v>1</v>
      </c>
      <c r="W1077" t="inlineStr">
        <is>
          <t>Loan calculator!F17:F136</t>
        </is>
      </c>
      <c r="X1077">
        <f>IFERROR(IF(LoanIsNotPaid*LoanIsGood,Principal,0), 0)</f>
        <v/>
      </c>
    </row>
    <row r="1078">
      <c r="A1078" t="inlineStr">
        <is>
          <t>Loan calculator</t>
        </is>
      </c>
      <c r="B1078" t="inlineStr">
        <is>
          <t>G115</t>
        </is>
      </c>
      <c r="C1078" t="n">
        <v>115</v>
      </c>
      <c r="D1078" t="n">
        <v>7</v>
      </c>
      <c r="E1078" t="inlineStr">
        <is>
          <t>Output</t>
        </is>
      </c>
      <c r="F1078" t="inlineStr">
        <is>
          <t>'=IFERROR(IF(LoanIsNotPaid*LoanIsGood,InterestAmt,0), 0)</t>
        </is>
      </c>
      <c r="G1078" t="n">
        <v>10.38683288310896</v>
      </c>
      <c r="H1078" t="inlineStr"/>
      <c r="I1078" t="inlineStr">
        <is>
          <t>"$"#,##0.00</t>
        </is>
      </c>
      <c r="J1078" t="b">
        <v>0</v>
      </c>
      <c r="K1078" t="b">
        <v>0</v>
      </c>
      <c r="L1078" t="n">
        <v>9</v>
      </c>
      <c r="M1078" t="inlineStr">
        <is>
          <t>Values must be of type &lt;class 'str'&gt;</t>
        </is>
      </c>
      <c r="N1078" t="inlineStr">
        <is>
          <t>00000000</t>
        </is>
      </c>
      <c r="O1078" t="inlineStr">
        <is>
          <t>center</t>
        </is>
      </c>
      <c r="P1078" t="inlineStr">
        <is>
          <t>center</t>
        </is>
      </c>
      <c r="R1078" t="b">
        <v>1</v>
      </c>
      <c r="S1078" t="inlineStr">
        <is>
          <t>G000006</t>
        </is>
      </c>
      <c r="T1078" t="inlineStr">
        <is>
          <t>Vertical</t>
        </is>
      </c>
      <c r="U1078" t="n">
        <v>120</v>
      </c>
      <c r="V1078" t="b">
        <v>1</v>
      </c>
      <c r="W1078" t="inlineStr">
        <is>
          <t>Loan calculator!G17:G136</t>
        </is>
      </c>
      <c r="X1078">
        <f>IFERROR(IF(LoanIsNotPaid*LoanIsGood,InterestAmt,0), 0)</f>
        <v/>
      </c>
    </row>
    <row r="1079">
      <c r="A1079" t="inlineStr">
        <is>
          <t>Loan calculator</t>
        </is>
      </c>
      <c r="B1079" t="inlineStr">
        <is>
          <t>H115</t>
        </is>
      </c>
      <c r="C1079" t="n">
        <v>115</v>
      </c>
      <c r="D1079" t="n">
        <v>8</v>
      </c>
      <c r="E1079" t="inlineStr">
        <is>
          <t>Output</t>
        </is>
      </c>
      <c r="F1079" t="inlineStr">
        <is>
          <t>'=IFERROR(IF(LoanIsNotPaid*LoanIsGood,EndingBalance,0), 0)</t>
        </is>
      </c>
      <c r="G1079" t="n">
        <v>2168.07863851002</v>
      </c>
      <c r="H1079" t="inlineStr"/>
      <c r="I1079" t="inlineStr">
        <is>
          <t>"$"#,##0.00</t>
        </is>
      </c>
      <c r="J1079" t="b">
        <v>0</v>
      </c>
      <c r="K1079" t="b">
        <v>0</v>
      </c>
      <c r="L1079" t="n">
        <v>9</v>
      </c>
      <c r="M1079" t="inlineStr">
        <is>
          <t>Values must be of type &lt;class 'str'&gt;</t>
        </is>
      </c>
      <c r="N1079" t="inlineStr">
        <is>
          <t>00000000</t>
        </is>
      </c>
      <c r="O1079" t="inlineStr">
        <is>
          <t>center</t>
        </is>
      </c>
      <c r="P1079" t="inlineStr">
        <is>
          <t>center</t>
        </is>
      </c>
      <c r="R1079" t="b">
        <v>1</v>
      </c>
      <c r="S1079" t="inlineStr">
        <is>
          <t>G000007</t>
        </is>
      </c>
      <c r="T1079" t="inlineStr">
        <is>
          <t>Vertical</t>
        </is>
      </c>
      <c r="U1079" t="n">
        <v>120</v>
      </c>
      <c r="V1079" t="b">
        <v>1</v>
      </c>
      <c r="W1079" t="inlineStr">
        <is>
          <t>Loan calculator!H17:H136</t>
        </is>
      </c>
      <c r="X1079">
        <f>IFERROR(IF(LoanIsNotPaid*LoanIsGood,EndingBalance,0), 0)</f>
        <v/>
      </c>
    </row>
    <row r="1080">
      <c r="A1080" t="inlineStr">
        <is>
          <t>Loan calculator</t>
        </is>
      </c>
      <c r="B1080" t="inlineStr">
        <is>
          <t>I115</t>
        </is>
      </c>
      <c r="C1080" t="n">
        <v>115</v>
      </c>
      <c r="D1080" t="n">
        <v>9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11</v>
      </c>
      <c r="M1080" t="inlineStr">
        <is>
          <t>Values must be of type &lt;class 'str'&gt;</t>
        </is>
      </c>
      <c r="N1080" t="inlineStr">
        <is>
          <t>Values must be of type &lt;class 'str'&gt;</t>
        </is>
      </c>
      <c r="O1080" t="n">
        <v/>
      </c>
      <c r="P1080" t="inlineStr">
        <is>
          <t>center</t>
        </is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</row>
    <row r="1081">
      <c r="A1081" t="inlineStr">
        <is>
          <t>Loan calculator</t>
        </is>
      </c>
      <c r="B1081" t="inlineStr">
        <is>
          <t>A116</t>
        </is>
      </c>
      <c r="C1081" t="n">
        <v>116</v>
      </c>
      <c r="D1081" t="n">
        <v>1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11</v>
      </c>
      <c r="M1081" t="inlineStr">
        <is>
          <t>Values must be of type &lt;class 'str'&gt;</t>
        </is>
      </c>
      <c r="N1081" t="inlineStr">
        <is>
          <t>Values must be of type &lt;class 'str'&gt;</t>
        </is>
      </c>
      <c r="O1081" t="n">
        <v/>
      </c>
      <c r="P1081" t="inlineStr">
        <is>
          <t>center</t>
        </is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</row>
    <row r="1082">
      <c r="A1082" t="inlineStr">
        <is>
          <t>Loan calculator</t>
        </is>
      </c>
      <c r="B1082" t="inlineStr">
        <is>
          <t>B116</t>
        </is>
      </c>
      <c r="C1082" t="n">
        <v>116</v>
      </c>
      <c r="D1082" t="n">
        <v>2</v>
      </c>
      <c r="E1082" t="inlineStr">
        <is>
          <t>Output</t>
        </is>
      </c>
      <c r="F1082" t="inlineStr">
        <is>
          <t>'=IFERROR(IF(LoanIsNotPaid*LoanIsGood,PaymentNumber,""), "")</t>
        </is>
      </c>
      <c r="G1082" t="n">
        <v>100</v>
      </c>
      <c r="H1082" t="inlineStr"/>
      <c r="I1082" t="inlineStr">
        <is>
          <t>#,##0</t>
        </is>
      </c>
      <c r="J1082" t="b">
        <v>0</v>
      </c>
      <c r="K1082" t="b">
        <v>0</v>
      </c>
      <c r="L1082" t="n">
        <v>9</v>
      </c>
      <c r="M1082" t="inlineStr">
        <is>
          <t>Values must be of type &lt;class 'str'&gt;</t>
        </is>
      </c>
      <c r="N1082" t="inlineStr">
        <is>
          <t>00000000</t>
        </is>
      </c>
      <c r="O1082" t="inlineStr">
        <is>
          <t>center</t>
        </is>
      </c>
      <c r="P1082" t="inlineStr">
        <is>
          <t>center</t>
        </is>
      </c>
      <c r="R1082" t="b">
        <v>1</v>
      </c>
      <c r="S1082" t="inlineStr">
        <is>
          <t>G000001</t>
        </is>
      </c>
      <c r="T1082" t="inlineStr">
        <is>
          <t>Vertical</t>
        </is>
      </c>
      <c r="U1082" t="n">
        <v>120</v>
      </c>
      <c r="V1082" t="b">
        <v>1</v>
      </c>
      <c r="W1082" t="inlineStr">
        <is>
          <t>Loan calculator!B17:B136</t>
        </is>
      </c>
      <c r="X1082">
        <f>IFERROR(IF(LoanIsNotPaid*LoanIsGood,PaymentNumber,""), "")</f>
        <v/>
      </c>
    </row>
    <row r="1083">
      <c r="A1083" t="inlineStr">
        <is>
          <t>Loan calculator</t>
        </is>
      </c>
      <c r="B1083" t="inlineStr">
        <is>
          <t>C116</t>
        </is>
      </c>
      <c r="C1083" t="n">
        <v>116</v>
      </c>
      <c r="D1083" t="n">
        <v>3</v>
      </c>
      <c r="E1083" t="inlineStr">
        <is>
          <t>Output</t>
        </is>
      </c>
      <c r="F1083" t="inlineStr">
        <is>
          <t>'=IFERROR(IF(LoanIsNotPaid*LoanIsGood,PaymentDate,LoanStartDate), LoanStartDate)</t>
        </is>
      </c>
      <c r="G1083" s="1" t="n">
        <v>49130</v>
      </c>
      <c r="H1083" t="inlineStr"/>
      <c r="I1083" t="inlineStr">
        <is>
          <t>mm-dd-yy</t>
        </is>
      </c>
      <c r="J1083" t="b">
        <v>0</v>
      </c>
      <c r="K1083" t="b">
        <v>0</v>
      </c>
      <c r="L1083" t="n">
        <v>9</v>
      </c>
      <c r="M1083" t="inlineStr">
        <is>
          <t>Values must be of type &lt;class 'str'&gt;</t>
        </is>
      </c>
      <c r="N1083" t="inlineStr">
        <is>
          <t>00000000</t>
        </is>
      </c>
      <c r="O1083" t="inlineStr">
        <is>
          <t>center</t>
        </is>
      </c>
      <c r="P1083" t="inlineStr">
        <is>
          <t>center</t>
        </is>
      </c>
      <c r="R1083" t="b">
        <v>1</v>
      </c>
      <c r="S1083" t="inlineStr">
        <is>
          <t>G000002</t>
        </is>
      </c>
      <c r="T1083" t="inlineStr">
        <is>
          <t>Vertical</t>
        </is>
      </c>
      <c r="U1083" t="n">
        <v>120</v>
      </c>
      <c r="V1083" t="b">
        <v>1</v>
      </c>
      <c r="W1083" t="inlineStr">
        <is>
          <t>Loan calculator!C17:C136</t>
        </is>
      </c>
      <c r="X1083">
        <f>IFERROR(IF(LoanIsNotPaid*LoanIsGood,PaymentDate,LoanStartDate), LoanStartDate)</f>
        <v/>
      </c>
    </row>
    <row r="1084">
      <c r="A1084" t="inlineStr">
        <is>
          <t>Loan calculator</t>
        </is>
      </c>
      <c r="B1084" t="inlineStr">
        <is>
          <t>D116</t>
        </is>
      </c>
      <c r="C1084" t="n">
        <v>116</v>
      </c>
      <c r="D1084" t="n">
        <v>4</v>
      </c>
      <c r="E1084" t="inlineStr">
        <is>
          <t>Output</t>
        </is>
      </c>
      <c r="F1084" t="inlineStr">
        <is>
          <t>'=IFERROR(IF(LoanIsNotPaid*LoanIsGood,LoanValue,""), "")</t>
        </is>
      </c>
      <c r="G1084" t="n">
        <v>2168.07863851002</v>
      </c>
      <c r="H1084" t="inlineStr"/>
      <c r="I1084" t="inlineStr">
        <is>
          <t>"$"#,##0.00</t>
        </is>
      </c>
      <c r="J1084" t="b">
        <v>0</v>
      </c>
      <c r="K1084" t="b">
        <v>0</v>
      </c>
      <c r="L1084" t="n">
        <v>9</v>
      </c>
      <c r="M1084" t="inlineStr">
        <is>
          <t>Values must be of type &lt;class 'str'&gt;</t>
        </is>
      </c>
      <c r="N1084" t="inlineStr">
        <is>
          <t>00000000</t>
        </is>
      </c>
      <c r="O1084" t="inlineStr">
        <is>
          <t>center</t>
        </is>
      </c>
      <c r="P1084" t="inlineStr">
        <is>
          <t>center</t>
        </is>
      </c>
      <c r="R1084" t="b">
        <v>1</v>
      </c>
      <c r="S1084" t="inlineStr">
        <is>
          <t>G000003</t>
        </is>
      </c>
      <c r="T1084" t="inlineStr">
        <is>
          <t>Vertical</t>
        </is>
      </c>
      <c r="U1084" t="n">
        <v>120</v>
      </c>
      <c r="V1084" t="b">
        <v>1</v>
      </c>
      <c r="W1084" t="inlineStr">
        <is>
          <t>Loan calculator!D17:D136</t>
        </is>
      </c>
      <c r="X1084">
        <f>IFERROR(IF(LoanIsNotPaid*LoanIsGood,LoanValue,""), "")</f>
        <v/>
      </c>
    </row>
    <row r="1085">
      <c r="A1085" t="inlineStr">
        <is>
          <t>Loan calculator</t>
        </is>
      </c>
      <c r="B1085" t="inlineStr">
        <is>
          <t>E116</t>
        </is>
      </c>
      <c r="C1085" t="n">
        <v>116</v>
      </c>
      <c r="D1085" t="n">
        <v>5</v>
      </c>
      <c r="E1085" t="inlineStr">
        <is>
          <t>Output</t>
        </is>
      </c>
      <c r="F1085" t="inlineStr">
        <is>
          <t>'=IFERROR(IF(LoanIsNotPaid*LoanIsGood,MonthlyPayment,0), 0)</t>
        </is>
      </c>
      <c r="G1085" t="n">
        <v>108.5262779604807</v>
      </c>
      <c r="H1085" t="inlineStr"/>
      <c r="I1085" t="inlineStr">
        <is>
          <t>"$"#,##0.00</t>
        </is>
      </c>
      <c r="J1085" t="b">
        <v>0</v>
      </c>
      <c r="K1085" t="b">
        <v>0</v>
      </c>
      <c r="L1085" t="n">
        <v>9</v>
      </c>
      <c r="M1085" t="inlineStr">
        <is>
          <t>Values must be of type &lt;class 'str'&gt;</t>
        </is>
      </c>
      <c r="N1085" t="inlineStr">
        <is>
          <t>00000000</t>
        </is>
      </c>
      <c r="O1085" t="inlineStr">
        <is>
          <t>center</t>
        </is>
      </c>
      <c r="P1085" t="inlineStr">
        <is>
          <t>center</t>
        </is>
      </c>
      <c r="R1085" t="b">
        <v>1</v>
      </c>
      <c r="S1085" t="inlineStr">
        <is>
          <t>G000004</t>
        </is>
      </c>
      <c r="T1085" t="inlineStr">
        <is>
          <t>Vertical</t>
        </is>
      </c>
      <c r="U1085" t="n">
        <v>120</v>
      </c>
      <c r="V1085" t="b">
        <v>1</v>
      </c>
      <c r="W1085" t="inlineStr">
        <is>
          <t>Loan calculator!E17:E136</t>
        </is>
      </c>
      <c r="X1085">
        <f>IFERROR(IF(LoanIsNotPaid*LoanIsGood,MonthlyPayment,0), 0)</f>
        <v/>
      </c>
    </row>
    <row r="1086">
      <c r="A1086" t="inlineStr">
        <is>
          <t>Loan calculator</t>
        </is>
      </c>
      <c r="B1086" t="inlineStr">
        <is>
          <t>F116</t>
        </is>
      </c>
      <c r="C1086" t="n">
        <v>116</v>
      </c>
      <c r="D1086" t="n">
        <v>6</v>
      </c>
      <c r="E1086" t="inlineStr">
        <is>
          <t>Output</t>
        </is>
      </c>
      <c r="F1086" t="inlineStr">
        <is>
          <t>'=IFERROR(IF(LoanIsNotPaid*LoanIsGood,Principal,0), 0)</t>
        </is>
      </c>
      <c r="G1086" t="n">
        <v>98.58925086730973</v>
      </c>
      <c r="H1086" t="inlineStr"/>
      <c r="I1086" t="inlineStr">
        <is>
          <t>"$"#,##0.00</t>
        </is>
      </c>
      <c r="J1086" t="b">
        <v>0</v>
      </c>
      <c r="K1086" t="b">
        <v>0</v>
      </c>
      <c r="L1086" t="n">
        <v>9</v>
      </c>
      <c r="M1086" t="inlineStr">
        <is>
          <t>Values must be of type &lt;class 'str'&gt;</t>
        </is>
      </c>
      <c r="N1086" t="inlineStr">
        <is>
          <t>00000000</t>
        </is>
      </c>
      <c r="O1086" t="inlineStr">
        <is>
          <t>center</t>
        </is>
      </c>
      <c r="P1086" t="inlineStr">
        <is>
          <t>center</t>
        </is>
      </c>
      <c r="R1086" t="b">
        <v>1</v>
      </c>
      <c r="S1086" t="inlineStr">
        <is>
          <t>G000005</t>
        </is>
      </c>
      <c r="T1086" t="inlineStr">
        <is>
          <t>Vertical</t>
        </is>
      </c>
      <c r="U1086" t="n">
        <v>120</v>
      </c>
      <c r="V1086" t="b">
        <v>1</v>
      </c>
      <c r="W1086" t="inlineStr">
        <is>
          <t>Loan calculator!F17:F136</t>
        </is>
      </c>
      <c r="X1086">
        <f>IFERROR(IF(LoanIsNotPaid*LoanIsGood,Principal,0), 0)</f>
        <v/>
      </c>
    </row>
    <row r="1087">
      <c r="A1087" t="inlineStr">
        <is>
          <t>Loan calculator</t>
        </is>
      </c>
      <c r="B1087" t="inlineStr">
        <is>
          <t>G116</t>
        </is>
      </c>
      <c r="C1087" t="n">
        <v>116</v>
      </c>
      <c r="D1087" t="n">
        <v>7</v>
      </c>
      <c r="E1087" t="inlineStr">
        <is>
          <t>Output</t>
        </is>
      </c>
      <c r="F1087" t="inlineStr">
        <is>
          <t>'=IFERROR(IF(LoanIsNotPaid*LoanIsGood,InterestAmt,0), 0)</t>
        </is>
      </c>
      <c r="G1087" t="n">
        <v>9.937027093171004</v>
      </c>
      <c r="H1087" t="inlineStr"/>
      <c r="I1087" t="inlineStr">
        <is>
          <t>"$"#,##0.00</t>
        </is>
      </c>
      <c r="J1087" t="b">
        <v>0</v>
      </c>
      <c r="K1087" t="b">
        <v>0</v>
      </c>
      <c r="L1087" t="n">
        <v>9</v>
      </c>
      <c r="M1087" t="inlineStr">
        <is>
          <t>Values must be of type &lt;class 'str'&gt;</t>
        </is>
      </c>
      <c r="N1087" t="inlineStr">
        <is>
          <t>00000000</t>
        </is>
      </c>
      <c r="O1087" t="inlineStr">
        <is>
          <t>center</t>
        </is>
      </c>
      <c r="P1087" t="inlineStr">
        <is>
          <t>center</t>
        </is>
      </c>
      <c r="R1087" t="b">
        <v>1</v>
      </c>
      <c r="S1087" t="inlineStr">
        <is>
          <t>G000006</t>
        </is>
      </c>
      <c r="T1087" t="inlineStr">
        <is>
          <t>Vertical</t>
        </is>
      </c>
      <c r="U1087" t="n">
        <v>120</v>
      </c>
      <c r="V1087" t="b">
        <v>1</v>
      </c>
      <c r="W1087" t="inlineStr">
        <is>
          <t>Loan calculator!G17:G136</t>
        </is>
      </c>
      <c r="X1087">
        <f>IFERROR(IF(LoanIsNotPaid*LoanIsGood,InterestAmt,0), 0)</f>
        <v/>
      </c>
    </row>
    <row r="1088">
      <c r="A1088" t="inlineStr">
        <is>
          <t>Loan calculator</t>
        </is>
      </c>
      <c r="B1088" t="inlineStr">
        <is>
          <t>H116</t>
        </is>
      </c>
      <c r="C1088" t="n">
        <v>116</v>
      </c>
      <c r="D1088" t="n">
        <v>8</v>
      </c>
      <c r="E1088" t="inlineStr">
        <is>
          <t>Output</t>
        </is>
      </c>
      <c r="F1088" t="inlineStr">
        <is>
          <t>'=IFERROR(IF(LoanIsNotPaid*LoanIsGood,EndingBalance,0), 0)</t>
        </is>
      </c>
      <c r="G1088" t="n">
        <v>2069.48938764271</v>
      </c>
      <c r="H1088" t="inlineStr"/>
      <c r="I1088" t="inlineStr">
        <is>
          <t>"$"#,##0.00</t>
        </is>
      </c>
      <c r="J1088" t="b">
        <v>0</v>
      </c>
      <c r="K1088" t="b">
        <v>0</v>
      </c>
      <c r="L1088" t="n">
        <v>9</v>
      </c>
      <c r="M1088" t="inlineStr">
        <is>
          <t>Values must be of type &lt;class 'str'&gt;</t>
        </is>
      </c>
      <c r="N1088" t="inlineStr">
        <is>
          <t>00000000</t>
        </is>
      </c>
      <c r="O1088" t="inlineStr">
        <is>
          <t>center</t>
        </is>
      </c>
      <c r="P1088" t="inlineStr">
        <is>
          <t>center</t>
        </is>
      </c>
      <c r="R1088" t="b">
        <v>1</v>
      </c>
      <c r="S1088" t="inlineStr">
        <is>
          <t>G000007</t>
        </is>
      </c>
      <c r="T1088" t="inlineStr">
        <is>
          <t>Vertical</t>
        </is>
      </c>
      <c r="U1088" t="n">
        <v>120</v>
      </c>
      <c r="V1088" t="b">
        <v>1</v>
      </c>
      <c r="W1088" t="inlineStr">
        <is>
          <t>Loan calculator!H17:H136</t>
        </is>
      </c>
      <c r="X1088">
        <f>IFERROR(IF(LoanIsNotPaid*LoanIsGood,EndingBalance,0), 0)</f>
        <v/>
      </c>
    </row>
    <row r="1089">
      <c r="A1089" t="inlineStr">
        <is>
          <t>Loan calculator</t>
        </is>
      </c>
      <c r="B1089" t="inlineStr">
        <is>
          <t>I116</t>
        </is>
      </c>
      <c r="C1089" t="n">
        <v>116</v>
      </c>
      <c r="D1089" t="n">
        <v>9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11</v>
      </c>
      <c r="M1089" t="inlineStr">
        <is>
          <t>Values must be of type &lt;class 'str'&gt;</t>
        </is>
      </c>
      <c r="N1089" t="inlineStr">
        <is>
          <t>Values must be of type &lt;class 'str'&gt;</t>
        </is>
      </c>
      <c r="O1089" t="n">
        <v/>
      </c>
      <c r="P1089" t="inlineStr">
        <is>
          <t>center</t>
        </is>
      </c>
      <c r="R1089" t="b">
        <v>0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</row>
    <row r="1090">
      <c r="A1090" t="inlineStr">
        <is>
          <t>Loan calculator</t>
        </is>
      </c>
      <c r="B1090" t="inlineStr">
        <is>
          <t>A117</t>
        </is>
      </c>
      <c r="C1090" t="n">
        <v>117</v>
      </c>
      <c r="D1090" t="n">
        <v>1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11</v>
      </c>
      <c r="M1090" t="inlineStr">
        <is>
          <t>Values must be of type &lt;class 'str'&gt;</t>
        </is>
      </c>
      <c r="N1090" t="inlineStr">
        <is>
          <t>Values must be of type &lt;class 'str'&gt;</t>
        </is>
      </c>
      <c r="O1090" t="n">
        <v/>
      </c>
      <c r="P1090" t="inlineStr">
        <is>
          <t>center</t>
        </is>
      </c>
      <c r="R1090" t="b">
        <v>0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</row>
    <row r="1091">
      <c r="A1091" t="inlineStr">
        <is>
          <t>Loan calculator</t>
        </is>
      </c>
      <c r="B1091" t="inlineStr">
        <is>
          <t>B117</t>
        </is>
      </c>
      <c r="C1091" t="n">
        <v>117</v>
      </c>
      <c r="D1091" t="n">
        <v>2</v>
      </c>
      <c r="E1091" t="inlineStr">
        <is>
          <t>Output</t>
        </is>
      </c>
      <c r="F1091" t="inlineStr">
        <is>
          <t>'=IFERROR(IF(LoanIsNotPaid*LoanIsGood,PaymentNumber,""), "")</t>
        </is>
      </c>
      <c r="G1091" t="n">
        <v>101</v>
      </c>
      <c r="H1091" t="inlineStr"/>
      <c r="I1091" t="inlineStr">
        <is>
          <t>#,##0</t>
        </is>
      </c>
      <c r="J1091" t="b">
        <v>0</v>
      </c>
      <c r="K1091" t="b">
        <v>0</v>
      </c>
      <c r="L1091" t="n">
        <v>9</v>
      </c>
      <c r="M1091" t="inlineStr">
        <is>
          <t>Values must be of type &lt;class 'str'&gt;</t>
        </is>
      </c>
      <c r="N1091" t="inlineStr">
        <is>
          <t>00000000</t>
        </is>
      </c>
      <c r="O1091" t="inlineStr">
        <is>
          <t>center</t>
        </is>
      </c>
      <c r="P1091" t="inlineStr">
        <is>
          <t>center</t>
        </is>
      </c>
      <c r="R1091" t="b">
        <v>1</v>
      </c>
      <c r="S1091" t="inlineStr">
        <is>
          <t>G000001</t>
        </is>
      </c>
      <c r="T1091" t="inlineStr">
        <is>
          <t>Vertical</t>
        </is>
      </c>
      <c r="U1091" t="n">
        <v>120</v>
      </c>
      <c r="V1091" t="b">
        <v>1</v>
      </c>
      <c r="W1091" t="inlineStr">
        <is>
          <t>Loan calculator!B17:B136</t>
        </is>
      </c>
      <c r="X1091">
        <f>IFERROR(IF(LoanIsNotPaid*LoanIsGood,PaymentNumber,""), "")</f>
        <v/>
      </c>
    </row>
    <row r="1092">
      <c r="A1092" t="inlineStr">
        <is>
          <t>Loan calculator</t>
        </is>
      </c>
      <c r="B1092" t="inlineStr">
        <is>
          <t>C117</t>
        </is>
      </c>
      <c r="C1092" t="n">
        <v>117</v>
      </c>
      <c r="D1092" t="n">
        <v>3</v>
      </c>
      <c r="E1092" t="inlineStr">
        <is>
          <t>Output</t>
        </is>
      </c>
      <c r="F1092" t="inlineStr">
        <is>
          <t>'=IFERROR(IF(LoanIsNotPaid*LoanIsGood,PaymentDate,LoanStartDate), LoanStartDate)</t>
        </is>
      </c>
      <c r="G1092" s="1" t="n">
        <v>49161</v>
      </c>
      <c r="H1092" t="inlineStr"/>
      <c r="I1092" t="inlineStr">
        <is>
          <t>mm-dd-yy</t>
        </is>
      </c>
      <c r="J1092" t="b">
        <v>0</v>
      </c>
      <c r="K1092" t="b">
        <v>0</v>
      </c>
      <c r="L1092" t="n">
        <v>9</v>
      </c>
      <c r="M1092" t="inlineStr">
        <is>
          <t>Values must be of type &lt;class 'str'&gt;</t>
        </is>
      </c>
      <c r="N1092" t="inlineStr">
        <is>
          <t>00000000</t>
        </is>
      </c>
      <c r="O1092" t="inlineStr">
        <is>
          <t>center</t>
        </is>
      </c>
      <c r="P1092" t="inlineStr">
        <is>
          <t>center</t>
        </is>
      </c>
      <c r="R1092" t="b">
        <v>1</v>
      </c>
      <c r="S1092" t="inlineStr">
        <is>
          <t>G000002</t>
        </is>
      </c>
      <c r="T1092" t="inlineStr">
        <is>
          <t>Vertical</t>
        </is>
      </c>
      <c r="U1092" t="n">
        <v>120</v>
      </c>
      <c r="V1092" t="b">
        <v>1</v>
      </c>
      <c r="W1092" t="inlineStr">
        <is>
          <t>Loan calculator!C17:C136</t>
        </is>
      </c>
      <c r="X1092">
        <f>IFERROR(IF(LoanIsNotPaid*LoanIsGood,PaymentDate,LoanStartDate), LoanStartDate)</f>
        <v/>
      </c>
    </row>
    <row r="1093">
      <c r="A1093" t="inlineStr">
        <is>
          <t>Loan calculator</t>
        </is>
      </c>
      <c r="B1093" t="inlineStr">
        <is>
          <t>D117</t>
        </is>
      </c>
      <c r="C1093" t="n">
        <v>117</v>
      </c>
      <c r="D1093" t="n">
        <v>4</v>
      </c>
      <c r="E1093" t="inlineStr">
        <is>
          <t>Output</t>
        </is>
      </c>
      <c r="F1093" t="inlineStr">
        <is>
          <t>'=IFERROR(IF(LoanIsNotPaid*LoanIsGood,LoanValue,""), "")</t>
        </is>
      </c>
      <c r="G1093" t="n">
        <v>2069.48938764271</v>
      </c>
      <c r="H1093" t="inlineStr"/>
      <c r="I1093" t="inlineStr">
        <is>
          <t>"$"#,##0.00</t>
        </is>
      </c>
      <c r="J1093" t="b">
        <v>0</v>
      </c>
      <c r="K1093" t="b">
        <v>0</v>
      </c>
      <c r="L1093" t="n">
        <v>9</v>
      </c>
      <c r="M1093" t="inlineStr">
        <is>
          <t>Values must be of type &lt;class 'str'&gt;</t>
        </is>
      </c>
      <c r="N1093" t="inlineStr">
        <is>
          <t>00000000</t>
        </is>
      </c>
      <c r="O1093" t="inlineStr">
        <is>
          <t>center</t>
        </is>
      </c>
      <c r="P1093" t="inlineStr">
        <is>
          <t>center</t>
        </is>
      </c>
      <c r="R1093" t="b">
        <v>1</v>
      </c>
      <c r="S1093" t="inlineStr">
        <is>
          <t>G000003</t>
        </is>
      </c>
      <c r="T1093" t="inlineStr">
        <is>
          <t>Vertical</t>
        </is>
      </c>
      <c r="U1093" t="n">
        <v>120</v>
      </c>
      <c r="V1093" t="b">
        <v>1</v>
      </c>
      <c r="W1093" t="inlineStr">
        <is>
          <t>Loan calculator!D17:D136</t>
        </is>
      </c>
      <c r="X1093">
        <f>IFERROR(IF(LoanIsNotPaid*LoanIsGood,LoanValue,""), "")</f>
        <v/>
      </c>
    </row>
    <row r="1094">
      <c r="A1094" t="inlineStr">
        <is>
          <t>Loan calculator</t>
        </is>
      </c>
      <c r="B1094" t="inlineStr">
        <is>
          <t>E117</t>
        </is>
      </c>
      <c r="C1094" t="n">
        <v>117</v>
      </c>
      <c r="D1094" t="n">
        <v>5</v>
      </c>
      <c r="E1094" t="inlineStr">
        <is>
          <t>Output</t>
        </is>
      </c>
      <c r="F1094" t="inlineStr">
        <is>
          <t>'=IFERROR(IF(LoanIsNotPaid*LoanIsGood,MonthlyPayment,0), 0)</t>
        </is>
      </c>
      <c r="G1094" t="n">
        <v>108.5262779604807</v>
      </c>
      <c r="H1094" t="inlineStr"/>
      <c r="I1094" t="inlineStr">
        <is>
          <t>"$"#,##0.00</t>
        </is>
      </c>
      <c r="J1094" t="b">
        <v>0</v>
      </c>
      <c r="K1094" t="b">
        <v>0</v>
      </c>
      <c r="L1094" t="n">
        <v>9</v>
      </c>
      <c r="M1094" t="inlineStr">
        <is>
          <t>Values must be of type &lt;class 'str'&gt;</t>
        </is>
      </c>
      <c r="N1094" t="inlineStr">
        <is>
          <t>00000000</t>
        </is>
      </c>
      <c r="O1094" t="inlineStr">
        <is>
          <t>center</t>
        </is>
      </c>
      <c r="P1094" t="inlineStr">
        <is>
          <t>center</t>
        </is>
      </c>
      <c r="R1094" t="b">
        <v>1</v>
      </c>
      <c r="S1094" t="inlineStr">
        <is>
          <t>G000004</t>
        </is>
      </c>
      <c r="T1094" t="inlineStr">
        <is>
          <t>Vertical</t>
        </is>
      </c>
      <c r="U1094" t="n">
        <v>120</v>
      </c>
      <c r="V1094" t="b">
        <v>1</v>
      </c>
      <c r="W1094" t="inlineStr">
        <is>
          <t>Loan calculator!E17:E136</t>
        </is>
      </c>
      <c r="X1094">
        <f>IFERROR(IF(LoanIsNotPaid*LoanIsGood,MonthlyPayment,0), 0)</f>
        <v/>
      </c>
    </row>
    <row r="1095">
      <c r="A1095" t="inlineStr">
        <is>
          <t>Loan calculator</t>
        </is>
      </c>
      <c r="B1095" t="inlineStr">
        <is>
          <t>F117</t>
        </is>
      </c>
      <c r="C1095" t="n">
        <v>117</v>
      </c>
      <c r="D1095" t="n">
        <v>6</v>
      </c>
      <c r="E1095" t="inlineStr">
        <is>
          <t>Output</t>
        </is>
      </c>
      <c r="F1095" t="inlineStr">
        <is>
          <t>'=IFERROR(IF(LoanIsNotPaid*LoanIsGood,Principal,0), 0)</t>
        </is>
      </c>
      <c r="G1095" t="n">
        <v>99.04111826711822</v>
      </c>
      <c r="H1095" t="inlineStr"/>
      <c r="I1095" t="inlineStr">
        <is>
          <t>"$"#,##0.00</t>
        </is>
      </c>
      <c r="J1095" t="b">
        <v>0</v>
      </c>
      <c r="K1095" t="b">
        <v>0</v>
      </c>
      <c r="L1095" t="n">
        <v>9</v>
      </c>
      <c r="M1095" t="inlineStr">
        <is>
          <t>Values must be of type &lt;class 'str'&gt;</t>
        </is>
      </c>
      <c r="N1095" t="inlineStr">
        <is>
          <t>00000000</t>
        </is>
      </c>
      <c r="O1095" t="inlineStr">
        <is>
          <t>center</t>
        </is>
      </c>
      <c r="P1095" t="inlineStr">
        <is>
          <t>center</t>
        </is>
      </c>
      <c r="R1095" t="b">
        <v>1</v>
      </c>
      <c r="S1095" t="inlineStr">
        <is>
          <t>G000005</t>
        </is>
      </c>
      <c r="T1095" t="inlineStr">
        <is>
          <t>Vertical</t>
        </is>
      </c>
      <c r="U1095" t="n">
        <v>120</v>
      </c>
      <c r="V1095" t="b">
        <v>1</v>
      </c>
      <c r="W1095" t="inlineStr">
        <is>
          <t>Loan calculator!F17:F136</t>
        </is>
      </c>
      <c r="X1095">
        <f>IFERROR(IF(LoanIsNotPaid*LoanIsGood,Principal,0), 0)</f>
        <v/>
      </c>
    </row>
    <row r="1096">
      <c r="A1096" t="inlineStr">
        <is>
          <t>Loan calculator</t>
        </is>
      </c>
      <c r="B1096" t="inlineStr">
        <is>
          <t>G117</t>
        </is>
      </c>
      <c r="C1096" t="n">
        <v>117</v>
      </c>
      <c r="D1096" t="n">
        <v>7</v>
      </c>
      <c r="E1096" t="inlineStr">
        <is>
          <t>Output</t>
        </is>
      </c>
      <c r="F1096" t="inlineStr">
        <is>
          <t>'=IFERROR(IF(LoanIsNotPaid*LoanIsGood,InterestAmt,0), 0)</t>
        </is>
      </c>
      <c r="G1096" t="n">
        <v>9.485159693362503</v>
      </c>
      <c r="H1096" t="inlineStr"/>
      <c r="I1096" t="inlineStr">
        <is>
          <t>"$"#,##0.00</t>
        </is>
      </c>
      <c r="J1096" t="b">
        <v>0</v>
      </c>
      <c r="K1096" t="b">
        <v>0</v>
      </c>
      <c r="L1096" t="n">
        <v>9</v>
      </c>
      <c r="M1096" t="inlineStr">
        <is>
          <t>Values must be of type &lt;class 'str'&gt;</t>
        </is>
      </c>
      <c r="N1096" t="inlineStr">
        <is>
          <t>00000000</t>
        </is>
      </c>
      <c r="O1096" t="inlineStr">
        <is>
          <t>center</t>
        </is>
      </c>
      <c r="P1096" t="inlineStr">
        <is>
          <t>center</t>
        </is>
      </c>
      <c r="R1096" t="b">
        <v>1</v>
      </c>
      <c r="S1096" t="inlineStr">
        <is>
          <t>G000006</t>
        </is>
      </c>
      <c r="T1096" t="inlineStr">
        <is>
          <t>Vertical</t>
        </is>
      </c>
      <c r="U1096" t="n">
        <v>120</v>
      </c>
      <c r="V1096" t="b">
        <v>1</v>
      </c>
      <c r="W1096" t="inlineStr">
        <is>
          <t>Loan calculator!G17:G136</t>
        </is>
      </c>
      <c r="X1096">
        <f>IFERROR(IF(LoanIsNotPaid*LoanIsGood,InterestAmt,0), 0)</f>
        <v/>
      </c>
    </row>
    <row r="1097">
      <c r="A1097" t="inlineStr">
        <is>
          <t>Loan calculator</t>
        </is>
      </c>
      <c r="B1097" t="inlineStr">
        <is>
          <t>H117</t>
        </is>
      </c>
      <c r="C1097" t="n">
        <v>117</v>
      </c>
      <c r="D1097" t="n">
        <v>8</v>
      </c>
      <c r="E1097" t="inlineStr">
        <is>
          <t>Output</t>
        </is>
      </c>
      <c r="F1097" t="inlineStr">
        <is>
          <t>'=IFERROR(IF(LoanIsNotPaid*LoanIsGood,EndingBalance,0), 0)</t>
        </is>
      </c>
      <c r="G1097" t="n">
        <v>1970.448269375587</v>
      </c>
      <c r="H1097" t="inlineStr"/>
      <c r="I1097" t="inlineStr">
        <is>
          <t>"$"#,##0.00</t>
        </is>
      </c>
      <c r="J1097" t="b">
        <v>0</v>
      </c>
      <c r="K1097" t="b">
        <v>0</v>
      </c>
      <c r="L1097" t="n">
        <v>9</v>
      </c>
      <c r="M1097" t="inlineStr">
        <is>
          <t>Values must be of type &lt;class 'str'&gt;</t>
        </is>
      </c>
      <c r="N1097" t="inlineStr">
        <is>
          <t>00000000</t>
        </is>
      </c>
      <c r="O1097" t="inlineStr">
        <is>
          <t>center</t>
        </is>
      </c>
      <c r="P1097" t="inlineStr">
        <is>
          <t>center</t>
        </is>
      </c>
      <c r="R1097" t="b">
        <v>1</v>
      </c>
      <c r="S1097" t="inlineStr">
        <is>
          <t>G000007</t>
        </is>
      </c>
      <c r="T1097" t="inlineStr">
        <is>
          <t>Vertical</t>
        </is>
      </c>
      <c r="U1097" t="n">
        <v>120</v>
      </c>
      <c r="V1097" t="b">
        <v>1</v>
      </c>
      <c r="W1097" t="inlineStr">
        <is>
          <t>Loan calculator!H17:H136</t>
        </is>
      </c>
      <c r="X1097">
        <f>IFERROR(IF(LoanIsNotPaid*LoanIsGood,EndingBalance,0), 0)</f>
        <v/>
      </c>
    </row>
    <row r="1098">
      <c r="A1098" t="inlineStr">
        <is>
          <t>Loan calculator</t>
        </is>
      </c>
      <c r="B1098" t="inlineStr">
        <is>
          <t>I117</t>
        </is>
      </c>
      <c r="C1098" t="n">
        <v>117</v>
      </c>
      <c r="D1098" t="n">
        <v>9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11</v>
      </c>
      <c r="M1098" t="inlineStr">
        <is>
          <t>Values must be of type &lt;class 'str'&gt;</t>
        </is>
      </c>
      <c r="N1098" t="inlineStr">
        <is>
          <t>Values must be of type &lt;class 'str'&gt;</t>
        </is>
      </c>
      <c r="O1098" t="n">
        <v/>
      </c>
      <c r="P1098" t="inlineStr">
        <is>
          <t>center</t>
        </is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</row>
    <row r="1099">
      <c r="A1099" t="inlineStr">
        <is>
          <t>Loan calculator</t>
        </is>
      </c>
      <c r="B1099" t="inlineStr">
        <is>
          <t>A118</t>
        </is>
      </c>
      <c r="C1099" t="n">
        <v>118</v>
      </c>
      <c r="D1099" t="n">
        <v>1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11</v>
      </c>
      <c r="M1099" t="inlineStr">
        <is>
          <t>Values must be of type &lt;class 'str'&gt;</t>
        </is>
      </c>
      <c r="N1099" t="inlineStr">
        <is>
          <t>Values must be of type &lt;class 'str'&gt;</t>
        </is>
      </c>
      <c r="O1099" t="n">
        <v/>
      </c>
      <c r="P1099" t="inlineStr">
        <is>
          <t>center</t>
        </is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</row>
    <row r="1100">
      <c r="A1100" t="inlineStr">
        <is>
          <t>Loan calculator</t>
        </is>
      </c>
      <c r="B1100" t="inlineStr">
        <is>
          <t>B118</t>
        </is>
      </c>
      <c r="C1100" t="n">
        <v>118</v>
      </c>
      <c r="D1100" t="n">
        <v>2</v>
      </c>
      <c r="E1100" t="inlineStr">
        <is>
          <t>Output</t>
        </is>
      </c>
      <c r="F1100" t="inlineStr">
        <is>
          <t>'=IFERROR(IF(LoanIsNotPaid*LoanIsGood,PaymentNumber,""), "")</t>
        </is>
      </c>
      <c r="G1100" t="n">
        <v>102</v>
      </c>
      <c r="H1100" t="inlineStr"/>
      <c r="I1100" t="inlineStr">
        <is>
          <t>#,##0</t>
        </is>
      </c>
      <c r="J1100" t="b">
        <v>0</v>
      </c>
      <c r="K1100" t="b">
        <v>0</v>
      </c>
      <c r="L1100" t="n">
        <v>9</v>
      </c>
      <c r="M1100" t="inlineStr">
        <is>
          <t>Values must be of type &lt;class 'str'&gt;</t>
        </is>
      </c>
      <c r="N1100" t="inlineStr">
        <is>
          <t>00000000</t>
        </is>
      </c>
      <c r="O1100" t="inlineStr">
        <is>
          <t>center</t>
        </is>
      </c>
      <c r="P1100" t="inlineStr">
        <is>
          <t>center</t>
        </is>
      </c>
      <c r="R1100" t="b">
        <v>1</v>
      </c>
      <c r="S1100" t="inlineStr">
        <is>
          <t>G000001</t>
        </is>
      </c>
      <c r="T1100" t="inlineStr">
        <is>
          <t>Vertical</t>
        </is>
      </c>
      <c r="U1100" t="n">
        <v>120</v>
      </c>
      <c r="V1100" t="b">
        <v>1</v>
      </c>
      <c r="W1100" t="inlineStr">
        <is>
          <t>Loan calculator!B17:B136</t>
        </is>
      </c>
      <c r="X1100">
        <f>IFERROR(IF(LoanIsNotPaid*LoanIsGood,PaymentNumber,""), "")</f>
        <v/>
      </c>
    </row>
    <row r="1101">
      <c r="A1101" t="inlineStr">
        <is>
          <t>Loan calculator</t>
        </is>
      </c>
      <c r="B1101" t="inlineStr">
        <is>
          <t>C118</t>
        </is>
      </c>
      <c r="C1101" t="n">
        <v>118</v>
      </c>
      <c r="D1101" t="n">
        <v>3</v>
      </c>
      <c r="E1101" t="inlineStr">
        <is>
          <t>Output</t>
        </is>
      </c>
      <c r="F1101" t="inlineStr">
        <is>
          <t>'=IFERROR(IF(LoanIsNotPaid*LoanIsGood,PaymentDate,LoanStartDate), LoanStartDate)</t>
        </is>
      </c>
      <c r="G1101" s="1" t="n">
        <v>49192</v>
      </c>
      <c r="H1101" t="inlineStr"/>
      <c r="I1101" t="inlineStr">
        <is>
          <t>mm-dd-yy</t>
        </is>
      </c>
      <c r="J1101" t="b">
        <v>0</v>
      </c>
      <c r="K1101" t="b">
        <v>0</v>
      </c>
      <c r="L1101" t="n">
        <v>9</v>
      </c>
      <c r="M1101" t="inlineStr">
        <is>
          <t>Values must be of type &lt;class 'str'&gt;</t>
        </is>
      </c>
      <c r="N1101" t="inlineStr">
        <is>
          <t>00000000</t>
        </is>
      </c>
      <c r="O1101" t="inlineStr">
        <is>
          <t>center</t>
        </is>
      </c>
      <c r="P1101" t="inlineStr">
        <is>
          <t>center</t>
        </is>
      </c>
      <c r="R1101" t="b">
        <v>1</v>
      </c>
      <c r="S1101" t="inlineStr">
        <is>
          <t>G000002</t>
        </is>
      </c>
      <c r="T1101" t="inlineStr">
        <is>
          <t>Vertical</t>
        </is>
      </c>
      <c r="U1101" t="n">
        <v>120</v>
      </c>
      <c r="V1101" t="b">
        <v>1</v>
      </c>
      <c r="W1101" t="inlineStr">
        <is>
          <t>Loan calculator!C17:C136</t>
        </is>
      </c>
      <c r="X1101">
        <f>IFERROR(IF(LoanIsNotPaid*LoanIsGood,PaymentDate,LoanStartDate), LoanStartDate)</f>
        <v/>
      </c>
    </row>
    <row r="1102">
      <c r="A1102" t="inlineStr">
        <is>
          <t>Loan calculator</t>
        </is>
      </c>
      <c r="B1102" t="inlineStr">
        <is>
          <t>D118</t>
        </is>
      </c>
      <c r="C1102" t="n">
        <v>118</v>
      </c>
      <c r="D1102" t="n">
        <v>4</v>
      </c>
      <c r="E1102" t="inlineStr">
        <is>
          <t>Output</t>
        </is>
      </c>
      <c r="F1102" t="inlineStr">
        <is>
          <t>'=IFERROR(IF(LoanIsNotPaid*LoanIsGood,LoanValue,""), "")</t>
        </is>
      </c>
      <c r="G1102" t="n">
        <v>1970.448269375587</v>
      </c>
      <c r="H1102" t="inlineStr"/>
      <c r="I1102" t="inlineStr">
        <is>
          <t>"$"#,##0.00</t>
        </is>
      </c>
      <c r="J1102" t="b">
        <v>0</v>
      </c>
      <c r="K1102" t="b">
        <v>0</v>
      </c>
      <c r="L1102" t="n">
        <v>9</v>
      </c>
      <c r="M1102" t="inlineStr">
        <is>
          <t>Values must be of type &lt;class 'str'&gt;</t>
        </is>
      </c>
      <c r="N1102" t="inlineStr">
        <is>
          <t>00000000</t>
        </is>
      </c>
      <c r="O1102" t="inlineStr">
        <is>
          <t>center</t>
        </is>
      </c>
      <c r="P1102" t="inlineStr">
        <is>
          <t>center</t>
        </is>
      </c>
      <c r="R1102" t="b">
        <v>1</v>
      </c>
      <c r="S1102" t="inlineStr">
        <is>
          <t>G000003</t>
        </is>
      </c>
      <c r="T1102" t="inlineStr">
        <is>
          <t>Vertical</t>
        </is>
      </c>
      <c r="U1102" t="n">
        <v>120</v>
      </c>
      <c r="V1102" t="b">
        <v>1</v>
      </c>
      <c r="W1102" t="inlineStr">
        <is>
          <t>Loan calculator!D17:D136</t>
        </is>
      </c>
      <c r="X1102">
        <f>IFERROR(IF(LoanIsNotPaid*LoanIsGood,LoanValue,""), "")</f>
        <v/>
      </c>
    </row>
    <row r="1103">
      <c r="A1103" t="inlineStr">
        <is>
          <t>Loan calculator</t>
        </is>
      </c>
      <c r="B1103" t="inlineStr">
        <is>
          <t>E118</t>
        </is>
      </c>
      <c r="C1103" t="n">
        <v>118</v>
      </c>
      <c r="D1103" t="n">
        <v>5</v>
      </c>
      <c r="E1103" t="inlineStr">
        <is>
          <t>Output</t>
        </is>
      </c>
      <c r="F1103" t="inlineStr">
        <is>
          <t>'=IFERROR(IF(LoanIsNotPaid*LoanIsGood,MonthlyPayment,0), 0)</t>
        </is>
      </c>
      <c r="G1103" t="n">
        <v>108.5262779604807</v>
      </c>
      <c r="H1103" t="inlineStr"/>
      <c r="I1103" t="inlineStr">
        <is>
          <t>"$"#,##0.00</t>
        </is>
      </c>
      <c r="J1103" t="b">
        <v>0</v>
      </c>
      <c r="K1103" t="b">
        <v>0</v>
      </c>
      <c r="L1103" t="n">
        <v>9</v>
      </c>
      <c r="M1103" t="inlineStr">
        <is>
          <t>Values must be of type &lt;class 'str'&gt;</t>
        </is>
      </c>
      <c r="N1103" t="inlineStr">
        <is>
          <t>00000000</t>
        </is>
      </c>
      <c r="O1103" t="inlineStr">
        <is>
          <t>center</t>
        </is>
      </c>
      <c r="P1103" t="inlineStr">
        <is>
          <t>center</t>
        </is>
      </c>
      <c r="R1103" t="b">
        <v>1</v>
      </c>
      <c r="S1103" t="inlineStr">
        <is>
          <t>G000004</t>
        </is>
      </c>
      <c r="T1103" t="inlineStr">
        <is>
          <t>Vertical</t>
        </is>
      </c>
      <c r="U1103" t="n">
        <v>120</v>
      </c>
      <c r="V1103" t="b">
        <v>1</v>
      </c>
      <c r="W1103" t="inlineStr">
        <is>
          <t>Loan calculator!E17:E136</t>
        </is>
      </c>
      <c r="X1103">
        <f>IFERROR(IF(LoanIsNotPaid*LoanIsGood,MonthlyPayment,0), 0)</f>
        <v/>
      </c>
    </row>
    <row r="1104">
      <c r="A1104" t="inlineStr">
        <is>
          <t>Loan calculator</t>
        </is>
      </c>
      <c r="B1104" t="inlineStr">
        <is>
          <t>F118</t>
        </is>
      </c>
      <c r="C1104" t="n">
        <v>118</v>
      </c>
      <c r="D1104" t="n">
        <v>6</v>
      </c>
      <c r="E1104" t="inlineStr">
        <is>
          <t>Output</t>
        </is>
      </c>
      <c r="F1104" t="inlineStr">
        <is>
          <t>'=IFERROR(IF(LoanIsNotPaid*LoanIsGood,Principal,0), 0)</t>
        </is>
      </c>
      <c r="G1104" t="n">
        <v>99.49505672584253</v>
      </c>
      <c r="H1104" t="inlineStr"/>
      <c r="I1104" t="inlineStr">
        <is>
          <t>"$"#,##0.00</t>
        </is>
      </c>
      <c r="J1104" t="b">
        <v>0</v>
      </c>
      <c r="K1104" t="b">
        <v>0</v>
      </c>
      <c r="L1104" t="n">
        <v>9</v>
      </c>
      <c r="M1104" t="inlineStr">
        <is>
          <t>Values must be of type &lt;class 'str'&gt;</t>
        </is>
      </c>
      <c r="N1104" t="inlineStr">
        <is>
          <t>00000000</t>
        </is>
      </c>
      <c r="O1104" t="inlineStr">
        <is>
          <t>center</t>
        </is>
      </c>
      <c r="P1104" t="inlineStr">
        <is>
          <t>center</t>
        </is>
      </c>
      <c r="R1104" t="b">
        <v>1</v>
      </c>
      <c r="S1104" t="inlineStr">
        <is>
          <t>G000005</t>
        </is>
      </c>
      <c r="T1104" t="inlineStr">
        <is>
          <t>Vertical</t>
        </is>
      </c>
      <c r="U1104" t="n">
        <v>120</v>
      </c>
      <c r="V1104" t="b">
        <v>1</v>
      </c>
      <c r="W1104" t="inlineStr">
        <is>
          <t>Loan calculator!F17:F136</t>
        </is>
      </c>
      <c r="X1104">
        <f>IFERROR(IF(LoanIsNotPaid*LoanIsGood,Principal,0), 0)</f>
        <v/>
      </c>
    </row>
    <row r="1105">
      <c r="A1105" t="inlineStr">
        <is>
          <t>Loan calculator</t>
        </is>
      </c>
      <c r="B1105" t="inlineStr">
        <is>
          <t>G118</t>
        </is>
      </c>
      <c r="C1105" t="n">
        <v>118</v>
      </c>
      <c r="D1105" t="n">
        <v>7</v>
      </c>
      <c r="E1105" t="inlineStr">
        <is>
          <t>Output</t>
        </is>
      </c>
      <c r="F1105" t="inlineStr">
        <is>
          <t>'=IFERROR(IF(LoanIsNotPaid*LoanIsGood,InterestAmt,0), 0)</t>
        </is>
      </c>
      <c r="G1105" t="n">
        <v>9.03122123463821</v>
      </c>
      <c r="H1105" t="inlineStr"/>
      <c r="I1105" t="inlineStr">
        <is>
          <t>"$"#,##0.00</t>
        </is>
      </c>
      <c r="J1105" t="b">
        <v>0</v>
      </c>
      <c r="K1105" t="b">
        <v>0</v>
      </c>
      <c r="L1105" t="n">
        <v>9</v>
      </c>
      <c r="M1105" t="inlineStr">
        <is>
          <t>Values must be of type &lt;class 'str'&gt;</t>
        </is>
      </c>
      <c r="N1105" t="inlineStr">
        <is>
          <t>00000000</t>
        </is>
      </c>
      <c r="O1105" t="inlineStr">
        <is>
          <t>center</t>
        </is>
      </c>
      <c r="P1105" t="inlineStr">
        <is>
          <t>center</t>
        </is>
      </c>
      <c r="R1105" t="b">
        <v>1</v>
      </c>
      <c r="S1105" t="inlineStr">
        <is>
          <t>G000006</t>
        </is>
      </c>
      <c r="T1105" t="inlineStr">
        <is>
          <t>Vertical</t>
        </is>
      </c>
      <c r="U1105" t="n">
        <v>120</v>
      </c>
      <c r="V1105" t="b">
        <v>1</v>
      </c>
      <c r="W1105" t="inlineStr">
        <is>
          <t>Loan calculator!G17:G136</t>
        </is>
      </c>
      <c r="X1105">
        <f>IFERROR(IF(LoanIsNotPaid*LoanIsGood,InterestAmt,0), 0)</f>
        <v/>
      </c>
    </row>
    <row r="1106">
      <c r="A1106" t="inlineStr">
        <is>
          <t>Loan calculator</t>
        </is>
      </c>
      <c r="B1106" t="inlineStr">
        <is>
          <t>H118</t>
        </is>
      </c>
      <c r="C1106" t="n">
        <v>118</v>
      </c>
      <c r="D1106" t="n">
        <v>8</v>
      </c>
      <c r="E1106" t="inlineStr">
        <is>
          <t>Output</t>
        </is>
      </c>
      <c r="F1106" t="inlineStr">
        <is>
          <t>'=IFERROR(IF(LoanIsNotPaid*LoanIsGood,EndingBalance,0), 0)</t>
        </is>
      </c>
      <c r="G1106" t="n">
        <v>1870.953212649745</v>
      </c>
      <c r="H1106" t="inlineStr"/>
      <c r="I1106" t="inlineStr">
        <is>
          <t>"$"#,##0.00</t>
        </is>
      </c>
      <c r="J1106" t="b">
        <v>0</v>
      </c>
      <c r="K1106" t="b">
        <v>0</v>
      </c>
      <c r="L1106" t="n">
        <v>9</v>
      </c>
      <c r="M1106" t="inlineStr">
        <is>
          <t>Values must be of type &lt;class 'str'&gt;</t>
        </is>
      </c>
      <c r="N1106" t="inlineStr">
        <is>
          <t>00000000</t>
        </is>
      </c>
      <c r="O1106" t="inlineStr">
        <is>
          <t>center</t>
        </is>
      </c>
      <c r="P1106" t="inlineStr">
        <is>
          <t>center</t>
        </is>
      </c>
      <c r="R1106" t="b">
        <v>1</v>
      </c>
      <c r="S1106" t="inlineStr">
        <is>
          <t>G000007</t>
        </is>
      </c>
      <c r="T1106" t="inlineStr">
        <is>
          <t>Vertical</t>
        </is>
      </c>
      <c r="U1106" t="n">
        <v>120</v>
      </c>
      <c r="V1106" t="b">
        <v>1</v>
      </c>
      <c r="W1106" t="inlineStr">
        <is>
          <t>Loan calculator!H17:H136</t>
        </is>
      </c>
      <c r="X1106">
        <f>IFERROR(IF(LoanIsNotPaid*LoanIsGood,EndingBalance,0), 0)</f>
        <v/>
      </c>
    </row>
    <row r="1107">
      <c r="A1107" t="inlineStr">
        <is>
          <t>Loan calculator</t>
        </is>
      </c>
      <c r="B1107" t="inlineStr">
        <is>
          <t>I118</t>
        </is>
      </c>
      <c r="C1107" t="n">
        <v>118</v>
      </c>
      <c r="D1107" t="n">
        <v>9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11</v>
      </c>
      <c r="M1107" t="inlineStr">
        <is>
          <t>Values must be of type &lt;class 'str'&gt;</t>
        </is>
      </c>
      <c r="N1107" t="inlineStr">
        <is>
          <t>Values must be of type &lt;class 'str'&gt;</t>
        </is>
      </c>
      <c r="O1107" t="n">
        <v/>
      </c>
      <c r="P1107" t="inlineStr">
        <is>
          <t>center</t>
        </is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</row>
    <row r="1108">
      <c r="A1108" t="inlineStr">
        <is>
          <t>Loan calculator</t>
        </is>
      </c>
      <c r="B1108" t="inlineStr">
        <is>
          <t>A119</t>
        </is>
      </c>
      <c r="C1108" t="n">
        <v>119</v>
      </c>
      <c r="D1108" t="n">
        <v>1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11</v>
      </c>
      <c r="M1108" t="inlineStr">
        <is>
          <t>Values must be of type &lt;class 'str'&gt;</t>
        </is>
      </c>
      <c r="N1108" t="inlineStr">
        <is>
          <t>Values must be of type &lt;class 'str'&gt;</t>
        </is>
      </c>
      <c r="O1108" t="n">
        <v/>
      </c>
      <c r="P1108" t="inlineStr">
        <is>
          <t>center</t>
        </is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</row>
    <row r="1109">
      <c r="A1109" t="inlineStr">
        <is>
          <t>Loan calculator</t>
        </is>
      </c>
      <c r="B1109" t="inlineStr">
        <is>
          <t>B119</t>
        </is>
      </c>
      <c r="C1109" t="n">
        <v>119</v>
      </c>
      <c r="D1109" t="n">
        <v>2</v>
      </c>
      <c r="E1109" t="inlineStr">
        <is>
          <t>Output</t>
        </is>
      </c>
      <c r="F1109" t="inlineStr">
        <is>
          <t>'=IFERROR(IF(LoanIsNotPaid*LoanIsGood,PaymentNumber,""), "")</t>
        </is>
      </c>
      <c r="G1109" t="n">
        <v>103</v>
      </c>
      <c r="H1109" t="inlineStr"/>
      <c r="I1109" t="inlineStr">
        <is>
          <t>#,##0</t>
        </is>
      </c>
      <c r="J1109" t="b">
        <v>0</v>
      </c>
      <c r="K1109" t="b">
        <v>0</v>
      </c>
      <c r="L1109" t="n">
        <v>9</v>
      </c>
      <c r="M1109" t="inlineStr">
        <is>
          <t>Values must be of type &lt;class 'str'&gt;</t>
        </is>
      </c>
      <c r="N1109" t="inlineStr">
        <is>
          <t>00000000</t>
        </is>
      </c>
      <c r="O1109" t="inlineStr">
        <is>
          <t>center</t>
        </is>
      </c>
      <c r="P1109" t="inlineStr">
        <is>
          <t>center</t>
        </is>
      </c>
      <c r="R1109" t="b">
        <v>1</v>
      </c>
      <c r="S1109" t="inlineStr">
        <is>
          <t>G000001</t>
        </is>
      </c>
      <c r="T1109" t="inlineStr">
        <is>
          <t>Vertical</t>
        </is>
      </c>
      <c r="U1109" t="n">
        <v>120</v>
      </c>
      <c r="V1109" t="b">
        <v>1</v>
      </c>
      <c r="W1109" t="inlineStr">
        <is>
          <t>Loan calculator!B17:B136</t>
        </is>
      </c>
      <c r="X1109">
        <f>IFERROR(IF(LoanIsNotPaid*LoanIsGood,PaymentNumber,""), "")</f>
        <v/>
      </c>
    </row>
    <row r="1110">
      <c r="A1110" t="inlineStr">
        <is>
          <t>Loan calculator</t>
        </is>
      </c>
      <c r="B1110" t="inlineStr">
        <is>
          <t>C119</t>
        </is>
      </c>
      <c r="C1110" t="n">
        <v>119</v>
      </c>
      <c r="D1110" t="n">
        <v>3</v>
      </c>
      <c r="E1110" t="inlineStr">
        <is>
          <t>Output</t>
        </is>
      </c>
      <c r="F1110" t="inlineStr">
        <is>
          <t>'=IFERROR(IF(LoanIsNotPaid*LoanIsGood,PaymentDate,LoanStartDate), LoanStartDate)</t>
        </is>
      </c>
      <c r="G1110" s="1" t="n">
        <v>49222</v>
      </c>
      <c r="H1110" t="inlineStr"/>
      <c r="I1110" t="inlineStr">
        <is>
          <t>mm-dd-yy</t>
        </is>
      </c>
      <c r="J1110" t="b">
        <v>0</v>
      </c>
      <c r="K1110" t="b">
        <v>0</v>
      </c>
      <c r="L1110" t="n">
        <v>9</v>
      </c>
      <c r="M1110" t="inlineStr">
        <is>
          <t>Values must be of type &lt;class 'str'&gt;</t>
        </is>
      </c>
      <c r="N1110" t="inlineStr">
        <is>
          <t>00000000</t>
        </is>
      </c>
      <c r="O1110" t="inlineStr">
        <is>
          <t>center</t>
        </is>
      </c>
      <c r="P1110" t="inlineStr">
        <is>
          <t>center</t>
        </is>
      </c>
      <c r="R1110" t="b">
        <v>1</v>
      </c>
      <c r="S1110" t="inlineStr">
        <is>
          <t>G000002</t>
        </is>
      </c>
      <c r="T1110" t="inlineStr">
        <is>
          <t>Vertical</t>
        </is>
      </c>
      <c r="U1110" t="n">
        <v>120</v>
      </c>
      <c r="V1110" t="b">
        <v>1</v>
      </c>
      <c r="W1110" t="inlineStr">
        <is>
          <t>Loan calculator!C17:C136</t>
        </is>
      </c>
      <c r="X1110">
        <f>IFERROR(IF(LoanIsNotPaid*LoanIsGood,PaymentDate,LoanStartDate), LoanStartDate)</f>
        <v/>
      </c>
    </row>
    <row r="1111">
      <c r="A1111" t="inlineStr">
        <is>
          <t>Loan calculator</t>
        </is>
      </c>
      <c r="B1111" t="inlineStr">
        <is>
          <t>D119</t>
        </is>
      </c>
      <c r="C1111" t="n">
        <v>119</v>
      </c>
      <c r="D1111" t="n">
        <v>4</v>
      </c>
      <c r="E1111" t="inlineStr">
        <is>
          <t>Output</t>
        </is>
      </c>
      <c r="F1111" t="inlineStr">
        <is>
          <t>'=IFERROR(IF(LoanIsNotPaid*LoanIsGood,LoanValue,""), "")</t>
        </is>
      </c>
      <c r="G1111" t="n">
        <v>1870.953212649745</v>
      </c>
      <c r="H1111" t="inlineStr"/>
      <c r="I1111" t="inlineStr">
        <is>
          <t>"$"#,##0.00</t>
        </is>
      </c>
      <c r="J1111" t="b">
        <v>0</v>
      </c>
      <c r="K1111" t="b">
        <v>0</v>
      </c>
      <c r="L1111" t="n">
        <v>9</v>
      </c>
      <c r="M1111" t="inlineStr">
        <is>
          <t>Values must be of type &lt;class 'str'&gt;</t>
        </is>
      </c>
      <c r="N1111" t="inlineStr">
        <is>
          <t>00000000</t>
        </is>
      </c>
      <c r="O1111" t="inlineStr">
        <is>
          <t>center</t>
        </is>
      </c>
      <c r="P1111" t="inlineStr">
        <is>
          <t>center</t>
        </is>
      </c>
      <c r="R1111" t="b">
        <v>1</v>
      </c>
      <c r="S1111" t="inlineStr">
        <is>
          <t>G000003</t>
        </is>
      </c>
      <c r="T1111" t="inlineStr">
        <is>
          <t>Vertical</t>
        </is>
      </c>
      <c r="U1111" t="n">
        <v>120</v>
      </c>
      <c r="V1111" t="b">
        <v>1</v>
      </c>
      <c r="W1111" t="inlineStr">
        <is>
          <t>Loan calculator!D17:D136</t>
        </is>
      </c>
      <c r="X1111">
        <f>IFERROR(IF(LoanIsNotPaid*LoanIsGood,LoanValue,""), "")</f>
        <v/>
      </c>
    </row>
    <row r="1112">
      <c r="A1112" t="inlineStr">
        <is>
          <t>Loan calculator</t>
        </is>
      </c>
      <c r="B1112" t="inlineStr">
        <is>
          <t>E119</t>
        </is>
      </c>
      <c r="C1112" t="n">
        <v>119</v>
      </c>
      <c r="D1112" t="n">
        <v>5</v>
      </c>
      <c r="E1112" t="inlineStr">
        <is>
          <t>Output</t>
        </is>
      </c>
      <c r="F1112" t="inlineStr">
        <is>
          <t>'=IFERROR(IF(LoanIsNotPaid*LoanIsGood,MonthlyPayment,0), 0)</t>
        </is>
      </c>
      <c r="G1112" t="n">
        <v>108.5262779604807</v>
      </c>
      <c r="H1112" t="inlineStr"/>
      <c r="I1112" t="inlineStr">
        <is>
          <t>"$"#,##0.00</t>
        </is>
      </c>
      <c r="J1112" t="b">
        <v>0</v>
      </c>
      <c r="K1112" t="b">
        <v>0</v>
      </c>
      <c r="L1112" t="n">
        <v>9</v>
      </c>
      <c r="M1112" t="inlineStr">
        <is>
          <t>Values must be of type &lt;class 'str'&gt;</t>
        </is>
      </c>
      <c r="N1112" t="inlineStr">
        <is>
          <t>00000000</t>
        </is>
      </c>
      <c r="O1112" t="inlineStr">
        <is>
          <t>center</t>
        </is>
      </c>
      <c r="P1112" t="inlineStr">
        <is>
          <t>center</t>
        </is>
      </c>
      <c r="R1112" t="b">
        <v>1</v>
      </c>
      <c r="S1112" t="inlineStr">
        <is>
          <t>G000004</t>
        </is>
      </c>
      <c r="T1112" t="inlineStr">
        <is>
          <t>Vertical</t>
        </is>
      </c>
      <c r="U1112" t="n">
        <v>120</v>
      </c>
      <c r="V1112" t="b">
        <v>1</v>
      </c>
      <c r="W1112" t="inlineStr">
        <is>
          <t>Loan calculator!E17:E136</t>
        </is>
      </c>
      <c r="X1112">
        <f>IFERROR(IF(LoanIsNotPaid*LoanIsGood,MonthlyPayment,0), 0)</f>
        <v/>
      </c>
    </row>
    <row r="1113">
      <c r="A1113" t="inlineStr">
        <is>
          <t>Loan calculator</t>
        </is>
      </c>
      <c r="B1113" t="inlineStr">
        <is>
          <t>F119</t>
        </is>
      </c>
      <c r="C1113" t="n">
        <v>119</v>
      </c>
      <c r="D1113" t="n">
        <v>6</v>
      </c>
      <c r="E1113" t="inlineStr">
        <is>
          <t>Output</t>
        </is>
      </c>
      <c r="F1113" t="inlineStr">
        <is>
          <t>'=IFERROR(IF(LoanIsNotPaid*LoanIsGood,Principal,0), 0)</t>
        </is>
      </c>
      <c r="G1113" t="n">
        <v>99.95107573583596</v>
      </c>
      <c r="H1113" t="inlineStr"/>
      <c r="I1113" t="inlineStr">
        <is>
          <t>"$"#,##0.00</t>
        </is>
      </c>
      <c r="J1113" t="b">
        <v>0</v>
      </c>
      <c r="K1113" t="b">
        <v>0</v>
      </c>
      <c r="L1113" t="n">
        <v>9</v>
      </c>
      <c r="M1113" t="inlineStr">
        <is>
          <t>Values must be of type &lt;class 'str'&gt;</t>
        </is>
      </c>
      <c r="N1113" t="inlineStr">
        <is>
          <t>00000000</t>
        </is>
      </c>
      <c r="O1113" t="inlineStr">
        <is>
          <t>center</t>
        </is>
      </c>
      <c r="P1113" t="inlineStr">
        <is>
          <t>center</t>
        </is>
      </c>
      <c r="R1113" t="b">
        <v>1</v>
      </c>
      <c r="S1113" t="inlineStr">
        <is>
          <t>G000005</t>
        </is>
      </c>
      <c r="T1113" t="inlineStr">
        <is>
          <t>Vertical</t>
        </is>
      </c>
      <c r="U1113" t="n">
        <v>120</v>
      </c>
      <c r="V1113" t="b">
        <v>1</v>
      </c>
      <c r="W1113" t="inlineStr">
        <is>
          <t>Loan calculator!F17:F136</t>
        </is>
      </c>
      <c r="X1113">
        <f>IFERROR(IF(LoanIsNotPaid*LoanIsGood,Principal,0), 0)</f>
        <v/>
      </c>
    </row>
    <row r="1114">
      <c r="A1114" t="inlineStr">
        <is>
          <t>Loan calculator</t>
        </is>
      </c>
      <c r="B1114" t="inlineStr">
        <is>
          <t>G119</t>
        </is>
      </c>
      <c r="C1114" t="n">
        <v>119</v>
      </c>
      <c r="D1114" t="n">
        <v>7</v>
      </c>
      <c r="E1114" t="inlineStr">
        <is>
          <t>Output</t>
        </is>
      </c>
      <c r="F1114" t="inlineStr">
        <is>
          <t>'=IFERROR(IF(LoanIsNotPaid*LoanIsGood,InterestAmt,0), 0)</t>
        </is>
      </c>
      <c r="G1114" t="n">
        <v>8.575202224644766</v>
      </c>
      <c r="H1114" t="inlineStr"/>
      <c r="I1114" t="inlineStr">
        <is>
          <t>"$"#,##0.00</t>
        </is>
      </c>
      <c r="J1114" t="b">
        <v>0</v>
      </c>
      <c r="K1114" t="b">
        <v>0</v>
      </c>
      <c r="L1114" t="n">
        <v>9</v>
      </c>
      <c r="M1114" t="inlineStr">
        <is>
          <t>Values must be of type &lt;class 'str'&gt;</t>
        </is>
      </c>
      <c r="N1114" t="inlineStr">
        <is>
          <t>00000000</t>
        </is>
      </c>
      <c r="O1114" t="inlineStr">
        <is>
          <t>center</t>
        </is>
      </c>
      <c r="P1114" t="inlineStr">
        <is>
          <t>center</t>
        </is>
      </c>
      <c r="R1114" t="b">
        <v>1</v>
      </c>
      <c r="S1114" t="inlineStr">
        <is>
          <t>G000006</t>
        </is>
      </c>
      <c r="T1114" t="inlineStr">
        <is>
          <t>Vertical</t>
        </is>
      </c>
      <c r="U1114" t="n">
        <v>120</v>
      </c>
      <c r="V1114" t="b">
        <v>1</v>
      </c>
      <c r="W1114" t="inlineStr">
        <is>
          <t>Loan calculator!G17:G136</t>
        </is>
      </c>
      <c r="X1114">
        <f>IFERROR(IF(LoanIsNotPaid*LoanIsGood,InterestAmt,0), 0)</f>
        <v/>
      </c>
    </row>
    <row r="1115">
      <c r="A1115" t="inlineStr">
        <is>
          <t>Loan calculator</t>
        </is>
      </c>
      <c r="B1115" t="inlineStr">
        <is>
          <t>H119</t>
        </is>
      </c>
      <c r="C1115" t="n">
        <v>119</v>
      </c>
      <c r="D1115" t="n">
        <v>8</v>
      </c>
      <c r="E1115" t="inlineStr">
        <is>
          <t>Output</t>
        </is>
      </c>
      <c r="F1115" t="inlineStr">
        <is>
          <t>'=IFERROR(IF(LoanIsNotPaid*LoanIsGood,EndingBalance,0), 0)</t>
        </is>
      </c>
      <c r="G1115" t="n">
        <v>1771.00213691391</v>
      </c>
      <c r="H1115" t="inlineStr"/>
      <c r="I1115" t="inlineStr">
        <is>
          <t>"$"#,##0.00</t>
        </is>
      </c>
      <c r="J1115" t="b">
        <v>0</v>
      </c>
      <c r="K1115" t="b">
        <v>0</v>
      </c>
      <c r="L1115" t="n">
        <v>9</v>
      </c>
      <c r="M1115" t="inlineStr">
        <is>
          <t>Values must be of type &lt;class 'str'&gt;</t>
        </is>
      </c>
      <c r="N1115" t="inlineStr">
        <is>
          <t>00000000</t>
        </is>
      </c>
      <c r="O1115" t="inlineStr">
        <is>
          <t>center</t>
        </is>
      </c>
      <c r="P1115" t="inlineStr">
        <is>
          <t>center</t>
        </is>
      </c>
      <c r="R1115" t="b">
        <v>1</v>
      </c>
      <c r="S1115" t="inlineStr">
        <is>
          <t>G000007</t>
        </is>
      </c>
      <c r="T1115" t="inlineStr">
        <is>
          <t>Vertical</t>
        </is>
      </c>
      <c r="U1115" t="n">
        <v>120</v>
      </c>
      <c r="V1115" t="b">
        <v>1</v>
      </c>
      <c r="W1115" t="inlineStr">
        <is>
          <t>Loan calculator!H17:H136</t>
        </is>
      </c>
      <c r="X1115">
        <f>IFERROR(IF(LoanIsNotPaid*LoanIsGood,EndingBalance,0), 0)</f>
        <v/>
      </c>
    </row>
    <row r="1116">
      <c r="A1116" t="inlineStr">
        <is>
          <t>Loan calculator</t>
        </is>
      </c>
      <c r="B1116" t="inlineStr">
        <is>
          <t>I119</t>
        </is>
      </c>
      <c r="C1116" t="n">
        <v>119</v>
      </c>
      <c r="D1116" t="n">
        <v>9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11</v>
      </c>
      <c r="M1116" t="inlineStr">
        <is>
          <t>Values must be of type &lt;class 'str'&gt;</t>
        </is>
      </c>
      <c r="N1116" t="inlineStr">
        <is>
          <t>Values must be of type &lt;class 'str'&gt;</t>
        </is>
      </c>
      <c r="O1116" t="n">
        <v/>
      </c>
      <c r="P1116" t="inlineStr">
        <is>
          <t>center</t>
        </is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</row>
    <row r="1117">
      <c r="A1117" t="inlineStr">
        <is>
          <t>Loan calculator</t>
        </is>
      </c>
      <c r="B1117" t="inlineStr">
        <is>
          <t>A120</t>
        </is>
      </c>
      <c r="C1117" t="n">
        <v>120</v>
      </c>
      <c r="D1117" t="n">
        <v>1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11</v>
      </c>
      <c r="M1117" t="inlineStr">
        <is>
          <t>Values must be of type &lt;class 'str'&gt;</t>
        </is>
      </c>
      <c r="N1117" t="inlineStr">
        <is>
          <t>Values must be of type &lt;class 'str'&gt;</t>
        </is>
      </c>
      <c r="O1117" t="n">
        <v/>
      </c>
      <c r="P1117" t="inlineStr">
        <is>
          <t>center</t>
        </is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</row>
    <row r="1118">
      <c r="A1118" t="inlineStr">
        <is>
          <t>Loan calculator</t>
        </is>
      </c>
      <c r="B1118" t="inlineStr">
        <is>
          <t>B120</t>
        </is>
      </c>
      <c r="C1118" t="n">
        <v>120</v>
      </c>
      <c r="D1118" t="n">
        <v>2</v>
      </c>
      <c r="E1118" t="inlineStr">
        <is>
          <t>Output</t>
        </is>
      </c>
      <c r="F1118" t="inlineStr">
        <is>
          <t>'=IFERROR(IF(LoanIsNotPaid*LoanIsGood,PaymentNumber,""), "")</t>
        </is>
      </c>
      <c r="G1118" t="n">
        <v>104</v>
      </c>
      <c r="H1118" t="inlineStr"/>
      <c r="I1118" t="inlineStr">
        <is>
          <t>#,##0</t>
        </is>
      </c>
      <c r="J1118" t="b">
        <v>0</v>
      </c>
      <c r="K1118" t="b">
        <v>0</v>
      </c>
      <c r="L1118" t="n">
        <v>9</v>
      </c>
      <c r="M1118" t="inlineStr">
        <is>
          <t>Values must be of type &lt;class 'str'&gt;</t>
        </is>
      </c>
      <c r="N1118" t="inlineStr">
        <is>
          <t>00000000</t>
        </is>
      </c>
      <c r="O1118" t="inlineStr">
        <is>
          <t>center</t>
        </is>
      </c>
      <c r="P1118" t="inlineStr">
        <is>
          <t>center</t>
        </is>
      </c>
      <c r="R1118" t="b">
        <v>1</v>
      </c>
      <c r="S1118" t="inlineStr">
        <is>
          <t>G000001</t>
        </is>
      </c>
      <c r="T1118" t="inlineStr">
        <is>
          <t>Vertical</t>
        </is>
      </c>
      <c r="U1118" t="n">
        <v>120</v>
      </c>
      <c r="V1118" t="b">
        <v>1</v>
      </c>
      <c r="W1118" t="inlineStr">
        <is>
          <t>Loan calculator!B17:B136</t>
        </is>
      </c>
      <c r="X1118">
        <f>IFERROR(IF(LoanIsNotPaid*LoanIsGood,PaymentNumber,""), "")</f>
        <v/>
      </c>
    </row>
    <row r="1119">
      <c r="A1119" t="inlineStr">
        <is>
          <t>Loan calculator</t>
        </is>
      </c>
      <c r="B1119" t="inlineStr">
        <is>
          <t>C120</t>
        </is>
      </c>
      <c r="C1119" t="n">
        <v>120</v>
      </c>
      <c r="D1119" t="n">
        <v>3</v>
      </c>
      <c r="E1119" t="inlineStr">
        <is>
          <t>Output</t>
        </is>
      </c>
      <c r="F1119" t="inlineStr">
        <is>
          <t>'=IFERROR(IF(LoanIsNotPaid*LoanIsGood,PaymentDate,LoanStartDate), LoanStartDate)</t>
        </is>
      </c>
      <c r="G1119" s="1" t="n">
        <v>49253</v>
      </c>
      <c r="H1119" t="inlineStr"/>
      <c r="I1119" t="inlineStr">
        <is>
          <t>mm-dd-yy</t>
        </is>
      </c>
      <c r="J1119" t="b">
        <v>0</v>
      </c>
      <c r="K1119" t="b">
        <v>0</v>
      </c>
      <c r="L1119" t="n">
        <v>9</v>
      </c>
      <c r="M1119" t="inlineStr">
        <is>
          <t>Values must be of type &lt;class 'str'&gt;</t>
        </is>
      </c>
      <c r="N1119" t="inlineStr">
        <is>
          <t>00000000</t>
        </is>
      </c>
      <c r="O1119" t="inlineStr">
        <is>
          <t>center</t>
        </is>
      </c>
      <c r="P1119" t="inlineStr">
        <is>
          <t>center</t>
        </is>
      </c>
      <c r="R1119" t="b">
        <v>1</v>
      </c>
      <c r="S1119" t="inlineStr">
        <is>
          <t>G000002</t>
        </is>
      </c>
      <c r="T1119" t="inlineStr">
        <is>
          <t>Vertical</t>
        </is>
      </c>
      <c r="U1119" t="n">
        <v>120</v>
      </c>
      <c r="V1119" t="b">
        <v>1</v>
      </c>
      <c r="W1119" t="inlineStr">
        <is>
          <t>Loan calculator!C17:C136</t>
        </is>
      </c>
      <c r="X1119">
        <f>IFERROR(IF(LoanIsNotPaid*LoanIsGood,PaymentDate,LoanStartDate), LoanStartDate)</f>
        <v/>
      </c>
    </row>
    <row r="1120">
      <c r="A1120" t="inlineStr">
        <is>
          <t>Loan calculator</t>
        </is>
      </c>
      <c r="B1120" t="inlineStr">
        <is>
          <t>D120</t>
        </is>
      </c>
      <c r="C1120" t="n">
        <v>120</v>
      </c>
      <c r="D1120" t="n">
        <v>4</v>
      </c>
      <c r="E1120" t="inlineStr">
        <is>
          <t>Output</t>
        </is>
      </c>
      <c r="F1120" t="inlineStr">
        <is>
          <t>'=IFERROR(IF(LoanIsNotPaid*LoanIsGood,LoanValue,""), "")</t>
        </is>
      </c>
      <c r="G1120" t="n">
        <v>1771.00213691391</v>
      </c>
      <c r="H1120" t="inlineStr"/>
      <c r="I1120" t="inlineStr">
        <is>
          <t>"$"#,##0.00</t>
        </is>
      </c>
      <c r="J1120" t="b">
        <v>0</v>
      </c>
      <c r="K1120" t="b">
        <v>0</v>
      </c>
      <c r="L1120" t="n">
        <v>9</v>
      </c>
      <c r="M1120" t="inlineStr">
        <is>
          <t>Values must be of type &lt;class 'str'&gt;</t>
        </is>
      </c>
      <c r="N1120" t="inlineStr">
        <is>
          <t>00000000</t>
        </is>
      </c>
      <c r="O1120" t="inlineStr">
        <is>
          <t>center</t>
        </is>
      </c>
      <c r="P1120" t="inlineStr">
        <is>
          <t>center</t>
        </is>
      </c>
      <c r="R1120" t="b">
        <v>1</v>
      </c>
      <c r="S1120" t="inlineStr">
        <is>
          <t>G000003</t>
        </is>
      </c>
      <c r="T1120" t="inlineStr">
        <is>
          <t>Vertical</t>
        </is>
      </c>
      <c r="U1120" t="n">
        <v>120</v>
      </c>
      <c r="V1120" t="b">
        <v>1</v>
      </c>
      <c r="W1120" t="inlineStr">
        <is>
          <t>Loan calculator!D17:D136</t>
        </is>
      </c>
      <c r="X1120">
        <f>IFERROR(IF(LoanIsNotPaid*LoanIsGood,LoanValue,""), "")</f>
        <v/>
      </c>
    </row>
    <row r="1121">
      <c r="A1121" t="inlineStr">
        <is>
          <t>Loan calculator</t>
        </is>
      </c>
      <c r="B1121" t="inlineStr">
        <is>
          <t>E120</t>
        </is>
      </c>
      <c r="C1121" t="n">
        <v>120</v>
      </c>
      <c r="D1121" t="n">
        <v>5</v>
      </c>
      <c r="E1121" t="inlineStr">
        <is>
          <t>Output</t>
        </is>
      </c>
      <c r="F1121" t="inlineStr">
        <is>
          <t>'=IFERROR(IF(LoanIsNotPaid*LoanIsGood,MonthlyPayment,0), 0)</t>
        </is>
      </c>
      <c r="G1121" t="n">
        <v>108.5262779604807</v>
      </c>
      <c r="H1121" t="inlineStr"/>
      <c r="I1121" t="inlineStr">
        <is>
          <t>"$"#,##0.00</t>
        </is>
      </c>
      <c r="J1121" t="b">
        <v>0</v>
      </c>
      <c r="K1121" t="b">
        <v>0</v>
      </c>
      <c r="L1121" t="n">
        <v>9</v>
      </c>
      <c r="M1121" t="inlineStr">
        <is>
          <t>Values must be of type &lt;class 'str'&gt;</t>
        </is>
      </c>
      <c r="N1121" t="inlineStr">
        <is>
          <t>00000000</t>
        </is>
      </c>
      <c r="O1121" t="inlineStr">
        <is>
          <t>center</t>
        </is>
      </c>
      <c r="P1121" t="inlineStr">
        <is>
          <t>center</t>
        </is>
      </c>
      <c r="R1121" t="b">
        <v>1</v>
      </c>
      <c r="S1121" t="inlineStr">
        <is>
          <t>G000004</t>
        </is>
      </c>
      <c r="T1121" t="inlineStr">
        <is>
          <t>Vertical</t>
        </is>
      </c>
      <c r="U1121" t="n">
        <v>120</v>
      </c>
      <c r="V1121" t="b">
        <v>1</v>
      </c>
      <c r="W1121" t="inlineStr">
        <is>
          <t>Loan calculator!E17:E136</t>
        </is>
      </c>
      <c r="X1121">
        <f>IFERROR(IF(LoanIsNotPaid*LoanIsGood,MonthlyPayment,0), 0)</f>
        <v/>
      </c>
    </row>
    <row r="1122">
      <c r="A1122" t="inlineStr">
        <is>
          <t>Loan calculator</t>
        </is>
      </c>
      <c r="B1122" t="inlineStr">
        <is>
          <t>F120</t>
        </is>
      </c>
      <c r="C1122" t="n">
        <v>120</v>
      </c>
      <c r="D1122" t="n">
        <v>6</v>
      </c>
      <c r="E1122" t="inlineStr">
        <is>
          <t>Output</t>
        </is>
      </c>
      <c r="F1122" t="inlineStr">
        <is>
          <t>'=IFERROR(IF(LoanIsNotPaid*LoanIsGood,Principal,0), 0)</t>
        </is>
      </c>
      <c r="G1122" t="n">
        <v>100.4091848329585</v>
      </c>
      <c r="H1122" t="inlineStr"/>
      <c r="I1122" t="inlineStr">
        <is>
          <t>"$"#,##0.00</t>
        </is>
      </c>
      <c r="J1122" t="b">
        <v>0</v>
      </c>
      <c r="K1122" t="b">
        <v>0</v>
      </c>
      <c r="L1122" t="n">
        <v>9</v>
      </c>
      <c r="M1122" t="inlineStr">
        <is>
          <t>Values must be of type &lt;class 'str'&gt;</t>
        </is>
      </c>
      <c r="N1122" t="inlineStr">
        <is>
          <t>00000000</t>
        </is>
      </c>
      <c r="O1122" t="inlineStr">
        <is>
          <t>center</t>
        </is>
      </c>
      <c r="P1122" t="inlineStr">
        <is>
          <t>center</t>
        </is>
      </c>
      <c r="R1122" t="b">
        <v>1</v>
      </c>
      <c r="S1122" t="inlineStr">
        <is>
          <t>G000005</t>
        </is>
      </c>
      <c r="T1122" t="inlineStr">
        <is>
          <t>Vertical</t>
        </is>
      </c>
      <c r="U1122" t="n">
        <v>120</v>
      </c>
      <c r="V1122" t="b">
        <v>1</v>
      </c>
      <c r="W1122" t="inlineStr">
        <is>
          <t>Loan calculator!F17:F136</t>
        </is>
      </c>
      <c r="X1122">
        <f>IFERROR(IF(LoanIsNotPaid*LoanIsGood,Principal,0), 0)</f>
        <v/>
      </c>
    </row>
    <row r="1123">
      <c r="A1123" t="inlineStr">
        <is>
          <t>Loan calculator</t>
        </is>
      </c>
      <c r="B1123" t="inlineStr">
        <is>
          <t>G120</t>
        </is>
      </c>
      <c r="C1123" t="n">
        <v>120</v>
      </c>
      <c r="D1123" t="n">
        <v>7</v>
      </c>
      <c r="E1123" t="inlineStr">
        <is>
          <t>Output</t>
        </is>
      </c>
      <c r="F1123" t="inlineStr">
        <is>
          <t>'=IFERROR(IF(LoanIsNotPaid*LoanIsGood,InterestAmt,0), 0)</t>
        </is>
      </c>
      <c r="G1123" t="n">
        <v>8.117093127522184</v>
      </c>
      <c r="H1123" t="inlineStr"/>
      <c r="I1123" t="inlineStr">
        <is>
          <t>"$"#,##0.00</t>
        </is>
      </c>
      <c r="J1123" t="b">
        <v>0</v>
      </c>
      <c r="K1123" t="b">
        <v>0</v>
      </c>
      <c r="L1123" t="n">
        <v>9</v>
      </c>
      <c r="M1123" t="inlineStr">
        <is>
          <t>Values must be of type &lt;class 'str'&gt;</t>
        </is>
      </c>
      <c r="N1123" t="inlineStr">
        <is>
          <t>00000000</t>
        </is>
      </c>
      <c r="O1123" t="inlineStr">
        <is>
          <t>center</t>
        </is>
      </c>
      <c r="P1123" t="inlineStr">
        <is>
          <t>center</t>
        </is>
      </c>
      <c r="R1123" t="b">
        <v>1</v>
      </c>
      <c r="S1123" t="inlineStr">
        <is>
          <t>G000006</t>
        </is>
      </c>
      <c r="T1123" t="inlineStr">
        <is>
          <t>Vertical</t>
        </is>
      </c>
      <c r="U1123" t="n">
        <v>120</v>
      </c>
      <c r="V1123" t="b">
        <v>1</v>
      </c>
      <c r="W1123" t="inlineStr">
        <is>
          <t>Loan calculator!G17:G136</t>
        </is>
      </c>
      <c r="X1123">
        <f>IFERROR(IF(LoanIsNotPaid*LoanIsGood,InterestAmt,0), 0)</f>
        <v/>
      </c>
    </row>
    <row r="1124">
      <c r="A1124" t="inlineStr">
        <is>
          <t>Loan calculator</t>
        </is>
      </c>
      <c r="B1124" t="inlineStr">
        <is>
          <t>H120</t>
        </is>
      </c>
      <c r="C1124" t="n">
        <v>120</v>
      </c>
      <c r="D1124" t="n">
        <v>8</v>
      </c>
      <c r="E1124" t="inlineStr">
        <is>
          <t>Output</t>
        </is>
      </c>
      <c r="F1124" t="inlineStr">
        <is>
          <t>'=IFERROR(IF(LoanIsNotPaid*LoanIsGood,EndingBalance,0), 0)</t>
        </is>
      </c>
      <c r="G1124" t="n">
        <v>1670.592952080957</v>
      </c>
      <c r="H1124" t="inlineStr"/>
      <c r="I1124" t="inlineStr">
        <is>
          <t>"$"#,##0.00</t>
        </is>
      </c>
      <c r="J1124" t="b">
        <v>0</v>
      </c>
      <c r="K1124" t="b">
        <v>0</v>
      </c>
      <c r="L1124" t="n">
        <v>9</v>
      </c>
      <c r="M1124" t="inlineStr">
        <is>
          <t>Values must be of type &lt;class 'str'&gt;</t>
        </is>
      </c>
      <c r="N1124" t="inlineStr">
        <is>
          <t>00000000</t>
        </is>
      </c>
      <c r="O1124" t="inlineStr">
        <is>
          <t>center</t>
        </is>
      </c>
      <c r="P1124" t="inlineStr">
        <is>
          <t>center</t>
        </is>
      </c>
      <c r="R1124" t="b">
        <v>1</v>
      </c>
      <c r="S1124" t="inlineStr">
        <is>
          <t>G000007</t>
        </is>
      </c>
      <c r="T1124" t="inlineStr">
        <is>
          <t>Vertical</t>
        </is>
      </c>
      <c r="U1124" t="n">
        <v>120</v>
      </c>
      <c r="V1124" t="b">
        <v>1</v>
      </c>
      <c r="W1124" t="inlineStr">
        <is>
          <t>Loan calculator!H17:H136</t>
        </is>
      </c>
      <c r="X1124">
        <f>IFERROR(IF(LoanIsNotPaid*LoanIsGood,EndingBalance,0), 0)</f>
        <v/>
      </c>
    </row>
    <row r="1125">
      <c r="A1125" t="inlineStr">
        <is>
          <t>Loan calculator</t>
        </is>
      </c>
      <c r="B1125" t="inlineStr">
        <is>
          <t>I120</t>
        </is>
      </c>
      <c r="C1125" t="n">
        <v>120</v>
      </c>
      <c r="D1125" t="n">
        <v>9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11</v>
      </c>
      <c r="M1125" t="inlineStr">
        <is>
          <t>Values must be of type &lt;class 'str'&gt;</t>
        </is>
      </c>
      <c r="N1125" t="inlineStr">
        <is>
          <t>Values must be of type &lt;class 'str'&gt;</t>
        </is>
      </c>
      <c r="O1125" t="n">
        <v/>
      </c>
      <c r="P1125" t="inlineStr">
        <is>
          <t>center</t>
        </is>
      </c>
      <c r="R1125" t="b">
        <v>0</v>
      </c>
      <c r="S1125" t="n">
        <v/>
      </c>
      <c r="T1125" t="n">
        <v/>
      </c>
      <c r="U1125" t="n">
        <v/>
      </c>
      <c r="V1125" t="b">
        <v>0</v>
      </c>
      <c r="W1125" t="inlineStr"/>
      <c r="X1125" t="n">
        <v/>
      </c>
    </row>
    <row r="1126">
      <c r="A1126" t="inlineStr">
        <is>
          <t>Loan calculator</t>
        </is>
      </c>
      <c r="B1126" t="inlineStr">
        <is>
          <t>A121</t>
        </is>
      </c>
      <c r="C1126" t="n">
        <v>121</v>
      </c>
      <c r="D1126" t="n">
        <v>1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11</v>
      </c>
      <c r="M1126" t="inlineStr">
        <is>
          <t>Values must be of type &lt;class 'str'&gt;</t>
        </is>
      </c>
      <c r="N1126" t="inlineStr">
        <is>
          <t>Values must be of type &lt;class 'str'&gt;</t>
        </is>
      </c>
      <c r="O1126" t="n">
        <v/>
      </c>
      <c r="P1126" t="inlineStr">
        <is>
          <t>center</t>
        </is>
      </c>
      <c r="R1126" t="b">
        <v>0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</row>
    <row r="1127">
      <c r="A1127" t="inlineStr">
        <is>
          <t>Loan calculator</t>
        </is>
      </c>
      <c r="B1127" t="inlineStr">
        <is>
          <t>B121</t>
        </is>
      </c>
      <c r="C1127" t="n">
        <v>121</v>
      </c>
      <c r="D1127" t="n">
        <v>2</v>
      </c>
      <c r="E1127" t="inlineStr">
        <is>
          <t>Output</t>
        </is>
      </c>
      <c r="F1127" t="inlineStr">
        <is>
          <t>'=IFERROR(IF(LoanIsNotPaid*LoanIsGood,PaymentNumber,""), "")</t>
        </is>
      </c>
      <c r="G1127" t="n">
        <v>105</v>
      </c>
      <c r="H1127" t="inlineStr"/>
      <c r="I1127" t="inlineStr">
        <is>
          <t>#,##0</t>
        </is>
      </c>
      <c r="J1127" t="b">
        <v>0</v>
      </c>
      <c r="K1127" t="b">
        <v>0</v>
      </c>
      <c r="L1127" t="n">
        <v>9</v>
      </c>
      <c r="M1127" t="inlineStr">
        <is>
          <t>Values must be of type &lt;class 'str'&gt;</t>
        </is>
      </c>
      <c r="N1127" t="inlineStr">
        <is>
          <t>00000000</t>
        </is>
      </c>
      <c r="O1127" t="inlineStr">
        <is>
          <t>center</t>
        </is>
      </c>
      <c r="P1127" t="inlineStr">
        <is>
          <t>center</t>
        </is>
      </c>
      <c r="R1127" t="b">
        <v>1</v>
      </c>
      <c r="S1127" t="inlineStr">
        <is>
          <t>G000001</t>
        </is>
      </c>
      <c r="T1127" t="inlineStr">
        <is>
          <t>Vertical</t>
        </is>
      </c>
      <c r="U1127" t="n">
        <v>120</v>
      </c>
      <c r="V1127" t="b">
        <v>1</v>
      </c>
      <c r="W1127" t="inlineStr">
        <is>
          <t>Loan calculator!B17:B136</t>
        </is>
      </c>
      <c r="X1127">
        <f>IFERROR(IF(LoanIsNotPaid*LoanIsGood,PaymentNumber,""), "")</f>
        <v/>
      </c>
    </row>
    <row r="1128">
      <c r="A1128" t="inlineStr">
        <is>
          <t>Loan calculator</t>
        </is>
      </c>
      <c r="B1128" t="inlineStr">
        <is>
          <t>C121</t>
        </is>
      </c>
      <c r="C1128" t="n">
        <v>121</v>
      </c>
      <c r="D1128" t="n">
        <v>3</v>
      </c>
      <c r="E1128" t="inlineStr">
        <is>
          <t>Output</t>
        </is>
      </c>
      <c r="F1128" t="inlineStr">
        <is>
          <t>'=IFERROR(IF(LoanIsNotPaid*LoanIsGood,PaymentDate,LoanStartDate), LoanStartDate)</t>
        </is>
      </c>
      <c r="G1128" s="1" t="n">
        <v>49283</v>
      </c>
      <c r="H1128" t="inlineStr"/>
      <c r="I1128" t="inlineStr">
        <is>
          <t>mm-dd-yy</t>
        </is>
      </c>
      <c r="J1128" t="b">
        <v>0</v>
      </c>
      <c r="K1128" t="b">
        <v>0</v>
      </c>
      <c r="L1128" t="n">
        <v>9</v>
      </c>
      <c r="M1128" t="inlineStr">
        <is>
          <t>Values must be of type &lt;class 'str'&gt;</t>
        </is>
      </c>
      <c r="N1128" t="inlineStr">
        <is>
          <t>00000000</t>
        </is>
      </c>
      <c r="O1128" t="inlineStr">
        <is>
          <t>center</t>
        </is>
      </c>
      <c r="P1128" t="inlineStr">
        <is>
          <t>center</t>
        </is>
      </c>
      <c r="R1128" t="b">
        <v>1</v>
      </c>
      <c r="S1128" t="inlineStr">
        <is>
          <t>G000002</t>
        </is>
      </c>
      <c r="T1128" t="inlineStr">
        <is>
          <t>Vertical</t>
        </is>
      </c>
      <c r="U1128" t="n">
        <v>120</v>
      </c>
      <c r="V1128" t="b">
        <v>1</v>
      </c>
      <c r="W1128" t="inlineStr">
        <is>
          <t>Loan calculator!C17:C136</t>
        </is>
      </c>
      <c r="X1128">
        <f>IFERROR(IF(LoanIsNotPaid*LoanIsGood,PaymentDate,LoanStartDate), LoanStartDate)</f>
        <v/>
      </c>
    </row>
    <row r="1129">
      <c r="A1129" t="inlineStr">
        <is>
          <t>Loan calculator</t>
        </is>
      </c>
      <c r="B1129" t="inlineStr">
        <is>
          <t>D121</t>
        </is>
      </c>
      <c r="C1129" t="n">
        <v>121</v>
      </c>
      <c r="D1129" t="n">
        <v>4</v>
      </c>
      <c r="E1129" t="inlineStr">
        <is>
          <t>Output</t>
        </is>
      </c>
      <c r="F1129" t="inlineStr">
        <is>
          <t>'=IFERROR(IF(LoanIsNotPaid*LoanIsGood,LoanValue,""), "")</t>
        </is>
      </c>
      <c r="G1129" t="n">
        <v>1670.592952080957</v>
      </c>
      <c r="H1129" t="inlineStr"/>
      <c r="I1129" t="inlineStr">
        <is>
          <t>"$"#,##0.00</t>
        </is>
      </c>
      <c r="J1129" t="b">
        <v>0</v>
      </c>
      <c r="K1129" t="b">
        <v>0</v>
      </c>
      <c r="L1129" t="n">
        <v>9</v>
      </c>
      <c r="M1129" t="inlineStr">
        <is>
          <t>Values must be of type &lt;class 'str'&gt;</t>
        </is>
      </c>
      <c r="N1129" t="inlineStr">
        <is>
          <t>00000000</t>
        </is>
      </c>
      <c r="O1129" t="inlineStr">
        <is>
          <t>center</t>
        </is>
      </c>
      <c r="P1129" t="inlineStr">
        <is>
          <t>center</t>
        </is>
      </c>
      <c r="R1129" t="b">
        <v>1</v>
      </c>
      <c r="S1129" t="inlineStr">
        <is>
          <t>G000003</t>
        </is>
      </c>
      <c r="T1129" t="inlineStr">
        <is>
          <t>Vertical</t>
        </is>
      </c>
      <c r="U1129" t="n">
        <v>120</v>
      </c>
      <c r="V1129" t="b">
        <v>1</v>
      </c>
      <c r="W1129" t="inlineStr">
        <is>
          <t>Loan calculator!D17:D136</t>
        </is>
      </c>
      <c r="X1129">
        <f>IFERROR(IF(LoanIsNotPaid*LoanIsGood,LoanValue,""), "")</f>
        <v/>
      </c>
    </row>
    <row r="1130">
      <c r="A1130" t="inlineStr">
        <is>
          <t>Loan calculator</t>
        </is>
      </c>
      <c r="B1130" t="inlineStr">
        <is>
          <t>E121</t>
        </is>
      </c>
      <c r="C1130" t="n">
        <v>121</v>
      </c>
      <c r="D1130" t="n">
        <v>5</v>
      </c>
      <c r="E1130" t="inlineStr">
        <is>
          <t>Output</t>
        </is>
      </c>
      <c r="F1130" t="inlineStr">
        <is>
          <t>'=IFERROR(IF(LoanIsNotPaid*LoanIsGood,MonthlyPayment,0), 0)</t>
        </is>
      </c>
      <c r="G1130" t="n">
        <v>108.5262779604807</v>
      </c>
      <c r="H1130" t="inlineStr"/>
      <c r="I1130" t="inlineStr">
        <is>
          <t>"$"#,##0.00</t>
        </is>
      </c>
      <c r="J1130" t="b">
        <v>0</v>
      </c>
      <c r="K1130" t="b">
        <v>0</v>
      </c>
      <c r="L1130" t="n">
        <v>9</v>
      </c>
      <c r="M1130" t="inlineStr">
        <is>
          <t>Values must be of type &lt;class 'str'&gt;</t>
        </is>
      </c>
      <c r="N1130" t="inlineStr">
        <is>
          <t>00000000</t>
        </is>
      </c>
      <c r="O1130" t="inlineStr">
        <is>
          <t>center</t>
        </is>
      </c>
      <c r="P1130" t="inlineStr">
        <is>
          <t>center</t>
        </is>
      </c>
      <c r="R1130" t="b">
        <v>1</v>
      </c>
      <c r="S1130" t="inlineStr">
        <is>
          <t>G000004</t>
        </is>
      </c>
      <c r="T1130" t="inlineStr">
        <is>
          <t>Vertical</t>
        </is>
      </c>
      <c r="U1130" t="n">
        <v>120</v>
      </c>
      <c r="V1130" t="b">
        <v>1</v>
      </c>
      <c r="W1130" t="inlineStr">
        <is>
          <t>Loan calculator!E17:E136</t>
        </is>
      </c>
      <c r="X1130">
        <f>IFERROR(IF(LoanIsNotPaid*LoanIsGood,MonthlyPayment,0), 0)</f>
        <v/>
      </c>
    </row>
    <row r="1131">
      <c r="A1131" t="inlineStr">
        <is>
          <t>Loan calculator</t>
        </is>
      </c>
      <c r="B1131" t="inlineStr">
        <is>
          <t>F121</t>
        </is>
      </c>
      <c r="C1131" t="n">
        <v>121</v>
      </c>
      <c r="D1131" t="n">
        <v>6</v>
      </c>
      <c r="E1131" t="inlineStr">
        <is>
          <t>Output</t>
        </is>
      </c>
      <c r="F1131" t="inlineStr">
        <is>
          <t>'=IFERROR(IF(LoanIsNotPaid*LoanIsGood,Principal,0), 0)</t>
        </is>
      </c>
      <c r="G1131" t="n">
        <v>100.8693935967763</v>
      </c>
      <c r="H1131" t="inlineStr"/>
      <c r="I1131" t="inlineStr">
        <is>
          <t>"$"#,##0.00</t>
        </is>
      </c>
      <c r="J1131" t="b">
        <v>0</v>
      </c>
      <c r="K1131" t="b">
        <v>0</v>
      </c>
      <c r="L1131" t="n">
        <v>9</v>
      </c>
      <c r="M1131" t="inlineStr">
        <is>
          <t>Values must be of type &lt;class 'str'&gt;</t>
        </is>
      </c>
      <c r="N1131" t="inlineStr">
        <is>
          <t>00000000</t>
        </is>
      </c>
      <c r="O1131" t="inlineStr">
        <is>
          <t>center</t>
        </is>
      </c>
      <c r="P1131" t="inlineStr">
        <is>
          <t>center</t>
        </is>
      </c>
      <c r="R1131" t="b">
        <v>1</v>
      </c>
      <c r="S1131" t="inlineStr">
        <is>
          <t>G000005</t>
        </is>
      </c>
      <c r="T1131" t="inlineStr">
        <is>
          <t>Vertical</t>
        </is>
      </c>
      <c r="U1131" t="n">
        <v>120</v>
      </c>
      <c r="V1131" t="b">
        <v>1</v>
      </c>
      <c r="W1131" t="inlineStr">
        <is>
          <t>Loan calculator!F17:F136</t>
        </is>
      </c>
      <c r="X1131">
        <f>IFERROR(IF(LoanIsNotPaid*LoanIsGood,Principal,0), 0)</f>
        <v/>
      </c>
    </row>
    <row r="1132">
      <c r="A1132" t="inlineStr">
        <is>
          <t>Loan calculator</t>
        </is>
      </c>
      <c r="B1132" t="inlineStr">
        <is>
          <t>G121</t>
        </is>
      </c>
      <c r="C1132" t="n">
        <v>121</v>
      </c>
      <c r="D1132" t="n">
        <v>7</v>
      </c>
      <c r="E1132" t="inlineStr">
        <is>
          <t>Output</t>
        </is>
      </c>
      <c r="F1132" t="inlineStr">
        <is>
          <t>'=IFERROR(IF(LoanIsNotPaid*LoanIsGood,InterestAmt,0), 0)</t>
        </is>
      </c>
      <c r="G1132" t="n">
        <v>7.656884363704458</v>
      </c>
      <c r="H1132" t="inlineStr"/>
      <c r="I1132" t="inlineStr">
        <is>
          <t>"$"#,##0.00</t>
        </is>
      </c>
      <c r="J1132" t="b">
        <v>0</v>
      </c>
      <c r="K1132" t="b">
        <v>0</v>
      </c>
      <c r="L1132" t="n">
        <v>9</v>
      </c>
      <c r="M1132" t="inlineStr">
        <is>
          <t>Values must be of type &lt;class 'str'&gt;</t>
        </is>
      </c>
      <c r="N1132" t="inlineStr">
        <is>
          <t>00000000</t>
        </is>
      </c>
      <c r="O1132" t="inlineStr">
        <is>
          <t>center</t>
        </is>
      </c>
      <c r="P1132" t="inlineStr">
        <is>
          <t>center</t>
        </is>
      </c>
      <c r="R1132" t="b">
        <v>1</v>
      </c>
      <c r="S1132" t="inlineStr">
        <is>
          <t>G000006</t>
        </is>
      </c>
      <c r="T1132" t="inlineStr">
        <is>
          <t>Vertical</t>
        </is>
      </c>
      <c r="U1132" t="n">
        <v>120</v>
      </c>
      <c r="V1132" t="b">
        <v>1</v>
      </c>
      <c r="W1132" t="inlineStr">
        <is>
          <t>Loan calculator!G17:G136</t>
        </is>
      </c>
      <c r="X1132">
        <f>IFERROR(IF(LoanIsNotPaid*LoanIsGood,InterestAmt,0), 0)</f>
        <v/>
      </c>
    </row>
    <row r="1133">
      <c r="A1133" t="inlineStr">
        <is>
          <t>Loan calculator</t>
        </is>
      </c>
      <c r="B1133" t="inlineStr">
        <is>
          <t>H121</t>
        </is>
      </c>
      <c r="C1133" t="n">
        <v>121</v>
      </c>
      <c r="D1133" t="n">
        <v>8</v>
      </c>
      <c r="E1133" t="inlineStr">
        <is>
          <t>Output</t>
        </is>
      </c>
      <c r="F1133" t="inlineStr">
        <is>
          <t>'=IFERROR(IF(LoanIsNotPaid*LoanIsGood,EndingBalance,0), 0)</t>
        </is>
      </c>
      <c r="G1133" t="n">
        <v>1569.723558484175</v>
      </c>
      <c r="H1133" t="inlineStr"/>
      <c r="I1133" t="inlineStr">
        <is>
          <t>"$"#,##0.00</t>
        </is>
      </c>
      <c r="J1133" t="b">
        <v>0</v>
      </c>
      <c r="K1133" t="b">
        <v>0</v>
      </c>
      <c r="L1133" t="n">
        <v>9</v>
      </c>
      <c r="M1133" t="inlineStr">
        <is>
          <t>Values must be of type &lt;class 'str'&gt;</t>
        </is>
      </c>
      <c r="N1133" t="inlineStr">
        <is>
          <t>00000000</t>
        </is>
      </c>
      <c r="O1133" t="inlineStr">
        <is>
          <t>center</t>
        </is>
      </c>
      <c r="P1133" t="inlineStr">
        <is>
          <t>center</t>
        </is>
      </c>
      <c r="R1133" t="b">
        <v>1</v>
      </c>
      <c r="S1133" t="inlineStr">
        <is>
          <t>G000007</t>
        </is>
      </c>
      <c r="T1133" t="inlineStr">
        <is>
          <t>Vertical</t>
        </is>
      </c>
      <c r="U1133" t="n">
        <v>120</v>
      </c>
      <c r="V1133" t="b">
        <v>1</v>
      </c>
      <c r="W1133" t="inlineStr">
        <is>
          <t>Loan calculator!H17:H136</t>
        </is>
      </c>
      <c r="X1133">
        <f>IFERROR(IF(LoanIsNotPaid*LoanIsGood,EndingBalance,0), 0)</f>
        <v/>
      </c>
    </row>
    <row r="1134">
      <c r="A1134" t="inlineStr">
        <is>
          <t>Loan calculator</t>
        </is>
      </c>
      <c r="B1134" t="inlineStr">
        <is>
          <t>I121</t>
        </is>
      </c>
      <c r="C1134" t="n">
        <v>121</v>
      </c>
      <c r="D1134" t="n">
        <v>9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11</v>
      </c>
      <c r="M1134" t="inlineStr">
        <is>
          <t>Values must be of type &lt;class 'str'&gt;</t>
        </is>
      </c>
      <c r="N1134" t="inlineStr">
        <is>
          <t>Values must be of type &lt;class 'str'&gt;</t>
        </is>
      </c>
      <c r="O1134" t="n">
        <v/>
      </c>
      <c r="P1134" t="inlineStr">
        <is>
          <t>center</t>
        </is>
      </c>
      <c r="R1134" t="b">
        <v>0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</row>
    <row r="1135">
      <c r="A1135" t="inlineStr">
        <is>
          <t>Loan calculator</t>
        </is>
      </c>
      <c r="B1135" t="inlineStr">
        <is>
          <t>A122</t>
        </is>
      </c>
      <c r="C1135" t="n">
        <v>122</v>
      </c>
      <c r="D1135" t="n">
        <v>1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11</v>
      </c>
      <c r="M1135" t="inlineStr">
        <is>
          <t>Values must be of type &lt;class 'str'&gt;</t>
        </is>
      </c>
      <c r="N1135" t="inlineStr">
        <is>
          <t>Values must be of type &lt;class 'str'&gt;</t>
        </is>
      </c>
      <c r="O1135" t="n">
        <v/>
      </c>
      <c r="P1135" t="inlineStr">
        <is>
          <t>center</t>
        </is>
      </c>
      <c r="R1135" t="b">
        <v>0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</row>
    <row r="1136">
      <c r="A1136" t="inlineStr">
        <is>
          <t>Loan calculator</t>
        </is>
      </c>
      <c r="B1136" t="inlineStr">
        <is>
          <t>B122</t>
        </is>
      </c>
      <c r="C1136" t="n">
        <v>122</v>
      </c>
      <c r="D1136" t="n">
        <v>2</v>
      </c>
      <c r="E1136" t="inlineStr">
        <is>
          <t>Output</t>
        </is>
      </c>
      <c r="F1136" t="inlineStr">
        <is>
          <t>'=IFERROR(IF(LoanIsNotPaid*LoanIsGood,PaymentNumber,""), "")</t>
        </is>
      </c>
      <c r="G1136" t="n">
        <v>106</v>
      </c>
      <c r="H1136" t="inlineStr"/>
      <c r="I1136" t="inlineStr">
        <is>
          <t>#,##0</t>
        </is>
      </c>
      <c r="J1136" t="b">
        <v>0</v>
      </c>
      <c r="K1136" t="b">
        <v>0</v>
      </c>
      <c r="L1136" t="n">
        <v>9</v>
      </c>
      <c r="M1136" t="inlineStr">
        <is>
          <t>Values must be of type &lt;class 'str'&gt;</t>
        </is>
      </c>
      <c r="N1136" t="inlineStr">
        <is>
          <t>00000000</t>
        </is>
      </c>
      <c r="O1136" t="inlineStr">
        <is>
          <t>center</t>
        </is>
      </c>
      <c r="P1136" t="inlineStr">
        <is>
          <t>center</t>
        </is>
      </c>
      <c r="R1136" t="b">
        <v>1</v>
      </c>
      <c r="S1136" t="inlineStr">
        <is>
          <t>G000001</t>
        </is>
      </c>
      <c r="T1136" t="inlineStr">
        <is>
          <t>Vertical</t>
        </is>
      </c>
      <c r="U1136" t="n">
        <v>120</v>
      </c>
      <c r="V1136" t="b">
        <v>1</v>
      </c>
      <c r="W1136" t="inlineStr">
        <is>
          <t>Loan calculator!B17:B136</t>
        </is>
      </c>
      <c r="X1136">
        <f>IFERROR(IF(LoanIsNotPaid*LoanIsGood,PaymentNumber,""), "")</f>
        <v/>
      </c>
    </row>
    <row r="1137">
      <c r="A1137" t="inlineStr">
        <is>
          <t>Loan calculator</t>
        </is>
      </c>
      <c r="B1137" t="inlineStr">
        <is>
          <t>C122</t>
        </is>
      </c>
      <c r="C1137" t="n">
        <v>122</v>
      </c>
      <c r="D1137" t="n">
        <v>3</v>
      </c>
      <c r="E1137" t="inlineStr">
        <is>
          <t>Output</t>
        </is>
      </c>
      <c r="F1137" t="inlineStr">
        <is>
          <t>'=IFERROR(IF(LoanIsNotPaid*LoanIsGood,PaymentDate,LoanStartDate), LoanStartDate)</t>
        </is>
      </c>
      <c r="G1137" s="1" t="n">
        <v>49314</v>
      </c>
      <c r="H1137" t="inlineStr"/>
      <c r="I1137" t="inlineStr">
        <is>
          <t>mm-dd-yy</t>
        </is>
      </c>
      <c r="J1137" t="b">
        <v>0</v>
      </c>
      <c r="K1137" t="b">
        <v>0</v>
      </c>
      <c r="L1137" t="n">
        <v>9</v>
      </c>
      <c r="M1137" t="inlineStr">
        <is>
          <t>Values must be of type &lt;class 'str'&gt;</t>
        </is>
      </c>
      <c r="N1137" t="inlineStr">
        <is>
          <t>00000000</t>
        </is>
      </c>
      <c r="O1137" t="inlineStr">
        <is>
          <t>center</t>
        </is>
      </c>
      <c r="P1137" t="inlineStr">
        <is>
          <t>center</t>
        </is>
      </c>
      <c r="R1137" t="b">
        <v>1</v>
      </c>
      <c r="S1137" t="inlineStr">
        <is>
          <t>G000002</t>
        </is>
      </c>
      <c r="T1137" t="inlineStr">
        <is>
          <t>Vertical</t>
        </is>
      </c>
      <c r="U1137" t="n">
        <v>120</v>
      </c>
      <c r="V1137" t="b">
        <v>1</v>
      </c>
      <c r="W1137" t="inlineStr">
        <is>
          <t>Loan calculator!C17:C136</t>
        </is>
      </c>
      <c r="X1137">
        <f>IFERROR(IF(LoanIsNotPaid*LoanIsGood,PaymentDate,LoanStartDate), LoanStartDate)</f>
        <v/>
      </c>
    </row>
    <row r="1138">
      <c r="A1138" t="inlineStr">
        <is>
          <t>Loan calculator</t>
        </is>
      </c>
      <c r="B1138" t="inlineStr">
        <is>
          <t>D122</t>
        </is>
      </c>
      <c r="C1138" t="n">
        <v>122</v>
      </c>
      <c r="D1138" t="n">
        <v>4</v>
      </c>
      <c r="E1138" t="inlineStr">
        <is>
          <t>Output</t>
        </is>
      </c>
      <c r="F1138" t="inlineStr">
        <is>
          <t>'=IFERROR(IF(LoanIsNotPaid*LoanIsGood,LoanValue,""), "")</t>
        </is>
      </c>
      <c r="G1138" t="n">
        <v>1569.723558484175</v>
      </c>
      <c r="H1138" t="inlineStr"/>
      <c r="I1138" t="inlineStr">
        <is>
          <t>"$"#,##0.00</t>
        </is>
      </c>
      <c r="J1138" t="b">
        <v>0</v>
      </c>
      <c r="K1138" t="b">
        <v>0</v>
      </c>
      <c r="L1138" t="n">
        <v>9</v>
      </c>
      <c r="M1138" t="inlineStr">
        <is>
          <t>Values must be of type &lt;class 'str'&gt;</t>
        </is>
      </c>
      <c r="N1138" t="inlineStr">
        <is>
          <t>00000000</t>
        </is>
      </c>
      <c r="O1138" t="inlineStr">
        <is>
          <t>center</t>
        </is>
      </c>
      <c r="P1138" t="inlineStr">
        <is>
          <t>center</t>
        </is>
      </c>
      <c r="R1138" t="b">
        <v>1</v>
      </c>
      <c r="S1138" t="inlineStr">
        <is>
          <t>G000003</t>
        </is>
      </c>
      <c r="T1138" t="inlineStr">
        <is>
          <t>Vertical</t>
        </is>
      </c>
      <c r="U1138" t="n">
        <v>120</v>
      </c>
      <c r="V1138" t="b">
        <v>1</v>
      </c>
      <c r="W1138" t="inlineStr">
        <is>
          <t>Loan calculator!D17:D136</t>
        </is>
      </c>
      <c r="X1138">
        <f>IFERROR(IF(LoanIsNotPaid*LoanIsGood,LoanValue,""), "")</f>
        <v/>
      </c>
    </row>
    <row r="1139">
      <c r="A1139" t="inlineStr">
        <is>
          <t>Loan calculator</t>
        </is>
      </c>
      <c r="B1139" t="inlineStr">
        <is>
          <t>E122</t>
        </is>
      </c>
      <c r="C1139" t="n">
        <v>122</v>
      </c>
      <c r="D1139" t="n">
        <v>5</v>
      </c>
      <c r="E1139" t="inlineStr">
        <is>
          <t>Output</t>
        </is>
      </c>
      <c r="F1139" t="inlineStr">
        <is>
          <t>'=IFERROR(IF(LoanIsNotPaid*LoanIsGood,MonthlyPayment,0), 0)</t>
        </is>
      </c>
      <c r="G1139" t="n">
        <v>108.5262779604807</v>
      </c>
      <c r="H1139" t="inlineStr"/>
      <c r="I1139" t="inlineStr">
        <is>
          <t>"$"#,##0.00</t>
        </is>
      </c>
      <c r="J1139" t="b">
        <v>0</v>
      </c>
      <c r="K1139" t="b">
        <v>0</v>
      </c>
      <c r="L1139" t="n">
        <v>9</v>
      </c>
      <c r="M1139" t="inlineStr">
        <is>
          <t>Values must be of type &lt;class 'str'&gt;</t>
        </is>
      </c>
      <c r="N1139" t="inlineStr">
        <is>
          <t>00000000</t>
        </is>
      </c>
      <c r="O1139" t="inlineStr">
        <is>
          <t>center</t>
        </is>
      </c>
      <c r="P1139" t="inlineStr">
        <is>
          <t>center</t>
        </is>
      </c>
      <c r="R1139" t="b">
        <v>1</v>
      </c>
      <c r="S1139" t="inlineStr">
        <is>
          <t>G000004</t>
        </is>
      </c>
      <c r="T1139" t="inlineStr">
        <is>
          <t>Vertical</t>
        </is>
      </c>
      <c r="U1139" t="n">
        <v>120</v>
      </c>
      <c r="V1139" t="b">
        <v>1</v>
      </c>
      <c r="W1139" t="inlineStr">
        <is>
          <t>Loan calculator!E17:E136</t>
        </is>
      </c>
      <c r="X1139">
        <f>IFERROR(IF(LoanIsNotPaid*LoanIsGood,MonthlyPayment,0), 0)</f>
        <v/>
      </c>
    </row>
    <row r="1140">
      <c r="A1140" t="inlineStr">
        <is>
          <t>Loan calculator</t>
        </is>
      </c>
      <c r="B1140" t="inlineStr">
        <is>
          <t>F122</t>
        </is>
      </c>
      <c r="C1140" t="n">
        <v>122</v>
      </c>
      <c r="D1140" t="n">
        <v>6</v>
      </c>
      <c r="E1140" t="inlineStr">
        <is>
          <t>Output</t>
        </is>
      </c>
      <c r="F1140" t="inlineStr">
        <is>
          <t>'=IFERROR(IF(LoanIsNotPaid*LoanIsGood,Principal,0), 0)</t>
        </is>
      </c>
      <c r="G1140" t="n">
        <v>101.3317116507615</v>
      </c>
      <c r="H1140" t="inlineStr"/>
      <c r="I1140" t="inlineStr">
        <is>
          <t>"$"#,##0.00</t>
        </is>
      </c>
      <c r="J1140" t="b">
        <v>0</v>
      </c>
      <c r="K1140" t="b">
        <v>0</v>
      </c>
      <c r="L1140" t="n">
        <v>9</v>
      </c>
      <c r="M1140" t="inlineStr">
        <is>
          <t>Values must be of type &lt;class 'str'&gt;</t>
        </is>
      </c>
      <c r="N1140" t="inlineStr">
        <is>
          <t>00000000</t>
        </is>
      </c>
      <c r="O1140" t="inlineStr">
        <is>
          <t>center</t>
        </is>
      </c>
      <c r="P1140" t="inlineStr">
        <is>
          <t>center</t>
        </is>
      </c>
      <c r="R1140" t="b">
        <v>1</v>
      </c>
      <c r="S1140" t="inlineStr">
        <is>
          <t>G000005</t>
        </is>
      </c>
      <c r="T1140" t="inlineStr">
        <is>
          <t>Vertical</t>
        </is>
      </c>
      <c r="U1140" t="n">
        <v>120</v>
      </c>
      <c r="V1140" t="b">
        <v>1</v>
      </c>
      <c r="W1140" t="inlineStr">
        <is>
          <t>Loan calculator!F17:F136</t>
        </is>
      </c>
      <c r="X1140">
        <f>IFERROR(IF(LoanIsNotPaid*LoanIsGood,Principal,0), 0)</f>
        <v/>
      </c>
    </row>
    <row r="1141">
      <c r="A1141" t="inlineStr">
        <is>
          <t>Loan calculator</t>
        </is>
      </c>
      <c r="B1141" t="inlineStr">
        <is>
          <t>G122</t>
        </is>
      </c>
      <c r="C1141" t="n">
        <v>122</v>
      </c>
      <c r="D1141" t="n">
        <v>7</v>
      </c>
      <c r="E1141" t="inlineStr">
        <is>
          <t>Output</t>
        </is>
      </c>
      <c r="F1141" t="inlineStr">
        <is>
          <t>'=IFERROR(IF(LoanIsNotPaid*LoanIsGood,InterestAmt,0), 0)</t>
        </is>
      </c>
      <c r="G1141" t="n">
        <v>7.194566309719232</v>
      </c>
      <c r="H1141" t="inlineStr"/>
      <c r="I1141" t="inlineStr">
        <is>
          <t>"$"#,##0.00</t>
        </is>
      </c>
      <c r="J1141" t="b">
        <v>0</v>
      </c>
      <c r="K1141" t="b">
        <v>0</v>
      </c>
      <c r="L1141" t="n">
        <v>9</v>
      </c>
      <c r="M1141" t="inlineStr">
        <is>
          <t>Values must be of type &lt;class 'str'&gt;</t>
        </is>
      </c>
      <c r="N1141" t="inlineStr">
        <is>
          <t>00000000</t>
        </is>
      </c>
      <c r="O1141" t="inlineStr">
        <is>
          <t>center</t>
        </is>
      </c>
      <c r="P1141" t="inlineStr">
        <is>
          <t>center</t>
        </is>
      </c>
      <c r="R1141" t="b">
        <v>1</v>
      </c>
      <c r="S1141" t="inlineStr">
        <is>
          <t>G000006</t>
        </is>
      </c>
      <c r="T1141" t="inlineStr">
        <is>
          <t>Vertical</t>
        </is>
      </c>
      <c r="U1141" t="n">
        <v>120</v>
      </c>
      <c r="V1141" t="b">
        <v>1</v>
      </c>
      <c r="W1141" t="inlineStr">
        <is>
          <t>Loan calculator!G17:G136</t>
        </is>
      </c>
      <c r="X1141">
        <f>IFERROR(IF(LoanIsNotPaid*LoanIsGood,InterestAmt,0), 0)</f>
        <v/>
      </c>
    </row>
    <row r="1142">
      <c r="A1142" t="inlineStr">
        <is>
          <t>Loan calculator</t>
        </is>
      </c>
      <c r="B1142" t="inlineStr">
        <is>
          <t>H122</t>
        </is>
      </c>
      <c r="C1142" t="n">
        <v>122</v>
      </c>
      <c r="D1142" t="n">
        <v>8</v>
      </c>
      <c r="E1142" t="inlineStr">
        <is>
          <t>Output</t>
        </is>
      </c>
      <c r="F1142" t="inlineStr">
        <is>
          <t>'=IFERROR(IF(LoanIsNotPaid*LoanIsGood,EndingBalance,0), 0)</t>
        </is>
      </c>
      <c r="G1142" t="n">
        <v>1468.391846833418</v>
      </c>
      <c r="H1142" t="inlineStr"/>
      <c r="I1142" t="inlineStr">
        <is>
          <t>"$"#,##0.00</t>
        </is>
      </c>
      <c r="J1142" t="b">
        <v>0</v>
      </c>
      <c r="K1142" t="b">
        <v>0</v>
      </c>
      <c r="L1142" t="n">
        <v>9</v>
      </c>
      <c r="M1142" t="inlineStr">
        <is>
          <t>Values must be of type &lt;class 'str'&gt;</t>
        </is>
      </c>
      <c r="N1142" t="inlineStr">
        <is>
          <t>00000000</t>
        </is>
      </c>
      <c r="O1142" t="inlineStr">
        <is>
          <t>center</t>
        </is>
      </c>
      <c r="P1142" t="inlineStr">
        <is>
          <t>center</t>
        </is>
      </c>
      <c r="R1142" t="b">
        <v>1</v>
      </c>
      <c r="S1142" t="inlineStr">
        <is>
          <t>G000007</t>
        </is>
      </c>
      <c r="T1142" t="inlineStr">
        <is>
          <t>Vertical</t>
        </is>
      </c>
      <c r="U1142" t="n">
        <v>120</v>
      </c>
      <c r="V1142" t="b">
        <v>1</v>
      </c>
      <c r="W1142" t="inlineStr">
        <is>
          <t>Loan calculator!H17:H136</t>
        </is>
      </c>
      <c r="X1142">
        <f>IFERROR(IF(LoanIsNotPaid*LoanIsGood,EndingBalance,0), 0)</f>
        <v/>
      </c>
    </row>
    <row r="1143">
      <c r="A1143" t="inlineStr">
        <is>
          <t>Loan calculator</t>
        </is>
      </c>
      <c r="B1143" t="inlineStr">
        <is>
          <t>I122</t>
        </is>
      </c>
      <c r="C1143" t="n">
        <v>122</v>
      </c>
      <c r="D1143" t="n">
        <v>9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11</v>
      </c>
      <c r="M1143" t="inlineStr">
        <is>
          <t>Values must be of type &lt;class 'str'&gt;</t>
        </is>
      </c>
      <c r="N1143" t="inlineStr">
        <is>
          <t>Values must be of type &lt;class 'str'&gt;</t>
        </is>
      </c>
      <c r="O1143" t="n">
        <v/>
      </c>
      <c r="P1143" t="inlineStr">
        <is>
          <t>center</t>
        </is>
      </c>
      <c r="R1143" t="b">
        <v>0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</row>
    <row r="1144">
      <c r="A1144" t="inlineStr">
        <is>
          <t>Loan calculator</t>
        </is>
      </c>
      <c r="B1144" t="inlineStr">
        <is>
          <t>A123</t>
        </is>
      </c>
      <c r="C1144" t="n">
        <v>123</v>
      </c>
      <c r="D1144" t="n">
        <v>1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11</v>
      </c>
      <c r="M1144" t="inlineStr">
        <is>
          <t>Values must be of type &lt;class 'str'&gt;</t>
        </is>
      </c>
      <c r="N1144" t="inlineStr">
        <is>
          <t>Values must be of type &lt;class 'str'&gt;</t>
        </is>
      </c>
      <c r="O1144" t="n">
        <v/>
      </c>
      <c r="P1144" t="inlineStr">
        <is>
          <t>center</t>
        </is>
      </c>
      <c r="R1144" t="b">
        <v>0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</row>
    <row r="1145">
      <c r="A1145" t="inlineStr">
        <is>
          <t>Loan calculator</t>
        </is>
      </c>
      <c r="B1145" t="inlineStr">
        <is>
          <t>B123</t>
        </is>
      </c>
      <c r="C1145" t="n">
        <v>123</v>
      </c>
      <c r="D1145" t="n">
        <v>2</v>
      </c>
      <c r="E1145" t="inlineStr">
        <is>
          <t>Output</t>
        </is>
      </c>
      <c r="F1145" t="inlineStr">
        <is>
          <t>'=IFERROR(IF(LoanIsNotPaid*LoanIsGood,PaymentNumber,""), "")</t>
        </is>
      </c>
      <c r="G1145" t="n">
        <v>107</v>
      </c>
      <c r="H1145" t="inlineStr"/>
      <c r="I1145" t="inlineStr">
        <is>
          <t>#,##0</t>
        </is>
      </c>
      <c r="J1145" t="b">
        <v>0</v>
      </c>
      <c r="K1145" t="b">
        <v>0</v>
      </c>
      <c r="L1145" t="n">
        <v>9</v>
      </c>
      <c r="M1145" t="inlineStr">
        <is>
          <t>Values must be of type &lt;class 'str'&gt;</t>
        </is>
      </c>
      <c r="N1145" t="inlineStr">
        <is>
          <t>00000000</t>
        </is>
      </c>
      <c r="O1145" t="inlineStr">
        <is>
          <t>center</t>
        </is>
      </c>
      <c r="P1145" t="inlineStr">
        <is>
          <t>center</t>
        </is>
      </c>
      <c r="R1145" t="b">
        <v>1</v>
      </c>
      <c r="S1145" t="inlineStr">
        <is>
          <t>G000001</t>
        </is>
      </c>
      <c r="T1145" t="inlineStr">
        <is>
          <t>Vertical</t>
        </is>
      </c>
      <c r="U1145" t="n">
        <v>120</v>
      </c>
      <c r="V1145" t="b">
        <v>1</v>
      </c>
      <c r="W1145" t="inlineStr">
        <is>
          <t>Loan calculator!B17:B136</t>
        </is>
      </c>
      <c r="X1145">
        <f>IFERROR(IF(LoanIsNotPaid*LoanIsGood,PaymentNumber,""), "")</f>
        <v/>
      </c>
    </row>
    <row r="1146">
      <c r="A1146" t="inlineStr">
        <is>
          <t>Loan calculator</t>
        </is>
      </c>
      <c r="B1146" t="inlineStr">
        <is>
          <t>C123</t>
        </is>
      </c>
      <c r="C1146" t="n">
        <v>123</v>
      </c>
      <c r="D1146" t="n">
        <v>3</v>
      </c>
      <c r="E1146" t="inlineStr">
        <is>
          <t>Output</t>
        </is>
      </c>
      <c r="F1146" t="inlineStr">
        <is>
          <t>'=IFERROR(IF(LoanIsNotPaid*LoanIsGood,PaymentDate,LoanStartDate), LoanStartDate)</t>
        </is>
      </c>
      <c r="G1146" s="1" t="n">
        <v>49345</v>
      </c>
      <c r="H1146" t="inlineStr"/>
      <c r="I1146" t="inlineStr">
        <is>
          <t>mm-dd-yy</t>
        </is>
      </c>
      <c r="J1146" t="b">
        <v>0</v>
      </c>
      <c r="K1146" t="b">
        <v>0</v>
      </c>
      <c r="L1146" t="n">
        <v>9</v>
      </c>
      <c r="M1146" t="inlineStr">
        <is>
          <t>Values must be of type &lt;class 'str'&gt;</t>
        </is>
      </c>
      <c r="N1146" t="inlineStr">
        <is>
          <t>00000000</t>
        </is>
      </c>
      <c r="O1146" t="inlineStr">
        <is>
          <t>center</t>
        </is>
      </c>
      <c r="P1146" t="inlineStr">
        <is>
          <t>center</t>
        </is>
      </c>
      <c r="R1146" t="b">
        <v>1</v>
      </c>
      <c r="S1146" t="inlineStr">
        <is>
          <t>G000002</t>
        </is>
      </c>
      <c r="T1146" t="inlineStr">
        <is>
          <t>Vertical</t>
        </is>
      </c>
      <c r="U1146" t="n">
        <v>120</v>
      </c>
      <c r="V1146" t="b">
        <v>1</v>
      </c>
      <c r="W1146" t="inlineStr">
        <is>
          <t>Loan calculator!C17:C136</t>
        </is>
      </c>
      <c r="X1146">
        <f>IFERROR(IF(LoanIsNotPaid*LoanIsGood,PaymentDate,LoanStartDate), LoanStartDate)</f>
        <v/>
      </c>
    </row>
    <row r="1147">
      <c r="A1147" t="inlineStr">
        <is>
          <t>Loan calculator</t>
        </is>
      </c>
      <c r="B1147" t="inlineStr">
        <is>
          <t>D123</t>
        </is>
      </c>
      <c r="C1147" t="n">
        <v>123</v>
      </c>
      <c r="D1147" t="n">
        <v>4</v>
      </c>
      <c r="E1147" t="inlineStr">
        <is>
          <t>Output</t>
        </is>
      </c>
      <c r="F1147" t="inlineStr">
        <is>
          <t>'=IFERROR(IF(LoanIsNotPaid*LoanIsGood,LoanValue,""), "")</t>
        </is>
      </c>
      <c r="G1147" t="n">
        <v>1468.391846833418</v>
      </c>
      <c r="H1147" t="inlineStr"/>
      <c r="I1147" t="inlineStr">
        <is>
          <t>"$"#,##0.00</t>
        </is>
      </c>
      <c r="J1147" t="b">
        <v>0</v>
      </c>
      <c r="K1147" t="b">
        <v>0</v>
      </c>
      <c r="L1147" t="n">
        <v>9</v>
      </c>
      <c r="M1147" t="inlineStr">
        <is>
          <t>Values must be of type &lt;class 'str'&gt;</t>
        </is>
      </c>
      <c r="N1147" t="inlineStr">
        <is>
          <t>00000000</t>
        </is>
      </c>
      <c r="O1147" t="inlineStr">
        <is>
          <t>center</t>
        </is>
      </c>
      <c r="P1147" t="inlineStr">
        <is>
          <t>center</t>
        </is>
      </c>
      <c r="R1147" t="b">
        <v>1</v>
      </c>
      <c r="S1147" t="inlineStr">
        <is>
          <t>G000003</t>
        </is>
      </c>
      <c r="T1147" t="inlineStr">
        <is>
          <t>Vertical</t>
        </is>
      </c>
      <c r="U1147" t="n">
        <v>120</v>
      </c>
      <c r="V1147" t="b">
        <v>1</v>
      </c>
      <c r="W1147" t="inlineStr">
        <is>
          <t>Loan calculator!D17:D136</t>
        </is>
      </c>
      <c r="X1147">
        <f>IFERROR(IF(LoanIsNotPaid*LoanIsGood,LoanValue,""), "")</f>
        <v/>
      </c>
    </row>
    <row r="1148">
      <c r="A1148" t="inlineStr">
        <is>
          <t>Loan calculator</t>
        </is>
      </c>
      <c r="B1148" t="inlineStr">
        <is>
          <t>E123</t>
        </is>
      </c>
      <c r="C1148" t="n">
        <v>123</v>
      </c>
      <c r="D1148" t="n">
        <v>5</v>
      </c>
      <c r="E1148" t="inlineStr">
        <is>
          <t>Output</t>
        </is>
      </c>
      <c r="F1148" t="inlineStr">
        <is>
          <t>'=IFERROR(IF(LoanIsNotPaid*LoanIsGood,MonthlyPayment,0), 0)</t>
        </is>
      </c>
      <c r="G1148" t="n">
        <v>108.5262779604807</v>
      </c>
      <c r="H1148" t="inlineStr"/>
      <c r="I1148" t="inlineStr">
        <is>
          <t>"$"#,##0.00</t>
        </is>
      </c>
      <c r="J1148" t="b">
        <v>0</v>
      </c>
      <c r="K1148" t="b">
        <v>0</v>
      </c>
      <c r="L1148" t="n">
        <v>9</v>
      </c>
      <c r="M1148" t="inlineStr">
        <is>
          <t>Values must be of type &lt;class 'str'&gt;</t>
        </is>
      </c>
      <c r="N1148" t="inlineStr">
        <is>
          <t>00000000</t>
        </is>
      </c>
      <c r="O1148" t="inlineStr">
        <is>
          <t>center</t>
        </is>
      </c>
      <c r="P1148" t="inlineStr">
        <is>
          <t>center</t>
        </is>
      </c>
      <c r="R1148" t="b">
        <v>1</v>
      </c>
      <c r="S1148" t="inlineStr">
        <is>
          <t>G000004</t>
        </is>
      </c>
      <c r="T1148" t="inlineStr">
        <is>
          <t>Vertical</t>
        </is>
      </c>
      <c r="U1148" t="n">
        <v>120</v>
      </c>
      <c r="V1148" t="b">
        <v>1</v>
      </c>
      <c r="W1148" t="inlineStr">
        <is>
          <t>Loan calculator!E17:E136</t>
        </is>
      </c>
      <c r="X1148">
        <f>IFERROR(IF(LoanIsNotPaid*LoanIsGood,MonthlyPayment,0), 0)</f>
        <v/>
      </c>
    </row>
    <row r="1149">
      <c r="A1149" t="inlineStr">
        <is>
          <t>Loan calculator</t>
        </is>
      </c>
      <c r="B1149" t="inlineStr">
        <is>
          <t>F123</t>
        </is>
      </c>
      <c r="C1149" t="n">
        <v>123</v>
      </c>
      <c r="D1149" t="n">
        <v>6</v>
      </c>
      <c r="E1149" t="inlineStr">
        <is>
          <t>Output</t>
        </is>
      </c>
      <c r="F1149" t="inlineStr">
        <is>
          <t>'=IFERROR(IF(LoanIsNotPaid*LoanIsGood,Principal,0), 0)</t>
        </is>
      </c>
      <c r="G1149" t="n">
        <v>101.7961486624941</v>
      </c>
      <c r="H1149" t="inlineStr"/>
      <c r="I1149" t="inlineStr">
        <is>
          <t>"$"#,##0.00</t>
        </is>
      </c>
      <c r="J1149" t="b">
        <v>0</v>
      </c>
      <c r="K1149" t="b">
        <v>0</v>
      </c>
      <c r="L1149" t="n">
        <v>9</v>
      </c>
      <c r="M1149" t="inlineStr">
        <is>
          <t>Values must be of type &lt;class 'str'&gt;</t>
        </is>
      </c>
      <c r="N1149" t="inlineStr">
        <is>
          <t>00000000</t>
        </is>
      </c>
      <c r="O1149" t="inlineStr">
        <is>
          <t>center</t>
        </is>
      </c>
      <c r="P1149" t="inlineStr">
        <is>
          <t>center</t>
        </is>
      </c>
      <c r="R1149" t="b">
        <v>1</v>
      </c>
      <c r="S1149" t="inlineStr">
        <is>
          <t>G000005</t>
        </is>
      </c>
      <c r="T1149" t="inlineStr">
        <is>
          <t>Vertical</t>
        </is>
      </c>
      <c r="U1149" t="n">
        <v>120</v>
      </c>
      <c r="V1149" t="b">
        <v>1</v>
      </c>
      <c r="W1149" t="inlineStr">
        <is>
          <t>Loan calculator!F17:F136</t>
        </is>
      </c>
      <c r="X1149">
        <f>IFERROR(IF(LoanIsNotPaid*LoanIsGood,Principal,0), 0)</f>
        <v/>
      </c>
    </row>
    <row r="1150">
      <c r="A1150" t="inlineStr">
        <is>
          <t>Loan calculator</t>
        </is>
      </c>
      <c r="B1150" t="inlineStr">
        <is>
          <t>G123</t>
        </is>
      </c>
      <c r="C1150" t="n">
        <v>123</v>
      </c>
      <c r="D1150" t="n">
        <v>7</v>
      </c>
      <c r="E1150" t="inlineStr">
        <is>
          <t>Output</t>
        </is>
      </c>
      <c r="F1150" t="inlineStr">
        <is>
          <t>'=IFERROR(IF(LoanIsNotPaid*LoanIsGood,InterestAmt,0), 0)</t>
        </is>
      </c>
      <c r="G1150" t="n">
        <v>6.730129297986575</v>
      </c>
      <c r="H1150" t="inlineStr"/>
      <c r="I1150" t="inlineStr">
        <is>
          <t>"$"#,##0.00</t>
        </is>
      </c>
      <c r="J1150" t="b">
        <v>0</v>
      </c>
      <c r="K1150" t="b">
        <v>0</v>
      </c>
      <c r="L1150" t="n">
        <v>9</v>
      </c>
      <c r="M1150" t="inlineStr">
        <is>
          <t>Values must be of type &lt;class 'str'&gt;</t>
        </is>
      </c>
      <c r="N1150" t="inlineStr">
        <is>
          <t>00000000</t>
        </is>
      </c>
      <c r="O1150" t="inlineStr">
        <is>
          <t>center</t>
        </is>
      </c>
      <c r="P1150" t="inlineStr">
        <is>
          <t>center</t>
        </is>
      </c>
      <c r="R1150" t="b">
        <v>1</v>
      </c>
      <c r="S1150" t="inlineStr">
        <is>
          <t>G000006</t>
        </is>
      </c>
      <c r="T1150" t="inlineStr">
        <is>
          <t>Vertical</t>
        </is>
      </c>
      <c r="U1150" t="n">
        <v>120</v>
      </c>
      <c r="V1150" t="b">
        <v>1</v>
      </c>
      <c r="W1150" t="inlineStr">
        <is>
          <t>Loan calculator!G17:G136</t>
        </is>
      </c>
      <c r="X1150">
        <f>IFERROR(IF(LoanIsNotPaid*LoanIsGood,InterestAmt,0), 0)</f>
        <v/>
      </c>
    </row>
    <row r="1151">
      <c r="A1151" t="inlineStr">
        <is>
          <t>Loan calculator</t>
        </is>
      </c>
      <c r="B1151" t="inlineStr">
        <is>
          <t>H123</t>
        </is>
      </c>
      <c r="C1151" t="n">
        <v>123</v>
      </c>
      <c r="D1151" t="n">
        <v>8</v>
      </c>
      <c r="E1151" t="inlineStr">
        <is>
          <t>Output</t>
        </is>
      </c>
      <c r="F1151" t="inlineStr">
        <is>
          <t>'=IFERROR(IF(LoanIsNotPaid*LoanIsGood,EndingBalance,0), 0)</t>
        </is>
      </c>
      <c r="G1151" t="n">
        <v>1366.595698170917</v>
      </c>
      <c r="H1151" t="inlineStr"/>
      <c r="I1151" t="inlineStr">
        <is>
          <t>"$"#,##0.00</t>
        </is>
      </c>
      <c r="J1151" t="b">
        <v>0</v>
      </c>
      <c r="K1151" t="b">
        <v>0</v>
      </c>
      <c r="L1151" t="n">
        <v>9</v>
      </c>
      <c r="M1151" t="inlineStr">
        <is>
          <t>Values must be of type &lt;class 'str'&gt;</t>
        </is>
      </c>
      <c r="N1151" t="inlineStr">
        <is>
          <t>00000000</t>
        </is>
      </c>
      <c r="O1151" t="inlineStr">
        <is>
          <t>center</t>
        </is>
      </c>
      <c r="P1151" t="inlineStr">
        <is>
          <t>center</t>
        </is>
      </c>
      <c r="R1151" t="b">
        <v>1</v>
      </c>
      <c r="S1151" t="inlineStr">
        <is>
          <t>G000007</t>
        </is>
      </c>
      <c r="T1151" t="inlineStr">
        <is>
          <t>Vertical</t>
        </is>
      </c>
      <c r="U1151" t="n">
        <v>120</v>
      </c>
      <c r="V1151" t="b">
        <v>1</v>
      </c>
      <c r="W1151" t="inlineStr">
        <is>
          <t>Loan calculator!H17:H136</t>
        </is>
      </c>
      <c r="X1151">
        <f>IFERROR(IF(LoanIsNotPaid*LoanIsGood,EndingBalance,0), 0)</f>
        <v/>
      </c>
    </row>
    <row r="1152">
      <c r="A1152" t="inlineStr">
        <is>
          <t>Loan calculator</t>
        </is>
      </c>
      <c r="B1152" t="inlineStr">
        <is>
          <t>I123</t>
        </is>
      </c>
      <c r="C1152" t="n">
        <v>123</v>
      </c>
      <c r="D1152" t="n">
        <v>9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11</v>
      </c>
      <c r="M1152" t="inlineStr">
        <is>
          <t>Values must be of type &lt;class 'str'&gt;</t>
        </is>
      </c>
      <c r="N1152" t="inlineStr">
        <is>
          <t>Values must be of type &lt;class 'str'&gt;</t>
        </is>
      </c>
      <c r="O1152" t="n">
        <v/>
      </c>
      <c r="P1152" t="inlineStr">
        <is>
          <t>center</t>
        </is>
      </c>
      <c r="R1152" t="b">
        <v>0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</row>
    <row r="1153">
      <c r="A1153" t="inlineStr">
        <is>
          <t>Loan calculator</t>
        </is>
      </c>
      <c r="B1153" t="inlineStr">
        <is>
          <t>A124</t>
        </is>
      </c>
      <c r="C1153" t="n">
        <v>124</v>
      </c>
      <c r="D1153" t="n">
        <v>1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11</v>
      </c>
      <c r="M1153" t="inlineStr">
        <is>
          <t>Values must be of type &lt;class 'str'&gt;</t>
        </is>
      </c>
      <c r="N1153" t="inlineStr">
        <is>
          <t>Values must be of type &lt;class 'str'&gt;</t>
        </is>
      </c>
      <c r="O1153" t="n">
        <v/>
      </c>
      <c r="P1153" t="inlineStr">
        <is>
          <t>center</t>
        </is>
      </c>
      <c r="R1153" t="b">
        <v>0</v>
      </c>
      <c r="S1153" t="n">
        <v/>
      </c>
      <c r="T1153" t="n">
        <v/>
      </c>
      <c r="U1153" t="n">
        <v/>
      </c>
      <c r="V1153" t="b">
        <v>0</v>
      </c>
      <c r="W1153" t="inlineStr"/>
      <c r="X1153" t="n">
        <v/>
      </c>
    </row>
    <row r="1154">
      <c r="A1154" t="inlineStr">
        <is>
          <t>Loan calculator</t>
        </is>
      </c>
      <c r="B1154" t="inlineStr">
        <is>
          <t>B124</t>
        </is>
      </c>
      <c r="C1154" t="n">
        <v>124</v>
      </c>
      <c r="D1154" t="n">
        <v>2</v>
      </c>
      <c r="E1154" t="inlineStr">
        <is>
          <t>Output</t>
        </is>
      </c>
      <c r="F1154" t="inlineStr">
        <is>
          <t>'=IFERROR(IF(LoanIsNotPaid*LoanIsGood,PaymentNumber,""), "")</t>
        </is>
      </c>
      <c r="G1154" t="n">
        <v>108</v>
      </c>
      <c r="H1154" t="inlineStr"/>
      <c r="I1154" t="inlineStr">
        <is>
          <t>#,##0</t>
        </is>
      </c>
      <c r="J1154" t="b">
        <v>0</v>
      </c>
      <c r="K1154" t="b">
        <v>0</v>
      </c>
      <c r="L1154" t="n">
        <v>9</v>
      </c>
      <c r="M1154" t="inlineStr">
        <is>
          <t>Values must be of type &lt;class 'str'&gt;</t>
        </is>
      </c>
      <c r="N1154" t="inlineStr">
        <is>
          <t>00000000</t>
        </is>
      </c>
      <c r="O1154" t="inlineStr">
        <is>
          <t>center</t>
        </is>
      </c>
      <c r="P1154" t="inlineStr">
        <is>
          <t>center</t>
        </is>
      </c>
      <c r="R1154" t="b">
        <v>1</v>
      </c>
      <c r="S1154" t="inlineStr">
        <is>
          <t>G000001</t>
        </is>
      </c>
      <c r="T1154" t="inlineStr">
        <is>
          <t>Vertical</t>
        </is>
      </c>
      <c r="U1154" t="n">
        <v>120</v>
      </c>
      <c r="V1154" t="b">
        <v>1</v>
      </c>
      <c r="W1154" t="inlineStr">
        <is>
          <t>Loan calculator!B17:B136</t>
        </is>
      </c>
      <c r="X1154">
        <f>IFERROR(IF(LoanIsNotPaid*LoanIsGood,PaymentNumber,""), "")</f>
        <v/>
      </c>
    </row>
    <row r="1155">
      <c r="A1155" t="inlineStr">
        <is>
          <t>Loan calculator</t>
        </is>
      </c>
      <c r="B1155" t="inlineStr">
        <is>
          <t>C124</t>
        </is>
      </c>
      <c r="C1155" t="n">
        <v>124</v>
      </c>
      <c r="D1155" t="n">
        <v>3</v>
      </c>
      <c r="E1155" t="inlineStr">
        <is>
          <t>Output</t>
        </is>
      </c>
      <c r="F1155" t="inlineStr">
        <is>
          <t>'=IFERROR(IF(LoanIsNotPaid*LoanIsGood,PaymentDate,LoanStartDate), LoanStartDate)</t>
        </is>
      </c>
      <c r="G1155" s="1" t="n">
        <v>49373</v>
      </c>
      <c r="H1155" t="inlineStr"/>
      <c r="I1155" t="inlineStr">
        <is>
          <t>mm-dd-yy</t>
        </is>
      </c>
      <c r="J1155" t="b">
        <v>0</v>
      </c>
      <c r="K1155" t="b">
        <v>0</v>
      </c>
      <c r="L1155" t="n">
        <v>9</v>
      </c>
      <c r="M1155" t="inlineStr">
        <is>
          <t>Values must be of type &lt;class 'str'&gt;</t>
        </is>
      </c>
      <c r="N1155" t="inlineStr">
        <is>
          <t>00000000</t>
        </is>
      </c>
      <c r="O1155" t="inlineStr">
        <is>
          <t>center</t>
        </is>
      </c>
      <c r="P1155" t="inlineStr">
        <is>
          <t>center</t>
        </is>
      </c>
      <c r="R1155" t="b">
        <v>1</v>
      </c>
      <c r="S1155" t="inlineStr">
        <is>
          <t>G000002</t>
        </is>
      </c>
      <c r="T1155" t="inlineStr">
        <is>
          <t>Vertical</t>
        </is>
      </c>
      <c r="U1155" t="n">
        <v>120</v>
      </c>
      <c r="V1155" t="b">
        <v>1</v>
      </c>
      <c r="W1155" t="inlineStr">
        <is>
          <t>Loan calculator!C17:C136</t>
        </is>
      </c>
      <c r="X1155">
        <f>IFERROR(IF(LoanIsNotPaid*LoanIsGood,PaymentDate,LoanStartDate), LoanStartDate)</f>
        <v/>
      </c>
    </row>
    <row r="1156">
      <c r="A1156" t="inlineStr">
        <is>
          <t>Loan calculator</t>
        </is>
      </c>
      <c r="B1156" t="inlineStr">
        <is>
          <t>D124</t>
        </is>
      </c>
      <c r="C1156" t="n">
        <v>124</v>
      </c>
      <c r="D1156" t="n">
        <v>4</v>
      </c>
      <c r="E1156" t="inlineStr">
        <is>
          <t>Output</t>
        </is>
      </c>
      <c r="F1156" t="inlineStr">
        <is>
          <t>'=IFERROR(IF(LoanIsNotPaid*LoanIsGood,LoanValue,""), "")</t>
        </is>
      </c>
      <c r="G1156" t="n">
        <v>1366.595698170917</v>
      </c>
      <c r="H1156" t="inlineStr"/>
      <c r="I1156" t="inlineStr">
        <is>
          <t>"$"#,##0.00</t>
        </is>
      </c>
      <c r="J1156" t="b">
        <v>0</v>
      </c>
      <c r="K1156" t="b">
        <v>0</v>
      </c>
      <c r="L1156" t="n">
        <v>9</v>
      </c>
      <c r="M1156" t="inlineStr">
        <is>
          <t>Values must be of type &lt;class 'str'&gt;</t>
        </is>
      </c>
      <c r="N1156" t="inlineStr">
        <is>
          <t>00000000</t>
        </is>
      </c>
      <c r="O1156" t="inlineStr">
        <is>
          <t>center</t>
        </is>
      </c>
      <c r="P1156" t="inlineStr">
        <is>
          <t>center</t>
        </is>
      </c>
      <c r="R1156" t="b">
        <v>1</v>
      </c>
      <c r="S1156" t="inlineStr">
        <is>
          <t>G000003</t>
        </is>
      </c>
      <c r="T1156" t="inlineStr">
        <is>
          <t>Vertical</t>
        </is>
      </c>
      <c r="U1156" t="n">
        <v>120</v>
      </c>
      <c r="V1156" t="b">
        <v>1</v>
      </c>
      <c r="W1156" t="inlineStr">
        <is>
          <t>Loan calculator!D17:D136</t>
        </is>
      </c>
      <c r="X1156">
        <f>IFERROR(IF(LoanIsNotPaid*LoanIsGood,LoanValue,""), "")</f>
        <v/>
      </c>
    </row>
    <row r="1157">
      <c r="A1157" t="inlineStr">
        <is>
          <t>Loan calculator</t>
        </is>
      </c>
      <c r="B1157" t="inlineStr">
        <is>
          <t>E124</t>
        </is>
      </c>
      <c r="C1157" t="n">
        <v>124</v>
      </c>
      <c r="D1157" t="n">
        <v>5</v>
      </c>
      <c r="E1157" t="inlineStr">
        <is>
          <t>Output</t>
        </is>
      </c>
      <c r="F1157" t="inlineStr">
        <is>
          <t>'=IFERROR(IF(LoanIsNotPaid*LoanIsGood,MonthlyPayment,0), 0)</t>
        </is>
      </c>
      <c r="G1157" t="n">
        <v>108.5262779604807</v>
      </c>
      <c r="H1157" t="inlineStr"/>
      <c r="I1157" t="inlineStr">
        <is>
          <t>"$"#,##0.00</t>
        </is>
      </c>
      <c r="J1157" t="b">
        <v>0</v>
      </c>
      <c r="K1157" t="b">
        <v>0</v>
      </c>
      <c r="L1157" t="n">
        <v>9</v>
      </c>
      <c r="M1157" t="inlineStr">
        <is>
          <t>Values must be of type &lt;class 'str'&gt;</t>
        </is>
      </c>
      <c r="N1157" t="inlineStr">
        <is>
          <t>00000000</t>
        </is>
      </c>
      <c r="O1157" t="inlineStr">
        <is>
          <t>center</t>
        </is>
      </c>
      <c r="P1157" t="inlineStr">
        <is>
          <t>center</t>
        </is>
      </c>
      <c r="R1157" t="b">
        <v>1</v>
      </c>
      <c r="S1157" t="inlineStr">
        <is>
          <t>G000004</t>
        </is>
      </c>
      <c r="T1157" t="inlineStr">
        <is>
          <t>Vertical</t>
        </is>
      </c>
      <c r="U1157" t="n">
        <v>120</v>
      </c>
      <c r="V1157" t="b">
        <v>1</v>
      </c>
      <c r="W1157" t="inlineStr">
        <is>
          <t>Loan calculator!E17:E136</t>
        </is>
      </c>
      <c r="X1157">
        <f>IFERROR(IF(LoanIsNotPaid*LoanIsGood,MonthlyPayment,0), 0)</f>
        <v/>
      </c>
    </row>
    <row r="1158">
      <c r="A1158" t="inlineStr">
        <is>
          <t>Loan calculator</t>
        </is>
      </c>
      <c r="B1158" t="inlineStr">
        <is>
          <t>F124</t>
        </is>
      </c>
      <c r="C1158" t="n">
        <v>124</v>
      </c>
      <c r="D1158" t="n">
        <v>6</v>
      </c>
      <c r="E1158" t="inlineStr">
        <is>
          <t>Output</t>
        </is>
      </c>
      <c r="F1158" t="inlineStr">
        <is>
          <t>'=IFERROR(IF(LoanIsNotPaid*LoanIsGood,Principal,0), 0)</t>
        </is>
      </c>
      <c r="G1158" t="n">
        <v>102.2627143438639</v>
      </c>
      <c r="H1158" t="inlineStr"/>
      <c r="I1158" t="inlineStr">
        <is>
          <t>"$"#,##0.00</t>
        </is>
      </c>
      <c r="J1158" t="b">
        <v>0</v>
      </c>
      <c r="K1158" t="b">
        <v>0</v>
      </c>
      <c r="L1158" t="n">
        <v>9</v>
      </c>
      <c r="M1158" t="inlineStr">
        <is>
          <t>Values must be of type &lt;class 'str'&gt;</t>
        </is>
      </c>
      <c r="N1158" t="inlineStr">
        <is>
          <t>00000000</t>
        </is>
      </c>
      <c r="O1158" t="inlineStr">
        <is>
          <t>center</t>
        </is>
      </c>
      <c r="P1158" t="inlineStr">
        <is>
          <t>center</t>
        </is>
      </c>
      <c r="R1158" t="b">
        <v>1</v>
      </c>
      <c r="S1158" t="inlineStr">
        <is>
          <t>G000005</t>
        </is>
      </c>
      <c r="T1158" t="inlineStr">
        <is>
          <t>Vertical</t>
        </is>
      </c>
      <c r="U1158" t="n">
        <v>120</v>
      </c>
      <c r="V1158" t="b">
        <v>1</v>
      </c>
      <c r="W1158" t="inlineStr">
        <is>
          <t>Loan calculator!F17:F136</t>
        </is>
      </c>
      <c r="X1158">
        <f>IFERROR(IF(LoanIsNotPaid*LoanIsGood,Principal,0), 0)</f>
        <v/>
      </c>
    </row>
    <row r="1159">
      <c r="A1159" t="inlineStr">
        <is>
          <t>Loan calculator</t>
        </is>
      </c>
      <c r="B1159" t="inlineStr">
        <is>
          <t>G124</t>
        </is>
      </c>
      <c r="C1159" t="n">
        <v>124</v>
      </c>
      <c r="D1159" t="n">
        <v>7</v>
      </c>
      <c r="E1159" t="inlineStr">
        <is>
          <t>Output</t>
        </is>
      </c>
      <c r="F1159" t="inlineStr">
        <is>
          <t>'=IFERROR(IF(LoanIsNotPaid*LoanIsGood,InterestAmt,0), 0)</t>
        </is>
      </c>
      <c r="G1159" t="n">
        <v>6.26356361661681</v>
      </c>
      <c r="H1159" t="inlineStr"/>
      <c r="I1159" t="inlineStr">
        <is>
          <t>"$"#,##0.00</t>
        </is>
      </c>
      <c r="J1159" t="b">
        <v>0</v>
      </c>
      <c r="K1159" t="b">
        <v>0</v>
      </c>
      <c r="L1159" t="n">
        <v>9</v>
      </c>
      <c r="M1159" t="inlineStr">
        <is>
          <t>Values must be of type &lt;class 'str'&gt;</t>
        </is>
      </c>
      <c r="N1159" t="inlineStr">
        <is>
          <t>00000000</t>
        </is>
      </c>
      <c r="O1159" t="inlineStr">
        <is>
          <t>center</t>
        </is>
      </c>
      <c r="P1159" t="inlineStr">
        <is>
          <t>center</t>
        </is>
      </c>
      <c r="R1159" t="b">
        <v>1</v>
      </c>
      <c r="S1159" t="inlineStr">
        <is>
          <t>G000006</t>
        </is>
      </c>
      <c r="T1159" t="inlineStr">
        <is>
          <t>Vertical</t>
        </is>
      </c>
      <c r="U1159" t="n">
        <v>120</v>
      </c>
      <c r="V1159" t="b">
        <v>1</v>
      </c>
      <c r="W1159" t="inlineStr">
        <is>
          <t>Loan calculator!G17:G136</t>
        </is>
      </c>
      <c r="X1159">
        <f>IFERROR(IF(LoanIsNotPaid*LoanIsGood,InterestAmt,0), 0)</f>
        <v/>
      </c>
    </row>
    <row r="1160">
      <c r="A1160" t="inlineStr">
        <is>
          <t>Loan calculator</t>
        </is>
      </c>
      <c r="B1160" t="inlineStr">
        <is>
          <t>H124</t>
        </is>
      </c>
      <c r="C1160" t="n">
        <v>124</v>
      </c>
      <c r="D1160" t="n">
        <v>8</v>
      </c>
      <c r="E1160" t="inlineStr">
        <is>
          <t>Output</t>
        </is>
      </c>
      <c r="F1160" t="inlineStr">
        <is>
          <t>'=IFERROR(IF(LoanIsNotPaid*LoanIsGood,EndingBalance,0), 0)</t>
        </is>
      </c>
      <c r="G1160" t="n">
        <v>1264.332983827058</v>
      </c>
      <c r="H1160" t="inlineStr"/>
      <c r="I1160" t="inlineStr">
        <is>
          <t>"$"#,##0.00</t>
        </is>
      </c>
      <c r="J1160" t="b">
        <v>0</v>
      </c>
      <c r="K1160" t="b">
        <v>0</v>
      </c>
      <c r="L1160" t="n">
        <v>9</v>
      </c>
      <c r="M1160" t="inlineStr">
        <is>
          <t>Values must be of type &lt;class 'str'&gt;</t>
        </is>
      </c>
      <c r="N1160" t="inlineStr">
        <is>
          <t>00000000</t>
        </is>
      </c>
      <c r="O1160" t="inlineStr">
        <is>
          <t>center</t>
        </is>
      </c>
      <c r="P1160" t="inlineStr">
        <is>
          <t>center</t>
        </is>
      </c>
      <c r="R1160" t="b">
        <v>1</v>
      </c>
      <c r="S1160" t="inlineStr">
        <is>
          <t>G000007</t>
        </is>
      </c>
      <c r="T1160" t="inlineStr">
        <is>
          <t>Vertical</t>
        </is>
      </c>
      <c r="U1160" t="n">
        <v>120</v>
      </c>
      <c r="V1160" t="b">
        <v>1</v>
      </c>
      <c r="W1160" t="inlineStr">
        <is>
          <t>Loan calculator!H17:H136</t>
        </is>
      </c>
      <c r="X1160">
        <f>IFERROR(IF(LoanIsNotPaid*LoanIsGood,EndingBalance,0), 0)</f>
        <v/>
      </c>
    </row>
    <row r="1161">
      <c r="A1161" t="inlineStr">
        <is>
          <t>Loan calculator</t>
        </is>
      </c>
      <c r="B1161" t="inlineStr">
        <is>
          <t>I124</t>
        </is>
      </c>
      <c r="C1161" t="n">
        <v>124</v>
      </c>
      <c r="D1161" t="n">
        <v>9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11</v>
      </c>
      <c r="M1161" t="inlineStr">
        <is>
          <t>Values must be of type &lt;class 'str'&gt;</t>
        </is>
      </c>
      <c r="N1161" t="inlineStr">
        <is>
          <t>Values must be of type &lt;class 'str'&gt;</t>
        </is>
      </c>
      <c r="O1161" t="n">
        <v/>
      </c>
      <c r="P1161" t="inlineStr">
        <is>
          <t>center</t>
        </is>
      </c>
      <c r="R1161" t="b">
        <v>0</v>
      </c>
      <c r="S1161" t="n">
        <v/>
      </c>
      <c r="T1161" t="n">
        <v/>
      </c>
      <c r="U1161" t="n">
        <v/>
      </c>
      <c r="V1161" t="b">
        <v>0</v>
      </c>
      <c r="W1161" t="inlineStr"/>
      <c r="X1161" t="n">
        <v/>
      </c>
    </row>
    <row r="1162">
      <c r="A1162" t="inlineStr">
        <is>
          <t>Loan calculator</t>
        </is>
      </c>
      <c r="B1162" t="inlineStr">
        <is>
          <t>A125</t>
        </is>
      </c>
      <c r="C1162" t="n">
        <v>125</v>
      </c>
      <c r="D1162" t="n">
        <v>1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11</v>
      </c>
      <c r="M1162" t="inlineStr">
        <is>
          <t>Values must be of type &lt;class 'str'&gt;</t>
        </is>
      </c>
      <c r="N1162" t="inlineStr">
        <is>
          <t>Values must be of type &lt;class 'str'&gt;</t>
        </is>
      </c>
      <c r="O1162" t="n">
        <v/>
      </c>
      <c r="P1162" t="inlineStr">
        <is>
          <t>center</t>
        </is>
      </c>
      <c r="R1162" t="b">
        <v>0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</row>
    <row r="1163">
      <c r="A1163" t="inlineStr">
        <is>
          <t>Loan calculator</t>
        </is>
      </c>
      <c r="B1163" t="inlineStr">
        <is>
          <t>B125</t>
        </is>
      </c>
      <c r="C1163" t="n">
        <v>125</v>
      </c>
      <c r="D1163" t="n">
        <v>2</v>
      </c>
      <c r="E1163" t="inlineStr">
        <is>
          <t>Output</t>
        </is>
      </c>
      <c r="F1163" t="inlineStr">
        <is>
          <t>'=IFERROR(IF(LoanIsNotPaid*LoanIsGood,PaymentNumber,""), "")</t>
        </is>
      </c>
      <c r="G1163" t="n">
        <v>109</v>
      </c>
      <c r="H1163" t="inlineStr"/>
      <c r="I1163" t="inlineStr">
        <is>
          <t>#,##0</t>
        </is>
      </c>
      <c r="J1163" t="b">
        <v>0</v>
      </c>
      <c r="K1163" t="b">
        <v>0</v>
      </c>
      <c r="L1163" t="n">
        <v>9</v>
      </c>
      <c r="M1163" t="inlineStr">
        <is>
          <t>Values must be of type &lt;class 'str'&gt;</t>
        </is>
      </c>
      <c r="N1163" t="inlineStr">
        <is>
          <t>00000000</t>
        </is>
      </c>
      <c r="O1163" t="inlineStr">
        <is>
          <t>center</t>
        </is>
      </c>
      <c r="P1163" t="inlineStr">
        <is>
          <t>center</t>
        </is>
      </c>
      <c r="R1163" t="b">
        <v>1</v>
      </c>
      <c r="S1163" t="inlineStr">
        <is>
          <t>G000001</t>
        </is>
      </c>
      <c r="T1163" t="inlineStr">
        <is>
          <t>Vertical</t>
        </is>
      </c>
      <c r="U1163" t="n">
        <v>120</v>
      </c>
      <c r="V1163" t="b">
        <v>1</v>
      </c>
      <c r="W1163" t="inlineStr">
        <is>
          <t>Loan calculator!B17:B136</t>
        </is>
      </c>
      <c r="X1163">
        <f>IFERROR(IF(LoanIsNotPaid*LoanIsGood,PaymentNumber,""), "")</f>
        <v/>
      </c>
    </row>
    <row r="1164">
      <c r="A1164" t="inlineStr">
        <is>
          <t>Loan calculator</t>
        </is>
      </c>
      <c r="B1164" t="inlineStr">
        <is>
          <t>C125</t>
        </is>
      </c>
      <c r="C1164" t="n">
        <v>125</v>
      </c>
      <c r="D1164" t="n">
        <v>3</v>
      </c>
      <c r="E1164" t="inlineStr">
        <is>
          <t>Output</t>
        </is>
      </c>
      <c r="F1164" t="inlineStr">
        <is>
          <t>'=IFERROR(IF(LoanIsNotPaid*LoanIsGood,PaymentDate,LoanStartDate), LoanStartDate)</t>
        </is>
      </c>
      <c r="G1164" s="1" t="n">
        <v>49404</v>
      </c>
      <c r="H1164" t="inlineStr"/>
      <c r="I1164" t="inlineStr">
        <is>
          <t>mm-dd-yy</t>
        </is>
      </c>
      <c r="J1164" t="b">
        <v>0</v>
      </c>
      <c r="K1164" t="b">
        <v>0</v>
      </c>
      <c r="L1164" t="n">
        <v>9</v>
      </c>
      <c r="M1164" t="inlineStr">
        <is>
          <t>Values must be of type &lt;class 'str'&gt;</t>
        </is>
      </c>
      <c r="N1164" t="inlineStr">
        <is>
          <t>00000000</t>
        </is>
      </c>
      <c r="O1164" t="inlineStr">
        <is>
          <t>center</t>
        </is>
      </c>
      <c r="P1164" t="inlineStr">
        <is>
          <t>center</t>
        </is>
      </c>
      <c r="R1164" t="b">
        <v>1</v>
      </c>
      <c r="S1164" t="inlineStr">
        <is>
          <t>G000002</t>
        </is>
      </c>
      <c r="T1164" t="inlineStr">
        <is>
          <t>Vertical</t>
        </is>
      </c>
      <c r="U1164" t="n">
        <v>120</v>
      </c>
      <c r="V1164" t="b">
        <v>1</v>
      </c>
      <c r="W1164" t="inlineStr">
        <is>
          <t>Loan calculator!C17:C136</t>
        </is>
      </c>
      <c r="X1164">
        <f>IFERROR(IF(LoanIsNotPaid*LoanIsGood,PaymentDate,LoanStartDate), LoanStartDate)</f>
        <v/>
      </c>
    </row>
    <row r="1165">
      <c r="A1165" t="inlineStr">
        <is>
          <t>Loan calculator</t>
        </is>
      </c>
      <c r="B1165" t="inlineStr">
        <is>
          <t>D125</t>
        </is>
      </c>
      <c r="C1165" t="n">
        <v>125</v>
      </c>
      <c r="D1165" t="n">
        <v>4</v>
      </c>
      <c r="E1165" t="inlineStr">
        <is>
          <t>Output</t>
        </is>
      </c>
      <c r="F1165" t="inlineStr">
        <is>
          <t>'=IFERROR(IF(LoanIsNotPaid*LoanIsGood,LoanValue,""), "")</t>
        </is>
      </c>
      <c r="G1165" t="n">
        <v>1264.332983827058</v>
      </c>
      <c r="H1165" t="inlineStr"/>
      <c r="I1165" t="inlineStr">
        <is>
          <t>"$"#,##0.00</t>
        </is>
      </c>
      <c r="J1165" t="b">
        <v>0</v>
      </c>
      <c r="K1165" t="b">
        <v>0</v>
      </c>
      <c r="L1165" t="n">
        <v>9</v>
      </c>
      <c r="M1165" t="inlineStr">
        <is>
          <t>Values must be of type &lt;class 'str'&gt;</t>
        </is>
      </c>
      <c r="N1165" t="inlineStr">
        <is>
          <t>00000000</t>
        </is>
      </c>
      <c r="O1165" t="inlineStr">
        <is>
          <t>center</t>
        </is>
      </c>
      <c r="P1165" t="inlineStr">
        <is>
          <t>center</t>
        </is>
      </c>
      <c r="R1165" t="b">
        <v>1</v>
      </c>
      <c r="S1165" t="inlineStr">
        <is>
          <t>G000003</t>
        </is>
      </c>
      <c r="T1165" t="inlineStr">
        <is>
          <t>Vertical</t>
        </is>
      </c>
      <c r="U1165" t="n">
        <v>120</v>
      </c>
      <c r="V1165" t="b">
        <v>1</v>
      </c>
      <c r="W1165" t="inlineStr">
        <is>
          <t>Loan calculator!D17:D136</t>
        </is>
      </c>
      <c r="X1165">
        <f>IFERROR(IF(LoanIsNotPaid*LoanIsGood,LoanValue,""), "")</f>
        <v/>
      </c>
    </row>
    <row r="1166">
      <c r="A1166" t="inlineStr">
        <is>
          <t>Loan calculator</t>
        </is>
      </c>
      <c r="B1166" t="inlineStr">
        <is>
          <t>E125</t>
        </is>
      </c>
      <c r="C1166" t="n">
        <v>125</v>
      </c>
      <c r="D1166" t="n">
        <v>5</v>
      </c>
      <c r="E1166" t="inlineStr">
        <is>
          <t>Output</t>
        </is>
      </c>
      <c r="F1166" t="inlineStr">
        <is>
          <t>'=IFERROR(IF(LoanIsNotPaid*LoanIsGood,MonthlyPayment,0), 0)</t>
        </is>
      </c>
      <c r="G1166" t="n">
        <v>108.5262779604807</v>
      </c>
      <c r="H1166" t="inlineStr"/>
      <c r="I1166" t="inlineStr">
        <is>
          <t>"$"#,##0.00</t>
        </is>
      </c>
      <c r="J1166" t="b">
        <v>0</v>
      </c>
      <c r="K1166" t="b">
        <v>0</v>
      </c>
      <c r="L1166" t="n">
        <v>9</v>
      </c>
      <c r="M1166" t="inlineStr">
        <is>
          <t>Values must be of type &lt;class 'str'&gt;</t>
        </is>
      </c>
      <c r="N1166" t="inlineStr">
        <is>
          <t>00000000</t>
        </is>
      </c>
      <c r="O1166" t="inlineStr">
        <is>
          <t>center</t>
        </is>
      </c>
      <c r="P1166" t="inlineStr">
        <is>
          <t>center</t>
        </is>
      </c>
      <c r="R1166" t="b">
        <v>1</v>
      </c>
      <c r="S1166" t="inlineStr">
        <is>
          <t>G000004</t>
        </is>
      </c>
      <c r="T1166" t="inlineStr">
        <is>
          <t>Vertical</t>
        </is>
      </c>
      <c r="U1166" t="n">
        <v>120</v>
      </c>
      <c r="V1166" t="b">
        <v>1</v>
      </c>
      <c r="W1166" t="inlineStr">
        <is>
          <t>Loan calculator!E17:E136</t>
        </is>
      </c>
      <c r="X1166">
        <f>IFERROR(IF(LoanIsNotPaid*LoanIsGood,MonthlyPayment,0), 0)</f>
        <v/>
      </c>
    </row>
    <row r="1167">
      <c r="A1167" t="inlineStr">
        <is>
          <t>Loan calculator</t>
        </is>
      </c>
      <c r="B1167" t="inlineStr">
        <is>
          <t>F125</t>
        </is>
      </c>
      <c r="C1167" t="n">
        <v>125</v>
      </c>
      <c r="D1167" t="n">
        <v>6</v>
      </c>
      <c r="E1167" t="inlineStr">
        <is>
          <t>Output</t>
        </is>
      </c>
      <c r="F1167" t="inlineStr">
        <is>
          <t>'=IFERROR(IF(LoanIsNotPaid*LoanIsGood,Principal,0), 0)</t>
        </is>
      </c>
      <c r="G1167" t="n">
        <v>102.7314184512733</v>
      </c>
      <c r="H1167" t="inlineStr"/>
      <c r="I1167" t="inlineStr">
        <is>
          <t>"$"#,##0.00</t>
        </is>
      </c>
      <c r="J1167" t="b">
        <v>0</v>
      </c>
      <c r="K1167" t="b">
        <v>0</v>
      </c>
      <c r="L1167" t="n">
        <v>9</v>
      </c>
      <c r="M1167" t="inlineStr">
        <is>
          <t>Values must be of type &lt;class 'str'&gt;</t>
        </is>
      </c>
      <c r="N1167" t="inlineStr">
        <is>
          <t>00000000</t>
        </is>
      </c>
      <c r="O1167" t="inlineStr">
        <is>
          <t>center</t>
        </is>
      </c>
      <c r="P1167" t="inlineStr">
        <is>
          <t>center</t>
        </is>
      </c>
      <c r="R1167" t="b">
        <v>1</v>
      </c>
      <c r="S1167" t="inlineStr">
        <is>
          <t>G000005</t>
        </is>
      </c>
      <c r="T1167" t="inlineStr">
        <is>
          <t>Vertical</t>
        </is>
      </c>
      <c r="U1167" t="n">
        <v>120</v>
      </c>
      <c r="V1167" t="b">
        <v>1</v>
      </c>
      <c r="W1167" t="inlineStr">
        <is>
          <t>Loan calculator!F17:F136</t>
        </is>
      </c>
      <c r="X1167">
        <f>IFERROR(IF(LoanIsNotPaid*LoanIsGood,Principal,0), 0)</f>
        <v/>
      </c>
    </row>
    <row r="1168">
      <c r="A1168" t="inlineStr">
        <is>
          <t>Loan calculator</t>
        </is>
      </c>
      <c r="B1168" t="inlineStr">
        <is>
          <t>G125</t>
        </is>
      </c>
      <c r="C1168" t="n">
        <v>125</v>
      </c>
      <c r="D1168" t="n">
        <v>7</v>
      </c>
      <c r="E1168" t="inlineStr">
        <is>
          <t>Output</t>
        </is>
      </c>
      <c r="F1168" t="inlineStr">
        <is>
          <t>'=IFERROR(IF(LoanIsNotPaid*LoanIsGood,InterestAmt,0), 0)</t>
        </is>
      </c>
      <c r="G1168" t="n">
        <v>5.794859509207435</v>
      </c>
      <c r="H1168" t="inlineStr"/>
      <c r="I1168" t="inlineStr">
        <is>
          <t>"$"#,##0.00</t>
        </is>
      </c>
      <c r="J1168" t="b">
        <v>0</v>
      </c>
      <c r="K1168" t="b">
        <v>0</v>
      </c>
      <c r="L1168" t="n">
        <v>9</v>
      </c>
      <c r="M1168" t="inlineStr">
        <is>
          <t>Values must be of type &lt;class 'str'&gt;</t>
        </is>
      </c>
      <c r="N1168" t="inlineStr">
        <is>
          <t>00000000</t>
        </is>
      </c>
      <c r="O1168" t="inlineStr">
        <is>
          <t>center</t>
        </is>
      </c>
      <c r="P1168" t="inlineStr">
        <is>
          <t>center</t>
        </is>
      </c>
      <c r="R1168" t="b">
        <v>1</v>
      </c>
      <c r="S1168" t="inlineStr">
        <is>
          <t>G000006</t>
        </is>
      </c>
      <c r="T1168" t="inlineStr">
        <is>
          <t>Vertical</t>
        </is>
      </c>
      <c r="U1168" t="n">
        <v>120</v>
      </c>
      <c r="V1168" t="b">
        <v>1</v>
      </c>
      <c r="W1168" t="inlineStr">
        <is>
          <t>Loan calculator!G17:G136</t>
        </is>
      </c>
      <c r="X1168">
        <f>IFERROR(IF(LoanIsNotPaid*LoanIsGood,InterestAmt,0), 0)</f>
        <v/>
      </c>
    </row>
    <row r="1169">
      <c r="A1169" t="inlineStr">
        <is>
          <t>Loan calculator</t>
        </is>
      </c>
      <c r="B1169" t="inlineStr">
        <is>
          <t>H125</t>
        </is>
      </c>
      <c r="C1169" t="n">
        <v>125</v>
      </c>
      <c r="D1169" t="n">
        <v>8</v>
      </c>
      <c r="E1169" t="inlineStr">
        <is>
          <t>Output</t>
        </is>
      </c>
      <c r="F1169" t="inlineStr">
        <is>
          <t>'=IFERROR(IF(LoanIsNotPaid*LoanIsGood,EndingBalance,0), 0)</t>
        </is>
      </c>
      <c r="G1169" t="n">
        <v>1161.601565375786</v>
      </c>
      <c r="H1169" t="inlineStr"/>
      <c r="I1169" t="inlineStr">
        <is>
          <t>"$"#,##0.00</t>
        </is>
      </c>
      <c r="J1169" t="b">
        <v>0</v>
      </c>
      <c r="K1169" t="b">
        <v>0</v>
      </c>
      <c r="L1169" t="n">
        <v>9</v>
      </c>
      <c r="M1169" t="inlineStr">
        <is>
          <t>Values must be of type &lt;class 'str'&gt;</t>
        </is>
      </c>
      <c r="N1169" t="inlineStr">
        <is>
          <t>00000000</t>
        </is>
      </c>
      <c r="O1169" t="inlineStr">
        <is>
          <t>center</t>
        </is>
      </c>
      <c r="P1169" t="inlineStr">
        <is>
          <t>center</t>
        </is>
      </c>
      <c r="R1169" t="b">
        <v>1</v>
      </c>
      <c r="S1169" t="inlineStr">
        <is>
          <t>G000007</t>
        </is>
      </c>
      <c r="T1169" t="inlineStr">
        <is>
          <t>Vertical</t>
        </is>
      </c>
      <c r="U1169" t="n">
        <v>120</v>
      </c>
      <c r="V1169" t="b">
        <v>1</v>
      </c>
      <c r="W1169" t="inlineStr">
        <is>
          <t>Loan calculator!H17:H136</t>
        </is>
      </c>
      <c r="X1169">
        <f>IFERROR(IF(LoanIsNotPaid*LoanIsGood,EndingBalance,0), 0)</f>
        <v/>
      </c>
    </row>
    <row r="1170">
      <c r="A1170" t="inlineStr">
        <is>
          <t>Loan calculator</t>
        </is>
      </c>
      <c r="B1170" t="inlineStr">
        <is>
          <t>I125</t>
        </is>
      </c>
      <c r="C1170" t="n">
        <v>125</v>
      </c>
      <c r="D1170" t="n">
        <v>9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11</v>
      </c>
      <c r="M1170" t="inlineStr">
        <is>
          <t>Values must be of type &lt;class 'str'&gt;</t>
        </is>
      </c>
      <c r="N1170" t="inlineStr">
        <is>
          <t>Values must be of type &lt;class 'str'&gt;</t>
        </is>
      </c>
      <c r="O1170" t="n">
        <v/>
      </c>
      <c r="P1170" t="inlineStr">
        <is>
          <t>center</t>
        </is>
      </c>
      <c r="R1170" t="b">
        <v>0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</row>
    <row r="1171">
      <c r="A1171" t="inlineStr">
        <is>
          <t>Loan calculator</t>
        </is>
      </c>
      <c r="B1171" t="inlineStr">
        <is>
          <t>A126</t>
        </is>
      </c>
      <c r="C1171" t="n">
        <v>126</v>
      </c>
      <c r="D1171" t="n">
        <v>1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11</v>
      </c>
      <c r="M1171" t="inlineStr">
        <is>
          <t>Values must be of type &lt;class 'str'&gt;</t>
        </is>
      </c>
      <c r="N1171" t="inlineStr">
        <is>
          <t>Values must be of type &lt;class 'str'&gt;</t>
        </is>
      </c>
      <c r="O1171" t="n">
        <v/>
      </c>
      <c r="P1171" t="inlineStr">
        <is>
          <t>center</t>
        </is>
      </c>
      <c r="R1171" t="b">
        <v>0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</row>
    <row r="1172">
      <c r="A1172" t="inlineStr">
        <is>
          <t>Loan calculator</t>
        </is>
      </c>
      <c r="B1172" t="inlineStr">
        <is>
          <t>B126</t>
        </is>
      </c>
      <c r="C1172" t="n">
        <v>126</v>
      </c>
      <c r="D1172" t="n">
        <v>2</v>
      </c>
      <c r="E1172" t="inlineStr">
        <is>
          <t>Output</t>
        </is>
      </c>
      <c r="F1172" t="inlineStr">
        <is>
          <t>'=IFERROR(IF(LoanIsNotPaid*LoanIsGood,PaymentNumber,""), "")</t>
        </is>
      </c>
      <c r="G1172" t="n">
        <v>110</v>
      </c>
      <c r="H1172" t="inlineStr"/>
      <c r="I1172" t="inlineStr">
        <is>
          <t>#,##0</t>
        </is>
      </c>
      <c r="J1172" t="b">
        <v>0</v>
      </c>
      <c r="K1172" t="b">
        <v>0</v>
      </c>
      <c r="L1172" t="n">
        <v>9</v>
      </c>
      <c r="M1172" t="inlineStr">
        <is>
          <t>Values must be of type &lt;class 'str'&gt;</t>
        </is>
      </c>
      <c r="N1172" t="inlineStr">
        <is>
          <t>00000000</t>
        </is>
      </c>
      <c r="O1172" t="inlineStr">
        <is>
          <t>center</t>
        </is>
      </c>
      <c r="P1172" t="inlineStr">
        <is>
          <t>center</t>
        </is>
      </c>
      <c r="R1172" t="b">
        <v>1</v>
      </c>
      <c r="S1172" t="inlineStr">
        <is>
          <t>G000001</t>
        </is>
      </c>
      <c r="T1172" t="inlineStr">
        <is>
          <t>Vertical</t>
        </is>
      </c>
      <c r="U1172" t="n">
        <v>120</v>
      </c>
      <c r="V1172" t="b">
        <v>1</v>
      </c>
      <c r="W1172" t="inlineStr">
        <is>
          <t>Loan calculator!B17:B136</t>
        </is>
      </c>
      <c r="X1172">
        <f>IFERROR(IF(LoanIsNotPaid*LoanIsGood,PaymentNumber,""), "")</f>
        <v/>
      </c>
    </row>
    <row r="1173">
      <c r="A1173" t="inlineStr">
        <is>
          <t>Loan calculator</t>
        </is>
      </c>
      <c r="B1173" t="inlineStr">
        <is>
          <t>C126</t>
        </is>
      </c>
      <c r="C1173" t="n">
        <v>126</v>
      </c>
      <c r="D1173" t="n">
        <v>3</v>
      </c>
      <c r="E1173" t="inlineStr">
        <is>
          <t>Output</t>
        </is>
      </c>
      <c r="F1173" t="inlineStr">
        <is>
          <t>'=IFERROR(IF(LoanIsNotPaid*LoanIsGood,PaymentDate,LoanStartDate), LoanStartDate)</t>
        </is>
      </c>
      <c r="G1173" s="1" t="n">
        <v>49434</v>
      </c>
      <c r="H1173" t="inlineStr"/>
      <c r="I1173" t="inlineStr">
        <is>
          <t>mm-dd-yy</t>
        </is>
      </c>
      <c r="J1173" t="b">
        <v>0</v>
      </c>
      <c r="K1173" t="b">
        <v>0</v>
      </c>
      <c r="L1173" t="n">
        <v>9</v>
      </c>
      <c r="M1173" t="inlineStr">
        <is>
          <t>Values must be of type &lt;class 'str'&gt;</t>
        </is>
      </c>
      <c r="N1173" t="inlineStr">
        <is>
          <t>00000000</t>
        </is>
      </c>
      <c r="O1173" t="inlineStr">
        <is>
          <t>center</t>
        </is>
      </c>
      <c r="P1173" t="inlineStr">
        <is>
          <t>center</t>
        </is>
      </c>
      <c r="R1173" t="b">
        <v>1</v>
      </c>
      <c r="S1173" t="inlineStr">
        <is>
          <t>G000002</t>
        </is>
      </c>
      <c r="T1173" t="inlineStr">
        <is>
          <t>Vertical</t>
        </is>
      </c>
      <c r="U1173" t="n">
        <v>120</v>
      </c>
      <c r="V1173" t="b">
        <v>1</v>
      </c>
      <c r="W1173" t="inlineStr">
        <is>
          <t>Loan calculator!C17:C136</t>
        </is>
      </c>
      <c r="X1173">
        <f>IFERROR(IF(LoanIsNotPaid*LoanIsGood,PaymentDate,LoanStartDate), LoanStartDate)</f>
        <v/>
      </c>
    </row>
    <row r="1174">
      <c r="A1174" t="inlineStr">
        <is>
          <t>Loan calculator</t>
        </is>
      </c>
      <c r="B1174" t="inlineStr">
        <is>
          <t>D126</t>
        </is>
      </c>
      <c r="C1174" t="n">
        <v>126</v>
      </c>
      <c r="D1174" t="n">
        <v>4</v>
      </c>
      <c r="E1174" t="inlineStr">
        <is>
          <t>Output</t>
        </is>
      </c>
      <c r="F1174" t="inlineStr">
        <is>
          <t>'=IFERROR(IF(LoanIsNotPaid*LoanIsGood,LoanValue,""), "")</t>
        </is>
      </c>
      <c r="G1174" t="n">
        <v>1161.601565375786</v>
      </c>
      <c r="H1174" t="inlineStr"/>
      <c r="I1174" t="inlineStr">
        <is>
          <t>"$"#,##0.00</t>
        </is>
      </c>
      <c r="J1174" t="b">
        <v>0</v>
      </c>
      <c r="K1174" t="b">
        <v>0</v>
      </c>
      <c r="L1174" t="n">
        <v>9</v>
      </c>
      <c r="M1174" t="inlineStr">
        <is>
          <t>Values must be of type &lt;class 'str'&gt;</t>
        </is>
      </c>
      <c r="N1174" t="inlineStr">
        <is>
          <t>00000000</t>
        </is>
      </c>
      <c r="O1174" t="inlineStr">
        <is>
          <t>center</t>
        </is>
      </c>
      <c r="P1174" t="inlineStr">
        <is>
          <t>center</t>
        </is>
      </c>
      <c r="R1174" t="b">
        <v>1</v>
      </c>
      <c r="S1174" t="inlineStr">
        <is>
          <t>G000003</t>
        </is>
      </c>
      <c r="T1174" t="inlineStr">
        <is>
          <t>Vertical</t>
        </is>
      </c>
      <c r="U1174" t="n">
        <v>120</v>
      </c>
      <c r="V1174" t="b">
        <v>1</v>
      </c>
      <c r="W1174" t="inlineStr">
        <is>
          <t>Loan calculator!D17:D136</t>
        </is>
      </c>
      <c r="X1174">
        <f>IFERROR(IF(LoanIsNotPaid*LoanIsGood,LoanValue,""), "")</f>
        <v/>
      </c>
    </row>
    <row r="1175">
      <c r="A1175" t="inlineStr">
        <is>
          <t>Loan calculator</t>
        </is>
      </c>
      <c r="B1175" t="inlineStr">
        <is>
          <t>E126</t>
        </is>
      </c>
      <c r="C1175" t="n">
        <v>126</v>
      </c>
      <c r="D1175" t="n">
        <v>5</v>
      </c>
      <c r="E1175" t="inlineStr">
        <is>
          <t>Output</t>
        </is>
      </c>
      <c r="F1175" t="inlineStr">
        <is>
          <t>'=IFERROR(IF(LoanIsNotPaid*LoanIsGood,MonthlyPayment,0), 0)</t>
        </is>
      </c>
      <c r="G1175" t="n">
        <v>108.5262779604807</v>
      </c>
      <c r="H1175" t="inlineStr"/>
      <c r="I1175" t="inlineStr">
        <is>
          <t>"$"#,##0.00</t>
        </is>
      </c>
      <c r="J1175" t="b">
        <v>0</v>
      </c>
      <c r="K1175" t="b">
        <v>0</v>
      </c>
      <c r="L1175" t="n">
        <v>9</v>
      </c>
      <c r="M1175" t="inlineStr">
        <is>
          <t>Values must be of type &lt;class 'str'&gt;</t>
        </is>
      </c>
      <c r="N1175" t="inlineStr">
        <is>
          <t>00000000</t>
        </is>
      </c>
      <c r="O1175" t="inlineStr">
        <is>
          <t>center</t>
        </is>
      </c>
      <c r="P1175" t="inlineStr">
        <is>
          <t>center</t>
        </is>
      </c>
      <c r="R1175" t="b">
        <v>1</v>
      </c>
      <c r="S1175" t="inlineStr">
        <is>
          <t>G000004</t>
        </is>
      </c>
      <c r="T1175" t="inlineStr">
        <is>
          <t>Vertical</t>
        </is>
      </c>
      <c r="U1175" t="n">
        <v>120</v>
      </c>
      <c r="V1175" t="b">
        <v>1</v>
      </c>
      <c r="W1175" t="inlineStr">
        <is>
          <t>Loan calculator!E17:E136</t>
        </is>
      </c>
      <c r="X1175">
        <f>IFERROR(IF(LoanIsNotPaid*LoanIsGood,MonthlyPayment,0), 0)</f>
        <v/>
      </c>
    </row>
    <row r="1176">
      <c r="A1176" t="inlineStr">
        <is>
          <t>Loan calculator</t>
        </is>
      </c>
      <c r="B1176" t="inlineStr">
        <is>
          <t>F126</t>
        </is>
      </c>
      <c r="C1176" t="n">
        <v>126</v>
      </c>
      <c r="D1176" t="n">
        <v>6</v>
      </c>
      <c r="E1176" t="inlineStr">
        <is>
          <t>Output</t>
        </is>
      </c>
      <c r="F1176" t="inlineStr">
        <is>
          <t>'=IFERROR(IF(LoanIsNotPaid*LoanIsGood,Principal,0), 0)</t>
        </is>
      </c>
      <c r="G1176" t="n">
        <v>103.2022707858416</v>
      </c>
      <c r="H1176" t="inlineStr"/>
      <c r="I1176" t="inlineStr">
        <is>
          <t>"$"#,##0.00</t>
        </is>
      </c>
      <c r="J1176" t="b">
        <v>0</v>
      </c>
      <c r="K1176" t="b">
        <v>0</v>
      </c>
      <c r="L1176" t="n">
        <v>9</v>
      </c>
      <c r="M1176" t="inlineStr">
        <is>
          <t>Values must be of type &lt;class 'str'&gt;</t>
        </is>
      </c>
      <c r="N1176" t="inlineStr">
        <is>
          <t>00000000</t>
        </is>
      </c>
      <c r="O1176" t="inlineStr">
        <is>
          <t>center</t>
        </is>
      </c>
      <c r="P1176" t="inlineStr">
        <is>
          <t>center</t>
        </is>
      </c>
      <c r="R1176" t="b">
        <v>1</v>
      </c>
      <c r="S1176" t="inlineStr">
        <is>
          <t>G000005</t>
        </is>
      </c>
      <c r="T1176" t="inlineStr">
        <is>
          <t>Vertical</t>
        </is>
      </c>
      <c r="U1176" t="n">
        <v>120</v>
      </c>
      <c r="V1176" t="b">
        <v>1</v>
      </c>
      <c r="W1176" t="inlineStr">
        <is>
          <t>Loan calculator!F17:F136</t>
        </is>
      </c>
      <c r="X1176">
        <f>IFERROR(IF(LoanIsNotPaid*LoanIsGood,Principal,0), 0)</f>
        <v/>
      </c>
    </row>
    <row r="1177">
      <c r="A1177" t="inlineStr">
        <is>
          <t>Loan calculator</t>
        </is>
      </c>
      <c r="B1177" t="inlineStr">
        <is>
          <t>G126</t>
        </is>
      </c>
      <c r="C1177" t="n">
        <v>126</v>
      </c>
      <c r="D1177" t="n">
        <v>7</v>
      </c>
      <c r="E1177" t="inlineStr">
        <is>
          <t>Output</t>
        </is>
      </c>
      <c r="F1177" t="inlineStr">
        <is>
          <t>'=IFERROR(IF(LoanIsNotPaid*LoanIsGood,InterestAmt,0), 0)</t>
        </is>
      </c>
      <c r="G1177" t="n">
        <v>5.324007174639099</v>
      </c>
      <c r="H1177" t="inlineStr"/>
      <c r="I1177" t="inlineStr">
        <is>
          <t>"$"#,##0.00</t>
        </is>
      </c>
      <c r="J1177" t="b">
        <v>0</v>
      </c>
      <c r="K1177" t="b">
        <v>0</v>
      </c>
      <c r="L1177" t="n">
        <v>9</v>
      </c>
      <c r="M1177" t="inlineStr">
        <is>
          <t>Values must be of type &lt;class 'str'&gt;</t>
        </is>
      </c>
      <c r="N1177" t="inlineStr">
        <is>
          <t>00000000</t>
        </is>
      </c>
      <c r="O1177" t="inlineStr">
        <is>
          <t>center</t>
        </is>
      </c>
      <c r="P1177" t="inlineStr">
        <is>
          <t>center</t>
        </is>
      </c>
      <c r="R1177" t="b">
        <v>1</v>
      </c>
      <c r="S1177" t="inlineStr">
        <is>
          <t>G000006</t>
        </is>
      </c>
      <c r="T1177" t="inlineStr">
        <is>
          <t>Vertical</t>
        </is>
      </c>
      <c r="U1177" t="n">
        <v>120</v>
      </c>
      <c r="V1177" t="b">
        <v>1</v>
      </c>
      <c r="W1177" t="inlineStr">
        <is>
          <t>Loan calculator!G17:G136</t>
        </is>
      </c>
      <c r="X1177">
        <f>IFERROR(IF(LoanIsNotPaid*LoanIsGood,InterestAmt,0), 0)</f>
        <v/>
      </c>
    </row>
    <row r="1178">
      <c r="A1178" t="inlineStr">
        <is>
          <t>Loan calculator</t>
        </is>
      </c>
      <c r="B1178" t="inlineStr">
        <is>
          <t>H126</t>
        </is>
      </c>
      <c r="C1178" t="n">
        <v>126</v>
      </c>
      <c r="D1178" t="n">
        <v>8</v>
      </c>
      <c r="E1178" t="inlineStr">
        <is>
          <t>Output</t>
        </is>
      </c>
      <c r="F1178" t="inlineStr">
        <is>
          <t>'=IFERROR(IF(LoanIsNotPaid*LoanIsGood,EndingBalance,0), 0)</t>
        </is>
      </c>
      <c r="G1178" t="n">
        <v>1058.399294589943</v>
      </c>
      <c r="H1178" t="inlineStr"/>
      <c r="I1178" t="inlineStr">
        <is>
          <t>"$"#,##0.00</t>
        </is>
      </c>
      <c r="J1178" t="b">
        <v>0</v>
      </c>
      <c r="K1178" t="b">
        <v>0</v>
      </c>
      <c r="L1178" t="n">
        <v>9</v>
      </c>
      <c r="M1178" t="inlineStr">
        <is>
          <t>Values must be of type &lt;class 'str'&gt;</t>
        </is>
      </c>
      <c r="N1178" t="inlineStr">
        <is>
          <t>00000000</t>
        </is>
      </c>
      <c r="O1178" t="inlineStr">
        <is>
          <t>center</t>
        </is>
      </c>
      <c r="P1178" t="inlineStr">
        <is>
          <t>center</t>
        </is>
      </c>
      <c r="R1178" t="b">
        <v>1</v>
      </c>
      <c r="S1178" t="inlineStr">
        <is>
          <t>G000007</t>
        </is>
      </c>
      <c r="T1178" t="inlineStr">
        <is>
          <t>Vertical</t>
        </is>
      </c>
      <c r="U1178" t="n">
        <v>120</v>
      </c>
      <c r="V1178" t="b">
        <v>1</v>
      </c>
      <c r="W1178" t="inlineStr">
        <is>
          <t>Loan calculator!H17:H136</t>
        </is>
      </c>
      <c r="X1178">
        <f>IFERROR(IF(LoanIsNotPaid*LoanIsGood,EndingBalance,0), 0)</f>
        <v/>
      </c>
    </row>
    <row r="1179">
      <c r="A1179" t="inlineStr">
        <is>
          <t>Loan calculator</t>
        </is>
      </c>
      <c r="B1179" t="inlineStr">
        <is>
          <t>I126</t>
        </is>
      </c>
      <c r="C1179" t="n">
        <v>126</v>
      </c>
      <c r="D1179" t="n">
        <v>9</v>
      </c>
      <c r="E1179" t="inlineStr">
        <is>
          <t>Input</t>
        </is>
      </c>
      <c r="F1179" t="n">
        <v/>
      </c>
      <c r="H1179" t="inlineStr"/>
      <c r="I1179" t="inlineStr">
        <is>
          <t>General</t>
        </is>
      </c>
      <c r="J1179" t="b">
        <v>0</v>
      </c>
      <c r="K1179" t="b">
        <v>0</v>
      </c>
      <c r="L1179" t="n">
        <v>11</v>
      </c>
      <c r="M1179" t="inlineStr">
        <is>
          <t>Values must be of type &lt;class 'str'&gt;</t>
        </is>
      </c>
      <c r="N1179" t="inlineStr">
        <is>
          <t>Values must be of type &lt;class 'str'&gt;</t>
        </is>
      </c>
      <c r="O1179" t="n">
        <v/>
      </c>
      <c r="P1179" t="inlineStr">
        <is>
          <t>center</t>
        </is>
      </c>
      <c r="R1179" t="b">
        <v>0</v>
      </c>
      <c r="S1179" t="n">
        <v/>
      </c>
      <c r="T1179" t="n">
        <v/>
      </c>
      <c r="U1179" t="n">
        <v/>
      </c>
      <c r="V1179" t="b">
        <v>0</v>
      </c>
      <c r="W1179" t="inlineStr"/>
      <c r="X1179" t="n">
        <v/>
      </c>
    </row>
    <row r="1180">
      <c r="A1180" t="inlineStr">
        <is>
          <t>Loan calculator</t>
        </is>
      </c>
      <c r="B1180" t="inlineStr">
        <is>
          <t>A127</t>
        </is>
      </c>
      <c r="C1180" t="n">
        <v>127</v>
      </c>
      <c r="D1180" t="n">
        <v>1</v>
      </c>
      <c r="E1180" t="inlineStr">
        <is>
          <t>Input</t>
        </is>
      </c>
      <c r="F1180" t="n">
        <v/>
      </c>
      <c r="H1180" t="inlineStr"/>
      <c r="I1180" t="inlineStr">
        <is>
          <t>General</t>
        </is>
      </c>
      <c r="J1180" t="b">
        <v>0</v>
      </c>
      <c r="K1180" t="b">
        <v>0</v>
      </c>
      <c r="L1180" t="n">
        <v>11</v>
      </c>
      <c r="M1180" t="inlineStr">
        <is>
          <t>Values must be of type &lt;class 'str'&gt;</t>
        </is>
      </c>
      <c r="N1180" t="inlineStr">
        <is>
          <t>Values must be of type &lt;class 'str'&gt;</t>
        </is>
      </c>
      <c r="O1180" t="n">
        <v/>
      </c>
      <c r="P1180" t="inlineStr">
        <is>
          <t>center</t>
        </is>
      </c>
      <c r="R1180" t="b">
        <v>0</v>
      </c>
      <c r="S1180" t="n">
        <v/>
      </c>
      <c r="T1180" t="n">
        <v/>
      </c>
      <c r="U1180" t="n">
        <v/>
      </c>
      <c r="V1180" t="b">
        <v>0</v>
      </c>
      <c r="W1180" t="inlineStr"/>
      <c r="X1180" t="n">
        <v/>
      </c>
    </row>
    <row r="1181">
      <c r="A1181" t="inlineStr">
        <is>
          <t>Loan calculator</t>
        </is>
      </c>
      <c r="B1181" t="inlineStr">
        <is>
          <t>B127</t>
        </is>
      </c>
      <c r="C1181" t="n">
        <v>127</v>
      </c>
      <c r="D1181" t="n">
        <v>2</v>
      </c>
      <c r="E1181" t="inlineStr">
        <is>
          <t>Output</t>
        </is>
      </c>
      <c r="F1181" t="inlineStr">
        <is>
          <t>'=IFERROR(IF(LoanIsNotPaid*LoanIsGood,PaymentNumber,""), "")</t>
        </is>
      </c>
      <c r="G1181" t="n">
        <v>111</v>
      </c>
      <c r="H1181" t="inlineStr"/>
      <c r="I1181" t="inlineStr">
        <is>
          <t>#,##0</t>
        </is>
      </c>
      <c r="J1181" t="b">
        <v>0</v>
      </c>
      <c r="K1181" t="b">
        <v>0</v>
      </c>
      <c r="L1181" t="n">
        <v>9</v>
      </c>
      <c r="M1181" t="inlineStr">
        <is>
          <t>Values must be of type &lt;class 'str'&gt;</t>
        </is>
      </c>
      <c r="N1181" t="inlineStr">
        <is>
          <t>00000000</t>
        </is>
      </c>
      <c r="O1181" t="inlineStr">
        <is>
          <t>center</t>
        </is>
      </c>
      <c r="P1181" t="inlineStr">
        <is>
          <t>center</t>
        </is>
      </c>
      <c r="R1181" t="b">
        <v>1</v>
      </c>
      <c r="S1181" t="inlineStr">
        <is>
          <t>G000001</t>
        </is>
      </c>
      <c r="T1181" t="inlineStr">
        <is>
          <t>Vertical</t>
        </is>
      </c>
      <c r="U1181" t="n">
        <v>120</v>
      </c>
      <c r="V1181" t="b">
        <v>1</v>
      </c>
      <c r="W1181" t="inlineStr">
        <is>
          <t>Loan calculator!B17:B136</t>
        </is>
      </c>
      <c r="X1181">
        <f>IFERROR(IF(LoanIsNotPaid*LoanIsGood,PaymentNumber,""), "")</f>
        <v/>
      </c>
    </row>
    <row r="1182">
      <c r="A1182" t="inlineStr">
        <is>
          <t>Loan calculator</t>
        </is>
      </c>
      <c r="B1182" t="inlineStr">
        <is>
          <t>C127</t>
        </is>
      </c>
      <c r="C1182" t="n">
        <v>127</v>
      </c>
      <c r="D1182" t="n">
        <v>3</v>
      </c>
      <c r="E1182" t="inlineStr">
        <is>
          <t>Output</t>
        </is>
      </c>
      <c r="F1182" t="inlineStr">
        <is>
          <t>'=IFERROR(IF(LoanIsNotPaid*LoanIsGood,PaymentDate,LoanStartDate), LoanStartDate)</t>
        </is>
      </c>
      <c r="G1182" s="1" t="n">
        <v>49465</v>
      </c>
      <c r="H1182" t="inlineStr"/>
      <c r="I1182" t="inlineStr">
        <is>
          <t>mm-dd-yy</t>
        </is>
      </c>
      <c r="J1182" t="b">
        <v>0</v>
      </c>
      <c r="K1182" t="b">
        <v>0</v>
      </c>
      <c r="L1182" t="n">
        <v>9</v>
      </c>
      <c r="M1182" t="inlineStr">
        <is>
          <t>Values must be of type &lt;class 'str'&gt;</t>
        </is>
      </c>
      <c r="N1182" t="inlineStr">
        <is>
          <t>00000000</t>
        </is>
      </c>
      <c r="O1182" t="inlineStr">
        <is>
          <t>center</t>
        </is>
      </c>
      <c r="P1182" t="inlineStr">
        <is>
          <t>center</t>
        </is>
      </c>
      <c r="R1182" t="b">
        <v>1</v>
      </c>
      <c r="S1182" t="inlineStr">
        <is>
          <t>G000002</t>
        </is>
      </c>
      <c r="T1182" t="inlineStr">
        <is>
          <t>Vertical</t>
        </is>
      </c>
      <c r="U1182" t="n">
        <v>120</v>
      </c>
      <c r="V1182" t="b">
        <v>1</v>
      </c>
      <c r="W1182" t="inlineStr">
        <is>
          <t>Loan calculator!C17:C136</t>
        </is>
      </c>
      <c r="X1182">
        <f>IFERROR(IF(LoanIsNotPaid*LoanIsGood,PaymentDate,LoanStartDate), LoanStartDate)</f>
        <v/>
      </c>
    </row>
    <row r="1183">
      <c r="A1183" t="inlineStr">
        <is>
          <t>Loan calculator</t>
        </is>
      </c>
      <c r="B1183" t="inlineStr">
        <is>
          <t>D127</t>
        </is>
      </c>
      <c r="C1183" t="n">
        <v>127</v>
      </c>
      <c r="D1183" t="n">
        <v>4</v>
      </c>
      <c r="E1183" t="inlineStr">
        <is>
          <t>Output</t>
        </is>
      </c>
      <c r="F1183" t="inlineStr">
        <is>
          <t>'=IFERROR(IF(LoanIsNotPaid*LoanIsGood,LoanValue,""), "")</t>
        </is>
      </c>
      <c r="G1183" t="n">
        <v>1058.399294589943</v>
      </c>
      <c r="H1183" t="inlineStr"/>
      <c r="I1183" t="inlineStr">
        <is>
          <t>"$"#,##0.00</t>
        </is>
      </c>
      <c r="J1183" t="b">
        <v>0</v>
      </c>
      <c r="K1183" t="b">
        <v>0</v>
      </c>
      <c r="L1183" t="n">
        <v>9</v>
      </c>
      <c r="M1183" t="inlineStr">
        <is>
          <t>Values must be of type &lt;class 'str'&gt;</t>
        </is>
      </c>
      <c r="N1183" t="inlineStr">
        <is>
          <t>00000000</t>
        </is>
      </c>
      <c r="O1183" t="inlineStr">
        <is>
          <t>center</t>
        </is>
      </c>
      <c r="P1183" t="inlineStr">
        <is>
          <t>center</t>
        </is>
      </c>
      <c r="R1183" t="b">
        <v>1</v>
      </c>
      <c r="S1183" t="inlineStr">
        <is>
          <t>G000003</t>
        </is>
      </c>
      <c r="T1183" t="inlineStr">
        <is>
          <t>Vertical</t>
        </is>
      </c>
      <c r="U1183" t="n">
        <v>120</v>
      </c>
      <c r="V1183" t="b">
        <v>1</v>
      </c>
      <c r="W1183" t="inlineStr">
        <is>
          <t>Loan calculator!D17:D136</t>
        </is>
      </c>
      <c r="X1183">
        <f>IFERROR(IF(LoanIsNotPaid*LoanIsGood,LoanValue,""), "")</f>
        <v/>
      </c>
    </row>
    <row r="1184">
      <c r="A1184" t="inlineStr">
        <is>
          <t>Loan calculator</t>
        </is>
      </c>
      <c r="B1184" t="inlineStr">
        <is>
          <t>E127</t>
        </is>
      </c>
      <c r="C1184" t="n">
        <v>127</v>
      </c>
      <c r="D1184" t="n">
        <v>5</v>
      </c>
      <c r="E1184" t="inlineStr">
        <is>
          <t>Output</t>
        </is>
      </c>
      <c r="F1184" t="inlineStr">
        <is>
          <t>'=IFERROR(IF(LoanIsNotPaid*LoanIsGood,MonthlyPayment,0), 0)</t>
        </is>
      </c>
      <c r="G1184" t="n">
        <v>108.5262779604807</v>
      </c>
      <c r="H1184" t="inlineStr"/>
      <c r="I1184" t="inlineStr">
        <is>
          <t>"$"#,##0.00</t>
        </is>
      </c>
      <c r="J1184" t="b">
        <v>0</v>
      </c>
      <c r="K1184" t="b">
        <v>0</v>
      </c>
      <c r="L1184" t="n">
        <v>9</v>
      </c>
      <c r="M1184" t="inlineStr">
        <is>
          <t>Values must be of type &lt;class 'str'&gt;</t>
        </is>
      </c>
      <c r="N1184" t="inlineStr">
        <is>
          <t>00000000</t>
        </is>
      </c>
      <c r="O1184" t="inlineStr">
        <is>
          <t>center</t>
        </is>
      </c>
      <c r="P1184" t="inlineStr">
        <is>
          <t>center</t>
        </is>
      </c>
      <c r="R1184" t="b">
        <v>1</v>
      </c>
      <c r="S1184" t="inlineStr">
        <is>
          <t>G000004</t>
        </is>
      </c>
      <c r="T1184" t="inlineStr">
        <is>
          <t>Vertical</t>
        </is>
      </c>
      <c r="U1184" t="n">
        <v>120</v>
      </c>
      <c r="V1184" t="b">
        <v>1</v>
      </c>
      <c r="W1184" t="inlineStr">
        <is>
          <t>Loan calculator!E17:E136</t>
        </is>
      </c>
      <c r="X1184">
        <f>IFERROR(IF(LoanIsNotPaid*LoanIsGood,MonthlyPayment,0), 0)</f>
        <v/>
      </c>
    </row>
    <row r="1185">
      <c r="A1185" t="inlineStr">
        <is>
          <t>Loan calculator</t>
        </is>
      </c>
      <c r="B1185" t="inlineStr">
        <is>
          <t>F127</t>
        </is>
      </c>
      <c r="C1185" t="n">
        <v>127</v>
      </c>
      <c r="D1185" t="n">
        <v>6</v>
      </c>
      <c r="E1185" t="inlineStr">
        <is>
          <t>Output</t>
        </is>
      </c>
      <c r="F1185" t="inlineStr">
        <is>
          <t>'=IFERROR(IF(LoanIsNotPaid*LoanIsGood,Principal,0), 0)</t>
        </is>
      </c>
      <c r="G1185" t="n">
        <v>103.6752811936101</v>
      </c>
      <c r="H1185" t="inlineStr"/>
      <c r="I1185" t="inlineStr">
        <is>
          <t>"$"#,##0.00</t>
        </is>
      </c>
      <c r="J1185" t="b">
        <v>0</v>
      </c>
      <c r="K1185" t="b">
        <v>0</v>
      </c>
      <c r="L1185" t="n">
        <v>9</v>
      </c>
      <c r="M1185" t="inlineStr">
        <is>
          <t>Values must be of type &lt;class 'str'&gt;</t>
        </is>
      </c>
      <c r="N1185" t="inlineStr">
        <is>
          <t>00000000</t>
        </is>
      </c>
      <c r="O1185" t="inlineStr">
        <is>
          <t>center</t>
        </is>
      </c>
      <c r="P1185" t="inlineStr">
        <is>
          <t>center</t>
        </is>
      </c>
      <c r="R1185" t="b">
        <v>1</v>
      </c>
      <c r="S1185" t="inlineStr">
        <is>
          <t>G000005</t>
        </is>
      </c>
      <c r="T1185" t="inlineStr">
        <is>
          <t>Vertical</t>
        </is>
      </c>
      <c r="U1185" t="n">
        <v>120</v>
      </c>
      <c r="V1185" t="b">
        <v>1</v>
      </c>
      <c r="W1185" t="inlineStr">
        <is>
          <t>Loan calculator!F17:F136</t>
        </is>
      </c>
      <c r="X1185">
        <f>IFERROR(IF(LoanIsNotPaid*LoanIsGood,Principal,0), 0)</f>
        <v/>
      </c>
    </row>
    <row r="1186">
      <c r="A1186" t="inlineStr">
        <is>
          <t>Loan calculator</t>
        </is>
      </c>
      <c r="B1186" t="inlineStr">
        <is>
          <t>G127</t>
        </is>
      </c>
      <c r="C1186" t="n">
        <v>127</v>
      </c>
      <c r="D1186" t="n">
        <v>7</v>
      </c>
      <c r="E1186" t="inlineStr">
        <is>
          <t>Output</t>
        </is>
      </c>
      <c r="F1186" t="inlineStr">
        <is>
          <t>'=IFERROR(IF(LoanIsNotPaid*LoanIsGood,InterestAmt,0), 0)</t>
        </is>
      </c>
      <c r="G1186" t="n">
        <v>4.850996766870658</v>
      </c>
      <c r="H1186" t="inlineStr"/>
      <c r="I1186" t="inlineStr">
        <is>
          <t>"$"#,##0.00</t>
        </is>
      </c>
      <c r="J1186" t="b">
        <v>0</v>
      </c>
      <c r="K1186" t="b">
        <v>0</v>
      </c>
      <c r="L1186" t="n">
        <v>9</v>
      </c>
      <c r="M1186" t="inlineStr">
        <is>
          <t>Values must be of type &lt;class 'str'&gt;</t>
        </is>
      </c>
      <c r="N1186" t="inlineStr">
        <is>
          <t>00000000</t>
        </is>
      </c>
      <c r="O1186" t="inlineStr">
        <is>
          <t>center</t>
        </is>
      </c>
      <c r="P1186" t="inlineStr">
        <is>
          <t>center</t>
        </is>
      </c>
      <c r="R1186" t="b">
        <v>1</v>
      </c>
      <c r="S1186" t="inlineStr">
        <is>
          <t>G000006</t>
        </is>
      </c>
      <c r="T1186" t="inlineStr">
        <is>
          <t>Vertical</t>
        </is>
      </c>
      <c r="U1186" t="n">
        <v>120</v>
      </c>
      <c r="V1186" t="b">
        <v>1</v>
      </c>
      <c r="W1186" t="inlineStr">
        <is>
          <t>Loan calculator!G17:G136</t>
        </is>
      </c>
      <c r="X1186">
        <f>IFERROR(IF(LoanIsNotPaid*LoanIsGood,InterestAmt,0), 0)</f>
        <v/>
      </c>
    </row>
    <row r="1187">
      <c r="A1187" t="inlineStr">
        <is>
          <t>Loan calculator</t>
        </is>
      </c>
      <c r="B1187" t="inlineStr">
        <is>
          <t>H127</t>
        </is>
      </c>
      <c r="C1187" t="n">
        <v>127</v>
      </c>
      <c r="D1187" t="n">
        <v>8</v>
      </c>
      <c r="E1187" t="inlineStr">
        <is>
          <t>Output</t>
        </is>
      </c>
      <c r="F1187" t="inlineStr">
        <is>
          <t>'=IFERROR(IF(LoanIsNotPaid*LoanIsGood,EndingBalance,0), 0)</t>
        </is>
      </c>
      <c r="G1187" t="n">
        <v>954.7240133963332</v>
      </c>
      <c r="H1187" t="inlineStr"/>
      <c r="I1187" t="inlineStr">
        <is>
          <t>"$"#,##0.00</t>
        </is>
      </c>
      <c r="J1187" t="b">
        <v>0</v>
      </c>
      <c r="K1187" t="b">
        <v>0</v>
      </c>
      <c r="L1187" t="n">
        <v>9</v>
      </c>
      <c r="M1187" t="inlineStr">
        <is>
          <t>Values must be of type &lt;class 'str'&gt;</t>
        </is>
      </c>
      <c r="N1187" t="inlineStr">
        <is>
          <t>00000000</t>
        </is>
      </c>
      <c r="O1187" t="inlineStr">
        <is>
          <t>center</t>
        </is>
      </c>
      <c r="P1187" t="inlineStr">
        <is>
          <t>center</t>
        </is>
      </c>
      <c r="R1187" t="b">
        <v>1</v>
      </c>
      <c r="S1187" t="inlineStr">
        <is>
          <t>G000007</t>
        </is>
      </c>
      <c r="T1187" t="inlineStr">
        <is>
          <t>Vertical</t>
        </is>
      </c>
      <c r="U1187" t="n">
        <v>120</v>
      </c>
      <c r="V1187" t="b">
        <v>1</v>
      </c>
      <c r="W1187" t="inlineStr">
        <is>
          <t>Loan calculator!H17:H136</t>
        </is>
      </c>
      <c r="X1187">
        <f>IFERROR(IF(LoanIsNotPaid*LoanIsGood,EndingBalance,0), 0)</f>
        <v/>
      </c>
    </row>
    <row r="1188">
      <c r="A1188" t="inlineStr">
        <is>
          <t>Loan calculator</t>
        </is>
      </c>
      <c r="B1188" t="inlineStr">
        <is>
          <t>I127</t>
        </is>
      </c>
      <c r="C1188" t="n">
        <v>127</v>
      </c>
      <c r="D1188" t="n">
        <v>9</v>
      </c>
      <c r="E1188" t="inlineStr">
        <is>
          <t>Input</t>
        </is>
      </c>
      <c r="F1188" t="n">
        <v/>
      </c>
      <c r="H1188" t="inlineStr"/>
      <c r="I1188" t="inlineStr">
        <is>
          <t>General</t>
        </is>
      </c>
      <c r="J1188" t="b">
        <v>0</v>
      </c>
      <c r="K1188" t="b">
        <v>0</v>
      </c>
      <c r="L1188" t="n">
        <v>11</v>
      </c>
      <c r="M1188" t="inlineStr">
        <is>
          <t>Values must be of type &lt;class 'str'&gt;</t>
        </is>
      </c>
      <c r="N1188" t="inlineStr">
        <is>
          <t>Values must be of type &lt;class 'str'&gt;</t>
        </is>
      </c>
      <c r="O1188" t="n">
        <v/>
      </c>
      <c r="P1188" t="inlineStr">
        <is>
          <t>center</t>
        </is>
      </c>
      <c r="R1188" t="b">
        <v>0</v>
      </c>
      <c r="S1188" t="n">
        <v/>
      </c>
      <c r="T1188" t="n">
        <v/>
      </c>
      <c r="U1188" t="n">
        <v/>
      </c>
      <c r="V1188" t="b">
        <v>0</v>
      </c>
      <c r="W1188" t="inlineStr"/>
      <c r="X1188" t="n">
        <v/>
      </c>
    </row>
    <row r="1189">
      <c r="A1189" t="inlineStr">
        <is>
          <t>Loan calculator</t>
        </is>
      </c>
      <c r="B1189" t="inlineStr">
        <is>
          <t>A128</t>
        </is>
      </c>
      <c r="C1189" t="n">
        <v>128</v>
      </c>
      <c r="D1189" t="n">
        <v>1</v>
      </c>
      <c r="E1189" t="inlineStr">
        <is>
          <t>Input</t>
        </is>
      </c>
      <c r="F1189" t="n">
        <v/>
      </c>
      <c r="H1189" t="inlineStr"/>
      <c r="I1189" t="inlineStr">
        <is>
          <t>General</t>
        </is>
      </c>
      <c r="J1189" t="b">
        <v>0</v>
      </c>
      <c r="K1189" t="b">
        <v>0</v>
      </c>
      <c r="L1189" t="n">
        <v>11</v>
      </c>
      <c r="M1189" t="inlineStr">
        <is>
          <t>Values must be of type &lt;class 'str'&gt;</t>
        </is>
      </c>
      <c r="N1189" t="inlineStr">
        <is>
          <t>Values must be of type &lt;class 'str'&gt;</t>
        </is>
      </c>
      <c r="O1189" t="n">
        <v/>
      </c>
      <c r="P1189" t="inlineStr">
        <is>
          <t>center</t>
        </is>
      </c>
      <c r="R1189" t="b">
        <v>0</v>
      </c>
      <c r="S1189" t="n">
        <v/>
      </c>
      <c r="T1189" t="n">
        <v/>
      </c>
      <c r="U1189" t="n">
        <v/>
      </c>
      <c r="V1189" t="b">
        <v>0</v>
      </c>
      <c r="W1189" t="inlineStr"/>
      <c r="X1189" t="n">
        <v/>
      </c>
    </row>
    <row r="1190">
      <c r="A1190" t="inlineStr">
        <is>
          <t>Loan calculator</t>
        </is>
      </c>
      <c r="B1190" t="inlineStr">
        <is>
          <t>B128</t>
        </is>
      </c>
      <c r="C1190" t="n">
        <v>128</v>
      </c>
      <c r="D1190" t="n">
        <v>2</v>
      </c>
      <c r="E1190" t="inlineStr">
        <is>
          <t>Output</t>
        </is>
      </c>
      <c r="F1190" t="inlineStr">
        <is>
          <t>'=IFERROR(IF(LoanIsNotPaid*LoanIsGood,PaymentNumber,""), "")</t>
        </is>
      </c>
      <c r="G1190" t="n">
        <v>112</v>
      </c>
      <c r="H1190" t="inlineStr"/>
      <c r="I1190" t="inlineStr">
        <is>
          <t>#,##0</t>
        </is>
      </c>
      <c r="J1190" t="b">
        <v>0</v>
      </c>
      <c r="K1190" t="b">
        <v>0</v>
      </c>
      <c r="L1190" t="n">
        <v>9</v>
      </c>
      <c r="M1190" t="inlineStr">
        <is>
          <t>Values must be of type &lt;class 'str'&gt;</t>
        </is>
      </c>
      <c r="N1190" t="inlineStr">
        <is>
          <t>00000000</t>
        </is>
      </c>
      <c r="O1190" t="inlineStr">
        <is>
          <t>center</t>
        </is>
      </c>
      <c r="P1190" t="inlineStr">
        <is>
          <t>center</t>
        </is>
      </c>
      <c r="R1190" t="b">
        <v>1</v>
      </c>
      <c r="S1190" t="inlineStr">
        <is>
          <t>G000001</t>
        </is>
      </c>
      <c r="T1190" t="inlineStr">
        <is>
          <t>Vertical</t>
        </is>
      </c>
      <c r="U1190" t="n">
        <v>120</v>
      </c>
      <c r="V1190" t="b">
        <v>1</v>
      </c>
      <c r="W1190" t="inlineStr">
        <is>
          <t>Loan calculator!B17:B136</t>
        </is>
      </c>
      <c r="X1190">
        <f>IFERROR(IF(LoanIsNotPaid*LoanIsGood,PaymentNumber,""), "")</f>
        <v/>
      </c>
    </row>
    <row r="1191">
      <c r="A1191" t="inlineStr">
        <is>
          <t>Loan calculator</t>
        </is>
      </c>
      <c r="B1191" t="inlineStr">
        <is>
          <t>C128</t>
        </is>
      </c>
      <c r="C1191" t="n">
        <v>128</v>
      </c>
      <c r="D1191" t="n">
        <v>3</v>
      </c>
      <c r="E1191" t="inlineStr">
        <is>
          <t>Output</t>
        </is>
      </c>
      <c r="F1191" t="inlineStr">
        <is>
          <t>'=IFERROR(IF(LoanIsNotPaid*LoanIsGood,PaymentDate,LoanStartDate), LoanStartDate)</t>
        </is>
      </c>
      <c r="G1191" s="1" t="n">
        <v>49495</v>
      </c>
      <c r="H1191" t="inlineStr"/>
      <c r="I1191" t="inlineStr">
        <is>
          <t>mm-dd-yy</t>
        </is>
      </c>
      <c r="J1191" t="b">
        <v>0</v>
      </c>
      <c r="K1191" t="b">
        <v>0</v>
      </c>
      <c r="L1191" t="n">
        <v>9</v>
      </c>
      <c r="M1191" t="inlineStr">
        <is>
          <t>Values must be of type &lt;class 'str'&gt;</t>
        </is>
      </c>
      <c r="N1191" t="inlineStr">
        <is>
          <t>00000000</t>
        </is>
      </c>
      <c r="O1191" t="inlineStr">
        <is>
          <t>center</t>
        </is>
      </c>
      <c r="P1191" t="inlineStr">
        <is>
          <t>center</t>
        </is>
      </c>
      <c r="R1191" t="b">
        <v>1</v>
      </c>
      <c r="S1191" t="inlineStr">
        <is>
          <t>G000002</t>
        </is>
      </c>
      <c r="T1191" t="inlineStr">
        <is>
          <t>Vertical</t>
        </is>
      </c>
      <c r="U1191" t="n">
        <v>120</v>
      </c>
      <c r="V1191" t="b">
        <v>1</v>
      </c>
      <c r="W1191" t="inlineStr">
        <is>
          <t>Loan calculator!C17:C136</t>
        </is>
      </c>
      <c r="X1191">
        <f>IFERROR(IF(LoanIsNotPaid*LoanIsGood,PaymentDate,LoanStartDate), LoanStartDate)</f>
        <v/>
      </c>
    </row>
    <row r="1192">
      <c r="A1192" t="inlineStr">
        <is>
          <t>Loan calculator</t>
        </is>
      </c>
      <c r="B1192" t="inlineStr">
        <is>
          <t>D128</t>
        </is>
      </c>
      <c r="C1192" t="n">
        <v>128</v>
      </c>
      <c r="D1192" t="n">
        <v>4</v>
      </c>
      <c r="E1192" t="inlineStr">
        <is>
          <t>Output</t>
        </is>
      </c>
      <c r="F1192" t="inlineStr">
        <is>
          <t>'=IFERROR(IF(LoanIsNotPaid*LoanIsGood,LoanValue,""), "")</t>
        </is>
      </c>
      <c r="G1192" t="n">
        <v>954.7240133963332</v>
      </c>
      <c r="H1192" t="inlineStr"/>
      <c r="I1192" t="inlineStr">
        <is>
          <t>"$"#,##0.00</t>
        </is>
      </c>
      <c r="J1192" t="b">
        <v>0</v>
      </c>
      <c r="K1192" t="b">
        <v>0</v>
      </c>
      <c r="L1192" t="n">
        <v>9</v>
      </c>
      <c r="M1192" t="inlineStr">
        <is>
          <t>Values must be of type &lt;class 'str'&gt;</t>
        </is>
      </c>
      <c r="N1192" t="inlineStr">
        <is>
          <t>00000000</t>
        </is>
      </c>
      <c r="O1192" t="inlineStr">
        <is>
          <t>center</t>
        </is>
      </c>
      <c r="P1192" t="inlineStr">
        <is>
          <t>center</t>
        </is>
      </c>
      <c r="R1192" t="b">
        <v>1</v>
      </c>
      <c r="S1192" t="inlineStr">
        <is>
          <t>G000003</t>
        </is>
      </c>
      <c r="T1192" t="inlineStr">
        <is>
          <t>Vertical</t>
        </is>
      </c>
      <c r="U1192" t="n">
        <v>120</v>
      </c>
      <c r="V1192" t="b">
        <v>1</v>
      </c>
      <c r="W1192" t="inlineStr">
        <is>
          <t>Loan calculator!D17:D136</t>
        </is>
      </c>
      <c r="X1192">
        <f>IFERROR(IF(LoanIsNotPaid*LoanIsGood,LoanValue,""), "")</f>
        <v/>
      </c>
    </row>
    <row r="1193">
      <c r="A1193" t="inlineStr">
        <is>
          <t>Loan calculator</t>
        </is>
      </c>
      <c r="B1193" t="inlineStr">
        <is>
          <t>E128</t>
        </is>
      </c>
      <c r="C1193" t="n">
        <v>128</v>
      </c>
      <c r="D1193" t="n">
        <v>5</v>
      </c>
      <c r="E1193" t="inlineStr">
        <is>
          <t>Output</t>
        </is>
      </c>
      <c r="F1193" t="inlineStr">
        <is>
          <t>'=IFERROR(IF(LoanIsNotPaid*LoanIsGood,MonthlyPayment,0), 0)</t>
        </is>
      </c>
      <c r="G1193" t="n">
        <v>108.5262779604807</v>
      </c>
      <c r="H1193" t="inlineStr"/>
      <c r="I1193" t="inlineStr">
        <is>
          <t>"$"#,##0.00</t>
        </is>
      </c>
      <c r="J1193" t="b">
        <v>0</v>
      </c>
      <c r="K1193" t="b">
        <v>0</v>
      </c>
      <c r="L1193" t="n">
        <v>9</v>
      </c>
      <c r="M1193" t="inlineStr">
        <is>
          <t>Values must be of type &lt;class 'str'&gt;</t>
        </is>
      </c>
      <c r="N1193" t="inlineStr">
        <is>
          <t>00000000</t>
        </is>
      </c>
      <c r="O1193" t="inlineStr">
        <is>
          <t>center</t>
        </is>
      </c>
      <c r="P1193" t="inlineStr">
        <is>
          <t>center</t>
        </is>
      </c>
      <c r="R1193" t="b">
        <v>1</v>
      </c>
      <c r="S1193" t="inlineStr">
        <is>
          <t>G000004</t>
        </is>
      </c>
      <c r="T1193" t="inlineStr">
        <is>
          <t>Vertical</t>
        </is>
      </c>
      <c r="U1193" t="n">
        <v>120</v>
      </c>
      <c r="V1193" t="b">
        <v>1</v>
      </c>
      <c r="W1193" t="inlineStr">
        <is>
          <t>Loan calculator!E17:E136</t>
        </is>
      </c>
      <c r="X1193">
        <f>IFERROR(IF(LoanIsNotPaid*LoanIsGood,MonthlyPayment,0), 0)</f>
        <v/>
      </c>
    </row>
    <row r="1194">
      <c r="A1194" t="inlineStr">
        <is>
          <t>Loan calculator</t>
        </is>
      </c>
      <c r="B1194" t="inlineStr">
        <is>
          <t>F128</t>
        </is>
      </c>
      <c r="C1194" t="n">
        <v>128</v>
      </c>
      <c r="D1194" t="n">
        <v>6</v>
      </c>
      <c r="E1194" t="inlineStr">
        <is>
          <t>Output</t>
        </is>
      </c>
      <c r="F1194" t="inlineStr">
        <is>
          <t>'=IFERROR(IF(LoanIsNotPaid*LoanIsGood,Principal,0), 0)</t>
        </is>
      </c>
      <c r="G1194" t="n">
        <v>104.1504595657474</v>
      </c>
      <c r="H1194" t="inlineStr"/>
      <c r="I1194" t="inlineStr">
        <is>
          <t>"$"#,##0.00</t>
        </is>
      </c>
      <c r="J1194" t="b">
        <v>0</v>
      </c>
      <c r="K1194" t="b">
        <v>0</v>
      </c>
      <c r="L1194" t="n">
        <v>9</v>
      </c>
      <c r="M1194" t="inlineStr">
        <is>
          <t>Values must be of type &lt;class 'str'&gt;</t>
        </is>
      </c>
      <c r="N1194" t="inlineStr">
        <is>
          <t>00000000</t>
        </is>
      </c>
      <c r="O1194" t="inlineStr">
        <is>
          <t>center</t>
        </is>
      </c>
      <c r="P1194" t="inlineStr">
        <is>
          <t>center</t>
        </is>
      </c>
      <c r="R1194" t="b">
        <v>1</v>
      </c>
      <c r="S1194" t="inlineStr">
        <is>
          <t>G000005</t>
        </is>
      </c>
      <c r="T1194" t="inlineStr">
        <is>
          <t>Vertical</t>
        </is>
      </c>
      <c r="U1194" t="n">
        <v>120</v>
      </c>
      <c r="V1194" t="b">
        <v>1</v>
      </c>
      <c r="W1194" t="inlineStr">
        <is>
          <t>Loan calculator!F17:F136</t>
        </is>
      </c>
      <c r="X1194">
        <f>IFERROR(IF(LoanIsNotPaid*LoanIsGood,Principal,0), 0)</f>
        <v/>
      </c>
    </row>
    <row r="1195">
      <c r="A1195" t="inlineStr">
        <is>
          <t>Loan calculator</t>
        </is>
      </c>
      <c r="B1195" t="inlineStr">
        <is>
          <t>G128</t>
        </is>
      </c>
      <c r="C1195" t="n">
        <v>128</v>
      </c>
      <c r="D1195" t="n">
        <v>7</v>
      </c>
      <c r="E1195" t="inlineStr">
        <is>
          <t>Output</t>
        </is>
      </c>
      <c r="F1195" t="inlineStr">
        <is>
          <t>'=IFERROR(IF(LoanIsNotPaid*LoanIsGood,InterestAmt,0), 0)</t>
        </is>
      </c>
      <c r="G1195" t="n">
        <v>4.375818394733279</v>
      </c>
      <c r="H1195" t="inlineStr"/>
      <c r="I1195" t="inlineStr">
        <is>
          <t>"$"#,##0.00</t>
        </is>
      </c>
      <c r="J1195" t="b">
        <v>0</v>
      </c>
      <c r="K1195" t="b">
        <v>0</v>
      </c>
      <c r="L1195" t="n">
        <v>9</v>
      </c>
      <c r="M1195" t="inlineStr">
        <is>
          <t>Values must be of type &lt;class 'str'&gt;</t>
        </is>
      </c>
      <c r="N1195" t="inlineStr">
        <is>
          <t>00000000</t>
        </is>
      </c>
      <c r="O1195" t="inlineStr">
        <is>
          <t>center</t>
        </is>
      </c>
      <c r="P1195" t="inlineStr">
        <is>
          <t>center</t>
        </is>
      </c>
      <c r="R1195" t="b">
        <v>1</v>
      </c>
      <c r="S1195" t="inlineStr">
        <is>
          <t>G000006</t>
        </is>
      </c>
      <c r="T1195" t="inlineStr">
        <is>
          <t>Vertical</t>
        </is>
      </c>
      <c r="U1195" t="n">
        <v>120</v>
      </c>
      <c r="V1195" t="b">
        <v>1</v>
      </c>
      <c r="W1195" t="inlineStr">
        <is>
          <t>Loan calculator!G17:G136</t>
        </is>
      </c>
      <c r="X1195">
        <f>IFERROR(IF(LoanIsNotPaid*LoanIsGood,InterestAmt,0), 0)</f>
        <v/>
      </c>
    </row>
    <row r="1196">
      <c r="A1196" t="inlineStr">
        <is>
          <t>Loan calculator</t>
        </is>
      </c>
      <c r="B1196" t="inlineStr">
        <is>
          <t>H128</t>
        </is>
      </c>
      <c r="C1196" t="n">
        <v>128</v>
      </c>
      <c r="D1196" t="n">
        <v>8</v>
      </c>
      <c r="E1196" t="inlineStr">
        <is>
          <t>Output</t>
        </is>
      </c>
      <c r="F1196" t="inlineStr">
        <is>
          <t>'=IFERROR(IF(LoanIsNotPaid*LoanIsGood,EndingBalance,0), 0)</t>
        </is>
      </c>
      <c r="G1196" t="n">
        <v>850.5735538305817</v>
      </c>
      <c r="H1196" t="inlineStr"/>
      <c r="I1196" t="inlineStr">
        <is>
          <t>"$"#,##0.00</t>
        </is>
      </c>
      <c r="J1196" t="b">
        <v>0</v>
      </c>
      <c r="K1196" t="b">
        <v>0</v>
      </c>
      <c r="L1196" t="n">
        <v>9</v>
      </c>
      <c r="M1196" t="inlineStr">
        <is>
          <t>Values must be of type &lt;class 'str'&gt;</t>
        </is>
      </c>
      <c r="N1196" t="inlineStr">
        <is>
          <t>00000000</t>
        </is>
      </c>
      <c r="O1196" t="inlineStr">
        <is>
          <t>center</t>
        </is>
      </c>
      <c r="P1196" t="inlineStr">
        <is>
          <t>center</t>
        </is>
      </c>
      <c r="R1196" t="b">
        <v>1</v>
      </c>
      <c r="S1196" t="inlineStr">
        <is>
          <t>G000007</t>
        </is>
      </c>
      <c r="T1196" t="inlineStr">
        <is>
          <t>Vertical</t>
        </is>
      </c>
      <c r="U1196" t="n">
        <v>120</v>
      </c>
      <c r="V1196" t="b">
        <v>1</v>
      </c>
      <c r="W1196" t="inlineStr">
        <is>
          <t>Loan calculator!H17:H136</t>
        </is>
      </c>
      <c r="X1196">
        <f>IFERROR(IF(LoanIsNotPaid*LoanIsGood,EndingBalance,0), 0)</f>
        <v/>
      </c>
    </row>
    <row r="1197">
      <c r="A1197" t="inlineStr">
        <is>
          <t>Loan calculator</t>
        </is>
      </c>
      <c r="B1197" t="inlineStr">
        <is>
          <t>I128</t>
        </is>
      </c>
      <c r="C1197" t="n">
        <v>128</v>
      </c>
      <c r="D1197" t="n">
        <v>9</v>
      </c>
      <c r="E1197" t="inlineStr">
        <is>
          <t>Input</t>
        </is>
      </c>
      <c r="F1197" t="n">
        <v/>
      </c>
      <c r="H1197" t="inlineStr"/>
      <c r="I1197" t="inlineStr">
        <is>
          <t>General</t>
        </is>
      </c>
      <c r="J1197" t="b">
        <v>0</v>
      </c>
      <c r="K1197" t="b">
        <v>0</v>
      </c>
      <c r="L1197" t="n">
        <v>11</v>
      </c>
      <c r="M1197" t="inlineStr">
        <is>
          <t>Values must be of type &lt;class 'str'&gt;</t>
        </is>
      </c>
      <c r="N1197" t="inlineStr">
        <is>
          <t>Values must be of type &lt;class 'str'&gt;</t>
        </is>
      </c>
      <c r="O1197" t="n">
        <v/>
      </c>
      <c r="P1197" t="inlineStr">
        <is>
          <t>center</t>
        </is>
      </c>
      <c r="R1197" t="b">
        <v>0</v>
      </c>
      <c r="S1197" t="n">
        <v/>
      </c>
      <c r="T1197" t="n">
        <v/>
      </c>
      <c r="U1197" t="n">
        <v/>
      </c>
      <c r="V1197" t="b">
        <v>0</v>
      </c>
      <c r="W1197" t="inlineStr"/>
      <c r="X1197" t="n">
        <v/>
      </c>
    </row>
    <row r="1198">
      <c r="A1198" t="inlineStr">
        <is>
          <t>Loan calculator</t>
        </is>
      </c>
      <c r="B1198" t="inlineStr">
        <is>
          <t>A129</t>
        </is>
      </c>
      <c r="C1198" t="n">
        <v>129</v>
      </c>
      <c r="D1198" t="n">
        <v>1</v>
      </c>
      <c r="E1198" t="inlineStr">
        <is>
          <t>Input</t>
        </is>
      </c>
      <c r="F1198" t="n">
        <v/>
      </c>
      <c r="H1198" t="inlineStr"/>
      <c r="I1198" t="inlineStr">
        <is>
          <t>General</t>
        </is>
      </c>
      <c r="J1198" t="b">
        <v>0</v>
      </c>
      <c r="K1198" t="b">
        <v>0</v>
      </c>
      <c r="L1198" t="n">
        <v>11</v>
      </c>
      <c r="M1198" t="inlineStr">
        <is>
          <t>Values must be of type &lt;class 'str'&gt;</t>
        </is>
      </c>
      <c r="N1198" t="inlineStr">
        <is>
          <t>Values must be of type &lt;class 'str'&gt;</t>
        </is>
      </c>
      <c r="O1198" t="n">
        <v/>
      </c>
      <c r="P1198" t="inlineStr">
        <is>
          <t>center</t>
        </is>
      </c>
      <c r="R1198" t="b">
        <v>0</v>
      </c>
      <c r="S1198" t="n">
        <v/>
      </c>
      <c r="T1198" t="n">
        <v/>
      </c>
      <c r="U1198" t="n">
        <v/>
      </c>
      <c r="V1198" t="b">
        <v>0</v>
      </c>
      <c r="W1198" t="inlineStr"/>
      <c r="X1198" t="n">
        <v/>
      </c>
    </row>
    <row r="1199">
      <c r="A1199" t="inlineStr">
        <is>
          <t>Loan calculator</t>
        </is>
      </c>
      <c r="B1199" t="inlineStr">
        <is>
          <t>B129</t>
        </is>
      </c>
      <c r="C1199" t="n">
        <v>129</v>
      </c>
      <c r="D1199" t="n">
        <v>2</v>
      </c>
      <c r="E1199" t="inlineStr">
        <is>
          <t>Output</t>
        </is>
      </c>
      <c r="F1199" t="inlineStr">
        <is>
          <t>'=IFERROR(IF(LoanIsNotPaid*LoanIsGood,PaymentNumber,""), "")</t>
        </is>
      </c>
      <c r="G1199" t="n">
        <v>113</v>
      </c>
      <c r="H1199" t="inlineStr"/>
      <c r="I1199" t="inlineStr">
        <is>
          <t>#,##0</t>
        </is>
      </c>
      <c r="J1199" t="b">
        <v>0</v>
      </c>
      <c r="K1199" t="b">
        <v>0</v>
      </c>
      <c r="L1199" t="n">
        <v>9</v>
      </c>
      <c r="M1199" t="inlineStr">
        <is>
          <t>Values must be of type &lt;class 'str'&gt;</t>
        </is>
      </c>
      <c r="N1199" t="inlineStr">
        <is>
          <t>00000000</t>
        </is>
      </c>
      <c r="O1199" t="inlineStr">
        <is>
          <t>center</t>
        </is>
      </c>
      <c r="P1199" t="inlineStr">
        <is>
          <t>center</t>
        </is>
      </c>
      <c r="R1199" t="b">
        <v>1</v>
      </c>
      <c r="S1199" t="inlineStr">
        <is>
          <t>G000001</t>
        </is>
      </c>
      <c r="T1199" t="inlineStr">
        <is>
          <t>Vertical</t>
        </is>
      </c>
      <c r="U1199" t="n">
        <v>120</v>
      </c>
      <c r="V1199" t="b">
        <v>1</v>
      </c>
      <c r="W1199" t="inlineStr">
        <is>
          <t>Loan calculator!B17:B136</t>
        </is>
      </c>
      <c r="X1199">
        <f>IFERROR(IF(LoanIsNotPaid*LoanIsGood,PaymentNumber,""), "")</f>
        <v/>
      </c>
    </row>
    <row r="1200">
      <c r="A1200" t="inlineStr">
        <is>
          <t>Loan calculator</t>
        </is>
      </c>
      <c r="B1200" t="inlineStr">
        <is>
          <t>C129</t>
        </is>
      </c>
      <c r="C1200" t="n">
        <v>129</v>
      </c>
      <c r="D1200" t="n">
        <v>3</v>
      </c>
      <c r="E1200" t="inlineStr">
        <is>
          <t>Output</t>
        </is>
      </c>
      <c r="F1200" t="inlineStr">
        <is>
          <t>'=IFERROR(IF(LoanIsNotPaid*LoanIsGood,PaymentDate,LoanStartDate), LoanStartDate)</t>
        </is>
      </c>
      <c r="G1200" s="1" t="n">
        <v>49526</v>
      </c>
      <c r="H1200" t="inlineStr"/>
      <c r="I1200" t="inlineStr">
        <is>
          <t>mm-dd-yy</t>
        </is>
      </c>
      <c r="J1200" t="b">
        <v>0</v>
      </c>
      <c r="K1200" t="b">
        <v>0</v>
      </c>
      <c r="L1200" t="n">
        <v>9</v>
      </c>
      <c r="M1200" t="inlineStr">
        <is>
          <t>Values must be of type &lt;class 'str'&gt;</t>
        </is>
      </c>
      <c r="N1200" t="inlineStr">
        <is>
          <t>00000000</t>
        </is>
      </c>
      <c r="O1200" t="inlineStr">
        <is>
          <t>center</t>
        </is>
      </c>
      <c r="P1200" t="inlineStr">
        <is>
          <t>center</t>
        </is>
      </c>
      <c r="R1200" t="b">
        <v>1</v>
      </c>
      <c r="S1200" t="inlineStr">
        <is>
          <t>G000002</t>
        </is>
      </c>
      <c r="T1200" t="inlineStr">
        <is>
          <t>Vertical</t>
        </is>
      </c>
      <c r="U1200" t="n">
        <v>120</v>
      </c>
      <c r="V1200" t="b">
        <v>1</v>
      </c>
      <c r="W1200" t="inlineStr">
        <is>
          <t>Loan calculator!C17:C136</t>
        </is>
      </c>
      <c r="X1200">
        <f>IFERROR(IF(LoanIsNotPaid*LoanIsGood,PaymentDate,LoanStartDate), LoanStartDate)</f>
        <v/>
      </c>
    </row>
    <row r="1201">
      <c r="A1201" t="inlineStr">
        <is>
          <t>Loan calculator</t>
        </is>
      </c>
      <c r="B1201" t="inlineStr">
        <is>
          <t>D129</t>
        </is>
      </c>
      <c r="C1201" t="n">
        <v>129</v>
      </c>
      <c r="D1201" t="n">
        <v>4</v>
      </c>
      <c r="E1201" t="inlineStr">
        <is>
          <t>Output</t>
        </is>
      </c>
      <c r="F1201" t="inlineStr">
        <is>
          <t>'=IFERROR(IF(LoanIsNotPaid*LoanIsGood,LoanValue,""), "")</t>
        </is>
      </c>
      <c r="G1201" t="n">
        <v>850.5735538305817</v>
      </c>
      <c r="H1201" t="inlineStr"/>
      <c r="I1201" t="inlineStr">
        <is>
          <t>"$"#,##0.00</t>
        </is>
      </c>
      <c r="J1201" t="b">
        <v>0</v>
      </c>
      <c r="K1201" t="b">
        <v>0</v>
      </c>
      <c r="L1201" t="n">
        <v>9</v>
      </c>
      <c r="M1201" t="inlineStr">
        <is>
          <t>Values must be of type &lt;class 'str'&gt;</t>
        </is>
      </c>
      <c r="N1201" t="inlineStr">
        <is>
          <t>00000000</t>
        </is>
      </c>
      <c r="O1201" t="inlineStr">
        <is>
          <t>center</t>
        </is>
      </c>
      <c r="P1201" t="inlineStr">
        <is>
          <t>center</t>
        </is>
      </c>
      <c r="R1201" t="b">
        <v>1</v>
      </c>
      <c r="S1201" t="inlineStr">
        <is>
          <t>G000003</t>
        </is>
      </c>
      <c r="T1201" t="inlineStr">
        <is>
          <t>Vertical</t>
        </is>
      </c>
      <c r="U1201" t="n">
        <v>120</v>
      </c>
      <c r="V1201" t="b">
        <v>1</v>
      </c>
      <c r="W1201" t="inlineStr">
        <is>
          <t>Loan calculator!D17:D136</t>
        </is>
      </c>
      <c r="X1201">
        <f>IFERROR(IF(LoanIsNotPaid*LoanIsGood,LoanValue,""), "")</f>
        <v/>
      </c>
    </row>
    <row r="1202">
      <c r="A1202" t="inlineStr">
        <is>
          <t>Loan calculator</t>
        </is>
      </c>
      <c r="B1202" t="inlineStr">
        <is>
          <t>E129</t>
        </is>
      </c>
      <c r="C1202" t="n">
        <v>129</v>
      </c>
      <c r="D1202" t="n">
        <v>5</v>
      </c>
      <c r="E1202" t="inlineStr">
        <is>
          <t>Output</t>
        </is>
      </c>
      <c r="F1202" t="inlineStr">
        <is>
          <t>'=IFERROR(IF(LoanIsNotPaid*LoanIsGood,MonthlyPayment,0), 0)</t>
        </is>
      </c>
      <c r="G1202" t="n">
        <v>108.5262779604807</v>
      </c>
      <c r="H1202" t="inlineStr"/>
      <c r="I1202" t="inlineStr">
        <is>
          <t>"$"#,##0.00</t>
        </is>
      </c>
      <c r="J1202" t="b">
        <v>0</v>
      </c>
      <c r="K1202" t="b">
        <v>0</v>
      </c>
      <c r="L1202" t="n">
        <v>9</v>
      </c>
      <c r="M1202" t="inlineStr">
        <is>
          <t>Values must be of type &lt;class 'str'&gt;</t>
        </is>
      </c>
      <c r="N1202" t="inlineStr">
        <is>
          <t>00000000</t>
        </is>
      </c>
      <c r="O1202" t="inlineStr">
        <is>
          <t>center</t>
        </is>
      </c>
      <c r="P1202" t="inlineStr">
        <is>
          <t>center</t>
        </is>
      </c>
      <c r="R1202" t="b">
        <v>1</v>
      </c>
      <c r="S1202" t="inlineStr">
        <is>
          <t>G000004</t>
        </is>
      </c>
      <c r="T1202" t="inlineStr">
        <is>
          <t>Vertical</t>
        </is>
      </c>
      <c r="U1202" t="n">
        <v>120</v>
      </c>
      <c r="V1202" t="b">
        <v>1</v>
      </c>
      <c r="W1202" t="inlineStr">
        <is>
          <t>Loan calculator!E17:E136</t>
        </is>
      </c>
      <c r="X1202">
        <f>IFERROR(IF(LoanIsNotPaid*LoanIsGood,MonthlyPayment,0), 0)</f>
        <v/>
      </c>
    </row>
    <row r="1203">
      <c r="A1203" t="inlineStr">
        <is>
          <t>Loan calculator</t>
        </is>
      </c>
      <c r="B1203" t="inlineStr">
        <is>
          <t>F129</t>
        </is>
      </c>
      <c r="C1203" t="n">
        <v>129</v>
      </c>
      <c r="D1203" t="n">
        <v>6</v>
      </c>
      <c r="E1203" t="inlineStr">
        <is>
          <t>Output</t>
        </is>
      </c>
      <c r="F1203" t="inlineStr">
        <is>
          <t>'=IFERROR(IF(LoanIsNotPaid*LoanIsGood,Principal,0), 0)</t>
        </is>
      </c>
      <c r="G1203" t="n">
        <v>104.6278158387571</v>
      </c>
      <c r="H1203" t="inlineStr"/>
      <c r="I1203" t="inlineStr">
        <is>
          <t>"$"#,##0.00</t>
        </is>
      </c>
      <c r="J1203" t="b">
        <v>0</v>
      </c>
      <c r="K1203" t="b">
        <v>0</v>
      </c>
      <c r="L1203" t="n">
        <v>9</v>
      </c>
      <c r="M1203" t="inlineStr">
        <is>
          <t>Values must be of type &lt;class 'str'&gt;</t>
        </is>
      </c>
      <c r="N1203" t="inlineStr">
        <is>
          <t>00000000</t>
        </is>
      </c>
      <c r="O1203" t="inlineStr">
        <is>
          <t>center</t>
        </is>
      </c>
      <c r="P1203" t="inlineStr">
        <is>
          <t>center</t>
        </is>
      </c>
      <c r="R1203" t="b">
        <v>1</v>
      </c>
      <c r="S1203" t="inlineStr">
        <is>
          <t>G000005</t>
        </is>
      </c>
      <c r="T1203" t="inlineStr">
        <is>
          <t>Vertical</t>
        </is>
      </c>
      <c r="U1203" t="n">
        <v>120</v>
      </c>
      <c r="V1203" t="b">
        <v>1</v>
      </c>
      <c r="W1203" t="inlineStr">
        <is>
          <t>Loan calculator!F17:F136</t>
        </is>
      </c>
      <c r="X1203">
        <f>IFERROR(IF(LoanIsNotPaid*LoanIsGood,Principal,0), 0)</f>
        <v/>
      </c>
    </row>
    <row r="1204">
      <c r="A1204" t="inlineStr">
        <is>
          <t>Loan calculator</t>
        </is>
      </c>
      <c r="B1204" t="inlineStr">
        <is>
          <t>G129</t>
        </is>
      </c>
      <c r="C1204" t="n">
        <v>129</v>
      </c>
      <c r="D1204" t="n">
        <v>7</v>
      </c>
      <c r="E1204" t="inlineStr">
        <is>
          <t>Output</t>
        </is>
      </c>
      <c r="F1204" t="inlineStr">
        <is>
          <t>'=IFERROR(IF(LoanIsNotPaid*LoanIsGood,InterestAmt,0), 0)</t>
        </is>
      </c>
      <c r="G1204" t="n">
        <v>3.898462121723603</v>
      </c>
      <c r="H1204" t="inlineStr"/>
      <c r="I1204" t="inlineStr">
        <is>
          <t>"$"#,##0.00</t>
        </is>
      </c>
      <c r="J1204" t="b">
        <v>0</v>
      </c>
      <c r="K1204" t="b">
        <v>0</v>
      </c>
      <c r="L1204" t="n">
        <v>9</v>
      </c>
      <c r="M1204" t="inlineStr">
        <is>
          <t>Values must be of type &lt;class 'str'&gt;</t>
        </is>
      </c>
      <c r="N1204" t="inlineStr">
        <is>
          <t>00000000</t>
        </is>
      </c>
      <c r="O1204" t="inlineStr">
        <is>
          <t>center</t>
        </is>
      </c>
      <c r="P1204" t="inlineStr">
        <is>
          <t>center</t>
        </is>
      </c>
      <c r="R1204" t="b">
        <v>1</v>
      </c>
      <c r="S1204" t="inlineStr">
        <is>
          <t>G000006</t>
        </is>
      </c>
      <c r="T1204" t="inlineStr">
        <is>
          <t>Vertical</t>
        </is>
      </c>
      <c r="U1204" t="n">
        <v>120</v>
      </c>
      <c r="V1204" t="b">
        <v>1</v>
      </c>
      <c r="W1204" t="inlineStr">
        <is>
          <t>Loan calculator!G17:G136</t>
        </is>
      </c>
      <c r="X1204">
        <f>IFERROR(IF(LoanIsNotPaid*LoanIsGood,InterestAmt,0), 0)</f>
        <v/>
      </c>
    </row>
    <row r="1205">
      <c r="A1205" t="inlineStr">
        <is>
          <t>Loan calculator</t>
        </is>
      </c>
      <c r="B1205" t="inlineStr">
        <is>
          <t>H129</t>
        </is>
      </c>
      <c r="C1205" t="n">
        <v>129</v>
      </c>
      <c r="D1205" t="n">
        <v>8</v>
      </c>
      <c r="E1205" t="inlineStr">
        <is>
          <t>Output</t>
        </is>
      </c>
      <c r="F1205" t="inlineStr">
        <is>
          <t>'=IFERROR(IF(LoanIsNotPaid*LoanIsGood,EndingBalance,0), 0)</t>
        </is>
      </c>
      <c r="G1205" t="n">
        <v>745.945737991824</v>
      </c>
      <c r="H1205" t="inlineStr"/>
      <c r="I1205" t="inlineStr">
        <is>
          <t>"$"#,##0.00</t>
        </is>
      </c>
      <c r="J1205" t="b">
        <v>0</v>
      </c>
      <c r="K1205" t="b">
        <v>0</v>
      </c>
      <c r="L1205" t="n">
        <v>9</v>
      </c>
      <c r="M1205" t="inlineStr">
        <is>
          <t>Values must be of type &lt;class 'str'&gt;</t>
        </is>
      </c>
      <c r="N1205" t="inlineStr">
        <is>
          <t>00000000</t>
        </is>
      </c>
      <c r="O1205" t="inlineStr">
        <is>
          <t>center</t>
        </is>
      </c>
      <c r="P1205" t="inlineStr">
        <is>
          <t>center</t>
        </is>
      </c>
      <c r="R1205" t="b">
        <v>1</v>
      </c>
      <c r="S1205" t="inlineStr">
        <is>
          <t>G000007</t>
        </is>
      </c>
      <c r="T1205" t="inlineStr">
        <is>
          <t>Vertical</t>
        </is>
      </c>
      <c r="U1205" t="n">
        <v>120</v>
      </c>
      <c r="V1205" t="b">
        <v>1</v>
      </c>
      <c r="W1205" t="inlineStr">
        <is>
          <t>Loan calculator!H17:H136</t>
        </is>
      </c>
      <c r="X1205">
        <f>IFERROR(IF(LoanIsNotPaid*LoanIsGood,EndingBalance,0), 0)</f>
        <v/>
      </c>
    </row>
    <row r="1206">
      <c r="A1206" t="inlineStr">
        <is>
          <t>Loan calculator</t>
        </is>
      </c>
      <c r="B1206" t="inlineStr">
        <is>
          <t>I129</t>
        </is>
      </c>
      <c r="C1206" t="n">
        <v>129</v>
      </c>
      <c r="D1206" t="n">
        <v>9</v>
      </c>
      <c r="E1206" t="inlineStr">
        <is>
          <t>Input</t>
        </is>
      </c>
      <c r="F1206" t="n">
        <v/>
      </c>
      <c r="H1206" t="inlineStr"/>
      <c r="I1206" t="inlineStr">
        <is>
          <t>General</t>
        </is>
      </c>
      <c r="J1206" t="b">
        <v>0</v>
      </c>
      <c r="K1206" t="b">
        <v>0</v>
      </c>
      <c r="L1206" t="n">
        <v>11</v>
      </c>
      <c r="M1206" t="inlineStr">
        <is>
          <t>Values must be of type &lt;class 'str'&gt;</t>
        </is>
      </c>
      <c r="N1206" t="inlineStr">
        <is>
          <t>Values must be of type &lt;class 'str'&gt;</t>
        </is>
      </c>
      <c r="O1206" t="n">
        <v/>
      </c>
      <c r="P1206" t="inlineStr">
        <is>
          <t>center</t>
        </is>
      </c>
      <c r="R1206" t="b">
        <v>0</v>
      </c>
      <c r="S1206" t="n">
        <v/>
      </c>
      <c r="T1206" t="n">
        <v/>
      </c>
      <c r="U1206" t="n">
        <v/>
      </c>
      <c r="V1206" t="b">
        <v>0</v>
      </c>
      <c r="W1206" t="inlineStr"/>
      <c r="X1206" t="n">
        <v/>
      </c>
    </row>
    <row r="1207">
      <c r="A1207" t="inlineStr">
        <is>
          <t>Loan calculator</t>
        </is>
      </c>
      <c r="B1207" t="inlineStr">
        <is>
          <t>A130</t>
        </is>
      </c>
      <c r="C1207" t="n">
        <v>130</v>
      </c>
      <c r="D1207" t="n">
        <v>1</v>
      </c>
      <c r="E1207" t="inlineStr">
        <is>
          <t>Input</t>
        </is>
      </c>
      <c r="F1207" t="n">
        <v/>
      </c>
      <c r="H1207" t="inlineStr"/>
      <c r="I1207" t="inlineStr">
        <is>
          <t>General</t>
        </is>
      </c>
      <c r="J1207" t="b">
        <v>0</v>
      </c>
      <c r="K1207" t="b">
        <v>0</v>
      </c>
      <c r="L1207" t="n">
        <v>11</v>
      </c>
      <c r="M1207" t="inlineStr">
        <is>
          <t>Values must be of type &lt;class 'str'&gt;</t>
        </is>
      </c>
      <c r="N1207" t="inlineStr">
        <is>
          <t>Values must be of type &lt;class 'str'&gt;</t>
        </is>
      </c>
      <c r="O1207" t="n">
        <v/>
      </c>
      <c r="P1207" t="inlineStr">
        <is>
          <t>center</t>
        </is>
      </c>
      <c r="R1207" t="b">
        <v>0</v>
      </c>
      <c r="S1207" t="n">
        <v/>
      </c>
      <c r="T1207" t="n">
        <v/>
      </c>
      <c r="U1207" t="n">
        <v/>
      </c>
      <c r="V1207" t="b">
        <v>0</v>
      </c>
      <c r="W1207" t="inlineStr"/>
      <c r="X1207" t="n">
        <v/>
      </c>
    </row>
    <row r="1208">
      <c r="A1208" t="inlineStr">
        <is>
          <t>Loan calculator</t>
        </is>
      </c>
      <c r="B1208" t="inlineStr">
        <is>
          <t>B130</t>
        </is>
      </c>
      <c r="C1208" t="n">
        <v>130</v>
      </c>
      <c r="D1208" t="n">
        <v>2</v>
      </c>
      <c r="E1208" t="inlineStr">
        <is>
          <t>Output</t>
        </is>
      </c>
      <c r="F1208" t="inlineStr">
        <is>
          <t>'=IFERROR(IF(LoanIsNotPaid*LoanIsGood,PaymentNumber,""), "")</t>
        </is>
      </c>
      <c r="G1208" t="n">
        <v>114</v>
      </c>
      <c r="H1208" t="inlineStr"/>
      <c r="I1208" t="inlineStr">
        <is>
          <t>#,##0</t>
        </is>
      </c>
      <c r="J1208" t="b">
        <v>0</v>
      </c>
      <c r="K1208" t="b">
        <v>0</v>
      </c>
      <c r="L1208" t="n">
        <v>9</v>
      </c>
      <c r="M1208" t="inlineStr">
        <is>
          <t>Values must be of type &lt;class 'str'&gt;</t>
        </is>
      </c>
      <c r="N1208" t="inlineStr">
        <is>
          <t>00000000</t>
        </is>
      </c>
      <c r="O1208" t="inlineStr">
        <is>
          <t>center</t>
        </is>
      </c>
      <c r="P1208" t="inlineStr">
        <is>
          <t>center</t>
        </is>
      </c>
      <c r="R1208" t="b">
        <v>1</v>
      </c>
      <c r="S1208" t="inlineStr">
        <is>
          <t>G000001</t>
        </is>
      </c>
      <c r="T1208" t="inlineStr">
        <is>
          <t>Vertical</t>
        </is>
      </c>
      <c r="U1208" t="n">
        <v>120</v>
      </c>
      <c r="V1208" t="b">
        <v>1</v>
      </c>
      <c r="W1208" t="inlineStr">
        <is>
          <t>Loan calculator!B17:B136</t>
        </is>
      </c>
      <c r="X1208">
        <f>IFERROR(IF(LoanIsNotPaid*LoanIsGood,PaymentNumber,""), "")</f>
        <v/>
      </c>
    </row>
    <row r="1209">
      <c r="A1209" t="inlineStr">
        <is>
          <t>Loan calculator</t>
        </is>
      </c>
      <c r="B1209" t="inlineStr">
        <is>
          <t>C130</t>
        </is>
      </c>
      <c r="C1209" t="n">
        <v>130</v>
      </c>
      <c r="D1209" t="n">
        <v>3</v>
      </c>
      <c r="E1209" t="inlineStr">
        <is>
          <t>Output</t>
        </is>
      </c>
      <c r="F1209" t="inlineStr">
        <is>
          <t>'=IFERROR(IF(LoanIsNotPaid*LoanIsGood,PaymentDate,LoanStartDate), LoanStartDate)</t>
        </is>
      </c>
      <c r="G1209" s="1" t="n">
        <v>49557</v>
      </c>
      <c r="H1209" t="inlineStr"/>
      <c r="I1209" t="inlineStr">
        <is>
          <t>mm-dd-yy</t>
        </is>
      </c>
      <c r="J1209" t="b">
        <v>0</v>
      </c>
      <c r="K1209" t="b">
        <v>0</v>
      </c>
      <c r="L1209" t="n">
        <v>9</v>
      </c>
      <c r="M1209" t="inlineStr">
        <is>
          <t>Values must be of type &lt;class 'str'&gt;</t>
        </is>
      </c>
      <c r="N1209" t="inlineStr">
        <is>
          <t>00000000</t>
        </is>
      </c>
      <c r="O1209" t="inlineStr">
        <is>
          <t>center</t>
        </is>
      </c>
      <c r="P1209" t="inlineStr">
        <is>
          <t>center</t>
        </is>
      </c>
      <c r="R1209" t="b">
        <v>1</v>
      </c>
      <c r="S1209" t="inlineStr">
        <is>
          <t>G000002</t>
        </is>
      </c>
      <c r="T1209" t="inlineStr">
        <is>
          <t>Vertical</t>
        </is>
      </c>
      <c r="U1209" t="n">
        <v>120</v>
      </c>
      <c r="V1209" t="b">
        <v>1</v>
      </c>
      <c r="W1209" t="inlineStr">
        <is>
          <t>Loan calculator!C17:C136</t>
        </is>
      </c>
      <c r="X1209">
        <f>IFERROR(IF(LoanIsNotPaid*LoanIsGood,PaymentDate,LoanStartDate), LoanStartDate)</f>
        <v/>
      </c>
    </row>
    <row r="1210">
      <c r="A1210" t="inlineStr">
        <is>
          <t>Loan calculator</t>
        </is>
      </c>
      <c r="B1210" t="inlineStr">
        <is>
          <t>D130</t>
        </is>
      </c>
      <c r="C1210" t="n">
        <v>130</v>
      </c>
      <c r="D1210" t="n">
        <v>4</v>
      </c>
      <c r="E1210" t="inlineStr">
        <is>
          <t>Output</t>
        </is>
      </c>
      <c r="F1210" t="inlineStr">
        <is>
          <t>'=IFERROR(IF(LoanIsNotPaid*LoanIsGood,LoanValue,""), "")</t>
        </is>
      </c>
      <c r="G1210" t="n">
        <v>745.945737991824</v>
      </c>
      <c r="H1210" t="inlineStr"/>
      <c r="I1210" t="inlineStr">
        <is>
          <t>"$"#,##0.00</t>
        </is>
      </c>
      <c r="J1210" t="b">
        <v>0</v>
      </c>
      <c r="K1210" t="b">
        <v>0</v>
      </c>
      <c r="L1210" t="n">
        <v>9</v>
      </c>
      <c r="M1210" t="inlineStr">
        <is>
          <t>Values must be of type &lt;class 'str'&gt;</t>
        </is>
      </c>
      <c r="N1210" t="inlineStr">
        <is>
          <t>00000000</t>
        </is>
      </c>
      <c r="O1210" t="inlineStr">
        <is>
          <t>center</t>
        </is>
      </c>
      <c r="P1210" t="inlineStr">
        <is>
          <t>center</t>
        </is>
      </c>
      <c r="R1210" t="b">
        <v>1</v>
      </c>
      <c r="S1210" t="inlineStr">
        <is>
          <t>G000003</t>
        </is>
      </c>
      <c r="T1210" t="inlineStr">
        <is>
          <t>Vertical</t>
        </is>
      </c>
      <c r="U1210" t="n">
        <v>120</v>
      </c>
      <c r="V1210" t="b">
        <v>1</v>
      </c>
      <c r="W1210" t="inlineStr">
        <is>
          <t>Loan calculator!D17:D136</t>
        </is>
      </c>
      <c r="X1210">
        <f>IFERROR(IF(LoanIsNotPaid*LoanIsGood,LoanValue,""), "")</f>
        <v/>
      </c>
    </row>
    <row r="1211">
      <c r="A1211" t="inlineStr">
        <is>
          <t>Loan calculator</t>
        </is>
      </c>
      <c r="B1211" t="inlineStr">
        <is>
          <t>E130</t>
        </is>
      </c>
      <c r="C1211" t="n">
        <v>130</v>
      </c>
      <c r="D1211" t="n">
        <v>5</v>
      </c>
      <c r="E1211" t="inlineStr">
        <is>
          <t>Output</t>
        </is>
      </c>
      <c r="F1211" t="inlineStr">
        <is>
          <t>'=IFERROR(IF(LoanIsNotPaid*LoanIsGood,MonthlyPayment,0), 0)</t>
        </is>
      </c>
      <c r="G1211" t="n">
        <v>108.5262779604807</v>
      </c>
      <c r="H1211" t="inlineStr"/>
      <c r="I1211" t="inlineStr">
        <is>
          <t>"$"#,##0.00</t>
        </is>
      </c>
      <c r="J1211" t="b">
        <v>0</v>
      </c>
      <c r="K1211" t="b">
        <v>0</v>
      </c>
      <c r="L1211" t="n">
        <v>9</v>
      </c>
      <c r="M1211" t="inlineStr">
        <is>
          <t>Values must be of type &lt;class 'str'&gt;</t>
        </is>
      </c>
      <c r="N1211" t="inlineStr">
        <is>
          <t>00000000</t>
        </is>
      </c>
      <c r="O1211" t="inlineStr">
        <is>
          <t>center</t>
        </is>
      </c>
      <c r="P1211" t="inlineStr">
        <is>
          <t>center</t>
        </is>
      </c>
      <c r="R1211" t="b">
        <v>1</v>
      </c>
      <c r="S1211" t="inlineStr">
        <is>
          <t>G000004</t>
        </is>
      </c>
      <c r="T1211" t="inlineStr">
        <is>
          <t>Vertical</t>
        </is>
      </c>
      <c r="U1211" t="n">
        <v>120</v>
      </c>
      <c r="V1211" t="b">
        <v>1</v>
      </c>
      <c r="W1211" t="inlineStr">
        <is>
          <t>Loan calculator!E17:E136</t>
        </is>
      </c>
      <c r="X1211">
        <f>IFERROR(IF(LoanIsNotPaid*LoanIsGood,MonthlyPayment,0), 0)</f>
        <v/>
      </c>
    </row>
    <row r="1212">
      <c r="A1212" t="inlineStr">
        <is>
          <t>Loan calculator</t>
        </is>
      </c>
      <c r="B1212" t="inlineStr">
        <is>
          <t>F130</t>
        </is>
      </c>
      <c r="C1212" t="n">
        <v>130</v>
      </c>
      <c r="D1212" t="n">
        <v>6</v>
      </c>
      <c r="E1212" t="inlineStr">
        <is>
          <t>Output</t>
        </is>
      </c>
      <c r="F1212" t="inlineStr">
        <is>
          <t>'=IFERROR(IF(LoanIsNotPaid*LoanIsGood,Principal,0), 0)</t>
        </is>
      </c>
      <c r="G1212" t="n">
        <v>105.1073599946847</v>
      </c>
      <c r="H1212" t="inlineStr"/>
      <c r="I1212" t="inlineStr">
        <is>
          <t>"$"#,##0.00</t>
        </is>
      </c>
      <c r="J1212" t="b">
        <v>0</v>
      </c>
      <c r="K1212" t="b">
        <v>0</v>
      </c>
      <c r="L1212" t="n">
        <v>9</v>
      </c>
      <c r="M1212" t="inlineStr">
        <is>
          <t>Values must be of type &lt;class 'str'&gt;</t>
        </is>
      </c>
      <c r="N1212" t="inlineStr">
        <is>
          <t>00000000</t>
        </is>
      </c>
      <c r="O1212" t="inlineStr">
        <is>
          <t>center</t>
        </is>
      </c>
      <c r="P1212" t="inlineStr">
        <is>
          <t>center</t>
        </is>
      </c>
      <c r="R1212" t="b">
        <v>1</v>
      </c>
      <c r="S1212" t="inlineStr">
        <is>
          <t>G000005</t>
        </is>
      </c>
      <c r="T1212" t="inlineStr">
        <is>
          <t>Vertical</t>
        </is>
      </c>
      <c r="U1212" t="n">
        <v>120</v>
      </c>
      <c r="V1212" t="b">
        <v>1</v>
      </c>
      <c r="W1212" t="inlineStr">
        <is>
          <t>Loan calculator!F17:F136</t>
        </is>
      </c>
      <c r="X1212">
        <f>IFERROR(IF(LoanIsNotPaid*LoanIsGood,Principal,0), 0)</f>
        <v/>
      </c>
    </row>
    <row r="1213">
      <c r="A1213" t="inlineStr">
        <is>
          <t>Loan calculator</t>
        </is>
      </c>
      <c r="B1213" t="inlineStr">
        <is>
          <t>G130</t>
        </is>
      </c>
      <c r="C1213" t="n">
        <v>130</v>
      </c>
      <c r="D1213" t="n">
        <v>7</v>
      </c>
      <c r="E1213" t="inlineStr">
        <is>
          <t>Output</t>
        </is>
      </c>
      <c r="F1213" t="inlineStr">
        <is>
          <t>'=IFERROR(IF(LoanIsNotPaid*LoanIsGood,InterestAmt,0), 0)</t>
        </is>
      </c>
      <c r="G1213" t="n">
        <v>3.418917965795965</v>
      </c>
      <c r="H1213" t="inlineStr"/>
      <c r="I1213" t="inlineStr">
        <is>
          <t>"$"#,##0.00</t>
        </is>
      </c>
      <c r="J1213" t="b">
        <v>0</v>
      </c>
      <c r="K1213" t="b">
        <v>0</v>
      </c>
      <c r="L1213" t="n">
        <v>9</v>
      </c>
      <c r="M1213" t="inlineStr">
        <is>
          <t>Values must be of type &lt;class 'str'&gt;</t>
        </is>
      </c>
      <c r="N1213" t="inlineStr">
        <is>
          <t>00000000</t>
        </is>
      </c>
      <c r="O1213" t="inlineStr">
        <is>
          <t>center</t>
        </is>
      </c>
      <c r="P1213" t="inlineStr">
        <is>
          <t>center</t>
        </is>
      </c>
      <c r="R1213" t="b">
        <v>1</v>
      </c>
      <c r="S1213" t="inlineStr">
        <is>
          <t>G000006</t>
        </is>
      </c>
      <c r="T1213" t="inlineStr">
        <is>
          <t>Vertical</t>
        </is>
      </c>
      <c r="U1213" t="n">
        <v>120</v>
      </c>
      <c r="V1213" t="b">
        <v>1</v>
      </c>
      <c r="W1213" t="inlineStr">
        <is>
          <t>Loan calculator!G17:G136</t>
        </is>
      </c>
      <c r="X1213">
        <f>IFERROR(IF(LoanIsNotPaid*LoanIsGood,InterestAmt,0), 0)</f>
        <v/>
      </c>
    </row>
    <row r="1214">
      <c r="A1214" t="inlineStr">
        <is>
          <t>Loan calculator</t>
        </is>
      </c>
      <c r="B1214" t="inlineStr">
        <is>
          <t>H130</t>
        </is>
      </c>
      <c r="C1214" t="n">
        <v>130</v>
      </c>
      <c r="D1214" t="n">
        <v>8</v>
      </c>
      <c r="E1214" t="inlineStr">
        <is>
          <t>Output</t>
        </is>
      </c>
      <c r="F1214" t="inlineStr">
        <is>
          <t>'=IFERROR(IF(LoanIsNotPaid*LoanIsGood,EndingBalance,0), 0)</t>
        </is>
      </c>
      <c r="G1214" t="n">
        <v>640.8383779971373</v>
      </c>
      <c r="H1214" t="inlineStr"/>
      <c r="I1214" t="inlineStr">
        <is>
          <t>"$"#,##0.00</t>
        </is>
      </c>
      <c r="J1214" t="b">
        <v>0</v>
      </c>
      <c r="K1214" t="b">
        <v>0</v>
      </c>
      <c r="L1214" t="n">
        <v>9</v>
      </c>
      <c r="M1214" t="inlineStr">
        <is>
          <t>Values must be of type &lt;class 'str'&gt;</t>
        </is>
      </c>
      <c r="N1214" t="inlineStr">
        <is>
          <t>00000000</t>
        </is>
      </c>
      <c r="O1214" t="inlineStr">
        <is>
          <t>center</t>
        </is>
      </c>
      <c r="P1214" t="inlineStr">
        <is>
          <t>center</t>
        </is>
      </c>
      <c r="R1214" t="b">
        <v>1</v>
      </c>
      <c r="S1214" t="inlineStr">
        <is>
          <t>G000007</t>
        </is>
      </c>
      <c r="T1214" t="inlineStr">
        <is>
          <t>Vertical</t>
        </is>
      </c>
      <c r="U1214" t="n">
        <v>120</v>
      </c>
      <c r="V1214" t="b">
        <v>1</v>
      </c>
      <c r="W1214" t="inlineStr">
        <is>
          <t>Loan calculator!H17:H136</t>
        </is>
      </c>
      <c r="X1214">
        <f>IFERROR(IF(LoanIsNotPaid*LoanIsGood,EndingBalance,0), 0)</f>
        <v/>
      </c>
    </row>
    <row r="1215">
      <c r="A1215" t="inlineStr">
        <is>
          <t>Loan calculator</t>
        </is>
      </c>
      <c r="B1215" t="inlineStr">
        <is>
          <t>I130</t>
        </is>
      </c>
      <c r="C1215" t="n">
        <v>130</v>
      </c>
      <c r="D1215" t="n">
        <v>9</v>
      </c>
      <c r="E1215" t="inlineStr">
        <is>
          <t>Input</t>
        </is>
      </c>
      <c r="F1215" t="n">
        <v/>
      </c>
      <c r="H1215" t="inlineStr"/>
      <c r="I1215" t="inlineStr">
        <is>
          <t>General</t>
        </is>
      </c>
      <c r="J1215" t="b">
        <v>0</v>
      </c>
      <c r="K1215" t="b">
        <v>0</v>
      </c>
      <c r="L1215" t="n">
        <v>11</v>
      </c>
      <c r="M1215" t="inlineStr">
        <is>
          <t>Values must be of type &lt;class 'str'&gt;</t>
        </is>
      </c>
      <c r="N1215" t="inlineStr">
        <is>
          <t>Values must be of type &lt;class 'str'&gt;</t>
        </is>
      </c>
      <c r="O1215" t="n">
        <v/>
      </c>
      <c r="P1215" t="inlineStr">
        <is>
          <t>center</t>
        </is>
      </c>
      <c r="R1215" t="b">
        <v>0</v>
      </c>
      <c r="S1215" t="n">
        <v/>
      </c>
      <c r="T1215" t="n">
        <v/>
      </c>
      <c r="U1215" t="n">
        <v/>
      </c>
      <c r="V1215" t="b">
        <v>0</v>
      </c>
      <c r="W1215" t="inlineStr"/>
      <c r="X1215" t="n">
        <v/>
      </c>
    </row>
    <row r="1216">
      <c r="A1216" t="inlineStr">
        <is>
          <t>Loan calculator</t>
        </is>
      </c>
      <c r="B1216" t="inlineStr">
        <is>
          <t>A131</t>
        </is>
      </c>
      <c r="C1216" t="n">
        <v>131</v>
      </c>
      <c r="D1216" t="n">
        <v>1</v>
      </c>
      <c r="E1216" t="inlineStr">
        <is>
          <t>Input</t>
        </is>
      </c>
      <c r="F1216" t="n">
        <v/>
      </c>
      <c r="H1216" t="inlineStr"/>
      <c r="I1216" t="inlineStr">
        <is>
          <t>General</t>
        </is>
      </c>
      <c r="J1216" t="b">
        <v>0</v>
      </c>
      <c r="K1216" t="b">
        <v>0</v>
      </c>
      <c r="L1216" t="n">
        <v>11</v>
      </c>
      <c r="M1216" t="inlineStr">
        <is>
          <t>Values must be of type &lt;class 'str'&gt;</t>
        </is>
      </c>
      <c r="N1216" t="inlineStr">
        <is>
          <t>Values must be of type &lt;class 'str'&gt;</t>
        </is>
      </c>
      <c r="O1216" t="n">
        <v/>
      </c>
      <c r="P1216" t="inlineStr">
        <is>
          <t>center</t>
        </is>
      </c>
      <c r="R1216" t="b">
        <v>0</v>
      </c>
      <c r="S1216" t="n">
        <v/>
      </c>
      <c r="T1216" t="n">
        <v/>
      </c>
      <c r="U1216" t="n">
        <v/>
      </c>
      <c r="V1216" t="b">
        <v>0</v>
      </c>
      <c r="W1216" t="inlineStr"/>
      <c r="X1216" t="n">
        <v/>
      </c>
    </row>
    <row r="1217">
      <c r="A1217" t="inlineStr">
        <is>
          <t>Loan calculator</t>
        </is>
      </c>
      <c r="B1217" t="inlineStr">
        <is>
          <t>B131</t>
        </is>
      </c>
      <c r="C1217" t="n">
        <v>131</v>
      </c>
      <c r="D1217" t="n">
        <v>2</v>
      </c>
      <c r="E1217" t="inlineStr">
        <is>
          <t>Output</t>
        </is>
      </c>
      <c r="F1217" t="inlineStr">
        <is>
          <t>'=IFERROR(IF(LoanIsNotPaid*LoanIsGood,PaymentNumber,""), "")</t>
        </is>
      </c>
      <c r="G1217" t="n">
        <v>115</v>
      </c>
      <c r="H1217" t="inlineStr"/>
      <c r="I1217" t="inlineStr">
        <is>
          <t>#,##0</t>
        </is>
      </c>
      <c r="J1217" t="b">
        <v>0</v>
      </c>
      <c r="K1217" t="b">
        <v>0</v>
      </c>
      <c r="L1217" t="n">
        <v>9</v>
      </c>
      <c r="M1217" t="inlineStr">
        <is>
          <t>Values must be of type &lt;class 'str'&gt;</t>
        </is>
      </c>
      <c r="N1217" t="inlineStr">
        <is>
          <t>00000000</t>
        </is>
      </c>
      <c r="O1217" t="inlineStr">
        <is>
          <t>center</t>
        </is>
      </c>
      <c r="P1217" t="inlineStr">
        <is>
          <t>center</t>
        </is>
      </c>
      <c r="R1217" t="b">
        <v>1</v>
      </c>
      <c r="S1217" t="inlineStr">
        <is>
          <t>G000001</t>
        </is>
      </c>
      <c r="T1217" t="inlineStr">
        <is>
          <t>Vertical</t>
        </is>
      </c>
      <c r="U1217" t="n">
        <v>120</v>
      </c>
      <c r="V1217" t="b">
        <v>1</v>
      </c>
      <c r="W1217" t="inlineStr">
        <is>
          <t>Loan calculator!B17:B136</t>
        </is>
      </c>
      <c r="X1217">
        <f>IFERROR(IF(LoanIsNotPaid*LoanIsGood,PaymentNumber,""), "")</f>
        <v/>
      </c>
    </row>
    <row r="1218">
      <c r="A1218" t="inlineStr">
        <is>
          <t>Loan calculator</t>
        </is>
      </c>
      <c r="B1218" t="inlineStr">
        <is>
          <t>C131</t>
        </is>
      </c>
      <c r="C1218" t="n">
        <v>131</v>
      </c>
      <c r="D1218" t="n">
        <v>3</v>
      </c>
      <c r="E1218" t="inlineStr">
        <is>
          <t>Output</t>
        </is>
      </c>
      <c r="F1218" t="inlineStr">
        <is>
          <t>'=IFERROR(IF(LoanIsNotPaid*LoanIsGood,PaymentDate,LoanStartDate), LoanStartDate)</t>
        </is>
      </c>
      <c r="G1218" s="1" t="n">
        <v>49587</v>
      </c>
      <c r="H1218" t="inlineStr"/>
      <c r="I1218" t="inlineStr">
        <is>
          <t>mm-dd-yy</t>
        </is>
      </c>
      <c r="J1218" t="b">
        <v>0</v>
      </c>
      <c r="K1218" t="b">
        <v>0</v>
      </c>
      <c r="L1218" t="n">
        <v>9</v>
      </c>
      <c r="M1218" t="inlineStr">
        <is>
          <t>Values must be of type &lt;class 'str'&gt;</t>
        </is>
      </c>
      <c r="N1218" t="inlineStr">
        <is>
          <t>00000000</t>
        </is>
      </c>
      <c r="O1218" t="inlineStr">
        <is>
          <t>center</t>
        </is>
      </c>
      <c r="P1218" t="inlineStr">
        <is>
          <t>center</t>
        </is>
      </c>
      <c r="R1218" t="b">
        <v>1</v>
      </c>
      <c r="S1218" t="inlineStr">
        <is>
          <t>G000002</t>
        </is>
      </c>
      <c r="T1218" t="inlineStr">
        <is>
          <t>Vertical</t>
        </is>
      </c>
      <c r="U1218" t="n">
        <v>120</v>
      </c>
      <c r="V1218" t="b">
        <v>1</v>
      </c>
      <c r="W1218" t="inlineStr">
        <is>
          <t>Loan calculator!C17:C136</t>
        </is>
      </c>
      <c r="X1218">
        <f>IFERROR(IF(LoanIsNotPaid*LoanIsGood,PaymentDate,LoanStartDate), LoanStartDate)</f>
        <v/>
      </c>
    </row>
    <row r="1219">
      <c r="A1219" t="inlineStr">
        <is>
          <t>Loan calculator</t>
        </is>
      </c>
      <c r="B1219" t="inlineStr">
        <is>
          <t>D131</t>
        </is>
      </c>
      <c r="C1219" t="n">
        <v>131</v>
      </c>
      <c r="D1219" t="n">
        <v>4</v>
      </c>
      <c r="E1219" t="inlineStr">
        <is>
          <t>Output</t>
        </is>
      </c>
      <c r="F1219" t="inlineStr">
        <is>
          <t>'=IFERROR(IF(LoanIsNotPaid*LoanIsGood,LoanValue,""), "")</t>
        </is>
      </c>
      <c r="G1219" t="n">
        <v>640.8383779971373</v>
      </c>
      <c r="H1219" t="inlineStr"/>
      <c r="I1219" t="inlineStr">
        <is>
          <t>"$"#,##0.00</t>
        </is>
      </c>
      <c r="J1219" t="b">
        <v>0</v>
      </c>
      <c r="K1219" t="b">
        <v>0</v>
      </c>
      <c r="L1219" t="n">
        <v>9</v>
      </c>
      <c r="M1219" t="inlineStr">
        <is>
          <t>Values must be of type &lt;class 'str'&gt;</t>
        </is>
      </c>
      <c r="N1219" t="inlineStr">
        <is>
          <t>00000000</t>
        </is>
      </c>
      <c r="O1219" t="inlineStr">
        <is>
          <t>center</t>
        </is>
      </c>
      <c r="P1219" t="inlineStr">
        <is>
          <t>center</t>
        </is>
      </c>
      <c r="R1219" t="b">
        <v>1</v>
      </c>
      <c r="S1219" t="inlineStr">
        <is>
          <t>G000003</t>
        </is>
      </c>
      <c r="T1219" t="inlineStr">
        <is>
          <t>Vertical</t>
        </is>
      </c>
      <c r="U1219" t="n">
        <v>120</v>
      </c>
      <c r="V1219" t="b">
        <v>1</v>
      </c>
      <c r="W1219" t="inlineStr">
        <is>
          <t>Loan calculator!D17:D136</t>
        </is>
      </c>
      <c r="X1219">
        <f>IFERROR(IF(LoanIsNotPaid*LoanIsGood,LoanValue,""), "")</f>
        <v/>
      </c>
    </row>
    <row r="1220">
      <c r="A1220" t="inlineStr">
        <is>
          <t>Loan calculator</t>
        </is>
      </c>
      <c r="B1220" t="inlineStr">
        <is>
          <t>E131</t>
        </is>
      </c>
      <c r="C1220" t="n">
        <v>131</v>
      </c>
      <c r="D1220" t="n">
        <v>5</v>
      </c>
      <c r="E1220" t="inlineStr">
        <is>
          <t>Output</t>
        </is>
      </c>
      <c r="F1220" t="inlineStr">
        <is>
          <t>'=IFERROR(IF(LoanIsNotPaid*LoanIsGood,MonthlyPayment,0), 0)</t>
        </is>
      </c>
      <c r="G1220" t="n">
        <v>108.5262779604807</v>
      </c>
      <c r="H1220" t="inlineStr"/>
      <c r="I1220" t="inlineStr">
        <is>
          <t>"$"#,##0.00</t>
        </is>
      </c>
      <c r="J1220" t="b">
        <v>0</v>
      </c>
      <c r="K1220" t="b">
        <v>0</v>
      </c>
      <c r="L1220" t="n">
        <v>9</v>
      </c>
      <c r="M1220" t="inlineStr">
        <is>
          <t>Values must be of type &lt;class 'str'&gt;</t>
        </is>
      </c>
      <c r="N1220" t="inlineStr">
        <is>
          <t>00000000</t>
        </is>
      </c>
      <c r="O1220" t="inlineStr">
        <is>
          <t>center</t>
        </is>
      </c>
      <c r="P1220" t="inlineStr">
        <is>
          <t>center</t>
        </is>
      </c>
      <c r="R1220" t="b">
        <v>1</v>
      </c>
      <c r="S1220" t="inlineStr">
        <is>
          <t>G000004</t>
        </is>
      </c>
      <c r="T1220" t="inlineStr">
        <is>
          <t>Vertical</t>
        </is>
      </c>
      <c r="U1220" t="n">
        <v>120</v>
      </c>
      <c r="V1220" t="b">
        <v>1</v>
      </c>
      <c r="W1220" t="inlineStr">
        <is>
          <t>Loan calculator!E17:E136</t>
        </is>
      </c>
      <c r="X1220">
        <f>IFERROR(IF(LoanIsNotPaid*LoanIsGood,MonthlyPayment,0), 0)</f>
        <v/>
      </c>
    </row>
    <row r="1221">
      <c r="A1221" t="inlineStr">
        <is>
          <t>Loan calculator</t>
        </is>
      </c>
      <c r="B1221" t="inlineStr">
        <is>
          <t>F131</t>
        </is>
      </c>
      <c r="C1221" t="n">
        <v>131</v>
      </c>
      <c r="D1221" t="n">
        <v>6</v>
      </c>
      <c r="E1221" t="inlineStr">
        <is>
          <t>Output</t>
        </is>
      </c>
      <c r="F1221" t="inlineStr">
        <is>
          <t>'=IFERROR(IF(LoanIsNotPaid*LoanIsGood,Principal,0), 0)</t>
        </is>
      </c>
      <c r="G1221" t="n">
        <v>105.5891020613271</v>
      </c>
      <c r="H1221" t="inlineStr"/>
      <c r="I1221" t="inlineStr">
        <is>
          <t>"$"#,##0.00</t>
        </is>
      </c>
      <c r="J1221" t="b">
        <v>0</v>
      </c>
      <c r="K1221" t="b">
        <v>0</v>
      </c>
      <c r="L1221" t="n">
        <v>9</v>
      </c>
      <c r="M1221" t="inlineStr">
        <is>
          <t>Values must be of type &lt;class 'str'&gt;</t>
        </is>
      </c>
      <c r="N1221" t="inlineStr">
        <is>
          <t>00000000</t>
        </is>
      </c>
      <c r="O1221" t="inlineStr">
        <is>
          <t>center</t>
        </is>
      </c>
      <c r="P1221" t="inlineStr">
        <is>
          <t>center</t>
        </is>
      </c>
      <c r="R1221" t="b">
        <v>1</v>
      </c>
      <c r="S1221" t="inlineStr">
        <is>
          <t>G000005</t>
        </is>
      </c>
      <c r="T1221" t="inlineStr">
        <is>
          <t>Vertical</t>
        </is>
      </c>
      <c r="U1221" t="n">
        <v>120</v>
      </c>
      <c r="V1221" t="b">
        <v>1</v>
      </c>
      <c r="W1221" t="inlineStr">
        <is>
          <t>Loan calculator!F17:F136</t>
        </is>
      </c>
      <c r="X1221">
        <f>IFERROR(IF(LoanIsNotPaid*LoanIsGood,Principal,0), 0)</f>
        <v/>
      </c>
    </row>
    <row r="1222">
      <c r="A1222" t="inlineStr">
        <is>
          <t>Loan calculator</t>
        </is>
      </c>
      <c r="B1222" t="inlineStr">
        <is>
          <t>G131</t>
        </is>
      </c>
      <c r="C1222" t="n">
        <v>131</v>
      </c>
      <c r="D1222" t="n">
        <v>7</v>
      </c>
      <c r="E1222" t="inlineStr">
        <is>
          <t>Output</t>
        </is>
      </c>
      <c r="F1222" t="inlineStr">
        <is>
          <t>'=IFERROR(IF(LoanIsNotPaid*LoanIsGood,InterestAmt,0), 0)</t>
        </is>
      </c>
      <c r="G1222" t="n">
        <v>2.937175899153661</v>
      </c>
      <c r="H1222" t="inlineStr"/>
      <c r="I1222" t="inlineStr">
        <is>
          <t>"$"#,##0.00</t>
        </is>
      </c>
      <c r="J1222" t="b">
        <v>0</v>
      </c>
      <c r="K1222" t="b">
        <v>0</v>
      </c>
      <c r="L1222" t="n">
        <v>9</v>
      </c>
      <c r="M1222" t="inlineStr">
        <is>
          <t>Values must be of type &lt;class 'str'&gt;</t>
        </is>
      </c>
      <c r="N1222" t="inlineStr">
        <is>
          <t>00000000</t>
        </is>
      </c>
      <c r="O1222" t="inlineStr">
        <is>
          <t>center</t>
        </is>
      </c>
      <c r="P1222" t="inlineStr">
        <is>
          <t>center</t>
        </is>
      </c>
      <c r="R1222" t="b">
        <v>1</v>
      </c>
      <c r="S1222" t="inlineStr">
        <is>
          <t>G000006</t>
        </is>
      </c>
      <c r="T1222" t="inlineStr">
        <is>
          <t>Vertical</t>
        </is>
      </c>
      <c r="U1222" t="n">
        <v>120</v>
      </c>
      <c r="V1222" t="b">
        <v>1</v>
      </c>
      <c r="W1222" t="inlineStr">
        <is>
          <t>Loan calculator!G17:G136</t>
        </is>
      </c>
      <c r="X1222">
        <f>IFERROR(IF(LoanIsNotPaid*LoanIsGood,InterestAmt,0), 0)</f>
        <v/>
      </c>
    </row>
    <row r="1223">
      <c r="A1223" t="inlineStr">
        <is>
          <t>Loan calculator</t>
        </is>
      </c>
      <c r="B1223" t="inlineStr">
        <is>
          <t>H131</t>
        </is>
      </c>
      <c r="C1223" t="n">
        <v>131</v>
      </c>
      <c r="D1223" t="n">
        <v>8</v>
      </c>
      <c r="E1223" t="inlineStr">
        <is>
          <t>Output</t>
        </is>
      </c>
      <c r="F1223" t="inlineStr">
        <is>
          <t>'=IFERROR(IF(LoanIsNotPaid*LoanIsGood,EndingBalance,0), 0)</t>
        </is>
      </c>
      <c r="G1223" t="n">
        <v>535.2492759358101</v>
      </c>
      <c r="H1223" t="inlineStr"/>
      <c r="I1223" t="inlineStr">
        <is>
          <t>"$"#,##0.00</t>
        </is>
      </c>
      <c r="J1223" t="b">
        <v>0</v>
      </c>
      <c r="K1223" t="b">
        <v>0</v>
      </c>
      <c r="L1223" t="n">
        <v>9</v>
      </c>
      <c r="M1223" t="inlineStr">
        <is>
          <t>Values must be of type &lt;class 'str'&gt;</t>
        </is>
      </c>
      <c r="N1223" t="inlineStr">
        <is>
          <t>00000000</t>
        </is>
      </c>
      <c r="O1223" t="inlineStr">
        <is>
          <t>center</t>
        </is>
      </c>
      <c r="P1223" t="inlineStr">
        <is>
          <t>center</t>
        </is>
      </c>
      <c r="R1223" t="b">
        <v>1</v>
      </c>
      <c r="S1223" t="inlineStr">
        <is>
          <t>G000007</t>
        </is>
      </c>
      <c r="T1223" t="inlineStr">
        <is>
          <t>Vertical</t>
        </is>
      </c>
      <c r="U1223" t="n">
        <v>120</v>
      </c>
      <c r="V1223" t="b">
        <v>1</v>
      </c>
      <c r="W1223" t="inlineStr">
        <is>
          <t>Loan calculator!H17:H136</t>
        </is>
      </c>
      <c r="X1223">
        <f>IFERROR(IF(LoanIsNotPaid*LoanIsGood,EndingBalance,0), 0)</f>
        <v/>
      </c>
    </row>
    <row r="1224">
      <c r="A1224" t="inlineStr">
        <is>
          <t>Loan calculator</t>
        </is>
      </c>
      <c r="B1224" t="inlineStr">
        <is>
          <t>I131</t>
        </is>
      </c>
      <c r="C1224" t="n">
        <v>131</v>
      </c>
      <c r="D1224" t="n">
        <v>9</v>
      </c>
      <c r="E1224" t="inlineStr">
        <is>
          <t>Input</t>
        </is>
      </c>
      <c r="F1224" t="n">
        <v/>
      </c>
      <c r="H1224" t="inlineStr"/>
      <c r="I1224" t="inlineStr">
        <is>
          <t>General</t>
        </is>
      </c>
      <c r="J1224" t="b">
        <v>0</v>
      </c>
      <c r="K1224" t="b">
        <v>0</v>
      </c>
      <c r="L1224" t="n">
        <v>11</v>
      </c>
      <c r="M1224" t="inlineStr">
        <is>
          <t>Values must be of type &lt;class 'str'&gt;</t>
        </is>
      </c>
      <c r="N1224" t="inlineStr">
        <is>
          <t>Values must be of type &lt;class 'str'&gt;</t>
        </is>
      </c>
      <c r="O1224" t="n">
        <v/>
      </c>
      <c r="P1224" t="inlineStr">
        <is>
          <t>center</t>
        </is>
      </c>
      <c r="R1224" t="b">
        <v>0</v>
      </c>
      <c r="S1224" t="n">
        <v/>
      </c>
      <c r="T1224" t="n">
        <v/>
      </c>
      <c r="U1224" t="n">
        <v/>
      </c>
      <c r="V1224" t="b">
        <v>0</v>
      </c>
      <c r="W1224" t="inlineStr"/>
      <c r="X1224" t="n">
        <v/>
      </c>
    </row>
    <row r="1225">
      <c r="A1225" t="inlineStr">
        <is>
          <t>Loan calculator</t>
        </is>
      </c>
      <c r="B1225" t="inlineStr">
        <is>
          <t>A132</t>
        </is>
      </c>
      <c r="C1225" t="n">
        <v>132</v>
      </c>
      <c r="D1225" t="n">
        <v>1</v>
      </c>
      <c r="E1225" t="inlineStr">
        <is>
          <t>Input</t>
        </is>
      </c>
      <c r="F1225" t="n">
        <v/>
      </c>
      <c r="H1225" t="inlineStr"/>
      <c r="I1225" t="inlineStr">
        <is>
          <t>General</t>
        </is>
      </c>
      <c r="J1225" t="b">
        <v>0</v>
      </c>
      <c r="K1225" t="b">
        <v>0</v>
      </c>
      <c r="L1225" t="n">
        <v>11</v>
      </c>
      <c r="M1225" t="inlineStr">
        <is>
          <t>Values must be of type &lt;class 'str'&gt;</t>
        </is>
      </c>
      <c r="N1225" t="inlineStr">
        <is>
          <t>Values must be of type &lt;class 'str'&gt;</t>
        </is>
      </c>
      <c r="O1225" t="n">
        <v/>
      </c>
      <c r="P1225" t="inlineStr">
        <is>
          <t>center</t>
        </is>
      </c>
      <c r="R1225" t="b">
        <v>0</v>
      </c>
      <c r="S1225" t="n">
        <v/>
      </c>
      <c r="T1225" t="n">
        <v/>
      </c>
      <c r="U1225" t="n">
        <v/>
      </c>
      <c r="V1225" t="b">
        <v>0</v>
      </c>
      <c r="W1225" t="inlineStr"/>
      <c r="X1225" t="n">
        <v/>
      </c>
    </row>
    <row r="1226">
      <c r="A1226" t="inlineStr">
        <is>
          <t>Loan calculator</t>
        </is>
      </c>
      <c r="B1226" t="inlineStr">
        <is>
          <t>B132</t>
        </is>
      </c>
      <c r="C1226" t="n">
        <v>132</v>
      </c>
      <c r="D1226" t="n">
        <v>2</v>
      </c>
      <c r="E1226" t="inlineStr">
        <is>
          <t>Output</t>
        </is>
      </c>
      <c r="F1226" t="inlineStr">
        <is>
          <t>'=IFERROR(IF(LoanIsNotPaid*LoanIsGood,PaymentNumber,""), "")</t>
        </is>
      </c>
      <c r="G1226" t="n">
        <v>116</v>
      </c>
      <c r="H1226" t="inlineStr"/>
      <c r="I1226" t="inlineStr">
        <is>
          <t>#,##0</t>
        </is>
      </c>
      <c r="J1226" t="b">
        <v>0</v>
      </c>
      <c r="K1226" t="b">
        <v>0</v>
      </c>
      <c r="L1226" t="n">
        <v>9</v>
      </c>
      <c r="M1226" t="inlineStr">
        <is>
          <t>Values must be of type &lt;class 'str'&gt;</t>
        </is>
      </c>
      <c r="N1226" t="inlineStr">
        <is>
          <t>00000000</t>
        </is>
      </c>
      <c r="O1226" t="inlineStr">
        <is>
          <t>center</t>
        </is>
      </c>
      <c r="P1226" t="inlineStr">
        <is>
          <t>center</t>
        </is>
      </c>
      <c r="R1226" t="b">
        <v>1</v>
      </c>
      <c r="S1226" t="inlineStr">
        <is>
          <t>G000001</t>
        </is>
      </c>
      <c r="T1226" t="inlineStr">
        <is>
          <t>Vertical</t>
        </is>
      </c>
      <c r="U1226" t="n">
        <v>120</v>
      </c>
      <c r="V1226" t="b">
        <v>1</v>
      </c>
      <c r="W1226" t="inlineStr">
        <is>
          <t>Loan calculator!B17:B136</t>
        </is>
      </c>
      <c r="X1226">
        <f>IFERROR(IF(LoanIsNotPaid*LoanIsGood,PaymentNumber,""), "")</f>
        <v/>
      </c>
    </row>
    <row r="1227">
      <c r="A1227" t="inlineStr">
        <is>
          <t>Loan calculator</t>
        </is>
      </c>
      <c r="B1227" t="inlineStr">
        <is>
          <t>C132</t>
        </is>
      </c>
      <c r="C1227" t="n">
        <v>132</v>
      </c>
      <c r="D1227" t="n">
        <v>3</v>
      </c>
      <c r="E1227" t="inlineStr">
        <is>
          <t>Output</t>
        </is>
      </c>
      <c r="F1227" t="inlineStr">
        <is>
          <t>'=IFERROR(IF(LoanIsNotPaid*LoanIsGood,PaymentDate,LoanStartDate), LoanStartDate)</t>
        </is>
      </c>
      <c r="G1227" s="1" t="n">
        <v>49618</v>
      </c>
      <c r="H1227" t="inlineStr"/>
      <c r="I1227" t="inlineStr">
        <is>
          <t>mm-dd-yy</t>
        </is>
      </c>
      <c r="J1227" t="b">
        <v>0</v>
      </c>
      <c r="K1227" t="b">
        <v>0</v>
      </c>
      <c r="L1227" t="n">
        <v>9</v>
      </c>
      <c r="M1227" t="inlineStr">
        <is>
          <t>Values must be of type &lt;class 'str'&gt;</t>
        </is>
      </c>
      <c r="N1227" t="inlineStr">
        <is>
          <t>00000000</t>
        </is>
      </c>
      <c r="O1227" t="inlineStr">
        <is>
          <t>center</t>
        </is>
      </c>
      <c r="P1227" t="inlineStr">
        <is>
          <t>center</t>
        </is>
      </c>
      <c r="R1227" t="b">
        <v>1</v>
      </c>
      <c r="S1227" t="inlineStr">
        <is>
          <t>G000002</t>
        </is>
      </c>
      <c r="T1227" t="inlineStr">
        <is>
          <t>Vertical</t>
        </is>
      </c>
      <c r="U1227" t="n">
        <v>120</v>
      </c>
      <c r="V1227" t="b">
        <v>1</v>
      </c>
      <c r="W1227" t="inlineStr">
        <is>
          <t>Loan calculator!C17:C136</t>
        </is>
      </c>
      <c r="X1227">
        <f>IFERROR(IF(LoanIsNotPaid*LoanIsGood,PaymentDate,LoanStartDate), LoanStartDate)</f>
        <v/>
      </c>
    </row>
    <row r="1228">
      <c r="A1228" t="inlineStr">
        <is>
          <t>Loan calculator</t>
        </is>
      </c>
      <c r="B1228" t="inlineStr">
        <is>
          <t>D132</t>
        </is>
      </c>
      <c r="C1228" t="n">
        <v>132</v>
      </c>
      <c r="D1228" t="n">
        <v>4</v>
      </c>
      <c r="E1228" t="inlineStr">
        <is>
          <t>Output</t>
        </is>
      </c>
      <c r="F1228" t="inlineStr">
        <is>
          <t>'=IFERROR(IF(LoanIsNotPaid*LoanIsGood,LoanValue,""), "")</t>
        </is>
      </c>
      <c r="G1228" t="n">
        <v>535.2492759358101</v>
      </c>
      <c r="H1228" t="inlineStr"/>
      <c r="I1228" t="inlineStr">
        <is>
          <t>"$"#,##0.00</t>
        </is>
      </c>
      <c r="J1228" t="b">
        <v>0</v>
      </c>
      <c r="K1228" t="b">
        <v>0</v>
      </c>
      <c r="L1228" t="n">
        <v>9</v>
      </c>
      <c r="M1228" t="inlineStr">
        <is>
          <t>Values must be of type &lt;class 'str'&gt;</t>
        </is>
      </c>
      <c r="N1228" t="inlineStr">
        <is>
          <t>00000000</t>
        </is>
      </c>
      <c r="O1228" t="inlineStr">
        <is>
          <t>center</t>
        </is>
      </c>
      <c r="P1228" t="inlineStr">
        <is>
          <t>center</t>
        </is>
      </c>
      <c r="R1228" t="b">
        <v>1</v>
      </c>
      <c r="S1228" t="inlineStr">
        <is>
          <t>G000003</t>
        </is>
      </c>
      <c r="T1228" t="inlineStr">
        <is>
          <t>Vertical</t>
        </is>
      </c>
      <c r="U1228" t="n">
        <v>120</v>
      </c>
      <c r="V1228" t="b">
        <v>1</v>
      </c>
      <c r="W1228" t="inlineStr">
        <is>
          <t>Loan calculator!D17:D136</t>
        </is>
      </c>
      <c r="X1228">
        <f>IFERROR(IF(LoanIsNotPaid*LoanIsGood,LoanValue,""), "")</f>
        <v/>
      </c>
    </row>
    <row r="1229">
      <c r="A1229" t="inlineStr">
        <is>
          <t>Loan calculator</t>
        </is>
      </c>
      <c r="B1229" t="inlineStr">
        <is>
          <t>E132</t>
        </is>
      </c>
      <c r="C1229" t="n">
        <v>132</v>
      </c>
      <c r="D1229" t="n">
        <v>5</v>
      </c>
      <c r="E1229" t="inlineStr">
        <is>
          <t>Output</t>
        </is>
      </c>
      <c r="F1229" t="inlineStr">
        <is>
          <t>'=IFERROR(IF(LoanIsNotPaid*LoanIsGood,MonthlyPayment,0), 0)</t>
        </is>
      </c>
      <c r="G1229" t="n">
        <v>108.5262779604807</v>
      </c>
      <c r="H1229" t="inlineStr"/>
      <c r="I1229" t="inlineStr">
        <is>
          <t>"$"#,##0.00</t>
        </is>
      </c>
      <c r="J1229" t="b">
        <v>0</v>
      </c>
      <c r="K1229" t="b">
        <v>0</v>
      </c>
      <c r="L1229" t="n">
        <v>9</v>
      </c>
      <c r="M1229" t="inlineStr">
        <is>
          <t>Values must be of type &lt;class 'str'&gt;</t>
        </is>
      </c>
      <c r="N1229" t="inlineStr">
        <is>
          <t>00000000</t>
        </is>
      </c>
      <c r="O1229" t="inlineStr">
        <is>
          <t>center</t>
        </is>
      </c>
      <c r="P1229" t="inlineStr">
        <is>
          <t>center</t>
        </is>
      </c>
      <c r="R1229" t="b">
        <v>1</v>
      </c>
      <c r="S1229" t="inlineStr">
        <is>
          <t>G000004</t>
        </is>
      </c>
      <c r="T1229" t="inlineStr">
        <is>
          <t>Vertical</t>
        </is>
      </c>
      <c r="U1229" t="n">
        <v>120</v>
      </c>
      <c r="V1229" t="b">
        <v>1</v>
      </c>
      <c r="W1229" t="inlineStr">
        <is>
          <t>Loan calculator!E17:E136</t>
        </is>
      </c>
      <c r="X1229">
        <f>IFERROR(IF(LoanIsNotPaid*LoanIsGood,MonthlyPayment,0), 0)</f>
        <v/>
      </c>
    </row>
    <row r="1230">
      <c r="A1230" t="inlineStr">
        <is>
          <t>Loan calculator</t>
        </is>
      </c>
      <c r="B1230" t="inlineStr">
        <is>
          <t>F132</t>
        </is>
      </c>
      <c r="C1230" t="n">
        <v>132</v>
      </c>
      <c r="D1230" t="n">
        <v>6</v>
      </c>
      <c r="E1230" t="inlineStr">
        <is>
          <t>Output</t>
        </is>
      </c>
      <c r="F1230" t="inlineStr">
        <is>
          <t>'=IFERROR(IF(LoanIsNotPaid*LoanIsGood,Principal,0), 0)</t>
        </is>
      </c>
      <c r="G1230" t="n">
        <v>106.0730521124415</v>
      </c>
      <c r="H1230" t="inlineStr"/>
      <c r="I1230" t="inlineStr">
        <is>
          <t>"$"#,##0.00</t>
        </is>
      </c>
      <c r="J1230" t="b">
        <v>0</v>
      </c>
      <c r="K1230" t="b">
        <v>0</v>
      </c>
      <c r="L1230" t="n">
        <v>9</v>
      </c>
      <c r="M1230" t="inlineStr">
        <is>
          <t>Values must be of type &lt;class 'str'&gt;</t>
        </is>
      </c>
      <c r="N1230" t="inlineStr">
        <is>
          <t>00000000</t>
        </is>
      </c>
      <c r="O1230" t="inlineStr">
        <is>
          <t>center</t>
        </is>
      </c>
      <c r="P1230" t="inlineStr">
        <is>
          <t>center</t>
        </is>
      </c>
      <c r="R1230" t="b">
        <v>1</v>
      </c>
      <c r="S1230" t="inlineStr">
        <is>
          <t>G000005</t>
        </is>
      </c>
      <c r="T1230" t="inlineStr">
        <is>
          <t>Vertical</t>
        </is>
      </c>
      <c r="U1230" t="n">
        <v>120</v>
      </c>
      <c r="V1230" t="b">
        <v>1</v>
      </c>
      <c r="W1230" t="inlineStr">
        <is>
          <t>Loan calculator!F17:F136</t>
        </is>
      </c>
      <c r="X1230">
        <f>IFERROR(IF(LoanIsNotPaid*LoanIsGood,Principal,0), 0)</f>
        <v/>
      </c>
    </row>
    <row r="1231">
      <c r="A1231" t="inlineStr">
        <is>
          <t>Loan calculator</t>
        </is>
      </c>
      <c r="B1231" t="inlineStr">
        <is>
          <t>G132</t>
        </is>
      </c>
      <c r="C1231" t="n">
        <v>132</v>
      </c>
      <c r="D1231" t="n">
        <v>7</v>
      </c>
      <c r="E1231" t="inlineStr">
        <is>
          <t>Output</t>
        </is>
      </c>
      <c r="F1231" t="inlineStr">
        <is>
          <t>'=IFERROR(IF(LoanIsNotPaid*LoanIsGood,InterestAmt,0), 0)</t>
        </is>
      </c>
      <c r="G1231" t="n">
        <v>2.453225848039244</v>
      </c>
      <c r="H1231" t="inlineStr"/>
      <c r="I1231" t="inlineStr">
        <is>
          <t>"$"#,##0.00</t>
        </is>
      </c>
      <c r="J1231" t="b">
        <v>0</v>
      </c>
      <c r="K1231" t="b">
        <v>0</v>
      </c>
      <c r="L1231" t="n">
        <v>9</v>
      </c>
      <c r="M1231" t="inlineStr">
        <is>
          <t>Values must be of type &lt;class 'str'&gt;</t>
        </is>
      </c>
      <c r="N1231" t="inlineStr">
        <is>
          <t>00000000</t>
        </is>
      </c>
      <c r="O1231" t="inlineStr">
        <is>
          <t>center</t>
        </is>
      </c>
      <c r="P1231" t="inlineStr">
        <is>
          <t>center</t>
        </is>
      </c>
      <c r="R1231" t="b">
        <v>1</v>
      </c>
      <c r="S1231" t="inlineStr">
        <is>
          <t>G000006</t>
        </is>
      </c>
      <c r="T1231" t="inlineStr">
        <is>
          <t>Vertical</t>
        </is>
      </c>
      <c r="U1231" t="n">
        <v>120</v>
      </c>
      <c r="V1231" t="b">
        <v>1</v>
      </c>
      <c r="W1231" t="inlineStr">
        <is>
          <t>Loan calculator!G17:G136</t>
        </is>
      </c>
      <c r="X1231">
        <f>IFERROR(IF(LoanIsNotPaid*LoanIsGood,InterestAmt,0), 0)</f>
        <v/>
      </c>
    </row>
    <row r="1232">
      <c r="A1232" t="inlineStr">
        <is>
          <t>Loan calculator</t>
        </is>
      </c>
      <c r="B1232" t="inlineStr">
        <is>
          <t>H132</t>
        </is>
      </c>
      <c r="C1232" t="n">
        <v>132</v>
      </c>
      <c r="D1232" t="n">
        <v>8</v>
      </c>
      <c r="E1232" t="inlineStr">
        <is>
          <t>Output</t>
        </is>
      </c>
      <c r="F1232" t="inlineStr">
        <is>
          <t>'=IFERROR(IF(LoanIsNotPaid*LoanIsGood,EndingBalance,0), 0)</t>
        </is>
      </c>
      <c r="G1232" t="n">
        <v>429.1762238233714</v>
      </c>
      <c r="H1232" t="inlineStr"/>
      <c r="I1232" t="inlineStr">
        <is>
          <t>"$"#,##0.00</t>
        </is>
      </c>
      <c r="J1232" t="b">
        <v>0</v>
      </c>
      <c r="K1232" t="b">
        <v>0</v>
      </c>
      <c r="L1232" t="n">
        <v>9</v>
      </c>
      <c r="M1232" t="inlineStr">
        <is>
          <t>Values must be of type &lt;class 'str'&gt;</t>
        </is>
      </c>
      <c r="N1232" t="inlineStr">
        <is>
          <t>00000000</t>
        </is>
      </c>
      <c r="O1232" t="inlineStr">
        <is>
          <t>center</t>
        </is>
      </c>
      <c r="P1232" t="inlineStr">
        <is>
          <t>center</t>
        </is>
      </c>
      <c r="R1232" t="b">
        <v>1</v>
      </c>
      <c r="S1232" t="inlineStr">
        <is>
          <t>G000007</t>
        </is>
      </c>
      <c r="T1232" t="inlineStr">
        <is>
          <t>Vertical</t>
        </is>
      </c>
      <c r="U1232" t="n">
        <v>120</v>
      </c>
      <c r="V1232" t="b">
        <v>1</v>
      </c>
      <c r="W1232" t="inlineStr">
        <is>
          <t>Loan calculator!H17:H136</t>
        </is>
      </c>
      <c r="X1232">
        <f>IFERROR(IF(LoanIsNotPaid*LoanIsGood,EndingBalance,0), 0)</f>
        <v/>
      </c>
    </row>
    <row r="1233">
      <c r="A1233" t="inlineStr">
        <is>
          <t>Loan calculator</t>
        </is>
      </c>
      <c r="B1233" t="inlineStr">
        <is>
          <t>I132</t>
        </is>
      </c>
      <c r="C1233" t="n">
        <v>132</v>
      </c>
      <c r="D1233" t="n">
        <v>9</v>
      </c>
      <c r="E1233" t="inlineStr">
        <is>
          <t>Input</t>
        </is>
      </c>
      <c r="F1233" t="n">
        <v/>
      </c>
      <c r="H1233" t="inlineStr"/>
      <c r="I1233" t="inlineStr">
        <is>
          <t>General</t>
        </is>
      </c>
      <c r="J1233" t="b">
        <v>0</v>
      </c>
      <c r="K1233" t="b">
        <v>0</v>
      </c>
      <c r="L1233" t="n">
        <v>11</v>
      </c>
      <c r="M1233" t="inlineStr">
        <is>
          <t>Values must be of type &lt;class 'str'&gt;</t>
        </is>
      </c>
      <c r="N1233" t="inlineStr">
        <is>
          <t>Values must be of type &lt;class 'str'&gt;</t>
        </is>
      </c>
      <c r="O1233" t="n">
        <v/>
      </c>
      <c r="P1233" t="inlineStr">
        <is>
          <t>center</t>
        </is>
      </c>
      <c r="R1233" t="b">
        <v>0</v>
      </c>
      <c r="S1233" t="n">
        <v/>
      </c>
      <c r="T1233" t="n">
        <v/>
      </c>
      <c r="U1233" t="n">
        <v/>
      </c>
      <c r="V1233" t="b">
        <v>0</v>
      </c>
      <c r="W1233" t="inlineStr"/>
      <c r="X1233" t="n">
        <v/>
      </c>
    </row>
    <row r="1234">
      <c r="A1234" t="inlineStr">
        <is>
          <t>Loan calculator</t>
        </is>
      </c>
      <c r="B1234" t="inlineStr">
        <is>
          <t>A133</t>
        </is>
      </c>
      <c r="C1234" t="n">
        <v>133</v>
      </c>
      <c r="D1234" t="n">
        <v>1</v>
      </c>
      <c r="E1234" t="inlineStr">
        <is>
          <t>Input</t>
        </is>
      </c>
      <c r="F1234" t="n">
        <v/>
      </c>
      <c r="H1234" t="inlineStr"/>
      <c r="I1234" t="inlineStr">
        <is>
          <t>General</t>
        </is>
      </c>
      <c r="J1234" t="b">
        <v>0</v>
      </c>
      <c r="K1234" t="b">
        <v>0</v>
      </c>
      <c r="L1234" t="n">
        <v>11</v>
      </c>
      <c r="M1234" t="inlineStr">
        <is>
          <t>Values must be of type &lt;class 'str'&gt;</t>
        </is>
      </c>
      <c r="N1234" t="inlineStr">
        <is>
          <t>Values must be of type &lt;class 'str'&gt;</t>
        </is>
      </c>
      <c r="O1234" t="n">
        <v/>
      </c>
      <c r="P1234" t="inlineStr">
        <is>
          <t>center</t>
        </is>
      </c>
      <c r="R1234" t="b">
        <v>0</v>
      </c>
      <c r="S1234" t="n">
        <v/>
      </c>
      <c r="T1234" t="n">
        <v/>
      </c>
      <c r="U1234" t="n">
        <v/>
      </c>
      <c r="V1234" t="b">
        <v>0</v>
      </c>
      <c r="W1234" t="inlineStr"/>
      <c r="X1234" t="n">
        <v/>
      </c>
    </row>
    <row r="1235">
      <c r="A1235" t="inlineStr">
        <is>
          <t>Loan calculator</t>
        </is>
      </c>
      <c r="B1235" t="inlineStr">
        <is>
          <t>B133</t>
        </is>
      </c>
      <c r="C1235" t="n">
        <v>133</v>
      </c>
      <c r="D1235" t="n">
        <v>2</v>
      </c>
      <c r="E1235" t="inlineStr">
        <is>
          <t>Output</t>
        </is>
      </c>
      <c r="F1235" t="inlineStr">
        <is>
          <t>'=IFERROR(IF(LoanIsNotPaid*LoanIsGood,PaymentNumber,""), "")</t>
        </is>
      </c>
      <c r="G1235" t="n">
        <v>117</v>
      </c>
      <c r="H1235" t="inlineStr"/>
      <c r="I1235" t="inlineStr">
        <is>
          <t>#,##0</t>
        </is>
      </c>
      <c r="J1235" t="b">
        <v>0</v>
      </c>
      <c r="K1235" t="b">
        <v>0</v>
      </c>
      <c r="L1235" t="n">
        <v>9</v>
      </c>
      <c r="M1235" t="inlineStr">
        <is>
          <t>Values must be of type &lt;class 'str'&gt;</t>
        </is>
      </c>
      <c r="N1235" t="inlineStr">
        <is>
          <t>00000000</t>
        </is>
      </c>
      <c r="O1235" t="inlineStr">
        <is>
          <t>center</t>
        </is>
      </c>
      <c r="P1235" t="inlineStr">
        <is>
          <t>center</t>
        </is>
      </c>
      <c r="R1235" t="b">
        <v>1</v>
      </c>
      <c r="S1235" t="inlineStr">
        <is>
          <t>G000001</t>
        </is>
      </c>
      <c r="T1235" t="inlineStr">
        <is>
          <t>Vertical</t>
        </is>
      </c>
      <c r="U1235" t="n">
        <v>120</v>
      </c>
      <c r="V1235" t="b">
        <v>1</v>
      </c>
      <c r="W1235" t="inlineStr">
        <is>
          <t>Loan calculator!B17:B136</t>
        </is>
      </c>
      <c r="X1235">
        <f>IFERROR(IF(LoanIsNotPaid*LoanIsGood,PaymentNumber,""), "")</f>
        <v/>
      </c>
    </row>
    <row r="1236">
      <c r="A1236" t="inlineStr">
        <is>
          <t>Loan calculator</t>
        </is>
      </c>
      <c r="B1236" t="inlineStr">
        <is>
          <t>C133</t>
        </is>
      </c>
      <c r="C1236" t="n">
        <v>133</v>
      </c>
      <c r="D1236" t="n">
        <v>3</v>
      </c>
      <c r="E1236" t="inlineStr">
        <is>
          <t>Output</t>
        </is>
      </c>
      <c r="F1236" t="inlineStr">
        <is>
          <t>'=IFERROR(IF(LoanIsNotPaid*LoanIsGood,PaymentDate,LoanStartDate), LoanStartDate)</t>
        </is>
      </c>
      <c r="G1236" s="1" t="n">
        <v>49648</v>
      </c>
      <c r="H1236" t="inlineStr"/>
      <c r="I1236" t="inlineStr">
        <is>
          <t>mm-dd-yy</t>
        </is>
      </c>
      <c r="J1236" t="b">
        <v>0</v>
      </c>
      <c r="K1236" t="b">
        <v>0</v>
      </c>
      <c r="L1236" t="n">
        <v>9</v>
      </c>
      <c r="M1236" t="inlineStr">
        <is>
          <t>Values must be of type &lt;class 'str'&gt;</t>
        </is>
      </c>
      <c r="N1236" t="inlineStr">
        <is>
          <t>00000000</t>
        </is>
      </c>
      <c r="O1236" t="inlineStr">
        <is>
          <t>center</t>
        </is>
      </c>
      <c r="P1236" t="inlineStr">
        <is>
          <t>center</t>
        </is>
      </c>
      <c r="R1236" t="b">
        <v>1</v>
      </c>
      <c r="S1236" t="inlineStr">
        <is>
          <t>G000002</t>
        </is>
      </c>
      <c r="T1236" t="inlineStr">
        <is>
          <t>Vertical</t>
        </is>
      </c>
      <c r="U1236" t="n">
        <v>120</v>
      </c>
      <c r="V1236" t="b">
        <v>1</v>
      </c>
      <c r="W1236" t="inlineStr">
        <is>
          <t>Loan calculator!C17:C136</t>
        </is>
      </c>
      <c r="X1236">
        <f>IFERROR(IF(LoanIsNotPaid*LoanIsGood,PaymentDate,LoanStartDate), LoanStartDate)</f>
        <v/>
      </c>
    </row>
    <row r="1237">
      <c r="A1237" t="inlineStr">
        <is>
          <t>Loan calculator</t>
        </is>
      </c>
      <c r="B1237" t="inlineStr">
        <is>
          <t>D133</t>
        </is>
      </c>
      <c r="C1237" t="n">
        <v>133</v>
      </c>
      <c r="D1237" t="n">
        <v>4</v>
      </c>
      <c r="E1237" t="inlineStr">
        <is>
          <t>Output</t>
        </is>
      </c>
      <c r="F1237" t="inlineStr">
        <is>
          <t>'=IFERROR(IF(LoanIsNotPaid*LoanIsGood,LoanValue,""), "")</t>
        </is>
      </c>
      <c r="G1237" t="n">
        <v>429.1762238233714</v>
      </c>
      <c r="H1237" t="inlineStr"/>
      <c r="I1237" t="inlineStr">
        <is>
          <t>"$"#,##0.00</t>
        </is>
      </c>
      <c r="J1237" t="b">
        <v>0</v>
      </c>
      <c r="K1237" t="b">
        <v>0</v>
      </c>
      <c r="L1237" t="n">
        <v>9</v>
      </c>
      <c r="M1237" t="inlineStr">
        <is>
          <t>Values must be of type &lt;class 'str'&gt;</t>
        </is>
      </c>
      <c r="N1237" t="inlineStr">
        <is>
          <t>00000000</t>
        </is>
      </c>
      <c r="O1237" t="inlineStr">
        <is>
          <t>center</t>
        </is>
      </c>
      <c r="P1237" t="inlineStr">
        <is>
          <t>center</t>
        </is>
      </c>
      <c r="R1237" t="b">
        <v>1</v>
      </c>
      <c r="S1237" t="inlineStr">
        <is>
          <t>G000003</t>
        </is>
      </c>
      <c r="T1237" t="inlineStr">
        <is>
          <t>Vertical</t>
        </is>
      </c>
      <c r="U1237" t="n">
        <v>120</v>
      </c>
      <c r="V1237" t="b">
        <v>1</v>
      </c>
      <c r="W1237" t="inlineStr">
        <is>
          <t>Loan calculator!D17:D136</t>
        </is>
      </c>
      <c r="X1237">
        <f>IFERROR(IF(LoanIsNotPaid*LoanIsGood,LoanValue,""), "")</f>
        <v/>
      </c>
    </row>
    <row r="1238">
      <c r="A1238" t="inlineStr">
        <is>
          <t>Loan calculator</t>
        </is>
      </c>
      <c r="B1238" t="inlineStr">
        <is>
          <t>E133</t>
        </is>
      </c>
      <c r="C1238" t="n">
        <v>133</v>
      </c>
      <c r="D1238" t="n">
        <v>5</v>
      </c>
      <c r="E1238" t="inlineStr">
        <is>
          <t>Output</t>
        </is>
      </c>
      <c r="F1238" t="inlineStr">
        <is>
          <t>'=IFERROR(IF(LoanIsNotPaid*LoanIsGood,MonthlyPayment,0), 0)</t>
        </is>
      </c>
      <c r="G1238" t="n">
        <v>108.5262779604807</v>
      </c>
      <c r="H1238" t="inlineStr"/>
      <c r="I1238" t="inlineStr">
        <is>
          <t>"$"#,##0.00</t>
        </is>
      </c>
      <c r="J1238" t="b">
        <v>0</v>
      </c>
      <c r="K1238" t="b">
        <v>0</v>
      </c>
      <c r="L1238" t="n">
        <v>9</v>
      </c>
      <c r="M1238" t="inlineStr">
        <is>
          <t>Values must be of type &lt;class 'str'&gt;</t>
        </is>
      </c>
      <c r="N1238" t="inlineStr">
        <is>
          <t>00000000</t>
        </is>
      </c>
      <c r="O1238" t="inlineStr">
        <is>
          <t>center</t>
        </is>
      </c>
      <c r="P1238" t="inlineStr">
        <is>
          <t>center</t>
        </is>
      </c>
      <c r="R1238" t="b">
        <v>1</v>
      </c>
      <c r="S1238" t="inlineStr">
        <is>
          <t>G000004</t>
        </is>
      </c>
      <c r="T1238" t="inlineStr">
        <is>
          <t>Vertical</t>
        </is>
      </c>
      <c r="U1238" t="n">
        <v>120</v>
      </c>
      <c r="V1238" t="b">
        <v>1</v>
      </c>
      <c r="W1238" t="inlineStr">
        <is>
          <t>Loan calculator!E17:E136</t>
        </is>
      </c>
      <c r="X1238">
        <f>IFERROR(IF(LoanIsNotPaid*LoanIsGood,MonthlyPayment,0), 0)</f>
        <v/>
      </c>
    </row>
    <row r="1239">
      <c r="A1239" t="inlineStr">
        <is>
          <t>Loan calculator</t>
        </is>
      </c>
      <c r="B1239" t="inlineStr">
        <is>
          <t>F133</t>
        </is>
      </c>
      <c r="C1239" t="n">
        <v>133</v>
      </c>
      <c r="D1239" t="n">
        <v>6</v>
      </c>
      <c r="E1239" t="inlineStr">
        <is>
          <t>Output</t>
        </is>
      </c>
      <c r="F1239" t="inlineStr">
        <is>
          <t>'=IFERROR(IF(LoanIsNotPaid*LoanIsGood,Principal,0), 0)</t>
        </is>
      </c>
      <c r="G1239" t="n">
        <v>106.5592202679568</v>
      </c>
      <c r="H1239" t="inlineStr"/>
      <c r="I1239" t="inlineStr">
        <is>
          <t>"$"#,##0.00</t>
        </is>
      </c>
      <c r="J1239" t="b">
        <v>0</v>
      </c>
      <c r="K1239" t="b">
        <v>0</v>
      </c>
      <c r="L1239" t="n">
        <v>9</v>
      </c>
      <c r="M1239" t="inlineStr">
        <is>
          <t>Values must be of type &lt;class 'str'&gt;</t>
        </is>
      </c>
      <c r="N1239" t="inlineStr">
        <is>
          <t>00000000</t>
        </is>
      </c>
      <c r="O1239" t="inlineStr">
        <is>
          <t>center</t>
        </is>
      </c>
      <c r="P1239" t="inlineStr">
        <is>
          <t>center</t>
        </is>
      </c>
      <c r="R1239" t="b">
        <v>1</v>
      </c>
      <c r="S1239" t="inlineStr">
        <is>
          <t>G000005</t>
        </is>
      </c>
      <c r="T1239" t="inlineStr">
        <is>
          <t>Vertical</t>
        </is>
      </c>
      <c r="U1239" t="n">
        <v>120</v>
      </c>
      <c r="V1239" t="b">
        <v>1</v>
      </c>
      <c r="W1239" t="inlineStr">
        <is>
          <t>Loan calculator!F17:F136</t>
        </is>
      </c>
      <c r="X1239">
        <f>IFERROR(IF(LoanIsNotPaid*LoanIsGood,Principal,0), 0)</f>
        <v/>
      </c>
    </row>
    <row r="1240">
      <c r="A1240" t="inlineStr">
        <is>
          <t>Loan calculator</t>
        </is>
      </c>
      <c r="B1240" t="inlineStr">
        <is>
          <t>G133</t>
        </is>
      </c>
      <c r="C1240" t="n">
        <v>133</v>
      </c>
      <c r="D1240" t="n">
        <v>7</v>
      </c>
      <c r="E1240" t="inlineStr">
        <is>
          <t>Output</t>
        </is>
      </c>
      <c r="F1240" t="inlineStr">
        <is>
          <t>'=IFERROR(IF(LoanIsNotPaid*LoanIsGood,InterestAmt,0), 0)</t>
        </is>
      </c>
      <c r="G1240" t="n">
        <v>1.967057692523888</v>
      </c>
      <c r="H1240" t="inlineStr"/>
      <c r="I1240" t="inlineStr">
        <is>
          <t>"$"#,##0.00</t>
        </is>
      </c>
      <c r="J1240" t="b">
        <v>0</v>
      </c>
      <c r="K1240" t="b">
        <v>0</v>
      </c>
      <c r="L1240" t="n">
        <v>9</v>
      </c>
      <c r="M1240" t="inlineStr">
        <is>
          <t>Values must be of type &lt;class 'str'&gt;</t>
        </is>
      </c>
      <c r="N1240" t="inlineStr">
        <is>
          <t>00000000</t>
        </is>
      </c>
      <c r="O1240" t="inlineStr">
        <is>
          <t>center</t>
        </is>
      </c>
      <c r="P1240" t="inlineStr">
        <is>
          <t>center</t>
        </is>
      </c>
      <c r="R1240" t="b">
        <v>1</v>
      </c>
      <c r="S1240" t="inlineStr">
        <is>
          <t>G000006</t>
        </is>
      </c>
      <c r="T1240" t="inlineStr">
        <is>
          <t>Vertical</t>
        </is>
      </c>
      <c r="U1240" t="n">
        <v>120</v>
      </c>
      <c r="V1240" t="b">
        <v>1</v>
      </c>
      <c r="W1240" t="inlineStr">
        <is>
          <t>Loan calculator!G17:G136</t>
        </is>
      </c>
      <c r="X1240">
        <f>IFERROR(IF(LoanIsNotPaid*LoanIsGood,InterestAmt,0), 0)</f>
        <v/>
      </c>
    </row>
    <row r="1241">
      <c r="A1241" t="inlineStr">
        <is>
          <t>Loan calculator</t>
        </is>
      </c>
      <c r="B1241" t="inlineStr">
        <is>
          <t>H133</t>
        </is>
      </c>
      <c r="C1241" t="n">
        <v>133</v>
      </c>
      <c r="D1241" t="n">
        <v>8</v>
      </c>
      <c r="E1241" t="inlineStr">
        <is>
          <t>Output</t>
        </is>
      </c>
      <c r="F1241" t="inlineStr">
        <is>
          <t>'=IFERROR(IF(LoanIsNotPaid*LoanIsGood,EndingBalance,0), 0)</t>
        </is>
      </c>
      <c r="G1241" t="n">
        <v>322.6170035554132</v>
      </c>
      <c r="H1241" t="inlineStr"/>
      <c r="I1241" t="inlineStr">
        <is>
          <t>"$"#,##0.00</t>
        </is>
      </c>
      <c r="J1241" t="b">
        <v>0</v>
      </c>
      <c r="K1241" t="b">
        <v>0</v>
      </c>
      <c r="L1241" t="n">
        <v>9</v>
      </c>
      <c r="M1241" t="inlineStr">
        <is>
          <t>Values must be of type &lt;class 'str'&gt;</t>
        </is>
      </c>
      <c r="N1241" t="inlineStr">
        <is>
          <t>00000000</t>
        </is>
      </c>
      <c r="O1241" t="inlineStr">
        <is>
          <t>center</t>
        </is>
      </c>
      <c r="P1241" t="inlineStr">
        <is>
          <t>center</t>
        </is>
      </c>
      <c r="R1241" t="b">
        <v>1</v>
      </c>
      <c r="S1241" t="inlineStr">
        <is>
          <t>G000007</t>
        </is>
      </c>
      <c r="T1241" t="inlineStr">
        <is>
          <t>Vertical</t>
        </is>
      </c>
      <c r="U1241" t="n">
        <v>120</v>
      </c>
      <c r="V1241" t="b">
        <v>1</v>
      </c>
      <c r="W1241" t="inlineStr">
        <is>
          <t>Loan calculator!H17:H136</t>
        </is>
      </c>
      <c r="X1241">
        <f>IFERROR(IF(LoanIsNotPaid*LoanIsGood,EndingBalance,0), 0)</f>
        <v/>
      </c>
    </row>
    <row r="1242">
      <c r="A1242" t="inlineStr">
        <is>
          <t>Loan calculator</t>
        </is>
      </c>
      <c r="B1242" t="inlineStr">
        <is>
          <t>I133</t>
        </is>
      </c>
      <c r="C1242" t="n">
        <v>133</v>
      </c>
      <c r="D1242" t="n">
        <v>9</v>
      </c>
      <c r="E1242" t="inlineStr">
        <is>
          <t>Input</t>
        </is>
      </c>
      <c r="F1242" t="n">
        <v/>
      </c>
      <c r="H1242" t="inlineStr"/>
      <c r="I1242" t="inlineStr">
        <is>
          <t>General</t>
        </is>
      </c>
      <c r="J1242" t="b">
        <v>0</v>
      </c>
      <c r="K1242" t="b">
        <v>0</v>
      </c>
      <c r="L1242" t="n">
        <v>11</v>
      </c>
      <c r="M1242" t="inlineStr">
        <is>
          <t>Values must be of type &lt;class 'str'&gt;</t>
        </is>
      </c>
      <c r="N1242" t="inlineStr">
        <is>
          <t>Values must be of type &lt;class 'str'&gt;</t>
        </is>
      </c>
      <c r="O1242" t="n">
        <v/>
      </c>
      <c r="P1242" t="inlineStr">
        <is>
          <t>center</t>
        </is>
      </c>
      <c r="R1242" t="b">
        <v>0</v>
      </c>
      <c r="S1242" t="n">
        <v/>
      </c>
      <c r="T1242" t="n">
        <v/>
      </c>
      <c r="U1242" t="n">
        <v/>
      </c>
      <c r="V1242" t="b">
        <v>0</v>
      </c>
      <c r="W1242" t="inlineStr"/>
      <c r="X1242" t="n">
        <v/>
      </c>
    </row>
    <row r="1243">
      <c r="A1243" t="inlineStr">
        <is>
          <t>Loan calculator</t>
        </is>
      </c>
      <c r="B1243" t="inlineStr">
        <is>
          <t>A134</t>
        </is>
      </c>
      <c r="C1243" t="n">
        <v>134</v>
      </c>
      <c r="D1243" t="n">
        <v>1</v>
      </c>
      <c r="E1243" t="inlineStr">
        <is>
          <t>Input</t>
        </is>
      </c>
      <c r="F1243" t="n">
        <v/>
      </c>
      <c r="H1243" t="inlineStr"/>
      <c r="I1243" t="inlineStr">
        <is>
          <t>General</t>
        </is>
      </c>
      <c r="J1243" t="b">
        <v>0</v>
      </c>
      <c r="K1243" t="b">
        <v>0</v>
      </c>
      <c r="L1243" t="n">
        <v>11</v>
      </c>
      <c r="M1243" t="inlineStr">
        <is>
          <t>Values must be of type &lt;class 'str'&gt;</t>
        </is>
      </c>
      <c r="N1243" t="inlineStr">
        <is>
          <t>Values must be of type &lt;class 'str'&gt;</t>
        </is>
      </c>
      <c r="O1243" t="n">
        <v/>
      </c>
      <c r="P1243" t="inlineStr">
        <is>
          <t>center</t>
        </is>
      </c>
      <c r="R1243" t="b">
        <v>0</v>
      </c>
      <c r="S1243" t="n">
        <v/>
      </c>
      <c r="T1243" t="n">
        <v/>
      </c>
      <c r="U1243" t="n">
        <v/>
      </c>
      <c r="V1243" t="b">
        <v>0</v>
      </c>
      <c r="W1243" t="inlineStr"/>
      <c r="X1243" t="n">
        <v/>
      </c>
    </row>
    <row r="1244">
      <c r="A1244" t="inlineStr">
        <is>
          <t>Loan calculator</t>
        </is>
      </c>
      <c r="B1244" t="inlineStr">
        <is>
          <t>B134</t>
        </is>
      </c>
      <c r="C1244" t="n">
        <v>134</v>
      </c>
      <c r="D1244" t="n">
        <v>2</v>
      </c>
      <c r="E1244" t="inlineStr">
        <is>
          <t>Output</t>
        </is>
      </c>
      <c r="F1244" t="inlineStr">
        <is>
          <t>'=IFERROR(IF(LoanIsNotPaid*LoanIsGood,PaymentNumber,""), "")</t>
        </is>
      </c>
      <c r="G1244" t="n">
        <v>118</v>
      </c>
      <c r="H1244" t="inlineStr"/>
      <c r="I1244" t="inlineStr">
        <is>
          <t>#,##0</t>
        </is>
      </c>
      <c r="J1244" t="b">
        <v>0</v>
      </c>
      <c r="K1244" t="b">
        <v>0</v>
      </c>
      <c r="L1244" t="n">
        <v>9</v>
      </c>
      <c r="M1244" t="inlineStr">
        <is>
          <t>Values must be of type &lt;class 'str'&gt;</t>
        </is>
      </c>
      <c r="N1244" t="inlineStr">
        <is>
          <t>00000000</t>
        </is>
      </c>
      <c r="O1244" t="inlineStr">
        <is>
          <t>center</t>
        </is>
      </c>
      <c r="P1244" t="inlineStr">
        <is>
          <t>center</t>
        </is>
      </c>
      <c r="R1244" t="b">
        <v>1</v>
      </c>
      <c r="S1244" t="inlineStr">
        <is>
          <t>G000001</t>
        </is>
      </c>
      <c r="T1244" t="inlineStr">
        <is>
          <t>Vertical</t>
        </is>
      </c>
      <c r="U1244" t="n">
        <v>120</v>
      </c>
      <c r="V1244" t="b">
        <v>1</v>
      </c>
      <c r="W1244" t="inlineStr">
        <is>
          <t>Loan calculator!B17:B136</t>
        </is>
      </c>
      <c r="X1244">
        <f>IFERROR(IF(LoanIsNotPaid*LoanIsGood,PaymentNumber,""), "")</f>
        <v/>
      </c>
    </row>
    <row r="1245">
      <c r="A1245" t="inlineStr">
        <is>
          <t>Loan calculator</t>
        </is>
      </c>
      <c r="B1245" t="inlineStr">
        <is>
          <t>C134</t>
        </is>
      </c>
      <c r="C1245" t="n">
        <v>134</v>
      </c>
      <c r="D1245" t="n">
        <v>3</v>
      </c>
      <c r="E1245" t="inlineStr">
        <is>
          <t>Output</t>
        </is>
      </c>
      <c r="F1245" t="inlineStr">
        <is>
          <t>'=IFERROR(IF(LoanIsNotPaid*LoanIsGood,PaymentDate,LoanStartDate), LoanStartDate)</t>
        </is>
      </c>
      <c r="G1245" s="1" t="n">
        <v>49679</v>
      </c>
      <c r="H1245" t="inlineStr"/>
      <c r="I1245" t="inlineStr">
        <is>
          <t>mm-dd-yy</t>
        </is>
      </c>
      <c r="J1245" t="b">
        <v>0</v>
      </c>
      <c r="K1245" t="b">
        <v>0</v>
      </c>
      <c r="L1245" t="n">
        <v>9</v>
      </c>
      <c r="M1245" t="inlineStr">
        <is>
          <t>Values must be of type &lt;class 'str'&gt;</t>
        </is>
      </c>
      <c r="N1245" t="inlineStr">
        <is>
          <t>00000000</t>
        </is>
      </c>
      <c r="O1245" t="inlineStr">
        <is>
          <t>center</t>
        </is>
      </c>
      <c r="P1245" t="inlineStr">
        <is>
          <t>center</t>
        </is>
      </c>
      <c r="R1245" t="b">
        <v>1</v>
      </c>
      <c r="S1245" t="inlineStr">
        <is>
          <t>G000002</t>
        </is>
      </c>
      <c r="T1245" t="inlineStr">
        <is>
          <t>Vertical</t>
        </is>
      </c>
      <c r="U1245" t="n">
        <v>120</v>
      </c>
      <c r="V1245" t="b">
        <v>1</v>
      </c>
      <c r="W1245" t="inlineStr">
        <is>
          <t>Loan calculator!C17:C136</t>
        </is>
      </c>
      <c r="X1245">
        <f>IFERROR(IF(LoanIsNotPaid*LoanIsGood,PaymentDate,LoanStartDate), LoanStartDate)</f>
        <v/>
      </c>
    </row>
    <row r="1246">
      <c r="A1246" t="inlineStr">
        <is>
          <t>Loan calculator</t>
        </is>
      </c>
      <c r="B1246" t="inlineStr">
        <is>
          <t>D134</t>
        </is>
      </c>
      <c r="C1246" t="n">
        <v>134</v>
      </c>
      <c r="D1246" t="n">
        <v>4</v>
      </c>
      <c r="E1246" t="inlineStr">
        <is>
          <t>Output</t>
        </is>
      </c>
      <c r="F1246" t="inlineStr">
        <is>
          <t>'=IFERROR(IF(LoanIsNotPaid*LoanIsGood,LoanValue,""), "")</t>
        </is>
      </c>
      <c r="G1246" t="n">
        <v>322.6170035554132</v>
      </c>
      <c r="H1246" t="inlineStr"/>
      <c r="I1246" t="inlineStr">
        <is>
          <t>"$"#,##0.00</t>
        </is>
      </c>
      <c r="J1246" t="b">
        <v>0</v>
      </c>
      <c r="K1246" t="b">
        <v>0</v>
      </c>
      <c r="L1246" t="n">
        <v>9</v>
      </c>
      <c r="M1246" t="inlineStr">
        <is>
          <t>Values must be of type &lt;class 'str'&gt;</t>
        </is>
      </c>
      <c r="N1246" t="inlineStr">
        <is>
          <t>00000000</t>
        </is>
      </c>
      <c r="O1246" t="inlineStr">
        <is>
          <t>center</t>
        </is>
      </c>
      <c r="P1246" t="inlineStr">
        <is>
          <t>center</t>
        </is>
      </c>
      <c r="R1246" t="b">
        <v>1</v>
      </c>
      <c r="S1246" t="inlineStr">
        <is>
          <t>G000003</t>
        </is>
      </c>
      <c r="T1246" t="inlineStr">
        <is>
          <t>Vertical</t>
        </is>
      </c>
      <c r="U1246" t="n">
        <v>120</v>
      </c>
      <c r="V1246" t="b">
        <v>1</v>
      </c>
      <c r="W1246" t="inlineStr">
        <is>
          <t>Loan calculator!D17:D136</t>
        </is>
      </c>
      <c r="X1246">
        <f>IFERROR(IF(LoanIsNotPaid*LoanIsGood,LoanValue,""), "")</f>
        <v/>
      </c>
    </row>
    <row r="1247">
      <c r="A1247" t="inlineStr">
        <is>
          <t>Loan calculator</t>
        </is>
      </c>
      <c r="B1247" t="inlineStr">
        <is>
          <t>E134</t>
        </is>
      </c>
      <c r="C1247" t="n">
        <v>134</v>
      </c>
      <c r="D1247" t="n">
        <v>5</v>
      </c>
      <c r="E1247" t="inlineStr">
        <is>
          <t>Output</t>
        </is>
      </c>
      <c r="F1247" t="inlineStr">
        <is>
          <t>'=IFERROR(IF(LoanIsNotPaid*LoanIsGood,MonthlyPayment,0), 0)</t>
        </is>
      </c>
      <c r="G1247" t="n">
        <v>108.5262779604807</v>
      </c>
      <c r="H1247" t="inlineStr"/>
      <c r="I1247" t="inlineStr">
        <is>
          <t>"$"#,##0.00</t>
        </is>
      </c>
      <c r="J1247" t="b">
        <v>0</v>
      </c>
      <c r="K1247" t="b">
        <v>0</v>
      </c>
      <c r="L1247" t="n">
        <v>9</v>
      </c>
      <c r="M1247" t="inlineStr">
        <is>
          <t>Values must be of type &lt;class 'str'&gt;</t>
        </is>
      </c>
      <c r="N1247" t="inlineStr">
        <is>
          <t>00000000</t>
        </is>
      </c>
      <c r="O1247" t="inlineStr">
        <is>
          <t>center</t>
        </is>
      </c>
      <c r="P1247" t="inlineStr">
        <is>
          <t>center</t>
        </is>
      </c>
      <c r="R1247" t="b">
        <v>1</v>
      </c>
      <c r="S1247" t="inlineStr">
        <is>
          <t>G000004</t>
        </is>
      </c>
      <c r="T1247" t="inlineStr">
        <is>
          <t>Vertical</t>
        </is>
      </c>
      <c r="U1247" t="n">
        <v>120</v>
      </c>
      <c r="V1247" t="b">
        <v>1</v>
      </c>
      <c r="W1247" t="inlineStr">
        <is>
          <t>Loan calculator!E17:E136</t>
        </is>
      </c>
      <c r="X1247">
        <f>IFERROR(IF(LoanIsNotPaid*LoanIsGood,MonthlyPayment,0), 0)</f>
        <v/>
      </c>
    </row>
    <row r="1248">
      <c r="A1248" t="inlineStr">
        <is>
          <t>Loan calculator</t>
        </is>
      </c>
      <c r="B1248" t="inlineStr">
        <is>
          <t>F134</t>
        </is>
      </c>
      <c r="C1248" t="n">
        <v>134</v>
      </c>
      <c r="D1248" t="n">
        <v>6</v>
      </c>
      <c r="E1248" t="inlineStr">
        <is>
          <t>Output</t>
        </is>
      </c>
      <c r="F1248" t="inlineStr">
        <is>
          <t>'=IFERROR(IF(LoanIsNotPaid*LoanIsGood,Principal,0), 0)</t>
        </is>
      </c>
      <c r="G1248" t="n">
        <v>107.047616694185</v>
      </c>
      <c r="H1248" t="inlineStr"/>
      <c r="I1248" t="inlineStr">
        <is>
          <t>"$"#,##0.00</t>
        </is>
      </c>
      <c r="J1248" t="b">
        <v>0</v>
      </c>
      <c r="K1248" t="b">
        <v>0</v>
      </c>
      <c r="L1248" t="n">
        <v>9</v>
      </c>
      <c r="M1248" t="inlineStr">
        <is>
          <t>Values must be of type &lt;class 'str'&gt;</t>
        </is>
      </c>
      <c r="N1248" t="inlineStr">
        <is>
          <t>00000000</t>
        </is>
      </c>
      <c r="O1248" t="inlineStr">
        <is>
          <t>center</t>
        </is>
      </c>
      <c r="P1248" t="inlineStr">
        <is>
          <t>center</t>
        </is>
      </c>
      <c r="R1248" t="b">
        <v>1</v>
      </c>
      <c r="S1248" t="inlineStr">
        <is>
          <t>G000005</t>
        </is>
      </c>
      <c r="T1248" t="inlineStr">
        <is>
          <t>Vertical</t>
        </is>
      </c>
      <c r="U1248" t="n">
        <v>120</v>
      </c>
      <c r="V1248" t="b">
        <v>1</v>
      </c>
      <c r="W1248" t="inlineStr">
        <is>
          <t>Loan calculator!F17:F136</t>
        </is>
      </c>
      <c r="X1248">
        <f>IFERROR(IF(LoanIsNotPaid*LoanIsGood,Principal,0), 0)</f>
        <v/>
      </c>
    </row>
    <row r="1249">
      <c r="A1249" t="inlineStr">
        <is>
          <t>Loan calculator</t>
        </is>
      </c>
      <c r="B1249" t="inlineStr">
        <is>
          <t>G134</t>
        </is>
      </c>
      <c r="C1249" t="n">
        <v>134</v>
      </c>
      <c r="D1249" t="n">
        <v>7</v>
      </c>
      <c r="E1249" t="inlineStr">
        <is>
          <t>Output</t>
        </is>
      </c>
      <c r="F1249" t="inlineStr">
        <is>
          <t>'=IFERROR(IF(LoanIsNotPaid*LoanIsGood,InterestAmt,0), 0)</t>
        </is>
      </c>
      <c r="G1249" t="n">
        <v>1.478661266295752</v>
      </c>
      <c r="H1249" t="inlineStr"/>
      <c r="I1249" t="inlineStr">
        <is>
          <t>"$"#,##0.00</t>
        </is>
      </c>
      <c r="J1249" t="b">
        <v>0</v>
      </c>
      <c r="K1249" t="b">
        <v>0</v>
      </c>
      <c r="L1249" t="n">
        <v>9</v>
      </c>
      <c r="M1249" t="inlineStr">
        <is>
          <t>Values must be of type &lt;class 'str'&gt;</t>
        </is>
      </c>
      <c r="N1249" t="inlineStr">
        <is>
          <t>00000000</t>
        </is>
      </c>
      <c r="O1249" t="inlineStr">
        <is>
          <t>center</t>
        </is>
      </c>
      <c r="P1249" t="inlineStr">
        <is>
          <t>center</t>
        </is>
      </c>
      <c r="R1249" t="b">
        <v>1</v>
      </c>
      <c r="S1249" t="inlineStr">
        <is>
          <t>G000006</t>
        </is>
      </c>
      <c r="T1249" t="inlineStr">
        <is>
          <t>Vertical</t>
        </is>
      </c>
      <c r="U1249" t="n">
        <v>120</v>
      </c>
      <c r="V1249" t="b">
        <v>1</v>
      </c>
      <c r="W1249" t="inlineStr">
        <is>
          <t>Loan calculator!G17:G136</t>
        </is>
      </c>
      <c r="X1249">
        <f>IFERROR(IF(LoanIsNotPaid*LoanIsGood,InterestAmt,0), 0)</f>
        <v/>
      </c>
    </row>
    <row r="1250">
      <c r="A1250" t="inlineStr">
        <is>
          <t>Loan calculator</t>
        </is>
      </c>
      <c r="B1250" t="inlineStr">
        <is>
          <t>H134</t>
        </is>
      </c>
      <c r="C1250" t="n">
        <v>134</v>
      </c>
      <c r="D1250" t="n">
        <v>8</v>
      </c>
      <c r="E1250" t="inlineStr">
        <is>
          <t>Output</t>
        </is>
      </c>
      <c r="F1250" t="inlineStr">
        <is>
          <t>'=IFERROR(IF(LoanIsNotPaid*LoanIsGood,EndingBalance,0), 0)</t>
        </is>
      </c>
      <c r="G1250" t="n">
        <v>215.5693868612252</v>
      </c>
      <c r="H1250" t="inlineStr"/>
      <c r="I1250" t="inlineStr">
        <is>
          <t>"$"#,##0.00</t>
        </is>
      </c>
      <c r="J1250" t="b">
        <v>0</v>
      </c>
      <c r="K1250" t="b">
        <v>0</v>
      </c>
      <c r="L1250" t="n">
        <v>9</v>
      </c>
      <c r="M1250" t="inlineStr">
        <is>
          <t>Values must be of type &lt;class 'str'&gt;</t>
        </is>
      </c>
      <c r="N1250" t="inlineStr">
        <is>
          <t>00000000</t>
        </is>
      </c>
      <c r="O1250" t="inlineStr">
        <is>
          <t>center</t>
        </is>
      </c>
      <c r="P1250" t="inlineStr">
        <is>
          <t>center</t>
        </is>
      </c>
      <c r="R1250" t="b">
        <v>1</v>
      </c>
      <c r="S1250" t="inlineStr">
        <is>
          <t>G000007</t>
        </is>
      </c>
      <c r="T1250" t="inlineStr">
        <is>
          <t>Vertical</t>
        </is>
      </c>
      <c r="U1250" t="n">
        <v>120</v>
      </c>
      <c r="V1250" t="b">
        <v>1</v>
      </c>
      <c r="W1250" t="inlineStr">
        <is>
          <t>Loan calculator!H17:H136</t>
        </is>
      </c>
      <c r="X1250">
        <f>IFERROR(IF(LoanIsNotPaid*LoanIsGood,EndingBalance,0), 0)</f>
        <v/>
      </c>
    </row>
    <row r="1251">
      <c r="A1251" t="inlineStr">
        <is>
          <t>Loan calculator</t>
        </is>
      </c>
      <c r="B1251" t="inlineStr">
        <is>
          <t>I134</t>
        </is>
      </c>
      <c r="C1251" t="n">
        <v>134</v>
      </c>
      <c r="D1251" t="n">
        <v>9</v>
      </c>
      <c r="E1251" t="inlineStr">
        <is>
          <t>Input</t>
        </is>
      </c>
      <c r="F1251" t="n">
        <v/>
      </c>
      <c r="H1251" t="inlineStr"/>
      <c r="I1251" t="inlineStr">
        <is>
          <t>General</t>
        </is>
      </c>
      <c r="J1251" t="b">
        <v>0</v>
      </c>
      <c r="K1251" t="b">
        <v>0</v>
      </c>
      <c r="L1251" t="n">
        <v>11</v>
      </c>
      <c r="M1251" t="inlineStr">
        <is>
          <t>Values must be of type &lt;class 'str'&gt;</t>
        </is>
      </c>
      <c r="N1251" t="inlineStr">
        <is>
          <t>Values must be of type &lt;class 'str'&gt;</t>
        </is>
      </c>
      <c r="O1251" t="n">
        <v/>
      </c>
      <c r="P1251" t="inlineStr">
        <is>
          <t>center</t>
        </is>
      </c>
      <c r="R1251" t="b">
        <v>0</v>
      </c>
      <c r="S1251" t="n">
        <v/>
      </c>
      <c r="T1251" t="n">
        <v/>
      </c>
      <c r="U1251" t="n">
        <v/>
      </c>
      <c r="V1251" t="b">
        <v>0</v>
      </c>
      <c r="W1251" t="inlineStr"/>
      <c r="X1251" t="n">
        <v/>
      </c>
    </row>
    <row r="1252">
      <c r="A1252" t="inlineStr">
        <is>
          <t>Loan calculator</t>
        </is>
      </c>
      <c r="B1252" t="inlineStr">
        <is>
          <t>A135</t>
        </is>
      </c>
      <c r="C1252" t="n">
        <v>135</v>
      </c>
      <c r="D1252" t="n">
        <v>1</v>
      </c>
      <c r="E1252" t="inlineStr">
        <is>
          <t>Input</t>
        </is>
      </c>
      <c r="F1252" t="n">
        <v/>
      </c>
      <c r="H1252" t="inlineStr"/>
      <c r="I1252" t="inlineStr">
        <is>
          <t>General</t>
        </is>
      </c>
      <c r="J1252" t="b">
        <v>0</v>
      </c>
      <c r="K1252" t="b">
        <v>0</v>
      </c>
      <c r="L1252" t="n">
        <v>11</v>
      </c>
      <c r="M1252" t="inlineStr">
        <is>
          <t>Values must be of type &lt;class 'str'&gt;</t>
        </is>
      </c>
      <c r="N1252" t="inlineStr">
        <is>
          <t>Values must be of type &lt;class 'str'&gt;</t>
        </is>
      </c>
      <c r="O1252" t="n">
        <v/>
      </c>
      <c r="P1252" t="inlineStr">
        <is>
          <t>center</t>
        </is>
      </c>
      <c r="R1252" t="b">
        <v>0</v>
      </c>
      <c r="S1252" t="n">
        <v/>
      </c>
      <c r="T1252" t="n">
        <v/>
      </c>
      <c r="U1252" t="n">
        <v/>
      </c>
      <c r="V1252" t="b">
        <v>0</v>
      </c>
      <c r="W1252" t="inlineStr"/>
      <c r="X1252" t="n">
        <v/>
      </c>
    </row>
    <row r="1253">
      <c r="A1253" t="inlineStr">
        <is>
          <t>Loan calculator</t>
        </is>
      </c>
      <c r="B1253" t="inlineStr">
        <is>
          <t>B135</t>
        </is>
      </c>
      <c r="C1253" t="n">
        <v>135</v>
      </c>
      <c r="D1253" t="n">
        <v>2</v>
      </c>
      <c r="E1253" t="inlineStr">
        <is>
          <t>Output</t>
        </is>
      </c>
      <c r="F1253" t="inlineStr">
        <is>
          <t>'=IFERROR(IF(LoanIsNotPaid*LoanIsGood,PaymentNumber,""), "")</t>
        </is>
      </c>
      <c r="G1253" t="n">
        <v>119</v>
      </c>
      <c r="H1253" t="inlineStr"/>
      <c r="I1253" t="inlineStr">
        <is>
          <t>#,##0</t>
        </is>
      </c>
      <c r="J1253" t="b">
        <v>0</v>
      </c>
      <c r="K1253" t="b">
        <v>0</v>
      </c>
      <c r="L1253" t="n">
        <v>9</v>
      </c>
      <c r="M1253" t="inlineStr">
        <is>
          <t>Values must be of type &lt;class 'str'&gt;</t>
        </is>
      </c>
      <c r="N1253" t="inlineStr">
        <is>
          <t>00000000</t>
        </is>
      </c>
      <c r="O1253" t="inlineStr">
        <is>
          <t>center</t>
        </is>
      </c>
      <c r="P1253" t="inlineStr">
        <is>
          <t>center</t>
        </is>
      </c>
      <c r="R1253" t="b">
        <v>1</v>
      </c>
      <c r="S1253" t="inlineStr">
        <is>
          <t>G000001</t>
        </is>
      </c>
      <c r="T1253" t="inlineStr">
        <is>
          <t>Vertical</t>
        </is>
      </c>
      <c r="U1253" t="n">
        <v>120</v>
      </c>
      <c r="V1253" t="b">
        <v>1</v>
      </c>
      <c r="W1253" t="inlineStr">
        <is>
          <t>Loan calculator!B17:B136</t>
        </is>
      </c>
      <c r="X1253">
        <f>IFERROR(IF(LoanIsNotPaid*LoanIsGood,PaymentNumber,""), "")</f>
        <v/>
      </c>
    </row>
    <row r="1254">
      <c r="A1254" t="inlineStr">
        <is>
          <t>Loan calculator</t>
        </is>
      </c>
      <c r="B1254" t="inlineStr">
        <is>
          <t>C135</t>
        </is>
      </c>
      <c r="C1254" t="n">
        <v>135</v>
      </c>
      <c r="D1254" t="n">
        <v>3</v>
      </c>
      <c r="E1254" t="inlineStr">
        <is>
          <t>Output</t>
        </is>
      </c>
      <c r="F1254" t="inlineStr">
        <is>
          <t>'=IFERROR(IF(LoanIsNotPaid*LoanIsGood,PaymentDate,LoanStartDate), LoanStartDate)</t>
        </is>
      </c>
      <c r="G1254" s="1" t="n">
        <v>49710</v>
      </c>
      <c r="H1254" t="inlineStr"/>
      <c r="I1254" t="inlineStr">
        <is>
          <t>mm-dd-yy</t>
        </is>
      </c>
      <c r="J1254" t="b">
        <v>0</v>
      </c>
      <c r="K1254" t="b">
        <v>0</v>
      </c>
      <c r="L1254" t="n">
        <v>9</v>
      </c>
      <c r="M1254" t="inlineStr">
        <is>
          <t>Values must be of type &lt;class 'str'&gt;</t>
        </is>
      </c>
      <c r="N1254" t="inlineStr">
        <is>
          <t>00000000</t>
        </is>
      </c>
      <c r="O1254" t="inlineStr">
        <is>
          <t>center</t>
        </is>
      </c>
      <c r="P1254" t="inlineStr">
        <is>
          <t>center</t>
        </is>
      </c>
      <c r="R1254" t="b">
        <v>1</v>
      </c>
      <c r="S1254" t="inlineStr">
        <is>
          <t>G000002</t>
        </is>
      </c>
      <c r="T1254" t="inlineStr">
        <is>
          <t>Vertical</t>
        </is>
      </c>
      <c r="U1254" t="n">
        <v>120</v>
      </c>
      <c r="V1254" t="b">
        <v>1</v>
      </c>
      <c r="W1254" t="inlineStr">
        <is>
          <t>Loan calculator!C17:C136</t>
        </is>
      </c>
      <c r="X1254">
        <f>IFERROR(IF(LoanIsNotPaid*LoanIsGood,PaymentDate,LoanStartDate), LoanStartDate)</f>
        <v/>
      </c>
    </row>
    <row r="1255">
      <c r="A1255" t="inlineStr">
        <is>
          <t>Loan calculator</t>
        </is>
      </c>
      <c r="B1255" t="inlineStr">
        <is>
          <t>D135</t>
        </is>
      </c>
      <c r="C1255" t="n">
        <v>135</v>
      </c>
      <c r="D1255" t="n">
        <v>4</v>
      </c>
      <c r="E1255" t="inlineStr">
        <is>
          <t>Output</t>
        </is>
      </c>
      <c r="F1255" t="inlineStr">
        <is>
          <t>'=IFERROR(IF(LoanIsNotPaid*LoanIsGood,LoanValue,""), "")</t>
        </is>
      </c>
      <c r="G1255" t="n">
        <v>215.5693868612252</v>
      </c>
      <c r="H1255" t="inlineStr"/>
      <c r="I1255" t="inlineStr">
        <is>
          <t>"$"#,##0.00</t>
        </is>
      </c>
      <c r="J1255" t="b">
        <v>0</v>
      </c>
      <c r="K1255" t="b">
        <v>0</v>
      </c>
      <c r="L1255" t="n">
        <v>9</v>
      </c>
      <c r="M1255" t="inlineStr">
        <is>
          <t>Values must be of type &lt;class 'str'&gt;</t>
        </is>
      </c>
      <c r="N1255" t="inlineStr">
        <is>
          <t>00000000</t>
        </is>
      </c>
      <c r="O1255" t="inlineStr">
        <is>
          <t>center</t>
        </is>
      </c>
      <c r="P1255" t="inlineStr">
        <is>
          <t>center</t>
        </is>
      </c>
      <c r="R1255" t="b">
        <v>1</v>
      </c>
      <c r="S1255" t="inlineStr">
        <is>
          <t>G000003</t>
        </is>
      </c>
      <c r="T1255" t="inlineStr">
        <is>
          <t>Vertical</t>
        </is>
      </c>
      <c r="U1255" t="n">
        <v>120</v>
      </c>
      <c r="V1255" t="b">
        <v>1</v>
      </c>
      <c r="W1255" t="inlineStr">
        <is>
          <t>Loan calculator!D17:D136</t>
        </is>
      </c>
      <c r="X1255">
        <f>IFERROR(IF(LoanIsNotPaid*LoanIsGood,LoanValue,""), "")</f>
        <v/>
      </c>
    </row>
    <row r="1256">
      <c r="A1256" t="inlineStr">
        <is>
          <t>Loan calculator</t>
        </is>
      </c>
      <c r="B1256" t="inlineStr">
        <is>
          <t>E135</t>
        </is>
      </c>
      <c r="C1256" t="n">
        <v>135</v>
      </c>
      <c r="D1256" t="n">
        <v>5</v>
      </c>
      <c r="E1256" t="inlineStr">
        <is>
          <t>Output</t>
        </is>
      </c>
      <c r="F1256" t="inlineStr">
        <is>
          <t>'=IFERROR(IF(LoanIsNotPaid*LoanIsGood,MonthlyPayment,0), 0)</t>
        </is>
      </c>
      <c r="G1256" t="n">
        <v>108.5262779604807</v>
      </c>
      <c r="H1256" t="inlineStr"/>
      <c r="I1256" t="inlineStr">
        <is>
          <t>"$"#,##0.00</t>
        </is>
      </c>
      <c r="J1256" t="b">
        <v>0</v>
      </c>
      <c r="K1256" t="b">
        <v>0</v>
      </c>
      <c r="L1256" t="n">
        <v>9</v>
      </c>
      <c r="M1256" t="inlineStr">
        <is>
          <t>Values must be of type &lt;class 'str'&gt;</t>
        </is>
      </c>
      <c r="N1256" t="inlineStr">
        <is>
          <t>00000000</t>
        </is>
      </c>
      <c r="O1256" t="inlineStr">
        <is>
          <t>center</t>
        </is>
      </c>
      <c r="P1256" t="inlineStr">
        <is>
          <t>center</t>
        </is>
      </c>
      <c r="R1256" t="b">
        <v>1</v>
      </c>
      <c r="S1256" t="inlineStr">
        <is>
          <t>G000004</t>
        </is>
      </c>
      <c r="T1256" t="inlineStr">
        <is>
          <t>Vertical</t>
        </is>
      </c>
      <c r="U1256" t="n">
        <v>120</v>
      </c>
      <c r="V1256" t="b">
        <v>1</v>
      </c>
      <c r="W1256" t="inlineStr">
        <is>
          <t>Loan calculator!E17:E136</t>
        </is>
      </c>
      <c r="X1256">
        <f>IFERROR(IF(LoanIsNotPaid*LoanIsGood,MonthlyPayment,0), 0)</f>
        <v/>
      </c>
    </row>
    <row r="1257">
      <c r="A1257" t="inlineStr">
        <is>
          <t>Loan calculator</t>
        </is>
      </c>
      <c r="B1257" t="inlineStr">
        <is>
          <t>F135</t>
        </is>
      </c>
      <c r="C1257" t="n">
        <v>135</v>
      </c>
      <c r="D1257" t="n">
        <v>6</v>
      </c>
      <c r="E1257" t="inlineStr">
        <is>
          <t>Output</t>
        </is>
      </c>
      <c r="F1257" t="inlineStr">
        <is>
          <t>'=IFERROR(IF(LoanIsNotPaid*LoanIsGood,Principal,0), 0)</t>
        </is>
      </c>
      <c r="G1257" t="n">
        <v>107.5382516040333</v>
      </c>
      <c r="H1257" t="inlineStr"/>
      <c r="I1257" t="inlineStr">
        <is>
          <t>"$"#,##0.00</t>
        </is>
      </c>
      <c r="J1257" t="b">
        <v>0</v>
      </c>
      <c r="K1257" t="b">
        <v>0</v>
      </c>
      <c r="L1257" t="n">
        <v>9</v>
      </c>
      <c r="M1257" t="inlineStr">
        <is>
          <t>Values must be of type &lt;class 'str'&gt;</t>
        </is>
      </c>
      <c r="N1257" t="inlineStr">
        <is>
          <t>00000000</t>
        </is>
      </c>
      <c r="O1257" t="inlineStr">
        <is>
          <t>center</t>
        </is>
      </c>
      <c r="P1257" t="inlineStr">
        <is>
          <t>center</t>
        </is>
      </c>
      <c r="R1257" t="b">
        <v>1</v>
      </c>
      <c r="S1257" t="inlineStr">
        <is>
          <t>G000005</t>
        </is>
      </c>
      <c r="T1257" t="inlineStr">
        <is>
          <t>Vertical</t>
        </is>
      </c>
      <c r="U1257" t="n">
        <v>120</v>
      </c>
      <c r="V1257" t="b">
        <v>1</v>
      </c>
      <c r="W1257" t="inlineStr">
        <is>
          <t>Loan calculator!F17:F136</t>
        </is>
      </c>
      <c r="X1257">
        <f>IFERROR(IF(LoanIsNotPaid*LoanIsGood,Principal,0), 0)</f>
        <v/>
      </c>
    </row>
    <row r="1258">
      <c r="A1258" t="inlineStr">
        <is>
          <t>Loan calculator</t>
        </is>
      </c>
      <c r="B1258" t="inlineStr">
        <is>
          <t>G135</t>
        </is>
      </c>
      <c r="C1258" t="n">
        <v>135</v>
      </c>
      <c r="D1258" t="n">
        <v>7</v>
      </c>
      <c r="E1258" t="inlineStr">
        <is>
          <t>Output</t>
        </is>
      </c>
      <c r="F1258" t="inlineStr">
        <is>
          <t>'=IFERROR(IF(LoanIsNotPaid*LoanIsGood,InterestAmt,0), 0)</t>
        </is>
      </c>
      <c r="G1258" t="n">
        <v>0.9880263564474041</v>
      </c>
      <c r="H1258" t="inlineStr"/>
      <c r="I1258" t="inlineStr">
        <is>
          <t>"$"#,##0.00</t>
        </is>
      </c>
      <c r="J1258" t="b">
        <v>0</v>
      </c>
      <c r="K1258" t="b">
        <v>0</v>
      </c>
      <c r="L1258" t="n">
        <v>9</v>
      </c>
      <c r="M1258" t="inlineStr">
        <is>
          <t>Values must be of type &lt;class 'str'&gt;</t>
        </is>
      </c>
      <c r="N1258" t="inlineStr">
        <is>
          <t>00000000</t>
        </is>
      </c>
      <c r="O1258" t="inlineStr">
        <is>
          <t>center</t>
        </is>
      </c>
      <c r="P1258" t="inlineStr">
        <is>
          <t>center</t>
        </is>
      </c>
      <c r="R1258" t="b">
        <v>1</v>
      </c>
      <c r="S1258" t="inlineStr">
        <is>
          <t>G000006</t>
        </is>
      </c>
      <c r="T1258" t="inlineStr">
        <is>
          <t>Vertical</t>
        </is>
      </c>
      <c r="U1258" t="n">
        <v>120</v>
      </c>
      <c r="V1258" t="b">
        <v>1</v>
      </c>
      <c r="W1258" t="inlineStr">
        <is>
          <t>Loan calculator!G17:G136</t>
        </is>
      </c>
      <c r="X1258">
        <f>IFERROR(IF(LoanIsNotPaid*LoanIsGood,InterestAmt,0), 0)</f>
        <v/>
      </c>
    </row>
    <row r="1259">
      <c r="A1259" t="inlineStr">
        <is>
          <t>Loan calculator</t>
        </is>
      </c>
      <c r="B1259" t="inlineStr">
        <is>
          <t>H135</t>
        </is>
      </c>
      <c r="C1259" t="n">
        <v>135</v>
      </c>
      <c r="D1259" t="n">
        <v>8</v>
      </c>
      <c r="E1259" t="inlineStr">
        <is>
          <t>Output</t>
        </is>
      </c>
      <c r="F1259" t="inlineStr">
        <is>
          <t>'=IFERROR(IF(LoanIsNotPaid*LoanIsGood,EndingBalance,0), 0)</t>
        </is>
      </c>
      <c r="G1259" t="n">
        <v>108.0311352571953</v>
      </c>
      <c r="H1259" t="inlineStr"/>
      <c r="I1259" t="inlineStr">
        <is>
          <t>"$"#,##0.00</t>
        </is>
      </c>
      <c r="J1259" t="b">
        <v>0</v>
      </c>
      <c r="K1259" t="b">
        <v>0</v>
      </c>
      <c r="L1259" t="n">
        <v>9</v>
      </c>
      <c r="M1259" t="inlineStr">
        <is>
          <t>Values must be of type &lt;class 'str'&gt;</t>
        </is>
      </c>
      <c r="N1259" t="inlineStr">
        <is>
          <t>00000000</t>
        </is>
      </c>
      <c r="O1259" t="inlineStr">
        <is>
          <t>center</t>
        </is>
      </c>
      <c r="P1259" t="inlineStr">
        <is>
          <t>center</t>
        </is>
      </c>
      <c r="R1259" t="b">
        <v>1</v>
      </c>
      <c r="S1259" t="inlineStr">
        <is>
          <t>G000007</t>
        </is>
      </c>
      <c r="T1259" t="inlineStr">
        <is>
          <t>Vertical</t>
        </is>
      </c>
      <c r="U1259" t="n">
        <v>120</v>
      </c>
      <c r="V1259" t="b">
        <v>1</v>
      </c>
      <c r="W1259" t="inlineStr">
        <is>
          <t>Loan calculator!H17:H136</t>
        </is>
      </c>
      <c r="X1259">
        <f>IFERROR(IF(LoanIsNotPaid*LoanIsGood,EndingBalance,0), 0)</f>
        <v/>
      </c>
    </row>
    <row r="1260">
      <c r="A1260" t="inlineStr">
        <is>
          <t>Loan calculator</t>
        </is>
      </c>
      <c r="B1260" t="inlineStr">
        <is>
          <t>I135</t>
        </is>
      </c>
      <c r="C1260" t="n">
        <v>135</v>
      </c>
      <c r="D1260" t="n">
        <v>9</v>
      </c>
      <c r="E1260" t="inlineStr">
        <is>
          <t>Input</t>
        </is>
      </c>
      <c r="F1260" t="n">
        <v/>
      </c>
      <c r="H1260" t="inlineStr"/>
      <c r="I1260" t="inlineStr">
        <is>
          <t>General</t>
        </is>
      </c>
      <c r="J1260" t="b">
        <v>0</v>
      </c>
      <c r="K1260" t="b">
        <v>0</v>
      </c>
      <c r="L1260" t="n">
        <v>11</v>
      </c>
      <c r="M1260" t="inlineStr">
        <is>
          <t>Values must be of type &lt;class 'str'&gt;</t>
        </is>
      </c>
      <c r="N1260" t="inlineStr">
        <is>
          <t>Values must be of type &lt;class 'str'&gt;</t>
        </is>
      </c>
      <c r="O1260" t="n">
        <v/>
      </c>
      <c r="P1260" t="inlineStr">
        <is>
          <t>center</t>
        </is>
      </c>
      <c r="R1260" t="b">
        <v>0</v>
      </c>
      <c r="S1260" t="n">
        <v/>
      </c>
      <c r="T1260" t="n">
        <v/>
      </c>
      <c r="U1260" t="n">
        <v/>
      </c>
      <c r="V1260" t="b">
        <v>0</v>
      </c>
      <c r="W1260" t="inlineStr"/>
      <c r="X1260" t="n">
        <v/>
      </c>
    </row>
    <row r="1261">
      <c r="A1261" t="inlineStr">
        <is>
          <t>Loan calculator</t>
        </is>
      </c>
      <c r="B1261" t="inlineStr">
        <is>
          <t>A136</t>
        </is>
      </c>
      <c r="C1261" t="n">
        <v>136</v>
      </c>
      <c r="D1261" t="n">
        <v>1</v>
      </c>
      <c r="E1261" t="inlineStr">
        <is>
          <t>Input</t>
        </is>
      </c>
      <c r="F1261" t="n">
        <v/>
      </c>
      <c r="H1261" t="inlineStr"/>
      <c r="I1261" t="inlineStr">
        <is>
          <t>General</t>
        </is>
      </c>
      <c r="J1261" t="b">
        <v>0</v>
      </c>
      <c r="K1261" t="b">
        <v>0</v>
      </c>
      <c r="L1261" t="n">
        <v>11</v>
      </c>
      <c r="M1261" t="inlineStr">
        <is>
          <t>Values must be of type &lt;class 'str'&gt;</t>
        </is>
      </c>
      <c r="N1261" t="inlineStr">
        <is>
          <t>Values must be of type &lt;class 'str'&gt;</t>
        </is>
      </c>
      <c r="O1261" t="n">
        <v/>
      </c>
      <c r="P1261" t="inlineStr">
        <is>
          <t>center</t>
        </is>
      </c>
      <c r="R1261" t="b">
        <v>0</v>
      </c>
      <c r="S1261" t="n">
        <v/>
      </c>
      <c r="T1261" t="n">
        <v/>
      </c>
      <c r="U1261" t="n">
        <v/>
      </c>
      <c r="V1261" t="b">
        <v>0</v>
      </c>
      <c r="W1261" t="inlineStr"/>
      <c r="X1261" t="n">
        <v/>
      </c>
    </row>
    <row r="1262">
      <c r="A1262" t="inlineStr">
        <is>
          <t>Loan calculator</t>
        </is>
      </c>
      <c r="B1262" t="inlineStr">
        <is>
          <t>B136</t>
        </is>
      </c>
      <c r="C1262" t="n">
        <v>136</v>
      </c>
      <c r="D1262" t="n">
        <v>2</v>
      </c>
      <c r="E1262" t="inlineStr">
        <is>
          <t>Output</t>
        </is>
      </c>
      <c r="F1262" t="inlineStr">
        <is>
          <t>'=IFERROR(IF(LoanIsNotPaid*LoanIsGood,PaymentNumber,""), "")</t>
        </is>
      </c>
      <c r="G1262" t="n">
        <v>120</v>
      </c>
      <c r="H1262" t="inlineStr"/>
      <c r="I1262" t="inlineStr">
        <is>
          <t>#,##0</t>
        </is>
      </c>
      <c r="J1262" t="b">
        <v>0</v>
      </c>
      <c r="K1262" t="b">
        <v>0</v>
      </c>
      <c r="L1262" t="n">
        <v>9</v>
      </c>
      <c r="M1262" t="inlineStr">
        <is>
          <t>Values must be of type &lt;class 'str'&gt;</t>
        </is>
      </c>
      <c r="N1262" t="inlineStr">
        <is>
          <t>00000000</t>
        </is>
      </c>
      <c r="O1262" t="inlineStr">
        <is>
          <t>center</t>
        </is>
      </c>
      <c r="P1262" t="inlineStr">
        <is>
          <t>center</t>
        </is>
      </c>
      <c r="R1262" t="b">
        <v>1</v>
      </c>
      <c r="S1262" t="inlineStr">
        <is>
          <t>G000001</t>
        </is>
      </c>
      <c r="T1262" t="inlineStr">
        <is>
          <t>Vertical</t>
        </is>
      </c>
      <c r="U1262" t="n">
        <v>120</v>
      </c>
      <c r="V1262" t="b">
        <v>1</v>
      </c>
      <c r="W1262" t="inlineStr">
        <is>
          <t>Loan calculator!B17:B136</t>
        </is>
      </c>
      <c r="X1262">
        <f>IFERROR(IF(LoanIsNotPaid*LoanIsGood,PaymentNumber,""), "")</f>
        <v/>
      </c>
    </row>
    <row r="1263">
      <c r="A1263" t="inlineStr">
        <is>
          <t>Loan calculator</t>
        </is>
      </c>
      <c r="B1263" t="inlineStr">
        <is>
          <t>C136</t>
        </is>
      </c>
      <c r="C1263" t="n">
        <v>136</v>
      </c>
      <c r="D1263" t="n">
        <v>3</v>
      </c>
      <c r="E1263" t="inlineStr">
        <is>
          <t>Output</t>
        </is>
      </c>
      <c r="F1263" t="inlineStr">
        <is>
          <t>'=IFERROR(IF(LoanIsNotPaid*LoanIsGood,PaymentDate,LoanStartDate), LoanStartDate)</t>
        </is>
      </c>
      <c r="G1263" s="1" t="n">
        <v>49739</v>
      </c>
      <c r="H1263" t="inlineStr"/>
      <c r="I1263" t="inlineStr">
        <is>
          <t>mm-dd-yy</t>
        </is>
      </c>
      <c r="J1263" t="b">
        <v>0</v>
      </c>
      <c r="K1263" t="b">
        <v>0</v>
      </c>
      <c r="L1263" t="n">
        <v>9</v>
      </c>
      <c r="M1263" t="inlineStr">
        <is>
          <t>Values must be of type &lt;class 'str'&gt;</t>
        </is>
      </c>
      <c r="N1263" t="inlineStr">
        <is>
          <t>00000000</t>
        </is>
      </c>
      <c r="O1263" t="inlineStr">
        <is>
          <t>center</t>
        </is>
      </c>
      <c r="P1263" t="inlineStr">
        <is>
          <t>center</t>
        </is>
      </c>
      <c r="R1263" t="b">
        <v>1</v>
      </c>
      <c r="S1263" t="inlineStr">
        <is>
          <t>G000002</t>
        </is>
      </c>
      <c r="T1263" t="inlineStr">
        <is>
          <t>Vertical</t>
        </is>
      </c>
      <c r="U1263" t="n">
        <v>120</v>
      </c>
      <c r="V1263" t="b">
        <v>1</v>
      </c>
      <c r="W1263" t="inlineStr">
        <is>
          <t>Loan calculator!C17:C136</t>
        </is>
      </c>
      <c r="X1263">
        <f>IFERROR(IF(LoanIsNotPaid*LoanIsGood,PaymentDate,LoanStartDate), LoanStartDate)</f>
        <v/>
      </c>
    </row>
    <row r="1264">
      <c r="A1264" t="inlineStr">
        <is>
          <t>Loan calculator</t>
        </is>
      </c>
      <c r="B1264" t="inlineStr">
        <is>
          <t>D136</t>
        </is>
      </c>
      <c r="C1264" t="n">
        <v>136</v>
      </c>
      <c r="D1264" t="n">
        <v>4</v>
      </c>
      <c r="E1264" t="inlineStr">
        <is>
          <t>Output</t>
        </is>
      </c>
      <c r="F1264" t="inlineStr">
        <is>
          <t>'=IFERROR(IF(LoanIsNotPaid*LoanIsGood,LoanValue,""), "")</t>
        </is>
      </c>
      <c r="G1264" t="n">
        <v>108.0311352571953</v>
      </c>
      <c r="H1264" t="inlineStr"/>
      <c r="I1264" t="inlineStr">
        <is>
          <t>"$"#,##0.00</t>
        </is>
      </c>
      <c r="J1264" t="b">
        <v>0</v>
      </c>
      <c r="K1264" t="b">
        <v>0</v>
      </c>
      <c r="L1264" t="n">
        <v>9</v>
      </c>
      <c r="M1264" t="inlineStr">
        <is>
          <t>Values must be of type &lt;class 'str'&gt;</t>
        </is>
      </c>
      <c r="N1264" t="inlineStr">
        <is>
          <t>00000000</t>
        </is>
      </c>
      <c r="O1264" t="inlineStr">
        <is>
          <t>center</t>
        </is>
      </c>
      <c r="P1264" t="inlineStr">
        <is>
          <t>center</t>
        </is>
      </c>
      <c r="R1264" t="b">
        <v>1</v>
      </c>
      <c r="S1264" t="inlineStr">
        <is>
          <t>G000003</t>
        </is>
      </c>
      <c r="T1264" t="inlineStr">
        <is>
          <t>Vertical</t>
        </is>
      </c>
      <c r="U1264" t="n">
        <v>120</v>
      </c>
      <c r="V1264" t="b">
        <v>1</v>
      </c>
      <c r="W1264" t="inlineStr">
        <is>
          <t>Loan calculator!D17:D136</t>
        </is>
      </c>
      <c r="X1264">
        <f>IFERROR(IF(LoanIsNotPaid*LoanIsGood,LoanValue,""), "")</f>
        <v/>
      </c>
    </row>
    <row r="1265">
      <c r="A1265" t="inlineStr">
        <is>
          <t>Loan calculator</t>
        </is>
      </c>
      <c r="B1265" t="inlineStr">
        <is>
          <t>E136</t>
        </is>
      </c>
      <c r="C1265" t="n">
        <v>136</v>
      </c>
      <c r="D1265" t="n">
        <v>5</v>
      </c>
      <c r="E1265" t="inlineStr">
        <is>
          <t>Output</t>
        </is>
      </c>
      <c r="F1265" t="inlineStr">
        <is>
          <t>'=IFERROR(IF(LoanIsNotPaid*LoanIsGood,MonthlyPayment,0), 0)</t>
        </is>
      </c>
      <c r="G1265" t="n">
        <v>108.5262779604807</v>
      </c>
      <c r="H1265" t="inlineStr"/>
      <c r="I1265" t="inlineStr">
        <is>
          <t>"$"#,##0.00</t>
        </is>
      </c>
      <c r="J1265" t="b">
        <v>0</v>
      </c>
      <c r="K1265" t="b">
        <v>0</v>
      </c>
      <c r="L1265" t="n">
        <v>9</v>
      </c>
      <c r="M1265" t="inlineStr">
        <is>
          <t>Values must be of type &lt;class 'str'&gt;</t>
        </is>
      </c>
      <c r="N1265" t="inlineStr">
        <is>
          <t>00000000</t>
        </is>
      </c>
      <c r="O1265" t="inlineStr">
        <is>
          <t>center</t>
        </is>
      </c>
      <c r="P1265" t="inlineStr">
        <is>
          <t>center</t>
        </is>
      </c>
      <c r="R1265" t="b">
        <v>1</v>
      </c>
      <c r="S1265" t="inlineStr">
        <is>
          <t>G000004</t>
        </is>
      </c>
      <c r="T1265" t="inlineStr">
        <is>
          <t>Vertical</t>
        </is>
      </c>
      <c r="U1265" t="n">
        <v>120</v>
      </c>
      <c r="V1265" t="b">
        <v>1</v>
      </c>
      <c r="W1265" t="inlineStr">
        <is>
          <t>Loan calculator!E17:E136</t>
        </is>
      </c>
      <c r="X1265">
        <f>IFERROR(IF(LoanIsNotPaid*LoanIsGood,MonthlyPayment,0), 0)</f>
        <v/>
      </c>
    </row>
    <row r="1266">
      <c r="A1266" t="inlineStr">
        <is>
          <t>Loan calculator</t>
        </is>
      </c>
      <c r="B1266" t="inlineStr">
        <is>
          <t>F136</t>
        </is>
      </c>
      <c r="C1266" t="n">
        <v>136</v>
      </c>
      <c r="D1266" t="n">
        <v>6</v>
      </c>
      <c r="E1266" t="inlineStr">
        <is>
          <t>Output</t>
        </is>
      </c>
      <c r="F1266" t="inlineStr">
        <is>
          <t>'=IFERROR(IF(LoanIsNotPaid*LoanIsGood,Principal,0), 0)</t>
        </is>
      </c>
      <c r="G1266" t="n">
        <v>108.0311352572185</v>
      </c>
      <c r="H1266" t="inlineStr"/>
      <c r="I1266" t="inlineStr">
        <is>
          <t>"$"#,##0.00</t>
        </is>
      </c>
      <c r="J1266" t="b">
        <v>0</v>
      </c>
      <c r="K1266" t="b">
        <v>0</v>
      </c>
      <c r="L1266" t="n">
        <v>9</v>
      </c>
      <c r="M1266" t="inlineStr">
        <is>
          <t>Values must be of type &lt;class 'str'&gt;</t>
        </is>
      </c>
      <c r="N1266" t="inlineStr">
        <is>
          <t>00000000</t>
        </is>
      </c>
      <c r="O1266" t="inlineStr">
        <is>
          <t>center</t>
        </is>
      </c>
      <c r="P1266" t="inlineStr">
        <is>
          <t>center</t>
        </is>
      </c>
      <c r="R1266" t="b">
        <v>1</v>
      </c>
      <c r="S1266" t="inlineStr">
        <is>
          <t>G000005</t>
        </is>
      </c>
      <c r="T1266" t="inlineStr">
        <is>
          <t>Vertical</t>
        </is>
      </c>
      <c r="U1266" t="n">
        <v>120</v>
      </c>
      <c r="V1266" t="b">
        <v>1</v>
      </c>
      <c r="W1266" t="inlineStr">
        <is>
          <t>Loan calculator!F17:F136</t>
        </is>
      </c>
      <c r="X1266">
        <f>IFERROR(IF(LoanIsNotPaid*LoanIsGood,Principal,0), 0)</f>
        <v/>
      </c>
    </row>
    <row r="1267">
      <c r="A1267" t="inlineStr">
        <is>
          <t>Loan calculator</t>
        </is>
      </c>
      <c r="B1267" t="inlineStr">
        <is>
          <t>G136</t>
        </is>
      </c>
      <c r="C1267" t="n">
        <v>136</v>
      </c>
      <c r="D1267" t="n">
        <v>7</v>
      </c>
      <c r="E1267" t="inlineStr">
        <is>
          <t>Output</t>
        </is>
      </c>
      <c r="F1267" t="inlineStr">
        <is>
          <t>'=IFERROR(IF(LoanIsNotPaid*LoanIsGood,InterestAmt,0), 0)</t>
        </is>
      </c>
      <c r="G1267" t="n">
        <v>0.4951427032622515</v>
      </c>
      <c r="H1267" t="inlineStr"/>
      <c r="I1267" t="inlineStr">
        <is>
          <t>"$"#,##0.00</t>
        </is>
      </c>
      <c r="J1267" t="b">
        <v>0</v>
      </c>
      <c r="K1267" t="b">
        <v>0</v>
      </c>
      <c r="L1267" t="n">
        <v>9</v>
      </c>
      <c r="M1267" t="inlineStr">
        <is>
          <t>Values must be of type &lt;class 'str'&gt;</t>
        </is>
      </c>
      <c r="N1267" t="inlineStr">
        <is>
          <t>00000000</t>
        </is>
      </c>
      <c r="O1267" t="inlineStr">
        <is>
          <t>center</t>
        </is>
      </c>
      <c r="P1267" t="inlineStr">
        <is>
          <t>center</t>
        </is>
      </c>
      <c r="R1267" t="b">
        <v>1</v>
      </c>
      <c r="S1267" t="inlineStr">
        <is>
          <t>G000006</t>
        </is>
      </c>
      <c r="T1267" t="inlineStr">
        <is>
          <t>Vertical</t>
        </is>
      </c>
      <c r="U1267" t="n">
        <v>120</v>
      </c>
      <c r="V1267" t="b">
        <v>1</v>
      </c>
      <c r="W1267" t="inlineStr">
        <is>
          <t>Loan calculator!G17:G136</t>
        </is>
      </c>
      <c r="X1267">
        <f>IFERROR(IF(LoanIsNotPaid*LoanIsGood,InterestAmt,0), 0)</f>
        <v/>
      </c>
    </row>
    <row r="1268">
      <c r="A1268" t="inlineStr">
        <is>
          <t>Loan calculator</t>
        </is>
      </c>
      <c r="B1268" t="inlineStr">
        <is>
          <t>H136</t>
        </is>
      </c>
      <c r="C1268" t="n">
        <v>136</v>
      </c>
      <c r="D1268" t="n">
        <v>8</v>
      </c>
      <c r="E1268" t="inlineStr">
        <is>
          <t>Output</t>
        </is>
      </c>
      <c r="F1268" t="inlineStr">
        <is>
          <t>'=IFERROR(IF(LoanIsNotPaid*LoanIsGood,EndingBalance,0), 0)</t>
        </is>
      </c>
      <c r="G1268" t="n">
        <v>-2.546585164964199e-11</v>
      </c>
      <c r="H1268" t="inlineStr"/>
      <c r="I1268" t="inlineStr">
        <is>
          <t>"$"#,##0.00</t>
        </is>
      </c>
      <c r="J1268" t="b">
        <v>0</v>
      </c>
      <c r="K1268" t="b">
        <v>0</v>
      </c>
      <c r="L1268" t="n">
        <v>9</v>
      </c>
      <c r="M1268" t="inlineStr">
        <is>
          <t>Values must be of type &lt;class 'str'&gt;</t>
        </is>
      </c>
      <c r="N1268" t="inlineStr">
        <is>
          <t>00000000</t>
        </is>
      </c>
      <c r="O1268" t="inlineStr">
        <is>
          <t>center</t>
        </is>
      </c>
      <c r="P1268" t="inlineStr">
        <is>
          <t>center</t>
        </is>
      </c>
      <c r="R1268" t="b">
        <v>1</v>
      </c>
      <c r="S1268" t="inlineStr">
        <is>
          <t>G000007</t>
        </is>
      </c>
      <c r="T1268" t="inlineStr">
        <is>
          <t>Vertical</t>
        </is>
      </c>
      <c r="U1268" t="n">
        <v>120</v>
      </c>
      <c r="V1268" t="b">
        <v>1</v>
      </c>
      <c r="W1268" t="inlineStr">
        <is>
          <t>Loan calculator!H17:H136</t>
        </is>
      </c>
      <c r="X1268">
        <f>IFERROR(IF(LoanIsNotPaid*LoanIsGood,EndingBalance,0), 0)</f>
        <v/>
      </c>
    </row>
    <row r="1269">
      <c r="A1269" t="inlineStr">
        <is>
          <t>Loan calculator</t>
        </is>
      </c>
      <c r="B1269" t="inlineStr">
        <is>
          <t>I136</t>
        </is>
      </c>
      <c r="C1269" t="n">
        <v>136</v>
      </c>
      <c r="D1269" t="n">
        <v>9</v>
      </c>
      <c r="E1269" t="inlineStr">
        <is>
          <t>Input</t>
        </is>
      </c>
      <c r="F1269" t="n">
        <v/>
      </c>
      <c r="H1269" t="inlineStr"/>
      <c r="I1269" t="inlineStr">
        <is>
          <t>General</t>
        </is>
      </c>
      <c r="J1269" t="b">
        <v>0</v>
      </c>
      <c r="K1269" t="b">
        <v>0</v>
      </c>
      <c r="L1269" t="n">
        <v>11</v>
      </c>
      <c r="M1269" t="inlineStr">
        <is>
          <t>Values must be of type &lt;class 'str'&gt;</t>
        </is>
      </c>
      <c r="N1269" t="inlineStr">
        <is>
          <t>Values must be of type &lt;class 'str'&gt;</t>
        </is>
      </c>
      <c r="O1269" t="n">
        <v/>
      </c>
      <c r="P1269" t="inlineStr">
        <is>
          <t>center</t>
        </is>
      </c>
      <c r="R1269" t="b">
        <v>0</v>
      </c>
      <c r="S1269" t="n">
        <v/>
      </c>
      <c r="T1269" t="n">
        <v/>
      </c>
      <c r="U1269" t="n">
        <v/>
      </c>
      <c r="V1269" t="b">
        <v>0</v>
      </c>
      <c r="W1269" t="inlineStr"/>
      <c r="X1269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/home/nitish/Documents/github/Excel-To-Python/Codex/ExcelFiles/TFe682f46b-5c19-460d-b913-d05f8f4d4d45316b9622_wac-f63b7bc59bc2.xlsx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/home/nitish/Documents/github/Excel-To-Python/Codex/ExcelFiles/TFe682f46b-5c19-460d-b913-d05f8f4d4d45316b9622_wac-f63b7bc59bc2.xlsx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["Loan calculator"]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"2026-03-05T04:05:29.701666+00:00"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Loan calculator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Loan calculator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Loan calculator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Loan calculator</t>
        </is>
      </c>
      <c r="C10" t="inlineStr">
        <is>
          <t>MergedRanges</t>
        </is>
      </c>
      <c r="D10" t="inlineStr">
        <is>
          <t>["B10:D10", "B2:H2", "B4:D4"]</t>
        </is>
      </c>
    </row>
    <row r="11">
      <c r="A11" t="inlineStr">
        <is>
          <t>SheetLayout</t>
        </is>
      </c>
      <c r="B11" t="inlineStr">
        <is>
          <t>Loan calculator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Loan calculator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  <row r="2">
      <c r="A2" t="inlineStr">
        <is>
          <t>G000001</t>
        </is>
      </c>
      <c r="B2" t="inlineStr">
        <is>
          <t>Loan calculator</t>
        </is>
      </c>
      <c r="C2" t="inlineStr">
        <is>
          <t>Vertical</t>
        </is>
      </c>
      <c r="D2" t="n">
        <v>120</v>
      </c>
      <c r="E2" t="inlineStr">
        <is>
          <t>Loan calculator!B17:B136</t>
        </is>
      </c>
      <c r="F2" t="inlineStr">
        <is>
          <t>'=IFERROR(IF(LoanIsNotPaid*LoanIsGood,PaymentNumber,""), "")</t>
        </is>
      </c>
      <c r="G2" t="inlineStr">
        <is>
          <t>Vectorizable</t>
        </is>
      </c>
    </row>
    <row r="3">
      <c r="A3" t="inlineStr">
        <is>
          <t>G000002</t>
        </is>
      </c>
      <c r="B3" t="inlineStr">
        <is>
          <t>Loan calculator</t>
        </is>
      </c>
      <c r="C3" t="inlineStr">
        <is>
          <t>Vertical</t>
        </is>
      </c>
      <c r="D3" t="n">
        <v>120</v>
      </c>
      <c r="E3" t="inlineStr">
        <is>
          <t>Loan calculator!C17:C136</t>
        </is>
      </c>
      <c r="F3" t="inlineStr">
        <is>
          <t>'=IFERROR(IF(LoanIsNotPaid*LoanIsGood,PaymentDate,LoanStartDate), LoanStartDate)</t>
        </is>
      </c>
      <c r="G3" t="inlineStr">
        <is>
          <t>Vectorizable</t>
        </is>
      </c>
    </row>
    <row r="4">
      <c r="A4" t="inlineStr">
        <is>
          <t>G000003</t>
        </is>
      </c>
      <c r="B4" t="inlineStr">
        <is>
          <t>Loan calculator</t>
        </is>
      </c>
      <c r="C4" t="inlineStr">
        <is>
          <t>Vertical</t>
        </is>
      </c>
      <c r="D4" t="n">
        <v>120</v>
      </c>
      <c r="E4" t="inlineStr">
        <is>
          <t>Loan calculator!D17:D136</t>
        </is>
      </c>
      <c r="F4" t="inlineStr">
        <is>
          <t>'=IFERROR(IF(LoanIsNotPaid*LoanIsGood,LoanValue,""), "")</t>
        </is>
      </c>
      <c r="G4" t="inlineStr">
        <is>
          <t>Vectorizable</t>
        </is>
      </c>
    </row>
    <row r="5">
      <c r="A5" t="inlineStr">
        <is>
          <t>G000004</t>
        </is>
      </c>
      <c r="B5" t="inlineStr">
        <is>
          <t>Loan calculator</t>
        </is>
      </c>
      <c r="C5" t="inlineStr">
        <is>
          <t>Vertical</t>
        </is>
      </c>
      <c r="D5" t="n">
        <v>120</v>
      </c>
      <c r="E5" t="inlineStr">
        <is>
          <t>Loan calculator!E17:E136</t>
        </is>
      </c>
      <c r="F5" t="inlineStr">
        <is>
          <t>'=IFERROR(IF(LoanIsNotPaid*LoanIsGood,MonthlyPayment,0), 0)</t>
        </is>
      </c>
      <c r="G5" t="inlineStr">
        <is>
          <t>Vectorizable</t>
        </is>
      </c>
    </row>
    <row r="6">
      <c r="A6" t="inlineStr">
        <is>
          <t>G000005</t>
        </is>
      </c>
      <c r="B6" t="inlineStr">
        <is>
          <t>Loan calculator</t>
        </is>
      </c>
      <c r="C6" t="inlineStr">
        <is>
          <t>Vertical</t>
        </is>
      </c>
      <c r="D6" t="n">
        <v>120</v>
      </c>
      <c r="E6" t="inlineStr">
        <is>
          <t>Loan calculator!F17:F136</t>
        </is>
      </c>
      <c r="F6" t="inlineStr">
        <is>
          <t>'=IFERROR(IF(LoanIsNotPaid*LoanIsGood,Principal,0), 0)</t>
        </is>
      </c>
      <c r="G6" t="inlineStr">
        <is>
          <t>Vectorizable</t>
        </is>
      </c>
    </row>
    <row r="7">
      <c r="A7" t="inlineStr">
        <is>
          <t>G000006</t>
        </is>
      </c>
      <c r="B7" t="inlineStr">
        <is>
          <t>Loan calculator</t>
        </is>
      </c>
      <c r="C7" t="inlineStr">
        <is>
          <t>Vertical</t>
        </is>
      </c>
      <c r="D7" t="n">
        <v>120</v>
      </c>
      <c r="E7" t="inlineStr">
        <is>
          <t>Loan calculator!G17:G136</t>
        </is>
      </c>
      <c r="F7" t="inlineStr">
        <is>
          <t>'=IFERROR(IF(LoanIsNotPaid*LoanIsGood,InterestAmt,0), 0)</t>
        </is>
      </c>
      <c r="G7" t="inlineStr">
        <is>
          <t>Vectorizable</t>
        </is>
      </c>
    </row>
    <row r="8">
      <c r="A8" t="inlineStr">
        <is>
          <t>G000007</t>
        </is>
      </c>
      <c r="B8" t="inlineStr">
        <is>
          <t>Loan calculator</t>
        </is>
      </c>
      <c r="C8" t="inlineStr">
        <is>
          <t>Vertical</t>
        </is>
      </c>
      <c r="D8" t="n">
        <v>120</v>
      </c>
      <c r="E8" t="inlineStr">
        <is>
          <t>Loan calculator!H17:H136</t>
        </is>
      </c>
      <c r="F8" t="inlineStr">
        <is>
          <t>'=IFERROR(IF(LoanIsNotPaid*LoanIsGood,EndingBalance,0), 0)</t>
        </is>
      </c>
      <c r="G8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2026-03-05T04:05:29Z</dcterms:created>
  <dcterms:modified xsi:type="dcterms:W3CDTF">2026-03-05T04:05:29Z</dcterms:modified>
</cp:coreProperties>
</file>