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pBudgW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\$#,##0_);&quot;($&quot;#,##0\)"/>
  </numFmts>
  <fonts count="11">
    <font>
      <name val="Genev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neva"/>
      <family val="0"/>
      <b val="1"/>
      <i val="1"/>
      <sz val="18"/>
    </font>
    <font>
      <name val="Geneva"/>
      <family val="0"/>
      <b val="1"/>
      <i val="1"/>
      <sz val="10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double"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/>
      <bottom style="thin"/>
      <diagonal/>
    </border>
    <border>
      <left style="thin"/>
      <right style="double"/>
      <top style="thin"/>
      <bottom/>
      <diagonal/>
    </border>
    <border>
      <left style="thin"/>
      <right style="double"/>
      <top style="thin"/>
      <bottom style="double"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 style="double"/>
      <right style="double"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7" applyAlignment="1" pivotButton="0" quotePrefix="0" xfId="0">
      <alignment horizontal="general" vertical="bottom"/>
    </xf>
    <xf numFmtId="164" fontId="7" fillId="0" borderId="8" applyAlignment="1" pivotButton="0" quotePrefix="0" xfId="0">
      <alignment horizontal="center" vertical="bottom"/>
    </xf>
    <xf numFmtId="0" fontId="8" fillId="0" borderId="9" applyAlignment="1" pivotButton="0" quotePrefix="0" xfId="0">
      <alignment horizontal="general" vertical="bottom"/>
    </xf>
    <xf numFmtId="0" fontId="7" fillId="0" borderId="10" applyAlignment="1" pivotButton="0" quotePrefix="0" xfId="0">
      <alignment horizontal="center" vertical="bottom"/>
    </xf>
    <xf numFmtId="9" fontId="7" fillId="0" borderId="8" applyAlignment="1" pivotButton="0" quotePrefix="0" xfId="0">
      <alignment horizontal="center" vertical="bottom"/>
    </xf>
    <xf numFmtId="0" fontId="6" fillId="0" borderId="9" applyAlignment="1" pivotButton="0" quotePrefix="0" xfId="0">
      <alignment horizontal="general" vertical="bottom"/>
    </xf>
    <xf numFmtId="9" fontId="7" fillId="0" borderId="10" applyAlignment="1" pivotButton="0" quotePrefix="0" xfId="0">
      <alignment horizontal="center" vertical="bottom"/>
    </xf>
    <xf numFmtId="0" fontId="7" fillId="0" borderId="8" applyAlignment="1" pivotButton="0" quotePrefix="0" xfId="0">
      <alignment horizontal="center" vertical="bottom"/>
    </xf>
    <xf numFmtId="0" fontId="6" fillId="0" borderId="11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10" fontId="7" fillId="0" borderId="1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0" fontId="6" fillId="0" borderId="10" applyAlignment="1" pivotButton="0" quotePrefix="0" xfId="0">
      <alignment horizontal="center" vertical="bottom"/>
    </xf>
    <xf numFmtId="0" fontId="6" fillId="0" borderId="13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bottom"/>
    </xf>
    <xf numFmtId="10" fontId="6" fillId="0" borderId="15" applyAlignment="1" pivotButton="0" quotePrefix="0" xfId="0">
      <alignment horizontal="center" vertical="bottom"/>
    </xf>
    <xf numFmtId="10" fontId="6" fillId="0" borderId="16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164" fontId="7" fillId="0" borderId="17" applyAlignment="1" pivotButton="0" quotePrefix="0" xfId="0">
      <alignment horizontal="center" vertical="bottom"/>
    </xf>
    <xf numFmtId="9" fontId="7" fillId="0" borderId="17" applyAlignment="1" pivotButton="0" quotePrefix="0" xfId="0">
      <alignment horizontal="center" vertical="bottom"/>
    </xf>
    <xf numFmtId="9" fontId="7" fillId="0" borderId="18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8" fillId="0" borderId="7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0" fontId="7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6" fillId="0" borderId="8" applyAlignment="1" pivotButton="0" quotePrefix="0" xfId="0">
      <alignment horizontal="general" vertical="bottom"/>
    </xf>
    <xf numFmtId="164" fontId="6" fillId="0" borderId="8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10" applyAlignment="1" pivotButton="0" quotePrefix="0" xfId="0">
      <alignment horizontal="general" vertical="bottom"/>
    </xf>
    <xf numFmtId="164" fontId="6" fillId="0" borderId="10" applyAlignment="1" pivotButton="0" quotePrefix="0" xfId="0">
      <alignment horizontal="general" vertical="bottom"/>
    </xf>
    <xf numFmtId="164" fontId="6" fillId="0" borderId="14" applyAlignment="1" pivotButton="0" quotePrefix="0" xfId="0">
      <alignment horizontal="general" vertical="bottom"/>
    </xf>
    <xf numFmtId="164" fontId="6" fillId="0" borderId="15" applyAlignment="1" pivotButton="0" quotePrefix="0" xfId="0">
      <alignment horizontal="general" vertical="bottom"/>
    </xf>
    <xf numFmtId="0" fontId="7" fillId="0" borderId="21" applyAlignment="1" pivotButton="0" quotePrefix="0" xfId="0">
      <alignment horizontal="center" vertical="bottom"/>
    </xf>
    <xf numFmtId="0" fontId="0" fillId="0" borderId="3" pivotButton="0" quotePrefix="0" xfId="0"/>
    <xf numFmtId="0" fontId="7" fillId="0" borderId="7" applyAlignment="1" pivotButton="0" quotePrefix="0" xfId="0">
      <alignment horizontal="general" vertical="bottom"/>
    </xf>
    <xf numFmtId="164" fontId="7" fillId="0" borderId="19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10" fontId="7" fillId="0" borderId="2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3" zeroHeight="0" outlineLevelRow="0"/>
  <cols>
    <col width="12.7" customWidth="1" style="57" min="1" max="1"/>
  </cols>
  <sheetData>
    <row r="1" ht="25" customFormat="1" customHeight="1" s="58">
      <c r="A1" s="59" t="inlineStr">
        <is>
          <t>Equity Analysis of a Project</t>
        </is>
      </c>
    </row>
    <row r="2" ht="20" customFormat="1" customHeight="1" s="57">
      <c r="A2" s="60" t="n"/>
      <c r="B2" s="60" t="n"/>
      <c r="C2" s="60" t="n"/>
      <c r="D2" s="60" t="n"/>
      <c r="E2" s="61" t="inlineStr">
        <is>
          <t>INPUT SHEET: USER ENTERS ALL BOLD NUMBERS</t>
        </is>
      </c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20" customFormat="1" customHeight="1" s="57">
      <c r="A3" s="62" t="inlineStr">
        <is>
          <t>INITIAL INVESTMENT</t>
        </is>
      </c>
      <c r="B3" s="63" t="n"/>
      <c r="C3" s="64" t="n"/>
      <c r="D3" s="60" t="n"/>
      <c r="E3" s="62" t="inlineStr">
        <is>
          <t>CASHFLOW DETAILS</t>
        </is>
      </c>
      <c r="F3" s="63" t="n"/>
      <c r="G3" s="64" t="n"/>
      <c r="H3" s="60" t="n"/>
      <c r="I3" s="65" t="inlineStr">
        <is>
          <t>DISCOUNT RATE</t>
        </is>
      </c>
      <c r="J3" s="66" t="n"/>
      <c r="K3" s="67" t="n"/>
      <c r="L3" s="60" t="n"/>
      <c r="M3" s="60" t="n"/>
    </row>
    <row r="4" ht="20" customFormat="1" customHeight="1" s="57">
      <c r="A4" s="68" t="inlineStr">
        <is>
          <t>Initial Investment=</t>
        </is>
      </c>
      <c r="B4" s="60" t="n"/>
      <c r="C4" s="69" t="n">
        <v>50000</v>
      </c>
      <c r="D4" s="60" t="n"/>
      <c r="E4" s="68" t="inlineStr">
        <is>
          <t>Revenues in  year 1=</t>
        </is>
      </c>
      <c r="F4" s="60" t="n"/>
      <c r="G4" s="69" t="n">
        <v>40000</v>
      </c>
      <c r="H4" s="60" t="n"/>
      <c r="I4" s="70" t="inlineStr">
        <is>
          <t>Approach(1:Direct;2:CAPM)=</t>
        </is>
      </c>
      <c r="J4" s="60" t="n"/>
      <c r="K4" s="71" t="n">
        <v>2</v>
      </c>
      <c r="L4" s="60" t="n"/>
      <c r="M4" s="60" t="n"/>
    </row>
    <row r="5" ht="20" customFormat="1" customHeight="1" s="57">
      <c r="A5" s="68" t="inlineStr">
        <is>
          <t>Opportunity cost (if any)=</t>
        </is>
      </c>
      <c r="B5" s="60" t="n"/>
      <c r="C5" s="69" t="n">
        <v>7484</v>
      </c>
      <c r="D5" s="60" t="n"/>
      <c r="E5" s="68" t="inlineStr">
        <is>
          <t>Var. Expenses as % of Rev=</t>
        </is>
      </c>
      <c r="F5" s="60" t="n"/>
      <c r="G5" s="72" t="n">
        <v>0.5</v>
      </c>
      <c r="H5" s="60" t="n"/>
      <c r="I5" s="73" t="inlineStr">
        <is>
          <t>1. Discount rate =</t>
        </is>
      </c>
      <c r="J5" s="60" t="n"/>
      <c r="K5" s="74" t="n">
        <v>0.1</v>
      </c>
      <c r="L5" s="60" t="n"/>
      <c r="M5" s="60" t="n"/>
    </row>
    <row r="6" ht="20" customFormat="1" customHeight="1" s="57">
      <c r="A6" s="68" t="inlineStr">
        <is>
          <t>Lifetime of the investment</t>
        </is>
      </c>
      <c r="B6" s="60" t="n"/>
      <c r="C6" s="75" t="n">
        <v>10</v>
      </c>
      <c r="D6" s="60" t="n"/>
      <c r="E6" s="68" t="inlineStr">
        <is>
          <t>Fixed expenses in year 1=</t>
        </is>
      </c>
      <c r="F6" s="60" t="n"/>
      <c r="G6" s="75" t="n">
        <v>0</v>
      </c>
      <c r="H6" s="60" t="n"/>
      <c r="I6" s="73" t="inlineStr">
        <is>
          <t>2a. Beta</t>
        </is>
      </c>
      <c r="J6" s="60" t="n"/>
      <c r="K6" s="71" t="n">
        <v>0.9</v>
      </c>
      <c r="L6" s="60" t="n"/>
      <c r="M6" s="60" t="n"/>
    </row>
    <row r="7" ht="20" customFormat="1" customHeight="1" s="57">
      <c r="A7" s="68" t="inlineStr">
        <is>
          <t>Salvage Value at end of project=</t>
        </is>
      </c>
      <c r="B7" s="60" t="n"/>
      <c r="C7" s="69" t="n">
        <v>10000</v>
      </c>
      <c r="D7" s="60" t="n"/>
      <c r="E7" s="76" t="inlineStr">
        <is>
          <t>Tax rate on net income=</t>
        </is>
      </c>
      <c r="F7" s="77" t="n"/>
      <c r="G7" s="72" t="n">
        <v>0.4</v>
      </c>
      <c r="H7" s="60" t="n"/>
      <c r="I7" s="73" t="inlineStr">
        <is>
          <t xml:space="preserve"> b. Riskless rate=</t>
        </is>
      </c>
      <c r="J7" s="60" t="n"/>
      <c r="K7" s="78" t="n">
        <v>0.08</v>
      </c>
      <c r="L7" s="60" t="n"/>
      <c r="M7" s="60" t="n"/>
    </row>
    <row r="8" ht="20" customFormat="1" customHeight="1" s="57">
      <c r="A8" s="68" t="inlineStr">
        <is>
          <t>Deprec. method(1:St.line;2:DDB)=</t>
        </is>
      </c>
      <c r="B8" s="60" t="n"/>
      <c r="C8" s="75" t="n">
        <v>2</v>
      </c>
      <c r="D8" s="60" t="n"/>
      <c r="E8" s="60" t="inlineStr">
        <is>
          <t>If you do not have the breakdown of fixed and variable</t>
        </is>
      </c>
      <c r="F8" s="60" t="n"/>
      <c r="G8" s="79" t="n"/>
      <c r="H8" s="60" t="n"/>
      <c r="I8" s="73" t="inlineStr">
        <is>
          <t xml:space="preserve"> c. Market risk premium =</t>
        </is>
      </c>
      <c r="J8" s="60" t="n"/>
      <c r="K8" s="78" t="n">
        <v>0.055</v>
      </c>
      <c r="L8" s="60" t="n"/>
      <c r="M8" s="60" t="n"/>
    </row>
    <row r="9" ht="20" customFormat="1" customHeight="1" s="57">
      <c r="A9" s="68" t="inlineStr">
        <is>
          <t>Tax Credit (if any )=</t>
        </is>
      </c>
      <c r="B9" s="60" t="n"/>
      <c r="C9" s="72" t="n">
        <v>0.1</v>
      </c>
      <c r="D9" s="60" t="n"/>
      <c r="E9" s="60" t="inlineStr">
        <is>
          <t>expenses, input the entire expense as a % of revenues.</t>
        </is>
      </c>
      <c r="F9" s="60" t="n"/>
      <c r="G9" s="79" t="n"/>
      <c r="H9" s="60" t="n"/>
      <c r="I9" s="73" t="inlineStr">
        <is>
          <t xml:space="preserve"> d. Debt Ratio =</t>
        </is>
      </c>
      <c r="J9" s="60" t="n"/>
      <c r="K9" s="80" t="n">
        <v>0.3</v>
      </c>
      <c r="L9" s="60" t="n"/>
      <c r="M9" s="60" t="n"/>
    </row>
    <row r="10" ht="20" customFormat="1" customHeight="1" s="57">
      <c r="A10" s="76" t="inlineStr">
        <is>
          <t>Other invest.(non-depreciable)=</t>
        </is>
      </c>
      <c r="B10" s="77" t="n"/>
      <c r="C10" s="75" t="n">
        <v>0</v>
      </c>
      <c r="D10" s="60" t="n"/>
      <c r="E10" s="60" t="n"/>
      <c r="F10" s="60" t="n"/>
      <c r="G10" s="79" t="n"/>
      <c r="H10" s="60" t="n"/>
      <c r="I10" s="81" t="inlineStr">
        <is>
          <t xml:space="preserve"> e. Cost of Borrowing =</t>
        </is>
      </c>
      <c r="J10" s="82" t="n"/>
      <c r="K10" s="83" t="n">
        <v>0.09</v>
      </c>
      <c r="L10" s="60" t="n"/>
      <c r="M10" s="60" t="n"/>
    </row>
    <row r="11" ht="20" customFormat="1" customHeight="1" s="57">
      <c r="A11" s="60" t="n"/>
      <c r="B11" s="60" t="n"/>
      <c r="C11" s="79" t="n"/>
      <c r="D11" s="60" t="n"/>
      <c r="E11" s="57" t="n"/>
      <c r="F11" s="57" t="n"/>
      <c r="G11" s="57" t="n"/>
      <c r="H11" s="57" t="n"/>
      <c r="I11" s="60" t="inlineStr">
        <is>
          <t>Discount rate used=</t>
        </is>
      </c>
      <c r="J11" s="60" t="n"/>
      <c r="K11" s="84">
        <f>IF(K4=1,K5,(K7+K6*K8)*(1-K9)+K10*(1-G7)*K9)</f>
        <v/>
      </c>
      <c r="L11" s="60" t="n"/>
      <c r="M11" s="60" t="n"/>
    </row>
    <row r="12" ht="20" customFormat="1" customHeight="1" s="57">
      <c r="A12" s="62" t="inlineStr">
        <is>
          <t>WORKING CAPITAL</t>
        </is>
      </c>
      <c r="B12" s="63" t="n"/>
      <c r="C12" s="85" t="n"/>
      <c r="D12" s="60" t="n"/>
      <c r="E12" s="57" t="n"/>
      <c r="F12" s="57" t="n"/>
      <c r="G12" s="57" t="n"/>
      <c r="H12" s="57" t="n"/>
      <c r="I12" s="57" t="n"/>
      <c r="J12" s="60" t="n"/>
      <c r="K12" s="60" t="n"/>
      <c r="L12" s="60" t="n"/>
      <c r="M12" s="60" t="n"/>
    </row>
    <row r="13" ht="20" customFormat="1" customHeight="1" s="57">
      <c r="A13" s="68" t="inlineStr">
        <is>
          <t>Initial Investment in Work. Cap=</t>
        </is>
      </c>
      <c r="B13" s="60" t="n"/>
      <c r="C13" s="86" t="n">
        <v>10000</v>
      </c>
      <c r="D13" s="60" t="n"/>
      <c r="E13" s="57" t="n"/>
      <c r="F13" s="57" t="n"/>
      <c r="G13" s="57" t="n"/>
      <c r="H13" s="57" t="n"/>
      <c r="I13" s="57" t="n"/>
      <c r="J13" s="60" t="n"/>
      <c r="K13" s="60" t="n"/>
      <c r="L13" s="60" t="n"/>
      <c r="M13" s="60" t="n"/>
    </row>
    <row r="14" ht="20" customFormat="1" customHeight="1" s="57">
      <c r="A14" s="68" t="inlineStr">
        <is>
          <t>Working Capital as % of Rev=</t>
        </is>
      </c>
      <c r="B14" s="60" t="n"/>
      <c r="C14" s="87" t="n">
        <v>0.25</v>
      </c>
      <c r="D14" s="60" t="n"/>
      <c r="E14" s="57" t="n"/>
      <c r="F14" s="57" t="n"/>
      <c r="G14" s="57" t="n"/>
      <c r="H14" s="57" t="n"/>
      <c r="I14" s="57" t="n"/>
      <c r="J14" s="60" t="n"/>
      <c r="K14" s="60" t="n"/>
      <c r="L14" s="60" t="n"/>
      <c r="M14" s="60" t="n"/>
    </row>
    <row r="15" ht="20" customFormat="1" customHeight="1" s="57">
      <c r="A15" s="76" t="inlineStr">
        <is>
          <t>Salvageable fraction at end=</t>
        </is>
      </c>
      <c r="B15" s="77" t="n"/>
      <c r="C15" s="88" t="n">
        <v>1</v>
      </c>
      <c r="D15" s="60" t="n"/>
      <c r="E15" s="57" t="n"/>
      <c r="F15" s="57" t="n"/>
      <c r="G15" s="57" t="n"/>
      <c r="H15" s="57" t="n"/>
      <c r="I15" s="57" t="n"/>
      <c r="J15" s="60" t="n"/>
      <c r="K15" s="60" t="n"/>
      <c r="L15" s="60" t="n"/>
      <c r="M15" s="60" t="n"/>
    </row>
    <row r="16" ht="20" customFormat="1" customHeight="1" s="57">
      <c r="A16" s="60" t="n"/>
      <c r="B16" s="60" t="n"/>
      <c r="C16" s="60" t="n"/>
      <c r="D16" s="60" t="n"/>
      <c r="E16" s="60" t="n"/>
      <c r="F16" s="60" t="n"/>
      <c r="G16" s="60" t="n"/>
      <c r="H16" s="60" t="n"/>
      <c r="I16" s="57" t="n"/>
      <c r="J16" s="60" t="n"/>
      <c r="K16" s="60" t="n"/>
      <c r="L16" s="60" t="n"/>
      <c r="M16" s="60" t="n"/>
    </row>
    <row r="17" ht="20" customFormat="1" customHeight="1" s="57">
      <c r="A17" s="62" t="inlineStr">
        <is>
          <t>GROWTH RATES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4" t="n"/>
      <c r="M17" s="60" t="n"/>
    </row>
    <row r="18" ht="20" customFormat="1" customHeight="1" s="89">
      <c r="A18" s="90" t="n"/>
      <c r="B18" s="91" t="n"/>
      <c r="C18" s="91" t="n">
        <v>1</v>
      </c>
      <c r="D18" s="91" t="n">
        <v>2</v>
      </c>
      <c r="E18" s="91" t="n">
        <v>3</v>
      </c>
      <c r="F18" s="91" t="n">
        <v>4</v>
      </c>
      <c r="G18" s="91" t="n">
        <v>5</v>
      </c>
      <c r="H18" s="91" t="n">
        <v>6</v>
      </c>
      <c r="I18" s="91" t="n">
        <v>7</v>
      </c>
      <c r="J18" s="91" t="n">
        <v>8</v>
      </c>
      <c r="K18" s="91" t="n">
        <v>9</v>
      </c>
      <c r="L18" s="92" t="n">
        <v>10</v>
      </c>
      <c r="M18" s="91" t="n"/>
    </row>
    <row r="19" ht="20" customFormat="1" customHeight="1" s="57">
      <c r="A19" s="68" t="inlineStr">
        <is>
          <t>Revenues</t>
        </is>
      </c>
      <c r="B19" s="60" t="n"/>
      <c r="C19" s="60" t="inlineStr">
        <is>
          <t>Do not enter</t>
        </is>
      </c>
      <c r="D19" s="93" t="n">
        <v>0.1</v>
      </c>
      <c r="E19" s="93" t="n">
        <v>0.1</v>
      </c>
      <c r="F19" s="93" t="n">
        <v>0.1</v>
      </c>
      <c r="G19" s="93" t="n">
        <v>0.1</v>
      </c>
      <c r="H19" s="93" t="n">
        <v>0</v>
      </c>
      <c r="I19" s="93" t="n">
        <v>0</v>
      </c>
      <c r="J19" s="93" t="n">
        <v>0</v>
      </c>
      <c r="K19" s="93" t="n">
        <v>0</v>
      </c>
      <c r="L19" s="94" t="n">
        <v>0</v>
      </c>
      <c r="M19" s="60" t="n"/>
    </row>
    <row r="20" ht="20" customFormat="1" customHeight="1" s="57">
      <c r="A20" s="68" t="inlineStr">
        <is>
          <t>Fixed Expenses</t>
        </is>
      </c>
      <c r="B20" s="60" t="n"/>
      <c r="C20" s="60" t="inlineStr">
        <is>
          <t>Do not enter</t>
        </is>
      </c>
      <c r="D20" s="93">
        <f>D19</f>
        <v/>
      </c>
      <c r="E20" s="93">
        <f>E19</f>
        <v/>
      </c>
      <c r="F20" s="93">
        <f>F19</f>
        <v/>
      </c>
      <c r="G20" s="93">
        <f>G19</f>
        <v/>
      </c>
      <c r="H20" s="93">
        <f>H19</f>
        <v/>
      </c>
      <c r="I20" s="93">
        <f>I19</f>
        <v/>
      </c>
      <c r="J20" s="93">
        <f>J19</f>
        <v/>
      </c>
      <c r="K20" s="93">
        <f>K19</f>
        <v/>
      </c>
      <c r="L20" s="94">
        <f>L19</f>
        <v/>
      </c>
      <c r="M20" s="60" t="n"/>
    </row>
    <row r="21" ht="20" customFormat="1" customHeight="1" s="57">
      <c r="A21" s="76" t="inlineStr">
        <is>
          <t>Default: The fixed expense growth rate is set equal to the growth rate in revenues by default.</t>
        </is>
      </c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95" t="n"/>
      <c r="M21" s="60" t="n"/>
    </row>
    <row r="22" ht="14" customFormat="1" customHeight="1" s="57">
      <c r="A22" s="60" t="n"/>
      <c r="B22" s="60" t="n"/>
      <c r="C22" s="60" t="n"/>
      <c r="D22" s="60" t="n"/>
      <c r="E22" s="60" t="n"/>
      <c r="F22" s="60" t="inlineStr">
        <is>
          <t>YEAR</t>
        </is>
      </c>
      <c r="G22" s="60" t="n"/>
      <c r="H22" s="60" t="n"/>
      <c r="I22" s="60" t="n"/>
      <c r="J22" s="60" t="n"/>
      <c r="K22" s="60" t="n"/>
      <c r="L22" s="60" t="n"/>
      <c r="M22" s="60" t="n"/>
    </row>
    <row r="23" ht="13" customFormat="1" customHeight="1" s="57">
      <c r="A23" s="60" t="n"/>
      <c r="B23" s="60" t="n">
        <v>0</v>
      </c>
      <c r="C23" s="60" t="n">
        <v>1</v>
      </c>
      <c r="D23" s="60" t="n">
        <v>2</v>
      </c>
      <c r="E23" s="60" t="n">
        <v>3</v>
      </c>
      <c r="F23" s="60" t="n">
        <v>4</v>
      </c>
      <c r="G23" s="60" t="n">
        <v>5</v>
      </c>
      <c r="H23" s="60" t="n">
        <v>6</v>
      </c>
      <c r="I23" s="60" t="n">
        <v>7</v>
      </c>
      <c r="J23" s="60" t="n">
        <v>8</v>
      </c>
      <c r="K23" s="60" t="n">
        <v>9</v>
      </c>
      <c r="L23" s="60" t="n">
        <v>10</v>
      </c>
      <c r="M23" s="60" t="n"/>
    </row>
    <row r="24" ht="13" customFormat="1" customHeight="1" s="57">
      <c r="A24" s="60" t="inlineStr">
        <is>
          <t>INITIAL INVESTMENT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</row>
    <row r="25" ht="13" customFormat="1" customHeight="1" s="57">
      <c r="A25" s="96" t="inlineStr">
        <is>
          <t>Investment</t>
        </is>
      </c>
      <c r="B25" s="97">
        <f>C4</f>
        <v/>
      </c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</row>
    <row r="26" ht="13" customFormat="1" customHeight="1" s="57">
      <c r="A26" s="96" t="inlineStr">
        <is>
          <t xml:space="preserve"> - Tax Credit</t>
        </is>
      </c>
      <c r="B26" s="97">
        <f>C4*C9</f>
        <v/>
      </c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</row>
    <row r="27" ht="13" customFormat="1" customHeight="1" s="57">
      <c r="A27" s="96" t="inlineStr">
        <is>
          <t>Net Investment</t>
        </is>
      </c>
      <c r="B27" s="97">
        <f>B25-B26</f>
        <v/>
      </c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</row>
    <row r="28" ht="13" customFormat="1" customHeight="1" s="57">
      <c r="A28" s="96" t="inlineStr">
        <is>
          <t xml:space="preserve"> + Working Cap</t>
        </is>
      </c>
      <c r="B28" s="97">
        <f>C13</f>
        <v/>
      </c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</row>
    <row r="29" ht="13" customFormat="1" customHeight="1" s="57">
      <c r="A29" s="96" t="inlineStr">
        <is>
          <t xml:space="preserve"> + Opp. Cost</t>
        </is>
      </c>
      <c r="B29" s="97">
        <f>C5</f>
        <v/>
      </c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</row>
    <row r="30" ht="13" customFormat="1" customHeight="1" s="57">
      <c r="A30" s="96" t="inlineStr">
        <is>
          <t xml:space="preserve"> + Other invest.</t>
        </is>
      </c>
      <c r="B30" s="97">
        <f>C10</f>
        <v/>
      </c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</row>
    <row r="31" ht="13" customFormat="1" customHeight="1" s="57">
      <c r="A31" s="96" t="inlineStr">
        <is>
          <t>Initial Investment</t>
        </is>
      </c>
      <c r="B31" s="97">
        <f>B27+B28+B29+B30</f>
        <v/>
      </c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</row>
    <row r="32" ht="13" customFormat="1" customHeight="1" s="57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</row>
    <row r="33" ht="13" customFormat="1" customHeight="1" s="57">
      <c r="A33" s="60" t="inlineStr">
        <is>
          <t>SALVAGE VALUE</t>
        </is>
      </c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</row>
    <row r="34" ht="13" customFormat="1" customHeight="1" s="57">
      <c r="A34" s="60" t="inlineStr">
        <is>
          <t>Equipment</t>
        </is>
      </c>
      <c r="B34" s="60" t="n"/>
      <c r="C34" s="98">
        <f>IF(C23=C6,C7,0)</f>
        <v/>
      </c>
      <c r="D34" s="98">
        <f>IF(D23=C6,C7,0)</f>
        <v/>
      </c>
      <c r="E34" s="98">
        <f>IF(E23=C6,C7,0)</f>
        <v/>
      </c>
      <c r="F34" s="98">
        <f>IF(F23=C6,C7,0)</f>
        <v/>
      </c>
      <c r="G34" s="98">
        <f>IF(G23=C6,C7,0)</f>
        <v/>
      </c>
      <c r="H34" s="98">
        <f>IF(H23=C6,C7,0)</f>
        <v/>
      </c>
      <c r="I34" s="98">
        <f>IF(I23=C6,C7,0)</f>
        <v/>
      </c>
      <c r="J34" s="98">
        <f>IF(J23=C6,C7,0)</f>
        <v/>
      </c>
      <c r="K34" s="98">
        <f>IF(K23=C6,C7,0)</f>
        <v/>
      </c>
      <c r="L34" s="98">
        <f>IF(L23=C6,C7,0)</f>
        <v/>
      </c>
      <c r="M34" s="60" t="n"/>
    </row>
    <row r="35" ht="13" customFormat="1" customHeight="1" s="57">
      <c r="A35" s="60" t="inlineStr">
        <is>
          <t>Working Capital</t>
        </is>
      </c>
      <c r="B35" s="60" t="n"/>
      <c r="C35" s="98">
        <f>IF(C23=C6,(C13+SUM(C48:L48))*C15,0)</f>
        <v/>
      </c>
      <c r="D35" s="98">
        <f>IF(D23=C6,(C13+SUM(C48:L48))*C15,0)</f>
        <v/>
      </c>
      <c r="E35" s="98">
        <f>IF(E23=C6,(C13+SUM(C48:L48))*C15,0)</f>
        <v/>
      </c>
      <c r="F35" s="98">
        <f>IF(F23=C6,(C13+SUM(C48:L48))*C15,0)</f>
        <v/>
      </c>
      <c r="G35" s="98">
        <f>IF(G23=C6,(C13+SUM(C48:L48))*C15,0)</f>
        <v/>
      </c>
      <c r="H35" s="98">
        <f>IF(21=C6,(C13+SUM(C48:L48))*C15,0)</f>
        <v/>
      </c>
      <c r="I35" s="98">
        <f>IF(I23=C6,(C13+SUM(C48:L48))*C15,0)</f>
        <v/>
      </c>
      <c r="J35" s="98">
        <f>IF(J23=C6,(C13+SUM(C48:L48))*C15,0)</f>
        <v/>
      </c>
      <c r="K35" s="98">
        <f>IF(K23=C6,(C13+SUM(C48:L48))*C15,0)</f>
        <v/>
      </c>
      <c r="L35" s="98">
        <f>IF(L23=C6,(C13+SUM(C48:L48))*C15,0)</f>
        <v/>
      </c>
      <c r="M35" s="60" t="n"/>
    </row>
    <row r="36" ht="14" customFormat="1" customHeight="1" s="57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</row>
    <row r="37" ht="13" customFormat="1" customHeight="1" s="57">
      <c r="A37" s="99" t="inlineStr">
        <is>
          <t>OPERATING CASHFLOWS</t>
        </is>
      </c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7" t="n"/>
      <c r="M37" s="60" t="n"/>
    </row>
    <row r="38" ht="13" customFormat="1" customHeight="1" s="57">
      <c r="A38" s="73" t="inlineStr">
        <is>
          <t>Lifetime Index</t>
        </is>
      </c>
      <c r="B38" s="60" t="n"/>
      <c r="C38" s="60">
        <f>IF(C23&gt;C6,0,1)</f>
        <v/>
      </c>
      <c r="D38" s="60">
        <f>IF(D23&gt;C6,0,1)</f>
        <v/>
      </c>
      <c r="E38" s="60">
        <f>IF(E23&gt;C6,0,1)</f>
        <v/>
      </c>
      <c r="F38" s="60">
        <f>IF(F23&gt;C6,0,1)</f>
        <v/>
      </c>
      <c r="G38" s="60">
        <f>IF(G23&gt;C6,0,1)</f>
        <v/>
      </c>
      <c r="H38" s="60">
        <f>IF(H23&gt;C6,0,1)</f>
        <v/>
      </c>
      <c r="I38" s="60">
        <f>IF(I23&gt;C6,0,1)</f>
        <v/>
      </c>
      <c r="J38" s="60">
        <f>IF(J23&gt;C6,0,1)</f>
        <v/>
      </c>
      <c r="K38" s="60">
        <f>IF(K23&gt;C6,0,1)</f>
        <v/>
      </c>
      <c r="L38" s="100">
        <f>IF(L23&gt;C6,0,1)</f>
        <v/>
      </c>
      <c r="M38" s="60" t="n"/>
    </row>
    <row r="39" ht="13" customFormat="1" customHeight="1" s="57">
      <c r="A39" s="73" t="inlineStr">
        <is>
          <t>Revenues</t>
        </is>
      </c>
      <c r="B39" s="98" t="n"/>
      <c r="C39" s="98">
        <f>G4</f>
        <v/>
      </c>
      <c r="D39" s="98">
        <f>C39*(1+D19)*D38</f>
        <v/>
      </c>
      <c r="E39" s="98">
        <f>D39*(1+E19)*E38</f>
        <v/>
      </c>
      <c r="F39" s="98">
        <f>E39*(1+F19)*F38</f>
        <v/>
      </c>
      <c r="G39" s="98">
        <f>F39*(1+G19)*G38</f>
        <v/>
      </c>
      <c r="H39" s="98">
        <f>G39*(1+H19)*H38</f>
        <v/>
      </c>
      <c r="I39" s="98">
        <f>H39*(1+I19)*I38</f>
        <v/>
      </c>
      <c r="J39" s="98">
        <f>I39*(1+J19)*J38</f>
        <v/>
      </c>
      <c r="K39" s="98">
        <f>J39*(1+K19)*K38</f>
        <v/>
      </c>
      <c r="L39" s="101">
        <f>K39*(1+L19)*L38</f>
        <v/>
      </c>
      <c r="M39" s="60" t="n"/>
    </row>
    <row r="40" ht="13" customFormat="1" customHeight="1" s="57">
      <c r="A40" s="73" t="inlineStr">
        <is>
          <t xml:space="preserve"> -Var. Expenses</t>
        </is>
      </c>
      <c r="B40" s="98" t="n"/>
      <c r="C40" s="98">
        <f>C39*G5</f>
        <v/>
      </c>
      <c r="D40" s="98">
        <f>D39*G5</f>
        <v/>
      </c>
      <c r="E40" s="98">
        <f>E39*G5</f>
        <v/>
      </c>
      <c r="F40" s="98">
        <f>F39*G5</f>
        <v/>
      </c>
      <c r="G40" s="98">
        <f>G39*G5</f>
        <v/>
      </c>
      <c r="H40" s="98">
        <f>H39*G5</f>
        <v/>
      </c>
      <c r="I40" s="98">
        <f>I39*G5</f>
        <v/>
      </c>
      <c r="J40" s="98">
        <f>J39*G5</f>
        <v/>
      </c>
      <c r="K40" s="98">
        <f>K39*G5</f>
        <v/>
      </c>
      <c r="L40" s="101">
        <f>L39*G5</f>
        <v/>
      </c>
      <c r="M40" s="60" t="n"/>
    </row>
    <row r="41" ht="13" customFormat="1" customHeight="1" s="57">
      <c r="A41" s="73" t="inlineStr">
        <is>
          <t xml:space="preserve"> - Fixed Expenses</t>
        </is>
      </c>
      <c r="B41" s="98" t="n"/>
      <c r="C41" s="98">
        <f>G6</f>
        <v/>
      </c>
      <c r="D41" s="98">
        <f>C41*(1+D20)*D38</f>
        <v/>
      </c>
      <c r="E41" s="98">
        <f>D41*(1+E20)*E38</f>
        <v/>
      </c>
      <c r="F41" s="98">
        <f>E41*(1+F20)*F38</f>
        <v/>
      </c>
      <c r="G41" s="98">
        <f>F41*(1+G20)*G38</f>
        <v/>
      </c>
      <c r="H41" s="98">
        <f>G41*(1+H20)*H38</f>
        <v/>
      </c>
      <c r="I41" s="98">
        <f>H41*(1+I20)*I38</f>
        <v/>
      </c>
      <c r="J41" s="98">
        <f>I41*(1+J20)*J38</f>
        <v/>
      </c>
      <c r="K41" s="98">
        <f>J41*(1+K20)*K38</f>
        <v/>
      </c>
      <c r="L41" s="101">
        <f>K41*(1+L20)*L38</f>
        <v/>
      </c>
      <c r="M41" s="60" t="n"/>
    </row>
    <row r="42" ht="13" customFormat="1" customHeight="1" s="57">
      <c r="A42" s="73" t="inlineStr">
        <is>
          <t>EBITDA</t>
        </is>
      </c>
      <c r="B42" s="98" t="n"/>
      <c r="C42" s="98">
        <f>C39-C40-C41</f>
        <v/>
      </c>
      <c r="D42" s="98">
        <f>D39-D40-D41</f>
        <v/>
      </c>
      <c r="E42" s="98">
        <f>E39-E40-E41</f>
        <v/>
      </c>
      <c r="F42" s="98">
        <f>F39-F40-F41</f>
        <v/>
      </c>
      <c r="G42" s="98">
        <f>G39-G40-G41</f>
        <v/>
      </c>
      <c r="H42" s="98">
        <f>H39-H40-H41</f>
        <v/>
      </c>
      <c r="I42" s="98">
        <f>I39-I40-I41</f>
        <v/>
      </c>
      <c r="J42" s="98">
        <f>J39-J40-J41</f>
        <v/>
      </c>
      <c r="K42" s="98">
        <f>K39-K40-K41</f>
        <v/>
      </c>
      <c r="L42" s="101">
        <f>L39-L40-L41</f>
        <v/>
      </c>
      <c r="M42" s="60" t="n"/>
    </row>
    <row r="43" ht="13" customFormat="1" customHeight="1" s="57">
      <c r="A43" s="73" t="inlineStr">
        <is>
          <t xml:space="preserve"> - Depreciation</t>
        </is>
      </c>
      <c r="B43" s="98" t="n"/>
      <c r="C43" s="98">
        <f>C61</f>
        <v/>
      </c>
      <c r="D43" s="98">
        <f>D61</f>
        <v/>
      </c>
      <c r="E43" s="98">
        <f>E61</f>
        <v/>
      </c>
      <c r="F43" s="98">
        <f>F61</f>
        <v/>
      </c>
      <c r="G43" s="98">
        <f>G61</f>
        <v/>
      </c>
      <c r="H43" s="98">
        <f>H61</f>
        <v/>
      </c>
      <c r="I43" s="98">
        <f>I61</f>
        <v/>
      </c>
      <c r="J43" s="98">
        <f>J61</f>
        <v/>
      </c>
      <c r="K43" s="98">
        <f>K61</f>
        <v/>
      </c>
      <c r="L43" s="101">
        <f>L61</f>
        <v/>
      </c>
      <c r="M43" s="60" t="n"/>
    </row>
    <row r="44" ht="13" customFormat="1" customHeight="1" s="57">
      <c r="A44" s="73" t="inlineStr">
        <is>
          <t>EBIT</t>
        </is>
      </c>
      <c r="B44" s="98" t="n"/>
      <c r="C44" s="98">
        <f>C42-C43</f>
        <v/>
      </c>
      <c r="D44" s="98">
        <f>D42-D43</f>
        <v/>
      </c>
      <c r="E44" s="98">
        <f>E42-E43</f>
        <v/>
      </c>
      <c r="F44" s="98">
        <f>F42-F43</f>
        <v/>
      </c>
      <c r="G44" s="98">
        <f>G42-G43</f>
        <v/>
      </c>
      <c r="H44" s="98">
        <f>H42-H43</f>
        <v/>
      </c>
      <c r="I44" s="98">
        <f>I42-I43</f>
        <v/>
      </c>
      <c r="J44" s="98">
        <f>J42-J43</f>
        <v/>
      </c>
      <c r="K44" s="98">
        <f>K42-K43</f>
        <v/>
      </c>
      <c r="L44" s="98">
        <f>L42-L43</f>
        <v/>
      </c>
      <c r="M44" s="60" t="n"/>
    </row>
    <row r="45" ht="13" customFormat="1" customHeight="1" s="57">
      <c r="A45" s="73" t="inlineStr">
        <is>
          <t xml:space="preserve"> -Tax</t>
        </is>
      </c>
      <c r="B45" s="98" t="n"/>
      <c r="C45" s="98">
        <f>C44*G7</f>
        <v/>
      </c>
      <c r="D45" s="98">
        <f>D44*G7</f>
        <v/>
      </c>
      <c r="E45" s="98">
        <f>E44*G7</f>
        <v/>
      </c>
      <c r="F45" s="98">
        <f>F44*G7</f>
        <v/>
      </c>
      <c r="G45" s="98">
        <f>G44*G7</f>
        <v/>
      </c>
      <c r="H45" s="98">
        <f>H44*G7</f>
        <v/>
      </c>
      <c r="I45" s="98">
        <f>I44*G7</f>
        <v/>
      </c>
      <c r="J45" s="98">
        <f>J44*G7</f>
        <v/>
      </c>
      <c r="K45" s="98">
        <f>K44*G7</f>
        <v/>
      </c>
      <c r="L45" s="101">
        <f>L44*G7</f>
        <v/>
      </c>
      <c r="M45" s="60" t="n"/>
    </row>
    <row r="46" ht="13" customFormat="1" customHeight="1" s="57">
      <c r="A46" s="73" t="inlineStr">
        <is>
          <t>EBIT(1-t)</t>
        </is>
      </c>
      <c r="B46" s="98" t="n"/>
      <c r="C46" s="98">
        <f>C44-C45</f>
        <v/>
      </c>
      <c r="D46" s="98">
        <f>D44-D45</f>
        <v/>
      </c>
      <c r="E46" s="98">
        <f>E44-E45</f>
        <v/>
      </c>
      <c r="F46" s="98">
        <f>F44-F45</f>
        <v/>
      </c>
      <c r="G46" s="98">
        <f>G44-G45</f>
        <v/>
      </c>
      <c r="H46" s="98">
        <f>H44-H45</f>
        <v/>
      </c>
      <c r="I46" s="98">
        <f>I44-I45</f>
        <v/>
      </c>
      <c r="J46" s="98">
        <f>J44-J45</f>
        <v/>
      </c>
      <c r="K46" s="98">
        <f>K44-K45</f>
        <v/>
      </c>
      <c r="L46" s="101">
        <f>L44-L45</f>
        <v/>
      </c>
      <c r="M46" s="60" t="n"/>
    </row>
    <row r="47" ht="13" customFormat="1" customHeight="1" s="57">
      <c r="A47" s="73" t="inlineStr">
        <is>
          <t xml:space="preserve"> + Depreciation</t>
        </is>
      </c>
      <c r="B47" s="98" t="n"/>
      <c r="C47" s="98">
        <f>C43</f>
        <v/>
      </c>
      <c r="D47" s="98">
        <f>D43</f>
        <v/>
      </c>
      <c r="E47" s="98">
        <f>E43</f>
        <v/>
      </c>
      <c r="F47" s="98">
        <f>F43</f>
        <v/>
      </c>
      <c r="G47" s="98">
        <f>G43</f>
        <v/>
      </c>
      <c r="H47" s="98">
        <f>H43</f>
        <v/>
      </c>
      <c r="I47" s="98">
        <f>I43</f>
        <v/>
      </c>
      <c r="J47" s="98">
        <f>J43</f>
        <v/>
      </c>
      <c r="K47" s="98">
        <f>K43</f>
        <v/>
      </c>
      <c r="L47" s="101">
        <f>L43</f>
        <v/>
      </c>
      <c r="M47" s="60" t="n"/>
    </row>
    <row r="48" ht="13" customFormat="1" customHeight="1" s="57">
      <c r="A48" s="73" t="inlineStr">
        <is>
          <t xml:space="preserve"> - ∂ Work. Cap</t>
        </is>
      </c>
      <c r="B48" s="98" t="n"/>
      <c r="C48" s="98">
        <f>(C14*C39-B28)*C38</f>
        <v/>
      </c>
      <c r="D48" s="98">
        <f>(C14*D39-B28)*D38</f>
        <v/>
      </c>
      <c r="E48" s="98">
        <f>(C14*E39-B28-SUM(C48,D48))*E38</f>
        <v/>
      </c>
      <c r="F48" s="98">
        <f>(C14*F39-B28-SUM(C48:E48))*F38</f>
        <v/>
      </c>
      <c r="G48" s="98">
        <f>(C14*G39-B28-SUM(C48:F48))*G38</f>
        <v/>
      </c>
      <c r="H48" s="98">
        <f>(C14*H39-B28-SUM(C48:G48))*H38</f>
        <v/>
      </c>
      <c r="I48" s="98">
        <f>(C14*I39-B28-SUM(C48:H48))*I38</f>
        <v/>
      </c>
      <c r="J48" s="98">
        <f>(C14*J39-B28-SUM(C48:I48))*J38</f>
        <v/>
      </c>
      <c r="K48" s="98">
        <f>(C14*K39-B28-SUM(C48:J48))*K38</f>
        <v/>
      </c>
      <c r="L48" s="101">
        <f>(C14*L39-B28-SUM(C48:K48))*L38</f>
        <v/>
      </c>
      <c r="M48" s="60" t="n"/>
    </row>
    <row r="49" ht="13" customFormat="1" customHeight="1" s="57">
      <c r="A49" s="73" t="inlineStr">
        <is>
          <t>NATCF</t>
        </is>
      </c>
      <c r="B49" s="98">
        <f>0-B31</f>
        <v/>
      </c>
      <c r="C49" s="98">
        <f>C46+C47-C48</f>
        <v/>
      </c>
      <c r="D49" s="98">
        <f>D46+D47-D48</f>
        <v/>
      </c>
      <c r="E49" s="98">
        <f>E46+E47-E48</f>
        <v/>
      </c>
      <c r="F49" s="98">
        <f>F46+F47-F48</f>
        <v/>
      </c>
      <c r="G49" s="98">
        <f>G46+G47-G48</f>
        <v/>
      </c>
      <c r="H49" s="98">
        <f>H46+H47-H48</f>
        <v/>
      </c>
      <c r="I49" s="98">
        <f>I46+I47-I48</f>
        <v/>
      </c>
      <c r="J49" s="98">
        <f>J46+J47-J48</f>
        <v/>
      </c>
      <c r="K49" s="98">
        <f>K46+K47-K48</f>
        <v/>
      </c>
      <c r="L49" s="98">
        <f>L46+L47-L48</f>
        <v/>
      </c>
      <c r="M49" s="60" t="n"/>
    </row>
    <row r="50" ht="13" customFormat="1" customHeight="1" s="57">
      <c r="A50" s="73" t="inlineStr">
        <is>
          <t>Discount Factor</t>
        </is>
      </c>
      <c r="B50" s="60">
        <f>1</f>
        <v/>
      </c>
      <c r="C50" s="60">
        <f>C38*(1+K11)^C23</f>
        <v/>
      </c>
      <c r="D50" s="60">
        <f>D38*(1+K11)^D23</f>
        <v/>
      </c>
      <c r="E50" s="60">
        <f>E38*(1+K11)^E23</f>
        <v/>
      </c>
      <c r="F50" s="60">
        <f>F38*(1+K11)^F23</f>
        <v/>
      </c>
      <c r="G50" s="60">
        <f>G38*(1+K11)^G23</f>
        <v/>
      </c>
      <c r="H50" s="60">
        <f>H38*(1+K11)^H23</f>
        <v/>
      </c>
      <c r="I50" s="60">
        <f>I38*(1+K11)^I23</f>
        <v/>
      </c>
      <c r="J50" s="60">
        <f>J38*(1+K11)^J23</f>
        <v/>
      </c>
      <c r="K50" s="60">
        <f>K38*(1+K11)^K23</f>
        <v/>
      </c>
      <c r="L50" s="100">
        <f>L38*(1+K11)^L23</f>
        <v/>
      </c>
      <c r="M50" s="60" t="n"/>
    </row>
    <row r="51" ht="14" customFormat="1" customHeight="1" s="57">
      <c r="A51" s="81" t="inlineStr">
        <is>
          <t>Discounted CF</t>
        </is>
      </c>
      <c r="B51" s="102">
        <f>0-B31</f>
        <v/>
      </c>
      <c r="C51" s="102">
        <f>(C49+C34+C35)/(1+K11)^C23</f>
        <v/>
      </c>
      <c r="D51" s="102">
        <f>(D49+D34+D35)/(1+K11)^D23</f>
        <v/>
      </c>
      <c r="E51" s="102">
        <f>(E49+E34+E35)/(1+K11)^E23</f>
        <v/>
      </c>
      <c r="F51" s="102">
        <f>(F49+F34+F35)/(1+K11)^F23</f>
        <v/>
      </c>
      <c r="G51" s="102">
        <f>(G49+G34+G35)/(1+K11)^G23</f>
        <v/>
      </c>
      <c r="H51" s="102">
        <f>(H49+H34+H35)/(1+K11)^H23</f>
        <v/>
      </c>
      <c r="I51" s="102">
        <f>(I49+I34+I35)/(1+K11)^I23</f>
        <v/>
      </c>
      <c r="J51" s="102">
        <f>(J49+J34+J35)/(1+K11)^J23</f>
        <v/>
      </c>
      <c r="K51" s="102">
        <f>(K49+K34+K35)/(1+K11)^K23</f>
        <v/>
      </c>
      <c r="L51" s="103">
        <f>(L49+L34+L35)/(1+K11)^L23</f>
        <v/>
      </c>
      <c r="M51" s="60" t="n"/>
    </row>
    <row r="52" ht="14" customFormat="1" customHeight="1" s="57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</row>
    <row r="53" ht="14" customFormat="1" customHeight="1" s="57">
      <c r="A53" s="60" t="n"/>
      <c r="B53" s="104" t="inlineStr">
        <is>
          <t>Investment Measures</t>
        </is>
      </c>
      <c r="C53" s="105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</row>
    <row r="54" ht="13" customFormat="1" customHeight="1" s="57">
      <c r="A54" s="60" t="n"/>
      <c r="B54" s="106" t="inlineStr">
        <is>
          <t>NPV =</t>
        </is>
      </c>
      <c r="C54" s="107">
        <f>SUM(B51:L51)</f>
        <v/>
      </c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</row>
    <row r="55" ht="13" customFormat="1" customHeight="1" s="57">
      <c r="A55" s="60" t="n"/>
      <c r="B55" s="106" t="inlineStr">
        <is>
          <t>IRR =</t>
        </is>
      </c>
      <c r="C55" s="94">
        <f>IRR(B49:L49,K11)</f>
        <v/>
      </c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</row>
    <row r="56" ht="14" customFormat="1" customHeight="1" s="57">
      <c r="A56" s="60" t="n"/>
      <c r="B56" s="108" t="inlineStr">
        <is>
          <t>ROC =</t>
        </is>
      </c>
      <c r="C56" s="109">
        <f>SUM(C46:L46)/SUM(B62:K62)</f>
        <v/>
      </c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</row>
    <row r="57" ht="14" customFormat="1" customHeight="1" s="57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</row>
    <row r="58" ht="13" customFormat="1" customHeight="1" s="57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</row>
    <row r="59" ht="13" customFormat="1" customHeight="1" s="57">
      <c r="A59" s="60" t="n"/>
      <c r="B59" s="60" t="n"/>
      <c r="C59" s="60" t="n"/>
      <c r="D59" s="60" t="n"/>
      <c r="E59" s="60" t="inlineStr">
        <is>
          <t>BOOK VALUE &amp; DEPRECIATION</t>
        </is>
      </c>
      <c r="F59" s="60" t="n"/>
      <c r="G59" s="60" t="n"/>
      <c r="H59" s="60" t="n"/>
      <c r="I59" s="60" t="n"/>
      <c r="J59" s="60" t="n"/>
      <c r="K59" s="60" t="n"/>
      <c r="L59" s="60" t="n"/>
      <c r="M59" s="60" t="n"/>
    </row>
    <row r="60" ht="13" customFormat="1" customHeight="1" s="57">
      <c r="A60" s="60" t="inlineStr">
        <is>
          <t>Book Value (beginning)</t>
        </is>
      </c>
      <c r="B60" s="60" t="n"/>
      <c r="C60" s="98">
        <f>C4</f>
        <v/>
      </c>
      <c r="D60" s="98">
        <f>(C60-C61)*D38</f>
        <v/>
      </c>
      <c r="E60" s="98">
        <f>(D60-D61)*E38</f>
        <v/>
      </c>
      <c r="F60" s="98">
        <f>(E60-E61)*F38</f>
        <v/>
      </c>
      <c r="G60" s="98">
        <f>(F60-F61)*G38</f>
        <v/>
      </c>
      <c r="H60" s="98">
        <f>(G60-G61)*H38</f>
        <v/>
      </c>
      <c r="I60" s="98">
        <f>(H60-H61)*I38</f>
        <v/>
      </c>
      <c r="J60" s="98">
        <f>(I60-I61)*J38</f>
        <v/>
      </c>
      <c r="K60" s="98">
        <f>(J60-J61)*K38</f>
        <v/>
      </c>
      <c r="L60" s="98">
        <f>(K60-K61)*L38</f>
        <v/>
      </c>
      <c r="M60" s="60" t="n"/>
    </row>
    <row r="61" ht="13" customFormat="1" customHeight="1" s="57">
      <c r="A61" s="60" t="inlineStr">
        <is>
          <t>Depreciation</t>
        </is>
      </c>
      <c r="B61" s="60" t="n"/>
      <c r="C61" s="98">
        <f>IF(C8=1,((C4-C7)/C6)*C38,(IF(C7&lt;C4*(1-2/C6)^(C23),C4*(1-2/C6)^(C23-1)*(2/C6)*C38,(IF(0&lt;(C4*(1-2/C6)^(C23-1))-C7,0,C4*C38*(1-2/C6)^(C23-1)-C7)))))</f>
        <v/>
      </c>
      <c r="D61" s="98">
        <f>IF(C8=1,((C4-C7)/C6)*D38,(IF(C7&lt;C4*(1-2/C6)^(D23),C4*(1-2/C6)^(D23-1)*(2/C6)*D38,(IF(0&lt;(C4*(1-2/C6)^(D23-1))-C7,0,C4*D38*(1-2/C6)^(D23-1)-C7)))))</f>
        <v/>
      </c>
      <c r="E61" s="98">
        <f>IF(C8=1,((C4-C7)/C6)*E38,(IF(C7&lt;C4*(1-2/C6)^(E23),C4*(1-2/C6)^(E23-1)*(2/C6)*E38,(IF(0&lt;(C4*(1-2/C6)^(E23-1))-C7,0,C4*E38*(1-2/C6)^(E23-1)-C7)))))</f>
        <v/>
      </c>
      <c r="F61" s="98">
        <f>IF(C8=1,((C4-C7)/C6)*F38,(IF(C7&lt;C4*(1-2/C6)^(F23),C4*(1-2/C6)^(F23-1)*(2/C6)*F38,(IF(0&gt;(C4*(1-2/C6)^(F23-1))-C7,0,C4*F38*(1-2/C6)^(F23-1)-C7)))))</f>
        <v/>
      </c>
      <c r="G61" s="98">
        <f>IF(C8=1,((C4-C7)/C6)*F38,(IF(C7&lt;C4*(1-2/C6)^(G23),C4*(1-2/C6)^(G23-1)*(2/C6)*G38,(IF(0&gt;(C4*(1-2/C6)^(G23-1))-C7,0,C4*G38*(1-2/C6)^(G23-1)-C7)))))</f>
        <v/>
      </c>
      <c r="H61" s="98">
        <f>IF(C8=1,((C4-C7)/C6)*H38,(IF(C7&lt;C4*(1-2/C6)^(H23),C4*(1-2/C6)^(H23-1)*(2/C6)*H38,(IF(0&gt;(C4*(1-2/C6)^(H23-1))-C7,0,C4*H38*(1-2/C6)^(H23-1)-C7)))))</f>
        <v/>
      </c>
      <c r="I61" s="98">
        <f>IF(C8=1,((C4-C7)/C6)*I38,(IF(C7&lt;C4*(1-2/C6)^(I23),C4*(1-2/C6)^(I23-1)*(2/C6)*I38,(IF(0&gt;(C4*(1-2/C6)^(I23-1))-C7,0,C4*I38*(1-2/C6)^(I23-1)-C7)))))</f>
        <v/>
      </c>
      <c r="J61" s="98">
        <f>IF(C8=1,((C4-C7)/C6)*J38,(IF(C7&lt;C4*(1-2/C6)^(J23),C4*(1-2/C6)^(J23-1)*(2/C6)*J38,(IF(0&gt;(C4*(1-2/C6)^(J23-1))-C7,0,C4*J38*(1-2/C6)^(J23-1)-C7)))))</f>
        <v/>
      </c>
      <c r="K61" s="98">
        <f>IF(C8=1,((C4-C7)/C6)*K38,(IF(C7&lt;C4*(1-2/C6)^(K23),C4*(1-2/C6)^(K23-1)*(2/C6)*K38,(IF(0&gt;(C4*(1-2/C6)^(K23-1))-C7,0,C4*K38*(1-2/C6)^(K23-1)-C7)))))</f>
        <v/>
      </c>
      <c r="L61" s="98">
        <f>IF(C8=1,((C4-C7)/C6)*L38,(IF(C7&lt;C4*(1-2/C6)^(L23),C4*(1-2/C6)^(L23-1)*(2/C6)*L38,(IF(0&gt;(C4*(1-2/C6)^(L23-1))-C7,0,C4*L38*(1-2/C6)^(L23-1)-C7)))))</f>
        <v/>
      </c>
      <c r="M61" s="60" t="n"/>
    </row>
    <row r="62" ht="13" customFormat="1" customHeight="1" s="57">
      <c r="A62" s="60" t="inlineStr">
        <is>
          <t>BV(ending)</t>
        </is>
      </c>
      <c r="B62" s="98">
        <f>C4</f>
        <v/>
      </c>
      <c r="C62" s="98">
        <f>C60-C61</f>
        <v/>
      </c>
      <c r="D62" s="98">
        <f>D60-D61</f>
        <v/>
      </c>
      <c r="E62" s="98">
        <f>E60-E61</f>
        <v/>
      </c>
      <c r="F62" s="98">
        <f>F60-F61</f>
        <v/>
      </c>
      <c r="G62" s="98">
        <f>G60-G61</f>
        <v/>
      </c>
      <c r="H62" s="98">
        <f>H60-H61</f>
        <v/>
      </c>
      <c r="I62" s="98">
        <f>I60-I61</f>
        <v/>
      </c>
      <c r="J62" s="98">
        <f>J60-J61</f>
        <v/>
      </c>
      <c r="K62" s="98">
        <f>K60-K61</f>
        <v/>
      </c>
      <c r="L62" s="98">
        <f>L60-L61</f>
        <v/>
      </c>
      <c r="M62" s="60" t="n"/>
    </row>
    <row r="63" ht="13" customFormat="1" customHeight="1" s="57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</row>
    <row r="64" ht="13" customFormat="1" customHeight="1" s="57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</row>
    <row r="65" ht="13" customFormat="1" customHeight="1" s="57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</row>
    <row r="66" ht="13" customFormat="1" customHeight="1" s="57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</row>
    <row r="67" ht="14" customHeight="1" s="110">
      <c r="A67" s="111" t="n"/>
      <c r="B67" s="111" t="n"/>
      <c r="C67" s="111" t="n"/>
      <c r="D67" s="111" t="n"/>
      <c r="E67" s="111" t="n"/>
      <c r="F67" s="111" t="n"/>
      <c r="G67" s="111" t="n"/>
      <c r="H67" s="111" t="n"/>
      <c r="I67" s="111" t="n"/>
      <c r="J67" s="111" t="n"/>
      <c r="K67" s="111" t="n"/>
      <c r="L67" s="111" t="n"/>
      <c r="M67" s="111" t="n"/>
    </row>
    <row r="68" ht="14" customHeight="1" s="110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  <c r="K68" s="111" t="n"/>
      <c r="L68" s="111" t="n"/>
      <c r="M68" s="111" t="n"/>
    </row>
    <row r="69" ht="14" customHeight="1" s="110">
      <c r="A69" s="111" t="n"/>
      <c r="B69" s="111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</row>
    <row r="70" ht="14" customHeight="1" s="110">
      <c r="A70" s="111" t="n"/>
      <c r="B70" s="111" t="n"/>
      <c r="C70" s="11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</row>
    <row r="71" ht="14" customHeight="1" s="110">
      <c r="A71" s="111" t="n"/>
      <c r="B71" s="111" t="n"/>
      <c r="C71" s="111" t="n"/>
      <c r="D71" s="111" t="n"/>
      <c r="E71" s="111" t="n"/>
      <c r="F71" s="111" t="n"/>
      <c r="G71" s="111" t="n"/>
      <c r="H71" s="111" t="n"/>
      <c r="I71" s="111" t="n"/>
      <c r="J71" s="111" t="n"/>
      <c r="K71" s="111" t="n"/>
      <c r="L71" s="111" t="n"/>
      <c r="M71" s="111" t="n"/>
    </row>
    <row r="72" ht="14" customHeight="1" s="110">
      <c r="A72" s="111" t="n"/>
      <c r="B72" s="111" t="n"/>
      <c r="C72" s="111" t="n"/>
      <c r="D72" s="111" t="n"/>
      <c r="E72" s="111" t="n"/>
      <c r="F72" s="111" t="n"/>
      <c r="G72" s="111" t="n"/>
      <c r="H72" s="111" t="n"/>
      <c r="I72" s="111" t="n"/>
      <c r="J72" s="111" t="n"/>
      <c r="K72" s="111" t="n"/>
      <c r="L72" s="111" t="n"/>
      <c r="M72" s="111" t="n"/>
    </row>
    <row r="73" ht="14" customHeight="1" s="110">
      <c r="A73" s="111" t="n"/>
      <c r="B73" s="111" t="n"/>
      <c r="C73" s="111" t="n"/>
      <c r="D73" s="111" t="n"/>
      <c r="E73" s="111" t="n"/>
      <c r="F73" s="111" t="n"/>
      <c r="G73" s="111" t="n"/>
      <c r="H73" s="111" t="n"/>
      <c r="I73" s="111" t="n"/>
      <c r="J73" s="111" t="n"/>
      <c r="K73" s="111" t="n"/>
      <c r="L73" s="111" t="n"/>
      <c r="M73" s="111" t="n"/>
    </row>
    <row r="74" ht="14" customHeight="1" s="110">
      <c r="A74" s="111" t="n"/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</row>
    <row r="75" ht="14" customHeight="1" s="110">
      <c r="A75" s="111" t="n"/>
      <c r="B75" s="111" t="n"/>
      <c r="C75" s="11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</row>
    <row r="76" ht="14" customHeight="1" s="110">
      <c r="A76" s="111" t="n"/>
      <c r="B76" s="111" t="n"/>
      <c r="C76" s="11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</row>
    <row r="77" ht="14" customHeight="1" s="110">
      <c r="A77" s="111" t="n"/>
      <c r="B77" s="111" t="n"/>
      <c r="C77" s="11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</row>
    <row r="78" ht="14" customHeight="1" s="110">
      <c r="A78" s="111" t="n"/>
      <c r="B78" s="111" t="n"/>
      <c r="C78" s="111" t="n"/>
      <c r="D78" s="111" t="n"/>
      <c r="E78" s="111" t="n"/>
      <c r="F78" s="111" t="n"/>
      <c r="G78" s="111" t="n"/>
      <c r="H78" s="111" t="n"/>
      <c r="I78" s="111" t="n"/>
      <c r="J78" s="111" t="n"/>
      <c r="K78" s="111" t="n"/>
      <c r="L78" s="111" t="n"/>
      <c r="M78" s="111" t="n"/>
    </row>
    <row r="79" ht="14" customHeight="1" s="110">
      <c r="A79" s="111" t="n"/>
      <c r="B79" s="111" t="n"/>
      <c r="C79" s="111" t="n"/>
      <c r="D79" s="111" t="n"/>
      <c r="E79" s="111" t="n"/>
      <c r="F79" s="111" t="n"/>
      <c r="G79" s="111" t="n"/>
      <c r="H79" s="111" t="n"/>
      <c r="I79" s="111" t="n"/>
      <c r="J79" s="111" t="n"/>
      <c r="K79" s="111" t="n"/>
      <c r="L79" s="111" t="n"/>
      <c r="M79" s="111" t="n"/>
    </row>
    <row r="80" ht="14" customHeight="1" s="110">
      <c r="A80" s="111" t="n"/>
      <c r="B80" s="111" t="n"/>
      <c r="C80" s="111" t="n"/>
      <c r="D80" s="111" t="n"/>
      <c r="E80" s="111" t="n"/>
      <c r="F80" s="111" t="n"/>
      <c r="G80" s="111" t="n"/>
      <c r="H80" s="111" t="n"/>
      <c r="I80" s="111" t="n"/>
      <c r="J80" s="111" t="n"/>
      <c r="K80" s="111" t="n"/>
      <c r="L80" s="111" t="n"/>
      <c r="M80" s="111" t="n"/>
    </row>
    <row r="81" ht="14" customHeight="1" s="110">
      <c r="A81" s="111" t="n"/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  <c r="M81" s="111" t="n"/>
    </row>
    <row r="82" ht="14" customHeight="1" s="110">
      <c r="A82" s="111" t="n"/>
      <c r="B82" s="111" t="n"/>
      <c r="C82" s="111" t="n"/>
      <c r="D82" s="111" t="n"/>
      <c r="E82" s="111" t="n"/>
      <c r="F82" s="111" t="n"/>
      <c r="G82" s="111" t="n"/>
      <c r="H82" s="111" t="n"/>
      <c r="I82" s="111" t="n"/>
      <c r="J82" s="111" t="n"/>
      <c r="K82" s="111" t="n"/>
      <c r="L82" s="111" t="n"/>
      <c r="M82" s="111" t="n"/>
    </row>
    <row r="83" ht="14" customHeight="1" s="110">
      <c r="A83" s="111" t="n"/>
      <c r="B83" s="111" t="n"/>
      <c r="C83" s="11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</row>
    <row r="84" ht="14" customHeight="1" s="110">
      <c r="A84" s="111" t="n"/>
      <c r="B84" s="111" t="n"/>
      <c r="C84" s="11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</row>
    <row r="85" ht="14" customHeight="1" s="110">
      <c r="A85" s="111" t="n"/>
      <c r="B85" s="111" t="n"/>
      <c r="C85" s="111" t="n"/>
      <c r="D85" s="111" t="n"/>
      <c r="E85" s="111" t="n"/>
      <c r="F85" s="111" t="n"/>
      <c r="G85" s="111" t="n"/>
      <c r="H85" s="111" t="n"/>
      <c r="I85" s="111" t="n"/>
      <c r="J85" s="111" t="n"/>
      <c r="K85" s="111" t="n"/>
      <c r="L85" s="111" t="n"/>
      <c r="M85" s="111" t="n"/>
    </row>
    <row r="86" ht="14" customHeight="1" s="110">
      <c r="A86" s="111" t="n"/>
      <c r="B86" s="111" t="n"/>
      <c r="C86" s="11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</row>
    <row r="87" ht="14" customHeight="1" s="110">
      <c r="A87" s="111" t="n"/>
      <c r="B87" s="111" t="n"/>
      <c r="C87" s="11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</row>
    <row r="88" ht="14" customHeight="1" s="110">
      <c r="A88" s="111" t="n"/>
      <c r="B88" s="111" t="n"/>
      <c r="C88" s="11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</row>
    <row r="89" ht="14" customHeight="1" s="110">
      <c r="A89" s="111" t="n"/>
      <c r="B89" s="111" t="n"/>
      <c r="C89" s="111" t="n"/>
      <c r="D89" s="111" t="n"/>
      <c r="E89" s="111" t="n"/>
      <c r="F89" s="111" t="n"/>
      <c r="G89" s="111" t="n"/>
      <c r="H89" s="111" t="n"/>
      <c r="I89" s="111" t="n"/>
      <c r="J89" s="111" t="n"/>
      <c r="K89" s="111" t="n"/>
      <c r="L89" s="111" t="n"/>
      <c r="M89" s="111" t="n"/>
    </row>
    <row r="90" ht="14" customHeight="1" s="110">
      <c r="A90" s="111" t="n"/>
      <c r="B90" s="111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K90" s="111" t="n"/>
      <c r="L90" s="111" t="n"/>
      <c r="M90" s="111" t="n"/>
    </row>
    <row r="91" ht="14" customHeight="1" s="110">
      <c r="A91" s="111" t="n"/>
      <c r="B91" s="111" t="n"/>
      <c r="C91" s="111" t="n"/>
      <c r="D91" s="111" t="n"/>
      <c r="E91" s="111" t="n"/>
      <c r="F91" s="111" t="n"/>
      <c r="G91" s="111" t="n"/>
      <c r="H91" s="111" t="n"/>
      <c r="I91" s="111" t="n"/>
      <c r="J91" s="111" t="n"/>
      <c r="K91" s="111" t="n"/>
      <c r="L91" s="111" t="n"/>
      <c r="M91" s="111" t="n"/>
    </row>
    <row r="92" ht="14" customHeight="1" s="110">
      <c r="A92" s="111" t="n"/>
      <c r="B92" s="111" t="n"/>
      <c r="C92" s="111" t="n"/>
      <c r="D92" s="111" t="n"/>
      <c r="E92" s="111" t="n"/>
      <c r="F92" s="111" t="n"/>
      <c r="G92" s="111" t="n"/>
      <c r="H92" s="111" t="n"/>
      <c r="I92" s="111" t="n"/>
      <c r="J92" s="111" t="n"/>
      <c r="K92" s="111" t="n"/>
      <c r="L92" s="111" t="n"/>
      <c r="M92" s="111" t="n"/>
    </row>
    <row r="93" ht="14" customHeight="1" s="110">
      <c r="A93" s="111" t="n"/>
      <c r="B93" s="111" t="n"/>
      <c r="C93" s="111" t="n"/>
      <c r="D93" s="111" t="n"/>
      <c r="E93" s="111" t="n"/>
      <c r="F93" s="111" t="n"/>
      <c r="G93" s="111" t="n"/>
      <c r="H93" s="111" t="n"/>
      <c r="I93" s="111" t="n"/>
      <c r="J93" s="111" t="n"/>
      <c r="K93" s="111" t="n"/>
      <c r="L93" s="111" t="n"/>
      <c r="M93" s="111" t="n"/>
    </row>
    <row r="94" ht="14" customHeight="1" s="110">
      <c r="A94" s="111" t="n"/>
      <c r="B94" s="111" t="n"/>
      <c r="C94" s="111" t="n"/>
      <c r="D94" s="111" t="n"/>
      <c r="E94" s="111" t="n"/>
      <c r="F94" s="111" t="n"/>
      <c r="G94" s="111" t="n"/>
      <c r="H94" s="111" t="n"/>
      <c r="I94" s="111" t="n"/>
      <c r="J94" s="111" t="n"/>
      <c r="K94" s="111" t="n"/>
      <c r="L94" s="111" t="n"/>
      <c r="M94" s="111" t="n"/>
    </row>
    <row r="95" ht="14" customHeight="1" s="110">
      <c r="A95" s="111" t="n"/>
      <c r="B95" s="111" t="n"/>
      <c r="C95" s="11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</row>
    <row r="96" ht="14" customHeight="1" s="110">
      <c r="A96" s="111" t="n"/>
      <c r="B96" s="111" t="n"/>
      <c r="C96" s="111" t="n"/>
      <c r="D96" s="111" t="n"/>
      <c r="E96" s="111" t="n"/>
      <c r="F96" s="111" t="n"/>
      <c r="G96" s="111" t="n"/>
      <c r="H96" s="111" t="n"/>
      <c r="I96" s="111" t="n"/>
      <c r="J96" s="111" t="n"/>
      <c r="K96" s="111" t="n"/>
      <c r="L96" s="111" t="n"/>
      <c r="M96" s="111" t="n"/>
    </row>
    <row r="97" ht="14" customHeight="1" s="110">
      <c r="A97" s="111" t="n"/>
      <c r="B97" s="111" t="n"/>
      <c r="C97" s="111" t="n"/>
      <c r="D97" s="111" t="n"/>
      <c r="E97" s="111" t="n"/>
      <c r="F97" s="111" t="n"/>
      <c r="G97" s="111" t="n"/>
      <c r="H97" s="111" t="n"/>
      <c r="I97" s="111" t="n"/>
      <c r="J97" s="111" t="n"/>
      <c r="K97" s="111" t="n"/>
      <c r="L97" s="111" t="n"/>
      <c r="M97" s="111" t="n"/>
    </row>
    <row r="98" ht="14" customHeight="1" s="110">
      <c r="A98" s="111" t="n"/>
      <c r="B98" s="111" t="n"/>
      <c r="C98" s="111" t="n"/>
      <c r="D98" s="111" t="n"/>
      <c r="E98" s="111" t="n"/>
      <c r="F98" s="111" t="n"/>
      <c r="G98" s="111" t="n"/>
      <c r="H98" s="111" t="n"/>
      <c r="I98" s="111" t="n"/>
      <c r="J98" s="111" t="n"/>
      <c r="K98" s="111" t="n"/>
      <c r="L98" s="111" t="n"/>
      <c r="M98" s="111" t="n"/>
    </row>
    <row r="99" ht="14" customHeight="1" s="110">
      <c r="A99" s="111" t="n"/>
      <c r="B99" s="111" t="n"/>
      <c r="C99" s="111" t="n"/>
      <c r="D99" s="111" t="n"/>
      <c r="E99" s="111" t="n"/>
      <c r="F99" s="111" t="n"/>
      <c r="G99" s="111" t="n"/>
      <c r="H99" s="111" t="n"/>
      <c r="I99" s="111" t="n"/>
      <c r="J99" s="111" t="n"/>
      <c r="K99" s="111" t="n"/>
      <c r="L99" s="111" t="n"/>
      <c r="M99" s="111" t="n"/>
    </row>
    <row r="100" ht="14" customHeight="1" s="110">
      <c r="A100" s="111" t="n"/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  <c r="M100" s="111" t="n"/>
    </row>
    <row r="101" ht="14" customHeight="1" s="110">
      <c r="A101" s="111" t="n"/>
      <c r="B101" s="111" t="n"/>
      <c r="C101" s="111" t="n"/>
      <c r="D101" s="111" t="n"/>
      <c r="E101" s="111" t="n"/>
      <c r="F101" s="111" t="n"/>
      <c r="G101" s="111" t="n"/>
      <c r="H101" s="111" t="n"/>
      <c r="I101" s="111" t="n"/>
      <c r="J101" s="111" t="n"/>
      <c r="K101" s="111" t="n"/>
      <c r="L101" s="111" t="n"/>
      <c r="M101" s="111" t="n"/>
    </row>
    <row r="102" ht="14" customHeight="1" s="110">
      <c r="A102" s="111" t="n"/>
      <c r="B102" s="111" t="n"/>
      <c r="C102" s="111" t="n"/>
      <c r="D102" s="111" t="n"/>
      <c r="E102" s="111" t="n"/>
      <c r="F102" s="111" t="n"/>
      <c r="G102" s="111" t="n"/>
      <c r="H102" s="111" t="n"/>
      <c r="I102" s="111" t="n"/>
      <c r="J102" s="111" t="n"/>
      <c r="K102" s="111" t="n"/>
      <c r="L102" s="111" t="n"/>
      <c r="M102" s="111" t="n"/>
    </row>
    <row r="103" ht="14" customHeight="1" s="110">
      <c r="A103" s="111" t="n"/>
      <c r="B103" s="111" t="n"/>
      <c r="C103" s="111" t="n"/>
      <c r="D103" s="111" t="n"/>
      <c r="E103" s="111" t="n"/>
      <c r="F103" s="111" t="n"/>
      <c r="G103" s="111" t="n"/>
      <c r="H103" s="111" t="n"/>
      <c r="I103" s="111" t="n"/>
      <c r="J103" s="111" t="n"/>
      <c r="K103" s="111" t="n"/>
      <c r="L103" s="111" t="n"/>
      <c r="M103" s="111" t="n"/>
    </row>
    <row r="104" ht="14" customHeight="1" s="110">
      <c r="A104" s="111" t="n"/>
      <c r="B104" s="111" t="n"/>
      <c r="C104" s="111" t="n"/>
      <c r="D104" s="111" t="n"/>
      <c r="E104" s="111" t="n"/>
      <c r="F104" s="111" t="n"/>
      <c r="G104" s="111" t="n"/>
      <c r="H104" s="111" t="n"/>
      <c r="I104" s="111" t="n"/>
      <c r="J104" s="111" t="n"/>
      <c r="K104" s="111" t="n"/>
      <c r="L104" s="111" t="n"/>
      <c r="M104" s="111" t="n"/>
    </row>
    <row r="105" ht="14" customHeight="1" s="110">
      <c r="A105" s="111" t="n"/>
      <c r="B105" s="111" t="n"/>
      <c r="C105" s="11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</row>
  </sheetData>
  <mergeCells count="2">
    <mergeCell ref="A1:K1"/>
    <mergeCell ref="B53:C53"/>
  </mergeCells>
  <printOptions horizontalCentered="0" verticalCentered="0" headings="0" gridLines="0" gridLinesSet="1"/>
  <pageMargins left="0.747916666666667" right="0.747916666666667" top="0.9840277777777779" bottom="0.9840277777777779" header="0.5" footer="0.511811023622047"/>
  <pageSetup orientation="landscape" paperSize="1" scale="100" fitToHeight="1" fitToWidth="1" firstPageNumber="5" useFirstPageNumber="1" pageOrder="downThenOver" blackAndWhite="0" draft="0" horizontalDpi="300" verticalDpi="300" copies="1"/>
  <headerFooter differentOddEven="0" differentFirst="0">
    <oddHeader>&amp;C&amp;"Times New Roman,Regular"&amp;12 CAPITAL BUDGETING WORKSHEET&amp;R&amp;P</oddHeader>
    <oddFooter/>
    <evenHeader/>
    <evenFooter/>
    <firstHeader/>
    <firstFooter/>
  </headerFooter>
  <rowBreaks count="2" manualBreakCount="2">
    <brk id="20" min="0" max="16383" man="1"/>
    <brk id="6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2000-11-16T04:03:24Z</dcterms:created>
  <dcterms:modified xsi:type="dcterms:W3CDTF">2026-03-05T04:05:36Z</dcterms:modified>
  <cp:lastModifiedBy>Aswath Damodaran</cp:lastModifiedBy>
  <cp:revision>0</cp:revision>
</cp:coreProperties>
</file>