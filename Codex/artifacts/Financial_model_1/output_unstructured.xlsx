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f>'DETAIL.XLS'!$A$1</f>
        <v/>
      </c>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f>I5+1</f>
        <v/>
      </c>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f>I6+2</f>
        <v/>
      </c>
    </row>
    <row r="10" ht="15.75" customHeight="1" s="277">
      <c r="C10" s="9" t="inlineStr">
        <is>
          <t>-</t>
        </is>
      </c>
      <c r="D10" s="11" t="inlineStr">
        <is>
          <t>Balance Sheet</t>
        </is>
      </c>
      <c r="I10" s="3">
        <f>I9+1</f>
        <v/>
      </c>
    </row>
    <row r="11" ht="15.75" customHeight="1" s="277">
      <c r="C11" s="9" t="inlineStr">
        <is>
          <t>-</t>
        </is>
      </c>
      <c r="D11" s="11" t="inlineStr">
        <is>
          <t>Statement of Sources &amp; Uses</t>
        </is>
      </c>
      <c r="I11" s="3">
        <f>I10+1</f>
        <v/>
      </c>
    </row>
    <row r="12" ht="15.75" customHeight="1" s="277">
      <c r="C12" s="9" t="inlineStr">
        <is>
          <t>-</t>
        </is>
      </c>
      <c r="D12" s="11" t="inlineStr">
        <is>
          <t>Revenue, Gross Margin, &amp; Profit Graph</t>
        </is>
      </c>
      <c r="I12" s="3">
        <f>I11+1</f>
        <v/>
      </c>
    </row>
    <row r="13" ht="15.75" customHeight="1" s="277">
      <c r="C13" s="9" t="inlineStr">
        <is>
          <t>-</t>
        </is>
      </c>
      <c r="D13" s="11" t="inlineStr">
        <is>
          <t>Breakeven Chart</t>
        </is>
      </c>
      <c r="I13" s="3">
        <f>I12+1</f>
        <v/>
      </c>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f>I13+1</f>
        <v/>
      </c>
    </row>
    <row r="17" ht="15.75" customHeight="1" s="277">
      <c r="C17" s="9" t="inlineStr">
        <is>
          <t>-</t>
        </is>
      </c>
      <c r="D17" s="11" t="inlineStr">
        <is>
          <t>Statement of Sources &amp; Uses</t>
        </is>
      </c>
      <c r="I17" s="3">
        <f>I16+3</f>
        <v/>
      </c>
    </row>
    <row r="18" ht="15.75" customHeight="1" s="277">
      <c r="C18" s="9" t="inlineStr">
        <is>
          <t>-</t>
        </is>
      </c>
      <c r="D18" s="11" t="inlineStr">
        <is>
          <t>Income Statement</t>
        </is>
      </c>
      <c r="I18" s="3">
        <f>I17+3</f>
        <v/>
      </c>
    </row>
    <row r="19" ht="15.75" customHeight="1" s="277">
      <c r="C19" s="9" t="inlineStr">
        <is>
          <t>-</t>
        </is>
      </c>
      <c r="D19" s="11" t="inlineStr">
        <is>
          <t>Balance Sheet</t>
        </is>
      </c>
      <c r="I19" s="3">
        <f>I18+6</f>
        <v/>
      </c>
    </row>
    <row r="20" ht="8.1" customHeight="1" s="277"/>
    <row r="21" ht="15.75" customHeight="1" s="277">
      <c r="B21" s="12" t="inlineStr">
        <is>
          <t>4)</t>
        </is>
      </c>
      <c r="C21" s="11" t="inlineStr">
        <is>
          <t>SALES PROJECTIONS AND MARGIN ANALYSES</t>
        </is>
      </c>
    </row>
    <row r="22" ht="15.75" customHeight="1" s="277">
      <c r="C22" s="9" t="inlineStr">
        <is>
          <t>-</t>
        </is>
      </c>
      <c r="D22" s="10">
        <f>Assumptions!I10</f>
        <v/>
      </c>
      <c r="I22" s="3">
        <f>I19+3</f>
        <v/>
      </c>
    </row>
    <row r="23" ht="15.75" customHeight="1" s="277">
      <c r="C23" s="9" t="inlineStr">
        <is>
          <t>-</t>
        </is>
      </c>
      <c r="D23" s="10">
        <f>Assumptions!I11</f>
        <v/>
      </c>
      <c r="I23" s="3">
        <f>I22+3</f>
        <v/>
      </c>
    </row>
    <row r="24" ht="15.75" customHeight="1" s="277">
      <c r="C24" s="9" t="inlineStr">
        <is>
          <t>-</t>
        </is>
      </c>
      <c r="D24" s="10">
        <f>Assumptions!I12</f>
        <v/>
      </c>
      <c r="I24" s="3">
        <f>I23+3</f>
        <v/>
      </c>
    </row>
    <row r="25" ht="15.75" customHeight="1" s="277">
      <c r="C25" s="9" t="inlineStr">
        <is>
          <t>-</t>
        </is>
      </c>
      <c r="D25" s="10">
        <f>Assumptions!I13</f>
        <v/>
      </c>
      <c r="I25" s="3">
        <f>I24+3</f>
        <v/>
      </c>
    </row>
    <row r="26" ht="8.1" customHeight="1" s="277"/>
    <row r="27" ht="15.75" customHeight="1" s="277">
      <c r="B27" s="12" t="inlineStr">
        <is>
          <t>5)</t>
        </is>
      </c>
      <c r="C27" s="11" t="inlineStr">
        <is>
          <t>STAFFING PLAN</t>
        </is>
      </c>
      <c r="I27" s="3">
        <f>I25+3</f>
        <v/>
      </c>
    </row>
    <row r="28" ht="8.1" customHeight="1" s="277"/>
    <row r="29" ht="15.75" customHeight="1" s="277">
      <c r="B29" s="12" t="inlineStr">
        <is>
          <t>6)</t>
        </is>
      </c>
      <c r="C29" s="11" t="inlineStr">
        <is>
          <t>EQUIPMENT PURCHASES</t>
        </is>
      </c>
      <c r="I29" s="3">
        <f>I27+6</f>
        <v/>
      </c>
    </row>
    <row r="30" ht="8.1" customHeight="1" s="277"/>
    <row r="31" ht="15.75" customHeight="1" s="277">
      <c r="B31" s="12" t="inlineStr">
        <is>
          <t>7)</t>
        </is>
      </c>
      <c r="C31" s="11" t="inlineStr">
        <is>
          <t>MANUFACTURING &amp; INVENTORY</t>
        </is>
      </c>
      <c r="I31" s="3">
        <f>I29+6</f>
        <v/>
      </c>
    </row>
    <row r="32" ht="8.1" customHeight="1" s="277"/>
    <row r="33" ht="15.75" customHeight="1" s="277">
      <c r="B33" s="12" t="inlineStr">
        <is>
          <t>8)</t>
        </is>
      </c>
      <c r="C33" s="11" t="inlineStr">
        <is>
          <t>RENT &amp; TAXES</t>
        </is>
      </c>
      <c r="I33" s="3">
        <f>I31+3</f>
        <v/>
      </c>
    </row>
    <row r="34" ht="8.1" customHeight="1" s="277"/>
    <row r="35" ht="15.75" customHeight="1" s="277">
      <c r="B35" s="12" t="inlineStr">
        <is>
          <t>9)</t>
        </is>
      </c>
      <c r="C35" s="11" t="inlineStr">
        <is>
          <t>FINANCING ACTIVITIES</t>
        </is>
      </c>
      <c r="I35" s="3">
        <f>I33+3</f>
        <v/>
      </c>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f>'DETAIL.XLS'!$A$1</f>
        <v/>
      </c>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f>I8</f>
        <v/>
      </c>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f>'DETAIL.XLS'!R1</f>
        <v/>
      </c>
      <c r="F25" s="282">
        <f>'DETAIL.XLS'!AE1</f>
        <v/>
      </c>
      <c r="G25" s="282">
        <f>'DETAIL.XLS'!AF1</f>
        <v/>
      </c>
      <c r="H25" s="282">
        <f>'DETAIL.XLS'!AG1</f>
        <v/>
      </c>
      <c r="I25" s="283">
        <f>'DETAIL.XLS'!AH1</f>
        <v/>
      </c>
      <c r="J25" s="284" t="n"/>
      <c r="K25" s="41" t="n"/>
      <c r="L25" s="37" t="n"/>
    </row>
    <row r="26" ht="10.5" customHeight="1" s="277">
      <c r="A26" s="68" t="n"/>
      <c r="B26" s="68" t="n"/>
      <c r="C26" s="68" t="n"/>
      <c r="D26" s="49">
        <f>$I$10</f>
        <v/>
      </c>
      <c r="E26" s="285">
        <f>'DETAIL.XLS'!R246</f>
        <v/>
      </c>
      <c r="F26" s="286">
        <f>'DETAIL.XLS'!AE246</f>
        <v/>
      </c>
      <c r="G26" s="286">
        <f>'DETAIL.XLS'!AF246</f>
        <v/>
      </c>
      <c r="H26" s="286">
        <f>'DETAIL.XLS'!AG246</f>
        <v/>
      </c>
      <c r="I26" s="287">
        <f>'DETAIL.XLS'!AH246</f>
        <v/>
      </c>
      <c r="J26" s="286" t="n"/>
      <c r="K26" s="41" t="n"/>
      <c r="L26" s="37" t="n"/>
    </row>
    <row r="27" ht="10.5" customFormat="1" customHeight="1" s="111">
      <c r="A27" s="68" t="n"/>
      <c r="B27" s="68" t="n"/>
      <c r="C27" s="68" t="n"/>
      <c r="D27" s="53">
        <f>$I$11</f>
        <v/>
      </c>
      <c r="E27" s="285">
        <f>'DETAIL.XLS'!R285</f>
        <v/>
      </c>
      <c r="F27" s="286">
        <f>'DETAIL.XLS'!AE285</f>
        <v/>
      </c>
      <c r="G27" s="286">
        <f>'DETAIL.XLS'!AF285</f>
        <v/>
      </c>
      <c r="H27" s="286">
        <f>'DETAIL.XLS'!AG285</f>
        <v/>
      </c>
      <c r="I27" s="287">
        <f>'DETAIL.XLS'!AH285</f>
        <v/>
      </c>
      <c r="J27" s="286" t="n"/>
      <c r="K27" s="68" t="n"/>
      <c r="L27" s="37" t="n"/>
    </row>
    <row r="28" ht="10.5" customFormat="1" customHeight="1" s="111">
      <c r="A28" s="68" t="n"/>
      <c r="B28" s="68" t="n"/>
      <c r="C28" s="68" t="n"/>
      <c r="D28" s="53">
        <f>$I$12</f>
        <v/>
      </c>
      <c r="E28" s="285">
        <f>'DETAIL.XLS'!R324</f>
        <v/>
      </c>
      <c r="F28" s="286">
        <f>'DETAIL.XLS'!AE324</f>
        <v/>
      </c>
      <c r="G28" s="286">
        <f>'DETAIL.XLS'!AF324</f>
        <v/>
      </c>
      <c r="H28" s="286">
        <f>'DETAIL.XLS'!AG324</f>
        <v/>
      </c>
      <c r="I28" s="287">
        <f>'DETAIL.XLS'!AH324</f>
        <v/>
      </c>
      <c r="J28" s="286" t="n"/>
      <c r="K28" s="68" t="n"/>
      <c r="L28" s="37" t="n"/>
    </row>
    <row r="29" ht="10.5" customFormat="1" customHeight="1" s="111">
      <c r="A29" s="68" t="n"/>
      <c r="B29" s="68" t="n"/>
      <c r="C29" s="68" t="n"/>
      <c r="D29" s="55">
        <f>$I$13</f>
        <v/>
      </c>
      <c r="E29" s="288">
        <f>'DETAIL.XLS'!R363</f>
        <v/>
      </c>
      <c r="F29" s="289">
        <f>'DETAIL.XLS'!AE363</f>
        <v/>
      </c>
      <c r="G29" s="289">
        <f>'DETAIL.XLS'!AF363</f>
        <v/>
      </c>
      <c r="H29" s="289">
        <f>'DETAIL.XLS'!AG363</f>
        <v/>
      </c>
      <c r="I29" s="290">
        <f>'DETAIL.XLS'!AH363</f>
        <v/>
      </c>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f>$E$25</f>
        <v/>
      </c>
      <c r="F32" s="282">
        <f>$F$25</f>
        <v/>
      </c>
      <c r="G32" s="282">
        <f>$G$25</f>
        <v/>
      </c>
      <c r="H32" s="282">
        <f>$H$25</f>
        <v/>
      </c>
      <c r="I32" s="283">
        <f>$I$25</f>
        <v/>
      </c>
      <c r="J32" s="284" t="n"/>
      <c r="K32" s="41" t="n"/>
      <c r="L32" s="37" t="n"/>
    </row>
    <row r="33" ht="10.5" customHeight="1" s="277">
      <c r="A33" s="68" t="n"/>
      <c r="B33" s="68" t="n"/>
      <c r="C33" s="68" t="n"/>
      <c r="D33" s="49">
        <f>$I$10</f>
        <v/>
      </c>
      <c r="E33" s="291">
        <f>IF(E26&gt;0,'DETAIL.XLS'!R255/E26,0)</f>
        <v/>
      </c>
      <c r="F33" s="292">
        <f>IF(F26&gt;0,'DETAIL.XLS'!AE255/F26,0)</f>
        <v/>
      </c>
      <c r="G33" s="292">
        <f>IF(G26&gt;0,'DETAIL.XLS'!AF255/G26,0)</f>
        <v/>
      </c>
      <c r="H33" s="292">
        <f>IF(H26&gt;0,'DETAIL.XLS'!AG255/H26,0)</f>
        <v/>
      </c>
      <c r="I33" s="293">
        <f>IF(I26&gt;0,'DETAIL.XLS'!AH255/I26,0)</f>
        <v/>
      </c>
      <c r="J33" s="286" t="n"/>
      <c r="K33" s="35" t="n"/>
      <c r="L33" s="37" t="n"/>
    </row>
    <row r="34" ht="10.5" customHeight="1" s="277">
      <c r="A34" s="68" t="n"/>
      <c r="B34" s="68" t="n"/>
      <c r="C34" s="68" t="n"/>
      <c r="D34" s="53">
        <f>$I$11</f>
        <v/>
      </c>
      <c r="E34" s="285">
        <f>IF(E27&gt;0,'DETAIL.XLS'!R294/E27,0)</f>
        <v/>
      </c>
      <c r="F34" s="286">
        <f>IF(F27&gt;0,'DETAIL.XLS'!AE294/F27,0)</f>
        <v/>
      </c>
      <c r="G34" s="286">
        <f>IF(G27&gt;0,'DETAIL.XLS'!AF294/G27,0)</f>
        <v/>
      </c>
      <c r="H34" s="286">
        <f>IF(H27&gt;0,'DETAIL.XLS'!AG294/H27,0)</f>
        <v/>
      </c>
      <c r="I34" s="287">
        <f>IF(I27&gt;0,'DETAIL.XLS'!AH294/I27,0)</f>
        <v/>
      </c>
      <c r="J34" s="286" t="n"/>
      <c r="K34" s="41" t="n"/>
      <c r="L34" s="37" t="n"/>
    </row>
    <row r="35" ht="10.5" customHeight="1" s="277">
      <c r="A35" s="68" t="n"/>
      <c r="B35" s="68" t="n"/>
      <c r="C35" s="68" t="n"/>
      <c r="D35" s="53">
        <f>$I$12</f>
        <v/>
      </c>
      <c r="E35" s="285">
        <f>IF(E28&gt;0,'DETAIL.XLS'!R333/E28,0)</f>
        <v/>
      </c>
      <c r="F35" s="286">
        <f>IF(F28&gt;0,'DETAIL.XLS'!AE333/F28,0)</f>
        <v/>
      </c>
      <c r="G35" s="286">
        <f>IF(G28&gt;0,'DETAIL.XLS'!AF333/G28,0)</f>
        <v/>
      </c>
      <c r="H35" s="286">
        <f>IF(H28&gt;0,'DETAIL.XLS'!AG333/H28,0)</f>
        <v/>
      </c>
      <c r="I35" s="287">
        <f>IF(I28&gt;0,'DETAIL.XLS'!AH333/I28,0)</f>
        <v/>
      </c>
      <c r="J35" s="286" t="n"/>
      <c r="K35" s="68" t="n"/>
      <c r="L35" s="37" t="n"/>
    </row>
    <row r="36" ht="10.5" customHeight="1" s="277">
      <c r="A36" s="68" t="n"/>
      <c r="B36" s="68" t="n"/>
      <c r="C36" s="68" t="n"/>
      <c r="D36" s="55">
        <f>$I$13</f>
        <v/>
      </c>
      <c r="E36" s="288">
        <f>IF(E29&gt;0,'DETAIL.XLS'!R372/E29,0)</f>
        <v/>
      </c>
      <c r="F36" s="289">
        <f>IF(F29&gt;0,'DETAIL.XLS'!AE372/F29,0)</f>
        <v/>
      </c>
      <c r="G36" s="289">
        <f>IF(G29&gt;0,'DETAIL.XLS'!AF372/G29,0)</f>
        <v/>
      </c>
      <c r="H36" s="289">
        <f>IF(H29&gt;0,'DETAIL.XLS'!AG372/H29,0)</f>
        <v/>
      </c>
      <c r="I36" s="290">
        <f>IF(I29&gt;0,'DETAIL.XLS'!AH372/I29,0)</f>
        <v/>
      </c>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f>E$25</f>
        <v/>
      </c>
      <c r="F42" s="282">
        <f>F$25</f>
        <v/>
      </c>
      <c r="G42" s="282">
        <f>G$25</f>
        <v/>
      </c>
      <c r="H42" s="282">
        <f>H$25</f>
        <v/>
      </c>
      <c r="I42" s="283">
        <f>I$25</f>
        <v/>
      </c>
      <c r="J42" s="284" t="n"/>
      <c r="K42" s="35" t="n"/>
      <c r="L42" s="37" t="n"/>
    </row>
    <row r="43" ht="10.5" customHeight="1" s="277">
      <c r="A43" s="68" t="n"/>
      <c r="B43" s="68" t="n"/>
      <c r="C43" s="68" t="n"/>
      <c r="D43" s="49">
        <f>$I$10</f>
        <v/>
      </c>
      <c r="E43" s="291">
        <f>IF(E26&gt;0,'DETAIL.XLS'!R267/E26,0)</f>
        <v/>
      </c>
      <c r="F43" s="292">
        <f>IF(F26&gt;0,'DETAIL.XLS'!AE267/F26,0)</f>
        <v/>
      </c>
      <c r="G43" s="292">
        <f>IF(G26&gt;0,'DETAIL.XLS'!AF267/G26,0)</f>
        <v/>
      </c>
      <c r="H43" s="292">
        <f>IF(H26&gt;0,'DETAIL.XLS'!AG267/H26,0)</f>
        <v/>
      </c>
      <c r="I43" s="293">
        <f>IF(I26&gt;0,'DETAIL.XLS'!AH267/I26,0)</f>
        <v/>
      </c>
      <c r="J43" s="286" t="n"/>
      <c r="K43" s="294" t="n"/>
      <c r="L43" s="37" t="n"/>
    </row>
    <row r="44" ht="10.5" customHeight="1" s="277">
      <c r="A44" s="68" t="n"/>
      <c r="B44" s="68" t="n"/>
      <c r="C44" s="68" t="n"/>
      <c r="D44" s="53">
        <f>$I$11</f>
        <v/>
      </c>
      <c r="E44" s="285">
        <f>IF(E27&gt;0,'DETAIL.XLS'!R306/E27,0)</f>
        <v/>
      </c>
      <c r="F44" s="286">
        <f>IF(F27&gt;0,'DETAIL.XLS'!AE306/F27,0)</f>
        <v/>
      </c>
      <c r="G44" s="286">
        <f>IF(G27&gt;0,'DETAIL.XLS'!AF306/G27,0)</f>
        <v/>
      </c>
      <c r="H44" s="286">
        <f>IF(H27&gt;0,'DETAIL.XLS'!AG306/H27,0)</f>
        <v/>
      </c>
      <c r="I44" s="287">
        <f>IF(I27&gt;0,'DETAIL.XLS'!AH306/I27,0)</f>
        <v/>
      </c>
      <c r="J44" s="286" t="n"/>
      <c r="K44" s="68" t="n"/>
      <c r="L44" s="37" t="n"/>
    </row>
    <row r="45" ht="10.5" customHeight="1" s="277">
      <c r="A45" s="68" t="n"/>
      <c r="B45" s="68" t="n"/>
      <c r="C45" s="68" t="n"/>
      <c r="D45" s="53">
        <f>$I$12</f>
        <v/>
      </c>
      <c r="E45" s="285">
        <f>IF(E28&gt;0,'DETAIL.XLS'!R345/E28,0)</f>
        <v/>
      </c>
      <c r="F45" s="286">
        <f>IF(F28&gt;0,'DETAIL.XLS'!AE345/F28,0)</f>
        <v/>
      </c>
      <c r="G45" s="286">
        <f>IF(G28&gt;0,'DETAIL.XLS'!AF345/G28,0)</f>
        <v/>
      </c>
      <c r="H45" s="286">
        <f>IF(H28&gt;0,'DETAIL.XLS'!AG345/H28,0)</f>
        <v/>
      </c>
      <c r="I45" s="287">
        <f>IF(I28&gt;0,'DETAIL.XLS'!AH345/I28,0)</f>
        <v/>
      </c>
      <c r="J45" s="286" t="n"/>
      <c r="K45" s="68" t="n"/>
      <c r="L45" s="37" t="n"/>
    </row>
    <row r="46" ht="10.5" customHeight="1" s="277">
      <c r="A46" s="68" t="n"/>
      <c r="B46" s="68" t="n"/>
      <c r="C46" s="68" t="n"/>
      <c r="D46" s="55">
        <f>$I$13</f>
        <v/>
      </c>
      <c r="E46" s="288">
        <f>IF(E29&gt;0,'DETAIL.XLS'!R384/E29,0)</f>
        <v/>
      </c>
      <c r="F46" s="289">
        <f>IF(F29&gt;0,'DETAIL.XLS'!AE384/F29,0)</f>
        <v/>
      </c>
      <c r="G46" s="289">
        <f>IF(G29&gt;0,'DETAIL.XLS'!AF384/G29,0)</f>
        <v/>
      </c>
      <c r="H46" s="289">
        <f>IF(H29&gt;0,'DETAIL.XLS'!AG384/H29,0)</f>
        <v/>
      </c>
      <c r="I46" s="290">
        <f>IF(I29&gt;0,'DETAIL.XLS'!AH384/I29,0)</f>
        <v/>
      </c>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f>"(as a percentage of "&amp;$D$26&amp;" revenue)...................................................................................................................................................................................."</f>
        <v/>
      </c>
      <c r="F49" s="37" t="n"/>
      <c r="G49" s="68" t="n"/>
      <c r="H49" s="37" t="n"/>
      <c r="I49" s="297" t="n">
        <v>0</v>
      </c>
      <c r="J49" s="37" t="n"/>
      <c r="K49" s="37" t="n"/>
      <c r="L49" s="37" t="n"/>
    </row>
    <row r="50" ht="10.5" customHeight="1" s="277">
      <c r="A50" s="68" t="n"/>
      <c r="B50" s="37" t="n"/>
      <c r="C50" s="35" t="n"/>
      <c r="D50" s="35" t="inlineStr">
        <is>
          <t>Returns.................................................................................................................................................................................................."</t>
        </is>
      </c>
      <c r="E50" s="296">
        <f>"(as a percentage of "&amp;$D$27&amp;" revenue)...................................................................................................................................................................................."</f>
        <v/>
      </c>
      <c r="F50" s="37" t="n"/>
      <c r="G50" s="68" t="n"/>
      <c r="H50" s="37" t="n"/>
      <c r="I50" s="297" t="n">
        <v>0</v>
      </c>
      <c r="J50" s="37" t="n"/>
      <c r="K50" s="37" t="n"/>
      <c r="L50" s="37" t="n"/>
    </row>
    <row r="51" ht="10.5" customHeight="1" s="277">
      <c r="A51" s="68" t="n"/>
      <c r="B51" s="37" t="n"/>
      <c r="C51" s="35" t="n"/>
      <c r="D51" s="35" t="inlineStr">
        <is>
          <t>Returns.................................................................................................................................................................................................."</t>
        </is>
      </c>
      <c r="E51" s="296">
        <f>"(as a percentage of "&amp;$D$28&amp;" revenue)...................................................................................................................................................................................."</f>
        <v/>
      </c>
      <c r="F51" s="37" t="n"/>
      <c r="G51" s="68" t="n"/>
      <c r="H51" s="37" t="n"/>
      <c r="I51" s="297" t="n">
        <v>0</v>
      </c>
      <c r="J51" s="37" t="n"/>
      <c r="K51" s="37" t="n"/>
      <c r="L51" s="37" t="n"/>
    </row>
    <row r="52" ht="10.5" customHeight="1" s="277">
      <c r="A52" s="68" t="n"/>
      <c r="B52" s="37" t="n"/>
      <c r="C52" s="35" t="n"/>
      <c r="D52" s="35" t="inlineStr">
        <is>
          <t>Returns.................................................................................................................................................................................................."</t>
        </is>
      </c>
      <c r="E52" s="296">
        <f>"(as a percentage of "&amp;$D$29&amp;" revenue)...................................................................................................................................................................................."</f>
        <v/>
      </c>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f>$I$14</f>
        <v/>
      </c>
      <c r="E70" s="302" t="n">
        <v>3</v>
      </c>
      <c r="F70" s="302" t="n">
        <v>3</v>
      </c>
      <c r="G70" s="303" t="n">
        <v>3</v>
      </c>
      <c r="H70" s="37" t="n"/>
      <c r="I70" s="68" t="n"/>
      <c r="J70" s="286" t="n"/>
      <c r="K70" s="68" t="n"/>
      <c r="L70" s="37" t="n"/>
    </row>
    <row r="71" ht="10.5" customHeight="1" s="277">
      <c r="A71" s="68" t="n"/>
      <c r="B71" s="68" t="n"/>
      <c r="C71" s="68" t="n"/>
      <c r="D71" s="81">
        <f>$I$15</f>
        <v/>
      </c>
      <c r="E71" s="304" t="n">
        <v>3</v>
      </c>
      <c r="F71" s="304" t="n">
        <v>3</v>
      </c>
      <c r="G71" s="305" t="n">
        <v>3</v>
      </c>
      <c r="H71" s="37" t="n"/>
      <c r="I71" s="68" t="n"/>
      <c r="J71" s="68" t="n"/>
      <c r="K71" s="68" t="n"/>
      <c r="L71" s="37" t="n"/>
    </row>
    <row r="72" ht="10.5" customHeight="1" s="277">
      <c r="A72" s="68" t="n"/>
      <c r="B72" s="68" t="n"/>
      <c r="C72" s="68" t="n"/>
      <c r="D72" s="81">
        <f>$I$16</f>
        <v/>
      </c>
      <c r="E72" s="304" t="n">
        <v>3</v>
      </c>
      <c r="F72" s="304" t="n">
        <v>3</v>
      </c>
      <c r="G72" s="305" t="n">
        <v>3</v>
      </c>
      <c r="H72" s="37" t="n"/>
      <c r="I72" s="68" t="n"/>
      <c r="J72" s="68" t="n"/>
      <c r="K72" s="68" t="n"/>
      <c r="L72" s="37" t="n"/>
    </row>
    <row r="73" ht="10.5" customHeight="1" s="277">
      <c r="A73" s="68" t="n"/>
      <c r="B73" s="68" t="n"/>
      <c r="C73" s="68" t="n"/>
      <c r="D73" s="84">
        <f>$I$17</f>
        <v/>
      </c>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f>E$25</f>
        <v/>
      </c>
      <c r="F82" s="282">
        <f>F$25</f>
        <v/>
      </c>
      <c r="G82" s="282">
        <f>G$25</f>
        <v/>
      </c>
      <c r="H82" s="282">
        <f>H$25</f>
        <v/>
      </c>
      <c r="I82" s="283">
        <f>I$25</f>
        <v/>
      </c>
      <c r="J82" s="68" t="n"/>
      <c r="K82" s="68" t="n"/>
      <c r="L82" s="37" t="n"/>
    </row>
    <row r="83" ht="10.5" customHeight="1" s="277">
      <c r="A83" s="68" t="n"/>
      <c r="B83" s="68" t="n"/>
      <c r="C83" s="68" t="n"/>
      <c r="D83" s="78">
        <f>$I$14</f>
        <v/>
      </c>
      <c r="E83" s="291">
        <f>'DETAIL.XLS'!R407</f>
        <v/>
      </c>
      <c r="F83" s="292">
        <f>'DETAIL.XLS'!AE407</f>
        <v/>
      </c>
      <c r="G83" s="292">
        <f>'DETAIL.XLS'!AF407</f>
        <v/>
      </c>
      <c r="H83" s="292">
        <f>'DETAIL.XLS'!AG407</f>
        <v/>
      </c>
      <c r="I83" s="293">
        <f>'DETAIL.XLS'!AH407</f>
        <v/>
      </c>
      <c r="J83" s="68" t="n"/>
      <c r="K83" s="68" t="n"/>
      <c r="L83" s="37" t="n"/>
    </row>
    <row r="84" ht="10.5" customHeight="1" s="277">
      <c r="A84" s="68" t="n"/>
      <c r="B84" s="68" t="n"/>
      <c r="C84" s="68" t="n"/>
      <c r="D84" s="81">
        <f>$I$15</f>
        <v/>
      </c>
      <c r="E84" s="285">
        <f>'DETAIL.XLS'!R415</f>
        <v/>
      </c>
      <c r="F84" s="286">
        <f>'DETAIL.XLS'!AE415</f>
        <v/>
      </c>
      <c r="G84" s="286">
        <f>'DETAIL.XLS'!AF415</f>
        <v/>
      </c>
      <c r="H84" s="286">
        <f>'DETAIL.XLS'!AG415</f>
        <v/>
      </c>
      <c r="I84" s="287">
        <f>'DETAIL.XLS'!AH415</f>
        <v/>
      </c>
      <c r="J84" s="68" t="n"/>
      <c r="K84" s="68" t="n"/>
      <c r="L84" s="37" t="n"/>
    </row>
    <row r="85" ht="10.5" customHeight="1" s="277">
      <c r="A85" s="68" t="n"/>
      <c r="B85" s="68" t="n"/>
      <c r="C85" s="68" t="n"/>
      <c r="D85" s="81">
        <f>$I$16</f>
        <v/>
      </c>
      <c r="E85" s="285">
        <f>'DETAIL.XLS'!R426</f>
        <v/>
      </c>
      <c r="F85" s="286">
        <f>'DETAIL.XLS'!AE426</f>
        <v/>
      </c>
      <c r="G85" s="286">
        <f>'DETAIL.XLS'!AF426</f>
        <v/>
      </c>
      <c r="H85" s="286">
        <f>'DETAIL.XLS'!AG426</f>
        <v/>
      </c>
      <c r="I85" s="287">
        <f>'DETAIL.XLS'!AH426</f>
        <v/>
      </c>
      <c r="J85" s="68" t="n"/>
      <c r="K85" s="68" t="n"/>
      <c r="L85" s="37" t="n"/>
    </row>
    <row r="86" ht="10.5" customHeight="1" s="277">
      <c r="A86" s="68" t="n"/>
      <c r="B86" s="68" t="n"/>
      <c r="C86" s="68" t="n"/>
      <c r="D86" s="84">
        <f>$I$17</f>
        <v/>
      </c>
      <c r="E86" s="288">
        <f>'DETAIL.XLS'!R435</f>
        <v/>
      </c>
      <c r="F86" s="289">
        <f>'DETAIL.XLS'!AE435</f>
        <v/>
      </c>
      <c r="G86" s="289">
        <f>'DETAIL.XLS'!AF435</f>
        <v/>
      </c>
      <c r="H86" s="289">
        <f>'DETAIL.XLS'!AG435</f>
        <v/>
      </c>
      <c r="I86" s="290">
        <f>'DETAIL.XLS'!AH435</f>
        <v/>
      </c>
      <c r="J86" s="68" t="n"/>
      <c r="K86" s="68" t="n"/>
      <c r="L86" s="37" t="n"/>
    </row>
    <row r="87" ht="10.5" customHeight="1" s="277">
      <c r="A87" s="68" t="n"/>
      <c r="B87" s="68" t="n"/>
      <c r="C87" s="68" t="n"/>
      <c r="D87" s="87" t="inlineStr">
        <is>
          <t>TOTAL</t>
        </is>
      </c>
      <c r="E87" s="308">
        <f>SUM(E83:E86)</f>
        <v/>
      </c>
      <c r="F87" s="309">
        <f>SUM(F83:F86)</f>
        <v/>
      </c>
      <c r="G87" s="309">
        <f>SUM(G83:G86)</f>
        <v/>
      </c>
      <c r="H87" s="309">
        <f>SUM(H83:H86)</f>
        <v/>
      </c>
      <c r="I87" s="310">
        <f>SUM(I83:I86)</f>
        <v/>
      </c>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f>$I$14</f>
        <v/>
      </c>
      <c r="E91" s="311" t="n">
        <v>100</v>
      </c>
      <c r="F91" s="311" t="n">
        <v>500</v>
      </c>
      <c r="G91" s="312" t="n">
        <v>100</v>
      </c>
      <c r="H91" s="42" t="n"/>
      <c r="I91" s="68" t="n"/>
      <c r="J91" s="37" t="n"/>
      <c r="K91" s="42" t="n"/>
      <c r="L91" s="37" t="n"/>
    </row>
    <row r="92" ht="10.5" customHeight="1" s="277">
      <c r="A92" s="37" t="n"/>
      <c r="B92" s="42" t="n"/>
      <c r="C92" s="37" t="n"/>
      <c r="D92" s="81">
        <f>$I$15</f>
        <v/>
      </c>
      <c r="E92" s="313" t="n">
        <v>100</v>
      </c>
      <c r="F92" s="313" t="n">
        <v>500</v>
      </c>
      <c r="G92" s="314" t="n">
        <v>100</v>
      </c>
      <c r="H92" s="42" t="n"/>
      <c r="I92" s="68" t="n"/>
      <c r="J92" s="37" t="n"/>
      <c r="K92" s="42" t="n"/>
      <c r="L92" s="37" t="n"/>
    </row>
    <row r="93" ht="10.5" customHeight="1" s="277">
      <c r="A93" s="37" t="n"/>
      <c r="B93" s="42" t="n"/>
      <c r="C93" s="37" t="n"/>
      <c r="D93" s="81">
        <f>$I$16</f>
        <v/>
      </c>
      <c r="E93" s="313" t="n">
        <v>100</v>
      </c>
      <c r="F93" s="313" t="n">
        <v>2500</v>
      </c>
      <c r="G93" s="314" t="n">
        <v>300</v>
      </c>
      <c r="H93" s="42" t="n"/>
      <c r="I93" s="68" t="n"/>
      <c r="J93" s="37" t="n"/>
      <c r="K93" s="42" t="n"/>
      <c r="L93" s="37" t="n"/>
    </row>
    <row r="94" ht="10.5" customHeight="1" s="277">
      <c r="A94" s="37" t="n"/>
      <c r="B94" s="42" t="n"/>
      <c r="C94" s="37" t="n"/>
      <c r="D94" s="84">
        <f>$I$17</f>
        <v/>
      </c>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f>$I$14</f>
        <v/>
      </c>
      <c r="E98" s="311" t="n">
        <v>3000</v>
      </c>
      <c r="F98" s="311" t="n">
        <v>1500</v>
      </c>
      <c r="G98" s="312" t="n">
        <v>1000</v>
      </c>
      <c r="H98" s="42" t="n"/>
      <c r="I98" s="68" t="n"/>
      <c r="J98" s="37" t="n"/>
      <c r="K98" s="42" t="n"/>
      <c r="L98" s="37" t="n"/>
    </row>
    <row r="99" ht="10.5" customHeight="1" s="277">
      <c r="A99" s="37" t="n"/>
      <c r="B99" s="42" t="n"/>
      <c r="C99" s="37" t="n"/>
      <c r="D99" s="81">
        <f>$I$15</f>
        <v/>
      </c>
      <c r="E99" s="313" t="n">
        <v>3500</v>
      </c>
      <c r="F99" s="313" t="n">
        <v>1500</v>
      </c>
      <c r="G99" s="314" t="n">
        <v>1000</v>
      </c>
      <c r="H99" s="42" t="n"/>
      <c r="I99" s="68" t="n"/>
      <c r="J99" s="37" t="n"/>
      <c r="K99" s="42" t="n"/>
      <c r="L99" s="37" t="n"/>
    </row>
    <row r="100" ht="10.5" customHeight="1" s="277">
      <c r="A100" s="37" t="n"/>
      <c r="B100" s="42" t="n"/>
      <c r="C100" s="37" t="n"/>
      <c r="D100" s="81">
        <f>$I$16</f>
        <v/>
      </c>
      <c r="E100" s="313" t="n">
        <v>2500</v>
      </c>
      <c r="F100" s="313" t="n">
        <v>1000</v>
      </c>
      <c r="G100" s="314" t="n">
        <v>1000</v>
      </c>
      <c r="H100" s="42" t="n"/>
      <c r="I100" s="68" t="n"/>
      <c r="J100" s="68" t="n"/>
      <c r="K100" s="42" t="n"/>
      <c r="L100" s="37" t="n"/>
    </row>
    <row r="101" ht="10.5" customHeight="1" s="277">
      <c r="A101" s="37" t="n"/>
      <c r="B101" s="42" t="n"/>
      <c r="C101" s="37" t="n"/>
      <c r="D101" s="84">
        <f>$I$17</f>
        <v/>
      </c>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f>Assumptions!I8</f>
        <v/>
      </c>
      <c r="B1" s="323" t="n"/>
      <c r="C1" s="128" t="inlineStr">
        <is>
          <t>Assumptions in</t>
        </is>
      </c>
      <c r="D1" s="280" t="n"/>
      <c r="E1" s="128" t="inlineStr">
        <is>
          <t>Enter existing</t>
        </is>
      </c>
      <c r="F1" s="324">
        <f>Assumptions!$I$9</f>
        <v/>
      </c>
      <c r="G1" s="324">
        <f>F1+31</f>
        <v/>
      </c>
      <c r="H1" s="324">
        <f>G1+31</f>
        <v/>
      </c>
      <c r="I1" s="324">
        <f>H1+31</f>
        <v/>
      </c>
      <c r="J1" s="324">
        <f>I1+31</f>
        <v/>
      </c>
      <c r="K1" s="324">
        <f>J1+31</f>
        <v/>
      </c>
      <c r="L1" s="324">
        <f>K1+31</f>
        <v/>
      </c>
      <c r="M1" s="324">
        <f>L1+31</f>
        <v/>
      </c>
      <c r="N1" s="324">
        <f>M1+31</f>
        <v/>
      </c>
      <c r="O1" s="324">
        <f>N1+31</f>
        <v/>
      </c>
      <c r="P1" s="324">
        <f>O1+31</f>
        <v/>
      </c>
      <c r="Q1" s="324">
        <f>P1+31</f>
        <v/>
      </c>
      <c r="R1" s="325">
        <f>IF(MONTH(Q1)=12,Q1,IF(MONTH(Q1)&gt;3,"FY "&amp;YEAR(Q1),"FY "&amp;YEAR(F1)))</f>
        <v/>
      </c>
      <c r="S1" s="324">
        <f>Q1+31</f>
        <v/>
      </c>
      <c r="T1" s="324">
        <f>S1+31</f>
        <v/>
      </c>
      <c r="U1" s="324">
        <f>T1+31</f>
        <v/>
      </c>
      <c r="V1" s="324">
        <f>U1+31</f>
        <v/>
      </c>
      <c r="W1" s="324">
        <f>V1+31</f>
        <v/>
      </c>
      <c r="X1" s="324">
        <f>W1+31</f>
        <v/>
      </c>
      <c r="Y1" s="324">
        <f>X1+31</f>
        <v/>
      </c>
      <c r="Z1" s="324">
        <f>Y1+31</f>
        <v/>
      </c>
      <c r="AA1" s="324">
        <f>Z1+31</f>
        <v/>
      </c>
      <c r="AB1" s="324">
        <f>AA1+31</f>
        <v/>
      </c>
      <c r="AC1" s="324">
        <f>AB1+31</f>
        <v/>
      </c>
      <c r="AD1" s="324">
        <f>AC1+31</f>
        <v/>
      </c>
      <c r="AE1" s="325">
        <f>IF(MONTH(AD1)=12,AD1,IF(MONTH(AD1)&gt;3,"FY "&amp;YEAR(AD1),"FY "&amp;YEAR(S1)))</f>
        <v/>
      </c>
      <c r="AF1" s="325">
        <f>IF(MONTH(AD1)=12,AD1+365,IF(MONTH(AD1)&gt;3,"FY "&amp;YEAR(AD1+365),"FY "&amp;YEAR(S1+365)))</f>
        <v/>
      </c>
      <c r="AG1" s="325">
        <f>IF(MONTH(AD1)=12,AD1+730,IF(MONTH(AD1)&gt;3,"FY "&amp;YEAR(AD1+730),"FY "&amp;YEAR(S1+730)))</f>
        <v/>
      </c>
      <c r="AH1" s="325">
        <f>IF(MONTH(AD1)=12,AD1+1095,IF(MONTH(AD1)&gt;3,"FY "&amp;YEAR(AD1+1095),"FY "&amp;YEAR(S1+1095)))</f>
        <v/>
      </c>
    </row>
    <row r="2" ht="8.25" customFormat="1" customHeight="1" s="154">
      <c r="A2" s="323" t="n"/>
      <c r="B2" s="326" t="inlineStr">
        <is>
          <t>Sources &amp; Uses Check</t>
        </is>
      </c>
      <c r="C2" s="128" t="inlineStr">
        <is>
          <t>gray cells are entered</t>
        </is>
      </c>
      <c r="D2" s="280" t="n"/>
      <c r="E2" s="128" t="inlineStr">
        <is>
          <t>or year-to-date</t>
        </is>
      </c>
      <c r="F2" s="154">
        <f>F82-F189</f>
        <v/>
      </c>
      <c r="G2" s="154">
        <f>G82-G189</f>
        <v/>
      </c>
      <c r="H2" s="154">
        <f>H82-H189</f>
        <v/>
      </c>
      <c r="I2" s="154">
        <f>I82-I189</f>
        <v/>
      </c>
      <c r="J2" s="154">
        <f>J82-J189</f>
        <v/>
      </c>
      <c r="K2" s="154">
        <f>K82-K189</f>
        <v/>
      </c>
      <c r="L2" s="154">
        <f>L82-L189</f>
        <v/>
      </c>
      <c r="M2" s="154">
        <f>M82-M189</f>
        <v/>
      </c>
      <c r="N2" s="154">
        <f>N82-N189</f>
        <v/>
      </c>
      <c r="O2" s="154">
        <f>O82-O189</f>
        <v/>
      </c>
      <c r="P2" s="154">
        <f>P82-P189</f>
        <v/>
      </c>
      <c r="Q2" s="154">
        <f>Q82-Q189</f>
        <v/>
      </c>
      <c r="R2" s="229">
        <f>R82-R189</f>
        <v/>
      </c>
      <c r="S2" s="154">
        <f>S82-S189</f>
        <v/>
      </c>
      <c r="T2" s="154">
        <f>T82-T189</f>
        <v/>
      </c>
      <c r="U2" s="154">
        <f>U82-U189</f>
        <v/>
      </c>
      <c r="V2" s="154">
        <f>V82-V189</f>
        <v/>
      </c>
      <c r="W2" s="154">
        <f>W82-W189</f>
        <v/>
      </c>
      <c r="X2" s="154">
        <f>X82-X189</f>
        <v/>
      </c>
      <c r="Y2" s="154">
        <f>Y82-Y189</f>
        <v/>
      </c>
      <c r="Z2" s="154">
        <f>Z82-Z189</f>
        <v/>
      </c>
      <c r="AA2" s="154">
        <f>AA82-AA189</f>
        <v/>
      </c>
      <c r="AB2" s="154">
        <f>AB82-AB189</f>
        <v/>
      </c>
      <c r="AC2" s="154">
        <f>AC82-AC189</f>
        <v/>
      </c>
      <c r="AD2" s="154">
        <f>AD82-AD189</f>
        <v/>
      </c>
      <c r="AE2" s="229">
        <f>AE82-AE189</f>
        <v/>
      </c>
      <c r="AF2" s="229">
        <f>AF82-AF189</f>
        <v/>
      </c>
      <c r="AG2" s="229">
        <f>AG82-AG189</f>
        <v/>
      </c>
      <c r="AH2" s="229">
        <f>AH82-AH189</f>
        <v/>
      </c>
    </row>
    <row r="3" ht="8.25" customFormat="1" customHeight="1" s="154">
      <c r="A3" s="323" t="n"/>
      <c r="B3" s="326" t="inlineStr">
        <is>
          <t>Rec. &amp; Disb. Check</t>
        </is>
      </c>
      <c r="C3" s="128" t="inlineStr">
        <is>
          <t>into and refer to the</t>
        </is>
      </c>
      <c r="D3" s="280" t="n"/>
      <c r="E3" s="128" t="inlineStr">
        <is>
          <t>entries in this</t>
        </is>
      </c>
      <c r="F3" s="154">
        <f>F46-F189</f>
        <v/>
      </c>
      <c r="G3" s="154">
        <f>G46-G189</f>
        <v/>
      </c>
      <c r="H3" s="154">
        <f>H46-H189</f>
        <v/>
      </c>
      <c r="I3" s="154">
        <f>I46-I189</f>
        <v/>
      </c>
      <c r="J3" s="154">
        <f>J46-J189</f>
        <v/>
      </c>
      <c r="K3" s="154">
        <f>K46-K189</f>
        <v/>
      </c>
      <c r="L3" s="154">
        <f>L46-L189</f>
        <v/>
      </c>
      <c r="M3" s="154">
        <f>M46-M189</f>
        <v/>
      </c>
      <c r="N3" s="154">
        <f>N46-N189</f>
        <v/>
      </c>
      <c r="O3" s="154">
        <f>O46-O189</f>
        <v/>
      </c>
      <c r="P3" s="154">
        <f>P46-P189</f>
        <v/>
      </c>
      <c r="Q3" s="154">
        <f>Q46-Q189</f>
        <v/>
      </c>
      <c r="R3" s="229">
        <f>R46-R189</f>
        <v/>
      </c>
      <c r="S3" s="154">
        <f>S46-S189</f>
        <v/>
      </c>
      <c r="T3" s="154">
        <f>T46-T189</f>
        <v/>
      </c>
      <c r="U3" s="154">
        <f>U46-U189</f>
        <v/>
      </c>
      <c r="V3" s="154">
        <f>V46-V189</f>
        <v/>
      </c>
      <c r="W3" s="154">
        <f>W46-W189</f>
        <v/>
      </c>
      <c r="X3" s="154">
        <f>X46-X189</f>
        <v/>
      </c>
      <c r="Y3" s="154">
        <f>Y46-Y189</f>
        <v/>
      </c>
      <c r="Z3" s="154">
        <f>Z46-Z189</f>
        <v/>
      </c>
      <c r="AA3" s="154">
        <f>AA46-AA189</f>
        <v/>
      </c>
      <c r="AB3" s="154">
        <f>AB46-AB189</f>
        <v/>
      </c>
      <c r="AC3" s="154">
        <f>AC46-AC189</f>
        <v/>
      </c>
      <c r="AD3" s="154">
        <f>AD46-AD189</f>
        <v/>
      </c>
      <c r="AE3" s="229">
        <f>AE46-AE189</f>
        <v/>
      </c>
      <c r="AF3" s="229">
        <f>AF46-AF189</f>
        <v/>
      </c>
      <c r="AG3" s="229">
        <f>AG46-AG189</f>
        <v/>
      </c>
      <c r="AH3" s="229">
        <f>AH46-AH189</f>
        <v/>
      </c>
    </row>
    <row r="4" ht="9" customFormat="1" customHeight="1" s="154">
      <c r="A4" s="225" t="n"/>
      <c r="B4" s="154" t="inlineStr">
        <is>
          <t>Balance Sheet Check</t>
        </is>
      </c>
      <c r="C4" s="128" t="inlineStr">
        <is>
          <t>"Assumptions" page.</t>
        </is>
      </c>
      <c r="D4" s="280" t="n"/>
      <c r="E4" s="128" t="inlineStr">
        <is>
          <t>column.</t>
        </is>
      </c>
      <c r="F4" s="154">
        <f>F236-F210</f>
        <v/>
      </c>
      <c r="G4" s="154">
        <f>G236-G210</f>
        <v/>
      </c>
      <c r="H4" s="154">
        <f>H236-H210</f>
        <v/>
      </c>
      <c r="I4" s="154">
        <f>I236-I210</f>
        <v/>
      </c>
      <c r="J4" s="154">
        <f>J236-J210</f>
        <v/>
      </c>
      <c r="K4" s="154">
        <f>K236-K210</f>
        <v/>
      </c>
      <c r="L4" s="154">
        <f>L236-L210</f>
        <v/>
      </c>
      <c r="M4" s="154">
        <f>M236-M210</f>
        <v/>
      </c>
      <c r="N4" s="154">
        <f>N236-N210</f>
        <v/>
      </c>
      <c r="O4" s="154">
        <f>O236-O210</f>
        <v/>
      </c>
      <c r="P4" s="154">
        <f>P236-P210</f>
        <v/>
      </c>
      <c r="Q4" s="154">
        <f>Q236-Q210</f>
        <v/>
      </c>
      <c r="R4" s="229">
        <f>R236-R210</f>
        <v/>
      </c>
      <c r="S4" s="154">
        <f>S236-S210</f>
        <v/>
      </c>
      <c r="T4" s="154">
        <f>T236-T210</f>
        <v/>
      </c>
      <c r="U4" s="154">
        <f>U236-U210</f>
        <v/>
      </c>
      <c r="V4" s="154">
        <f>V236-V210</f>
        <v/>
      </c>
      <c r="W4" s="154">
        <f>W236-W210</f>
        <v/>
      </c>
      <c r="X4" s="154">
        <f>X236-X210</f>
        <v/>
      </c>
      <c r="Y4" s="154">
        <f>Y236-Y210</f>
        <v/>
      </c>
      <c r="Z4" s="154">
        <f>Z236-Z210</f>
        <v/>
      </c>
      <c r="AA4" s="154">
        <f>AA236-AA210</f>
        <v/>
      </c>
      <c r="AB4" s="154">
        <f>AB236-AB210</f>
        <v/>
      </c>
      <c r="AC4" s="154">
        <f>AC236-AC210</f>
        <v/>
      </c>
      <c r="AD4" s="154">
        <f>AD236-AD210</f>
        <v/>
      </c>
      <c r="AE4" s="229">
        <f>AE236-AE210</f>
        <v/>
      </c>
      <c r="AF4" s="229">
        <f>AF236-AF210</f>
        <v/>
      </c>
      <c r="AG4" s="229">
        <f>AG236-AG210</f>
        <v/>
      </c>
      <c r="AH4" s="229">
        <f>AH236-AH210</f>
        <v/>
      </c>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f>$A$1</f>
        <v/>
      </c>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f>NOW()</f>
        <v/>
      </c>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f>NOW()</f>
        <v/>
      </c>
      <c r="C8" s="330" t="n"/>
      <c r="D8" s="330" t="n"/>
      <c r="E8" s="330" t="n"/>
      <c r="F8" s="324">
        <f>F$1</f>
        <v/>
      </c>
      <c r="G8" s="324">
        <f>G$1</f>
        <v/>
      </c>
      <c r="H8" s="324">
        <f>H$1</f>
        <v/>
      </c>
      <c r="I8" s="324">
        <f>I$1</f>
        <v/>
      </c>
      <c r="J8" s="324">
        <f>J$1</f>
        <v/>
      </c>
      <c r="K8" s="324">
        <f>K$1</f>
        <v/>
      </c>
      <c r="L8" s="324">
        <f>L$1</f>
        <v/>
      </c>
      <c r="M8" s="324">
        <f>M$1</f>
        <v/>
      </c>
      <c r="N8" s="324">
        <f>N$1</f>
        <v/>
      </c>
      <c r="O8" s="324">
        <f>O$1</f>
        <v/>
      </c>
      <c r="P8" s="324">
        <f>P$1</f>
        <v/>
      </c>
      <c r="Q8" s="324">
        <f>Q$1</f>
        <v/>
      </c>
      <c r="R8" s="325">
        <f>R$1</f>
        <v/>
      </c>
      <c r="S8" s="324">
        <f>S$1</f>
        <v/>
      </c>
      <c r="T8" s="324">
        <f>T$1</f>
        <v/>
      </c>
      <c r="U8" s="324">
        <f>U$1</f>
        <v/>
      </c>
      <c r="V8" s="324">
        <f>V$1</f>
        <v/>
      </c>
      <c r="W8" s="324">
        <f>W$1</f>
        <v/>
      </c>
      <c r="X8" s="324">
        <f>X$1</f>
        <v/>
      </c>
      <c r="Y8" s="324">
        <f>Y$1</f>
        <v/>
      </c>
      <c r="Z8" s="324">
        <f>Z$1</f>
        <v/>
      </c>
      <c r="AA8" s="324">
        <f>AA$1</f>
        <v/>
      </c>
      <c r="AB8" s="324">
        <f>AB$1</f>
        <v/>
      </c>
      <c r="AC8" s="324">
        <f>AC$1</f>
        <v/>
      </c>
      <c r="AD8" s="324">
        <f>AD$1</f>
        <v/>
      </c>
      <c r="AE8" s="325">
        <f>AE$1</f>
        <v/>
      </c>
      <c r="AF8" s="325">
        <f>AF$1</f>
        <v/>
      </c>
      <c r="AG8" s="325">
        <f>AG$1</f>
        <v/>
      </c>
      <c r="AH8" s="325">
        <f>AH$1</f>
        <v/>
      </c>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f>E189</f>
        <v/>
      </c>
      <c r="G10" s="154">
        <f>F46</f>
        <v/>
      </c>
      <c r="H10" s="154">
        <f>G46</f>
        <v/>
      </c>
      <c r="I10" s="154">
        <f>H46</f>
        <v/>
      </c>
      <c r="J10" s="154">
        <f>I46</f>
        <v/>
      </c>
      <c r="K10" s="154">
        <f>J46</f>
        <v/>
      </c>
      <c r="L10" s="154">
        <f>K46</f>
        <v/>
      </c>
      <c r="M10" s="154">
        <f>L46</f>
        <v/>
      </c>
      <c r="N10" s="154">
        <f>M46</f>
        <v/>
      </c>
      <c r="O10" s="154">
        <f>N46</f>
        <v/>
      </c>
      <c r="P10" s="154">
        <f>O46</f>
        <v/>
      </c>
      <c r="Q10" s="154">
        <f>P46</f>
        <v/>
      </c>
      <c r="R10" s="229">
        <f>F10</f>
        <v/>
      </c>
      <c r="S10" s="154">
        <f>Q46</f>
        <v/>
      </c>
      <c r="T10" s="154">
        <f>S46</f>
        <v/>
      </c>
      <c r="U10" s="154">
        <f>T46</f>
        <v/>
      </c>
      <c r="V10" s="154">
        <f>U46</f>
        <v/>
      </c>
      <c r="W10" s="154">
        <f>V46</f>
        <v/>
      </c>
      <c r="X10" s="154">
        <f>W46</f>
        <v/>
      </c>
      <c r="Y10" s="154">
        <f>X46</f>
        <v/>
      </c>
      <c r="Z10" s="154">
        <f>Y46</f>
        <v/>
      </c>
      <c r="AA10" s="154">
        <f>Z46</f>
        <v/>
      </c>
      <c r="AB10" s="154">
        <f>AA46</f>
        <v/>
      </c>
      <c r="AC10" s="154">
        <f>AB46</f>
        <v/>
      </c>
      <c r="AD10" s="154">
        <f>AC46</f>
        <v/>
      </c>
      <c r="AE10" s="229">
        <f>S10</f>
        <v/>
      </c>
      <c r="AF10" s="229">
        <f>AE46</f>
        <v/>
      </c>
      <c r="AG10" s="229">
        <f>AF46</f>
        <v/>
      </c>
      <c r="AH10" s="229">
        <f>AG46</f>
        <v/>
      </c>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f>F93-(F192-E192)-F154</f>
        <v/>
      </c>
      <c r="G13" s="154">
        <f>G93-(G192-F192)-G154</f>
        <v/>
      </c>
      <c r="H13" s="154">
        <f>H93-(H192-G192)-H154</f>
        <v/>
      </c>
      <c r="I13" s="154">
        <f>I93-(I192-H192)-I154</f>
        <v/>
      </c>
      <c r="J13" s="154">
        <f>J93-(J192-I192)-J154</f>
        <v/>
      </c>
      <c r="K13" s="154">
        <f>K93-(K192-J192)-K154</f>
        <v/>
      </c>
      <c r="L13" s="154">
        <f>L93-(L192-K192)-L154</f>
        <v/>
      </c>
      <c r="M13" s="154">
        <f>M93-(M192-L192)-M154</f>
        <v/>
      </c>
      <c r="N13" s="154">
        <f>N93-(N192-M192)-N154</f>
        <v/>
      </c>
      <c r="O13" s="154">
        <f>O93-(O192-N192)-O154</f>
        <v/>
      </c>
      <c r="P13" s="154">
        <f>P93-(P192-O192)-P154</f>
        <v/>
      </c>
      <c r="Q13" s="154">
        <f>Q93-(Q192-P192)-Q154</f>
        <v/>
      </c>
      <c r="R13" s="229">
        <f>SUM(F13:Q13)</f>
        <v/>
      </c>
      <c r="S13" s="154">
        <f>S93-(S192-Q192)-S154</f>
        <v/>
      </c>
      <c r="T13" s="154">
        <f>T93-(T192-S192)-T154</f>
        <v/>
      </c>
      <c r="U13" s="154">
        <f>U93-(U192-T192)-U154</f>
        <v/>
      </c>
      <c r="V13" s="154">
        <f>V93-(V192-U192)-V154</f>
        <v/>
      </c>
      <c r="W13" s="154">
        <f>W93-(W192-V192)-W154</f>
        <v/>
      </c>
      <c r="X13" s="154">
        <f>X93-(X192-W192)-X154</f>
        <v/>
      </c>
      <c r="Y13" s="154">
        <f>Y93-(Y192-X192)-Y154</f>
        <v/>
      </c>
      <c r="Z13" s="154">
        <f>Z93-(Z192-Y192)-Z154</f>
        <v/>
      </c>
      <c r="AA13" s="154">
        <f>AA93-(AA192-Z192)-AA154</f>
        <v/>
      </c>
      <c r="AB13" s="154">
        <f>AB93-(AB192-AA192)-AB154</f>
        <v/>
      </c>
      <c r="AC13" s="154">
        <f>AC93-(AC192-AB192)-AC154</f>
        <v/>
      </c>
      <c r="AD13" s="154">
        <f>AD93-(AD192-AC192)-AD154</f>
        <v/>
      </c>
      <c r="AE13" s="229">
        <f>SUM(S13:AD13)</f>
        <v/>
      </c>
      <c r="AF13" s="229">
        <f>AF93-(AF192-AE192)-AF154</f>
        <v/>
      </c>
      <c r="AG13" s="229">
        <f>AG93-(AG192-AF192)-AG154</f>
        <v/>
      </c>
      <c r="AH13" s="229">
        <f>AH93-(AH192-AG192)-AH154</f>
        <v/>
      </c>
    </row>
    <row r="14" ht="8.25" customHeight="1" s="277">
      <c r="A14" s="224" t="n"/>
      <c r="B14" s="225" t="inlineStr">
        <is>
          <t>Financings</t>
        </is>
      </c>
      <c r="C14" s="154" t="n"/>
      <c r="D14" s="154" t="n"/>
      <c r="E14" s="154" t="n"/>
      <c r="F14" s="154">
        <f>SUM(F231:F232)-SUM(E231:E232)</f>
        <v/>
      </c>
      <c r="G14" s="154">
        <f>SUM(G231:G232)-SUM(F231:F232)</f>
        <v/>
      </c>
      <c r="H14" s="154">
        <f>SUM(H231:H232)-SUM(G231:G232)</f>
        <v/>
      </c>
      <c r="I14" s="154">
        <f>SUM(I231:I232)-SUM(H231:H232)</f>
        <v/>
      </c>
      <c r="J14" s="154">
        <f>SUM(J231:J232)-SUM(I231:I232)</f>
        <v/>
      </c>
      <c r="K14" s="154">
        <f>SUM(K231:K232)-SUM(J231:J232)</f>
        <v/>
      </c>
      <c r="L14" s="154">
        <f>SUM(L231:L232)-SUM(K231:K232)</f>
        <v/>
      </c>
      <c r="M14" s="154">
        <f>SUM(M231:M232)-SUM(L231:L232)</f>
        <v/>
      </c>
      <c r="N14" s="154">
        <f>SUM(N231:N232)-SUM(M231:M232)</f>
        <v/>
      </c>
      <c r="O14" s="154">
        <f>SUM(O231:O232)-SUM(N231:N232)</f>
        <v/>
      </c>
      <c r="P14" s="154">
        <f>SUM(P231:P232)-SUM(O231:O232)</f>
        <v/>
      </c>
      <c r="Q14" s="154">
        <f>SUM(Q231:Q232)-SUM(P231:P232)</f>
        <v/>
      </c>
      <c r="R14" s="229">
        <f>SUM(F14:Q14)</f>
        <v/>
      </c>
      <c r="S14" s="154">
        <f>SUM(S231:S232)-SUM(R231:R232)</f>
        <v/>
      </c>
      <c r="T14" s="154">
        <f>SUM(T231:T232)-SUM(S231:S232)</f>
        <v/>
      </c>
      <c r="U14" s="154">
        <f>SUM(U231:U232)-SUM(T231:T232)</f>
        <v/>
      </c>
      <c r="V14" s="154">
        <f>SUM(V231:V232)-SUM(U231:U232)</f>
        <v/>
      </c>
      <c r="W14" s="154">
        <f>SUM(W231:W232)-SUM(V231:V232)</f>
        <v/>
      </c>
      <c r="X14" s="154">
        <f>SUM(X231:X232)-SUM(W231:W232)</f>
        <v/>
      </c>
      <c r="Y14" s="154">
        <f>SUM(Y231:Y232)-SUM(X231:X232)</f>
        <v/>
      </c>
      <c r="Z14" s="154">
        <f>SUM(Z231:Z232)-SUM(Y231:Y232)</f>
        <v/>
      </c>
      <c r="AA14" s="154">
        <f>SUM(AA231:AA232)-SUM(Z231:Z232)</f>
        <v/>
      </c>
      <c r="AB14" s="154">
        <f>SUM(AB231:AB232)-SUM(AA231:AA232)</f>
        <v/>
      </c>
      <c r="AC14" s="154">
        <f>SUM(AC231:AC232)-SUM(AB231:AB232)</f>
        <v/>
      </c>
      <c r="AD14" s="154">
        <f>SUM(AD231:AD232)-SUM(AC231:AC232)</f>
        <v/>
      </c>
      <c r="AE14" s="229">
        <f>SUM(S14:AD14)</f>
        <v/>
      </c>
      <c r="AF14" s="229">
        <f>SUM(AF231:AF232)-SUM(AE231:AE232)</f>
        <v/>
      </c>
      <c r="AG14" s="229">
        <f>SUM(AG231:AG232)-SUM(AF231:AF232)</f>
        <v/>
      </c>
      <c r="AH14" s="229">
        <f>SUM(AH231:AH232)-SUM(AG231:AG232)</f>
        <v/>
      </c>
    </row>
    <row r="15" ht="8.25" customHeight="1" s="277">
      <c r="A15" s="224" t="n"/>
      <c r="B15" s="225" t="inlineStr">
        <is>
          <t>Borrowings</t>
        </is>
      </c>
      <c r="C15" s="154" t="n"/>
      <c r="D15" s="154" t="n"/>
      <c r="E15" s="154" t="n"/>
      <c r="F15" s="154">
        <f>SUM(F63:F65)</f>
        <v/>
      </c>
      <c r="G15" s="154">
        <f>SUM(G63:G65)</f>
        <v/>
      </c>
      <c r="H15" s="154">
        <f>SUM(H63:H65)</f>
        <v/>
      </c>
      <c r="I15" s="154">
        <f>SUM(I63:I65)</f>
        <v/>
      </c>
      <c r="J15" s="154">
        <f>SUM(J63:J65)</f>
        <v/>
      </c>
      <c r="K15" s="154">
        <f>SUM(K63:K65)</f>
        <v/>
      </c>
      <c r="L15" s="154">
        <f>SUM(L63:L65)</f>
        <v/>
      </c>
      <c r="M15" s="154">
        <f>SUM(M63:M65)</f>
        <v/>
      </c>
      <c r="N15" s="154">
        <f>SUM(N63:N65)</f>
        <v/>
      </c>
      <c r="O15" s="154">
        <f>SUM(O63:O65)</f>
        <v/>
      </c>
      <c r="P15" s="154">
        <f>SUM(P63:P65)</f>
        <v/>
      </c>
      <c r="Q15" s="154">
        <f>SUM(Q63:Q65)</f>
        <v/>
      </c>
      <c r="R15" s="229">
        <f>SUM(F15:Q15)</f>
        <v/>
      </c>
      <c r="S15" s="154">
        <f>SUM(S63:S65)</f>
        <v/>
      </c>
      <c r="T15" s="154">
        <f>SUM(T63:T65)</f>
        <v/>
      </c>
      <c r="U15" s="154">
        <f>SUM(U63:U65)</f>
        <v/>
      </c>
      <c r="V15" s="154">
        <f>SUM(V63:V65)</f>
        <v/>
      </c>
      <c r="W15" s="154">
        <f>SUM(W63:W65)</f>
        <v/>
      </c>
      <c r="X15" s="154">
        <f>SUM(X63:X65)</f>
        <v/>
      </c>
      <c r="Y15" s="154">
        <f>SUM(Y63:Y65)</f>
        <v/>
      </c>
      <c r="Z15" s="154">
        <f>SUM(Z63:Z65)</f>
        <v/>
      </c>
      <c r="AA15" s="154">
        <f>SUM(AA63:AA65)</f>
        <v/>
      </c>
      <c r="AB15" s="154">
        <f>SUM(AB63:AB65)</f>
        <v/>
      </c>
      <c r="AC15" s="154">
        <f>SUM(AC63:AC65)</f>
        <v/>
      </c>
      <c r="AD15" s="154">
        <f>SUM(AD63:AD65)</f>
        <v/>
      </c>
      <c r="AE15" s="229">
        <f>SUM(S15:AD15)</f>
        <v/>
      </c>
      <c r="AF15" s="229">
        <f>SUM(AF63:AF65)</f>
        <v/>
      </c>
      <c r="AG15" s="229">
        <f>SUM(AG63:AG65)</f>
        <v/>
      </c>
      <c r="AH15" s="229">
        <f>SUM(AH63:AH65)</f>
        <v/>
      </c>
    </row>
    <row r="16" ht="8.25" customHeight="1" s="277">
      <c r="A16" s="224" t="n"/>
      <c r="B16" s="225" t="inlineStr">
        <is>
          <t>Interest Revenue</t>
        </is>
      </c>
      <c r="C16" s="154" t="n"/>
      <c r="D16" s="154" t="n"/>
      <c r="E16" s="154" t="n"/>
      <c r="F16" s="154">
        <f>F169</f>
        <v/>
      </c>
      <c r="G16" s="154">
        <f>G169</f>
        <v/>
      </c>
      <c r="H16" s="154">
        <f>H169</f>
        <v/>
      </c>
      <c r="I16" s="154">
        <f>I169</f>
        <v/>
      </c>
      <c r="J16" s="154">
        <f>J169</f>
        <v/>
      </c>
      <c r="K16" s="154">
        <f>K169</f>
        <v/>
      </c>
      <c r="L16" s="154">
        <f>L169</f>
        <v/>
      </c>
      <c r="M16" s="154">
        <f>M169</f>
        <v/>
      </c>
      <c r="N16" s="154">
        <f>N169</f>
        <v/>
      </c>
      <c r="O16" s="154">
        <f>O169</f>
        <v/>
      </c>
      <c r="P16" s="154">
        <f>P169</f>
        <v/>
      </c>
      <c r="Q16" s="154">
        <f>Q169</f>
        <v/>
      </c>
      <c r="R16" s="229">
        <f>SUM(F16:Q16)</f>
        <v/>
      </c>
      <c r="S16" s="154">
        <f>S169</f>
        <v/>
      </c>
      <c r="T16" s="154">
        <f>T169</f>
        <v/>
      </c>
      <c r="U16" s="154">
        <f>U169</f>
        <v/>
      </c>
      <c r="V16" s="154">
        <f>V169</f>
        <v/>
      </c>
      <c r="W16" s="154">
        <f>W169</f>
        <v/>
      </c>
      <c r="X16" s="154">
        <f>X169</f>
        <v/>
      </c>
      <c r="Y16" s="154">
        <f>Y169</f>
        <v/>
      </c>
      <c r="Z16" s="154">
        <f>Z169</f>
        <v/>
      </c>
      <c r="AA16" s="154">
        <f>AA169</f>
        <v/>
      </c>
      <c r="AB16" s="154">
        <f>AB169</f>
        <v/>
      </c>
      <c r="AC16" s="154">
        <f>AC169</f>
        <v/>
      </c>
      <c r="AD16" s="154">
        <f>AD169</f>
        <v/>
      </c>
      <c r="AE16" s="229">
        <f>SUM(S16:AD16)</f>
        <v/>
      </c>
      <c r="AF16" s="229">
        <f>AF169</f>
        <v/>
      </c>
      <c r="AG16" s="229">
        <f>AG169</f>
        <v/>
      </c>
      <c r="AH16" s="229">
        <f>AH169</f>
        <v/>
      </c>
    </row>
    <row r="17" ht="8.25" customHeight="1" s="277">
      <c r="A17" s="139" t="inlineStr">
        <is>
          <t>Total receipts</t>
        </is>
      </c>
      <c r="B17" s="156" t="n"/>
      <c r="C17" s="228" t="n"/>
      <c r="D17" s="228" t="n"/>
      <c r="E17" s="228" t="n"/>
      <c r="F17" s="228">
        <f>SUM(F13:F16)</f>
        <v/>
      </c>
      <c r="G17" s="228">
        <f>SUM(G13:G16)</f>
        <v/>
      </c>
      <c r="H17" s="228">
        <f>SUM(H13:H16)</f>
        <v/>
      </c>
      <c r="I17" s="228">
        <f>SUM(I13:I16)</f>
        <v/>
      </c>
      <c r="J17" s="228">
        <f>SUM(J13:J16)</f>
        <v/>
      </c>
      <c r="K17" s="228">
        <f>SUM(K13:K16)</f>
        <v/>
      </c>
      <c r="L17" s="228">
        <f>SUM(L13:L16)</f>
        <v/>
      </c>
      <c r="M17" s="228">
        <f>SUM(M13:M16)</f>
        <v/>
      </c>
      <c r="N17" s="228">
        <f>SUM(N13:N16)</f>
        <v/>
      </c>
      <c r="O17" s="228">
        <f>SUM(O13:O16)</f>
        <v/>
      </c>
      <c r="P17" s="228">
        <f>SUM(P13:P16)</f>
        <v/>
      </c>
      <c r="Q17" s="228">
        <f>SUM(Q13:Q16)</f>
        <v/>
      </c>
      <c r="R17" s="158">
        <f>SUM(F17:Q17)</f>
        <v/>
      </c>
      <c r="S17" s="228">
        <f>SUM(S13:S16)</f>
        <v/>
      </c>
      <c r="T17" s="228">
        <f>SUM(T13:T16)</f>
        <v/>
      </c>
      <c r="U17" s="228">
        <f>SUM(U13:U16)</f>
        <v/>
      </c>
      <c r="V17" s="228">
        <f>SUM(V13:V16)</f>
        <v/>
      </c>
      <c r="W17" s="228">
        <f>SUM(W13:W16)</f>
        <v/>
      </c>
      <c r="X17" s="228">
        <f>SUM(X13:X16)</f>
        <v/>
      </c>
      <c r="Y17" s="228">
        <f>SUM(Y13:Y16)</f>
        <v/>
      </c>
      <c r="Z17" s="228">
        <f>SUM(Z13:Z16)</f>
        <v/>
      </c>
      <c r="AA17" s="228">
        <f>SUM(AA13:AA16)</f>
        <v/>
      </c>
      <c r="AB17" s="228">
        <f>SUM(AB13:AB16)</f>
        <v/>
      </c>
      <c r="AC17" s="228">
        <f>SUM(AC13:AC16)</f>
        <v/>
      </c>
      <c r="AD17" s="228">
        <f>SUM(AD13:AD16)</f>
        <v/>
      </c>
      <c r="AE17" s="158">
        <f>SUM(S17:AD17)</f>
        <v/>
      </c>
      <c r="AF17" s="158">
        <f>SUM(AF13:AF16)</f>
        <v/>
      </c>
      <c r="AG17" s="158">
        <f>SUM(AG13:AG16)</f>
        <v/>
      </c>
      <c r="AH17" s="158">
        <f>SUM(AH13:AH16)</f>
        <v/>
      </c>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f>F480-F216+E216</f>
        <v/>
      </c>
      <c r="G20" s="154">
        <f>G480-G216+F216</f>
        <v/>
      </c>
      <c r="H20" s="154">
        <f>H480-H216+G216</f>
        <v/>
      </c>
      <c r="I20" s="154">
        <f>I480-I216+H216</f>
        <v/>
      </c>
      <c r="J20" s="154">
        <f>J480-J216+I216</f>
        <v/>
      </c>
      <c r="K20" s="154">
        <f>K480-K216+J216</f>
        <v/>
      </c>
      <c r="L20" s="154">
        <f>L480-L216+K216</f>
        <v/>
      </c>
      <c r="M20" s="154">
        <f>M480-M216+L216</f>
        <v/>
      </c>
      <c r="N20" s="154">
        <f>N480-N216+M216</f>
        <v/>
      </c>
      <c r="O20" s="154">
        <f>O480-O216+N216</f>
        <v/>
      </c>
      <c r="P20" s="154">
        <f>P480-P216+O216</f>
        <v/>
      </c>
      <c r="Q20" s="154">
        <f>Q480-Q216+P216</f>
        <v/>
      </c>
      <c r="R20" s="229">
        <f>SUM(F20:Q20)</f>
        <v/>
      </c>
      <c r="S20" s="154">
        <f>S480-S216+Q216</f>
        <v/>
      </c>
      <c r="T20" s="154">
        <f>T480-T216+S216</f>
        <v/>
      </c>
      <c r="U20" s="154">
        <f>U480-U216+T216</f>
        <v/>
      </c>
      <c r="V20" s="154">
        <f>V480-V216+U216</f>
        <v/>
      </c>
      <c r="W20" s="154">
        <f>W480-W216+V216</f>
        <v/>
      </c>
      <c r="X20" s="154">
        <f>X480-X216+W216</f>
        <v/>
      </c>
      <c r="Y20" s="154">
        <f>Y480-Y216+X216</f>
        <v/>
      </c>
      <c r="Z20" s="154">
        <f>Z480-Z216+Y216</f>
        <v/>
      </c>
      <c r="AA20" s="154">
        <f>AA480-AA216+Z216</f>
        <v/>
      </c>
      <c r="AB20" s="154">
        <f>AB480-AB216+AA216</f>
        <v/>
      </c>
      <c r="AC20" s="154">
        <f>AC480-AC216+AB216</f>
        <v/>
      </c>
      <c r="AD20" s="154">
        <f>AD480-AD216+AC216</f>
        <v/>
      </c>
      <c r="AE20" s="229">
        <f>SUM(S20:AD20)</f>
        <v/>
      </c>
      <c r="AF20" s="229">
        <f>AF480-AF216+AE216</f>
        <v/>
      </c>
      <c r="AG20" s="229">
        <f>AG480-AG216+AF216</f>
        <v/>
      </c>
      <c r="AH20" s="229">
        <f>AH480-AH216+AG216</f>
        <v/>
      </c>
    </row>
    <row r="21" ht="8.25" customHeight="1" s="277">
      <c r="A21" s="224" t="n"/>
      <c r="B21" s="225" t="inlineStr">
        <is>
          <t>Benefits &amp; Empl Taxes</t>
        </is>
      </c>
      <c r="C21" s="154" t="n"/>
      <c r="D21" s="154" t="n"/>
      <c r="E21" s="154" t="n"/>
      <c r="F21" s="154">
        <f>F111+F125+F148+F561</f>
        <v/>
      </c>
      <c r="G21" s="154">
        <f>G111+G125+G148+G561</f>
        <v/>
      </c>
      <c r="H21" s="154">
        <f>H111+H125+H148+H561</f>
        <v/>
      </c>
      <c r="I21" s="154">
        <f>I111+I125+I148+I561</f>
        <v/>
      </c>
      <c r="J21" s="154">
        <f>J111+J125+J148+J561</f>
        <v/>
      </c>
      <c r="K21" s="154">
        <f>K111+K125+K148+K561</f>
        <v/>
      </c>
      <c r="L21" s="154">
        <f>L111+L125+L148+L561</f>
        <v/>
      </c>
      <c r="M21" s="154">
        <f>M111+M125+M148+M561</f>
        <v/>
      </c>
      <c r="N21" s="154">
        <f>N111+N125+N148+N561</f>
        <v/>
      </c>
      <c r="O21" s="154">
        <f>O111+O125+O148+O561</f>
        <v/>
      </c>
      <c r="P21" s="154">
        <f>P111+P125+P148+P561</f>
        <v/>
      </c>
      <c r="Q21" s="154">
        <f>Q111+Q125+Q148+Q561</f>
        <v/>
      </c>
      <c r="R21" s="229">
        <f>SUM(F21:Q21)</f>
        <v/>
      </c>
      <c r="S21" s="154">
        <f>S111+S125+S148+S561</f>
        <v/>
      </c>
      <c r="T21" s="154">
        <f>T111+T125+T148+T561</f>
        <v/>
      </c>
      <c r="U21" s="154">
        <f>U111+U125+U148+U561</f>
        <v/>
      </c>
      <c r="V21" s="154">
        <f>V111+V125+V148+V561</f>
        <v/>
      </c>
      <c r="W21" s="154">
        <f>W111+W125+W148+W561</f>
        <v/>
      </c>
      <c r="X21" s="154">
        <f>X111+X125+X148+X561</f>
        <v/>
      </c>
      <c r="Y21" s="154">
        <f>Y111+Y125+Y148+Y561</f>
        <v/>
      </c>
      <c r="Z21" s="154">
        <f>Z111+Z125+Z148+Z561</f>
        <v/>
      </c>
      <c r="AA21" s="154">
        <f>AA111+AA125+AA148+AA561</f>
        <v/>
      </c>
      <c r="AB21" s="154">
        <f>AB111+AB125+AB148+AB561</f>
        <v/>
      </c>
      <c r="AC21" s="154">
        <f>AC111+AC125+AC148+AC561</f>
        <v/>
      </c>
      <c r="AD21" s="154">
        <f>AD111+AD125+AD148+AD561</f>
        <v/>
      </c>
      <c r="AE21" s="229">
        <f>SUM(S21:AD21)</f>
        <v/>
      </c>
      <c r="AF21" s="229">
        <f>AF111+AF125+AF148+AF561</f>
        <v/>
      </c>
      <c r="AG21" s="229">
        <f>AG111+AG125+AG148+AG561</f>
        <v/>
      </c>
      <c r="AH21" s="229">
        <f>AH111+AH125+AH148+AH561</f>
        <v/>
      </c>
    </row>
    <row r="22" ht="8.25" customHeight="1" s="277">
      <c r="A22" s="224" t="n"/>
      <c r="B22" s="225" t="inlineStr">
        <is>
          <t>Incentives/commissions</t>
        </is>
      </c>
      <c r="C22" s="154" t="n"/>
      <c r="D22" s="154" t="n"/>
      <c r="E22" s="154" t="n"/>
      <c r="F22" s="154">
        <f>F110+F124+F147+F560</f>
        <v/>
      </c>
      <c r="G22" s="154">
        <f>G110+G124+G147</f>
        <v/>
      </c>
      <c r="H22" s="154">
        <f>H110+H124+H147</f>
        <v/>
      </c>
      <c r="I22" s="154">
        <f>I110+I124+I147</f>
        <v/>
      </c>
      <c r="J22" s="154">
        <f>J110+J124+J147</f>
        <v/>
      </c>
      <c r="K22" s="154">
        <f>K110+K124+K147</f>
        <v/>
      </c>
      <c r="L22" s="154">
        <f>L110+L124+L147</f>
        <v/>
      </c>
      <c r="M22" s="154">
        <f>M110+M124+M147</f>
        <v/>
      </c>
      <c r="N22" s="154">
        <f>N110+N124+N147</f>
        <v/>
      </c>
      <c r="O22" s="154">
        <f>O110+O124+O147</f>
        <v/>
      </c>
      <c r="P22" s="154">
        <f>P110+P124+P147</f>
        <v/>
      </c>
      <c r="Q22" s="154">
        <f>Q110+Q124+Q147</f>
        <v/>
      </c>
      <c r="R22" s="229">
        <f>SUM(F22:Q22)</f>
        <v/>
      </c>
      <c r="S22" s="154">
        <f>S110+S124+S147</f>
        <v/>
      </c>
      <c r="T22" s="154">
        <f>T110+T124+T147</f>
        <v/>
      </c>
      <c r="U22" s="154">
        <f>U110+U124+U147</f>
        <v/>
      </c>
      <c r="V22" s="154">
        <f>V110+V124+V147</f>
        <v/>
      </c>
      <c r="W22" s="154">
        <f>W110+W124+W147</f>
        <v/>
      </c>
      <c r="X22" s="154">
        <f>X110+X124+X147</f>
        <v/>
      </c>
      <c r="Y22" s="154">
        <f>Y110+Y124+Y147</f>
        <v/>
      </c>
      <c r="Z22" s="154">
        <f>Z110+Z124+Z147</f>
        <v/>
      </c>
      <c r="AA22" s="154">
        <f>AA110+AA124+AA147</f>
        <v/>
      </c>
      <c r="AB22" s="154">
        <f>AB110+AB124+AB147</f>
        <v/>
      </c>
      <c r="AC22" s="154">
        <f>AC110+AC124+AC147</f>
        <v/>
      </c>
      <c r="AD22" s="154">
        <f>AD110+AD124+AD147</f>
        <v/>
      </c>
      <c r="AE22" s="229">
        <f>SUM(S22:AD22)</f>
        <v/>
      </c>
      <c r="AF22" s="229">
        <f>AF110+AF124+AF147</f>
        <v/>
      </c>
      <c r="AG22" s="229">
        <f>AG110+AG124+AG147</f>
        <v/>
      </c>
      <c r="AH22" s="229">
        <f>AH110+AH124+AH147</f>
        <v/>
      </c>
    </row>
    <row r="23" ht="8.25" customHeight="1" s="277">
      <c r="A23" s="224" t="n"/>
      <c r="B23" s="225" t="inlineStr">
        <is>
          <t>Direct Material</t>
        </is>
      </c>
      <c r="C23" s="154" t="n"/>
      <c r="D23" s="154" t="n"/>
      <c r="E23" s="154" t="n"/>
      <c r="F23" s="154">
        <f>E588</f>
        <v/>
      </c>
      <c r="G23" s="154">
        <f>F588</f>
        <v/>
      </c>
      <c r="H23" s="154">
        <f>G588</f>
        <v/>
      </c>
      <c r="I23" s="154">
        <f>H588</f>
        <v/>
      </c>
      <c r="J23" s="154">
        <f>I588</f>
        <v/>
      </c>
      <c r="K23" s="154">
        <f>J588</f>
        <v/>
      </c>
      <c r="L23" s="154">
        <f>K588</f>
        <v/>
      </c>
      <c r="M23" s="154">
        <f>L588</f>
        <v/>
      </c>
      <c r="N23" s="154">
        <f>M588</f>
        <v/>
      </c>
      <c r="O23" s="154">
        <f>N588</f>
        <v/>
      </c>
      <c r="P23" s="154">
        <f>O588</f>
        <v/>
      </c>
      <c r="Q23" s="154">
        <f>P588</f>
        <v/>
      </c>
      <c r="R23" s="229">
        <f>SUM(F23:Q23)</f>
        <v/>
      </c>
      <c r="S23" s="154">
        <f>Q588</f>
        <v/>
      </c>
      <c r="T23" s="154">
        <f>S588</f>
        <v/>
      </c>
      <c r="U23" s="154">
        <f>T588</f>
        <v/>
      </c>
      <c r="V23" s="154">
        <f>U588</f>
        <v/>
      </c>
      <c r="W23" s="154">
        <f>V588</f>
        <v/>
      </c>
      <c r="X23" s="154">
        <f>W588</f>
        <v/>
      </c>
      <c r="Y23" s="154">
        <f>X588</f>
        <v/>
      </c>
      <c r="Z23" s="154">
        <f>Y588</f>
        <v/>
      </c>
      <c r="AA23" s="154">
        <f>Z588</f>
        <v/>
      </c>
      <c r="AB23" s="154">
        <f>AA588</f>
        <v/>
      </c>
      <c r="AC23" s="154">
        <f>AB588</f>
        <v/>
      </c>
      <c r="AD23" s="154">
        <f>AC588</f>
        <v/>
      </c>
      <c r="AE23" s="229">
        <f>SUM(S23:AD23)</f>
        <v/>
      </c>
      <c r="AF23" s="229">
        <f>AD588+AF588*11/12</f>
        <v/>
      </c>
      <c r="AG23" s="229">
        <f>AF588/12+AG588*11/12</f>
        <v/>
      </c>
      <c r="AH23" s="229">
        <f>AG588/12+AH588*11/12</f>
        <v/>
      </c>
    </row>
    <row r="24" ht="8.25" customHeight="1" s="277">
      <c r="A24" s="224" t="n"/>
      <c r="B24" s="225" t="inlineStr">
        <is>
          <t>Returns</t>
        </is>
      </c>
      <c r="C24" s="154" t="n"/>
      <c r="D24" s="154" t="n"/>
      <c r="E24" s="154" t="n"/>
      <c r="F24" s="154">
        <f>F100</f>
        <v/>
      </c>
      <c r="G24" s="154">
        <f>G100</f>
        <v/>
      </c>
      <c r="H24" s="154">
        <f>H100</f>
        <v/>
      </c>
      <c r="I24" s="154">
        <f>I100</f>
        <v/>
      </c>
      <c r="J24" s="154">
        <f>J100</f>
        <v/>
      </c>
      <c r="K24" s="154">
        <f>K100</f>
        <v/>
      </c>
      <c r="L24" s="154">
        <f>L100</f>
        <v/>
      </c>
      <c r="M24" s="154">
        <f>M100</f>
        <v/>
      </c>
      <c r="N24" s="154">
        <f>N100</f>
        <v/>
      </c>
      <c r="O24" s="154">
        <f>O100</f>
        <v/>
      </c>
      <c r="P24" s="154">
        <f>P100</f>
        <v/>
      </c>
      <c r="Q24" s="154">
        <f>Q100</f>
        <v/>
      </c>
      <c r="R24" s="229">
        <f>SUM(F24:Q24)</f>
        <v/>
      </c>
      <c r="S24" s="154">
        <f>S100</f>
        <v/>
      </c>
      <c r="T24" s="154">
        <f>T100</f>
        <v/>
      </c>
      <c r="U24" s="154">
        <f>U100</f>
        <v/>
      </c>
      <c r="V24" s="154">
        <f>V100</f>
        <v/>
      </c>
      <c r="W24" s="154">
        <f>W100</f>
        <v/>
      </c>
      <c r="X24" s="154">
        <f>X100</f>
        <v/>
      </c>
      <c r="Y24" s="154">
        <f>Y100</f>
        <v/>
      </c>
      <c r="Z24" s="154">
        <f>Z100</f>
        <v/>
      </c>
      <c r="AA24" s="154">
        <f>AA100</f>
        <v/>
      </c>
      <c r="AB24" s="154">
        <f>AB100</f>
        <v/>
      </c>
      <c r="AC24" s="154">
        <f>AC100</f>
        <v/>
      </c>
      <c r="AD24" s="154">
        <f>AD100</f>
        <v/>
      </c>
      <c r="AE24" s="229">
        <f>SUM(S24:AD24)</f>
        <v/>
      </c>
      <c r="AF24" s="229">
        <f>AF100</f>
        <v/>
      </c>
      <c r="AG24" s="229">
        <f>AG100</f>
        <v/>
      </c>
      <c r="AH24" s="229">
        <f>AH100</f>
        <v/>
      </c>
    </row>
    <row r="25" ht="8.25" customHeight="1" s="277">
      <c r="A25" s="224" t="n"/>
      <c r="B25" s="225" t="inlineStr">
        <is>
          <t>Advertising</t>
        </is>
      </c>
      <c r="C25" s="154" t="n"/>
      <c r="D25" s="154" t="n"/>
      <c r="E25" s="154" t="n"/>
      <c r="F25" s="154">
        <f>E138</f>
        <v/>
      </c>
      <c r="G25" s="154">
        <f>F138</f>
        <v/>
      </c>
      <c r="H25" s="154">
        <f>G138</f>
        <v/>
      </c>
      <c r="I25" s="154">
        <f>H138</f>
        <v/>
      </c>
      <c r="J25" s="154">
        <f>I138</f>
        <v/>
      </c>
      <c r="K25" s="154">
        <f>J138</f>
        <v/>
      </c>
      <c r="L25" s="154">
        <f>K138</f>
        <v/>
      </c>
      <c r="M25" s="154">
        <f>L138</f>
        <v/>
      </c>
      <c r="N25" s="154">
        <f>M138</f>
        <v/>
      </c>
      <c r="O25" s="154">
        <f>N138</f>
        <v/>
      </c>
      <c r="P25" s="154">
        <f>O138</f>
        <v/>
      </c>
      <c r="Q25" s="154">
        <f>P138</f>
        <v/>
      </c>
      <c r="R25" s="229">
        <f>SUM(F25:Q25)</f>
        <v/>
      </c>
      <c r="S25" s="154">
        <f>Q138</f>
        <v/>
      </c>
      <c r="T25" s="154">
        <f>S138</f>
        <v/>
      </c>
      <c r="U25" s="154">
        <f>T138</f>
        <v/>
      </c>
      <c r="V25" s="154">
        <f>U138</f>
        <v/>
      </c>
      <c r="W25" s="154">
        <f>V138</f>
        <v/>
      </c>
      <c r="X25" s="154">
        <f>W138</f>
        <v/>
      </c>
      <c r="Y25" s="154">
        <f>X138</f>
        <v/>
      </c>
      <c r="Z25" s="154">
        <f>Y138</f>
        <v/>
      </c>
      <c r="AA25" s="154">
        <f>Z138</f>
        <v/>
      </c>
      <c r="AB25" s="154">
        <f>AA138</f>
        <v/>
      </c>
      <c r="AC25" s="154">
        <f>AB138</f>
        <v/>
      </c>
      <c r="AD25" s="154">
        <f>AC138</f>
        <v/>
      </c>
      <c r="AE25" s="229">
        <f>SUM(S25:AD25)</f>
        <v/>
      </c>
      <c r="AF25" s="229">
        <f>AD138+AF138*11/12</f>
        <v/>
      </c>
      <c r="AG25" s="229">
        <f>AF138/12+AG138*11/12</f>
        <v/>
      </c>
      <c r="AH25" s="229">
        <f>AG138/12+AH138*11/12</f>
        <v/>
      </c>
    </row>
    <row r="26" ht="8.25" customHeight="1" s="277">
      <c r="A26" s="224" t="n"/>
      <c r="B26" s="225" t="inlineStr">
        <is>
          <t>Promotional Material</t>
        </is>
      </c>
      <c r="C26" s="154" t="n"/>
      <c r="D26" s="154" t="n"/>
      <c r="E26" s="154" t="n"/>
      <c r="F26" s="154">
        <f>E140</f>
        <v/>
      </c>
      <c r="G26" s="154">
        <f>F140</f>
        <v/>
      </c>
      <c r="H26" s="154">
        <f>G140</f>
        <v/>
      </c>
      <c r="I26" s="154">
        <f>H140</f>
        <v/>
      </c>
      <c r="J26" s="154">
        <f>I140</f>
        <v/>
      </c>
      <c r="K26" s="154">
        <f>J140</f>
        <v/>
      </c>
      <c r="L26" s="154">
        <f>K140</f>
        <v/>
      </c>
      <c r="M26" s="154">
        <f>L140</f>
        <v/>
      </c>
      <c r="N26" s="154">
        <f>M140</f>
        <v/>
      </c>
      <c r="O26" s="154">
        <f>N140</f>
        <v/>
      </c>
      <c r="P26" s="154">
        <f>O140</f>
        <v/>
      </c>
      <c r="Q26" s="154">
        <f>P140</f>
        <v/>
      </c>
      <c r="R26" s="229">
        <f>SUM(F26:Q26)</f>
        <v/>
      </c>
      <c r="S26" s="154">
        <f>Q140</f>
        <v/>
      </c>
      <c r="T26" s="154">
        <f>S140</f>
        <v/>
      </c>
      <c r="U26" s="154">
        <f>T140</f>
        <v/>
      </c>
      <c r="V26" s="154">
        <f>U140</f>
        <v/>
      </c>
      <c r="W26" s="154">
        <f>V140</f>
        <v/>
      </c>
      <c r="X26" s="154">
        <f>W140</f>
        <v/>
      </c>
      <c r="Y26" s="154">
        <f>X140</f>
        <v/>
      </c>
      <c r="Z26" s="154">
        <f>Y140</f>
        <v/>
      </c>
      <c r="AA26" s="154">
        <f>Z140</f>
        <v/>
      </c>
      <c r="AB26" s="154">
        <f>AA140</f>
        <v/>
      </c>
      <c r="AC26" s="154">
        <f>AB140</f>
        <v/>
      </c>
      <c r="AD26" s="154">
        <f>AC140</f>
        <v/>
      </c>
      <c r="AE26" s="229">
        <f>SUM(S26:AD26)</f>
        <v/>
      </c>
      <c r="AF26" s="229">
        <f>AD140+AF140*11/12</f>
        <v/>
      </c>
      <c r="AG26" s="229">
        <f>AF140/12+AG140*11/12</f>
        <v/>
      </c>
      <c r="AH26" s="229">
        <f>AG140/12+AH140*11/12</f>
        <v/>
      </c>
    </row>
    <row r="27" ht="8.25" customHeight="1" s="277">
      <c r="A27" s="224" t="n"/>
      <c r="B27" s="225" t="inlineStr">
        <is>
          <t>Trade Shows</t>
        </is>
      </c>
      <c r="C27" s="154" t="n"/>
      <c r="D27" s="154" t="n"/>
      <c r="E27" s="154" t="n"/>
      <c r="F27" s="154">
        <f>F139</f>
        <v/>
      </c>
      <c r="G27" s="154">
        <f>G139</f>
        <v/>
      </c>
      <c r="H27" s="154">
        <f>H139</f>
        <v/>
      </c>
      <c r="I27" s="154">
        <f>I139</f>
        <v/>
      </c>
      <c r="J27" s="154">
        <f>J139</f>
        <v/>
      </c>
      <c r="K27" s="154">
        <f>K139</f>
        <v/>
      </c>
      <c r="L27" s="154">
        <f>L139</f>
        <v/>
      </c>
      <c r="M27" s="154">
        <f>M139</f>
        <v/>
      </c>
      <c r="N27" s="154">
        <f>N139</f>
        <v/>
      </c>
      <c r="O27" s="154">
        <f>O139</f>
        <v/>
      </c>
      <c r="P27" s="154">
        <f>P139</f>
        <v/>
      </c>
      <c r="Q27" s="154">
        <f>Q139</f>
        <v/>
      </c>
      <c r="R27" s="229">
        <f>SUM(F27:Q27)</f>
        <v/>
      </c>
      <c r="S27" s="154">
        <f>S139</f>
        <v/>
      </c>
      <c r="T27" s="154">
        <f>T139</f>
        <v/>
      </c>
      <c r="U27" s="154">
        <f>U139</f>
        <v/>
      </c>
      <c r="V27" s="154">
        <f>V139</f>
        <v/>
      </c>
      <c r="W27" s="154">
        <f>W139</f>
        <v/>
      </c>
      <c r="X27" s="154">
        <f>X139</f>
        <v/>
      </c>
      <c r="Y27" s="154">
        <f>Y139</f>
        <v/>
      </c>
      <c r="Z27" s="154">
        <f>Z139</f>
        <v/>
      </c>
      <c r="AA27" s="154">
        <f>AA139</f>
        <v/>
      </c>
      <c r="AB27" s="154">
        <f>AB139</f>
        <v/>
      </c>
      <c r="AC27" s="154">
        <f>AC139</f>
        <v/>
      </c>
      <c r="AD27" s="154">
        <f>AD139</f>
        <v/>
      </c>
      <c r="AE27" s="229">
        <f>SUM(S27:AD27)</f>
        <v/>
      </c>
      <c r="AF27" s="229">
        <f>AF139</f>
        <v/>
      </c>
      <c r="AG27" s="229">
        <f>AG139</f>
        <v/>
      </c>
      <c r="AH27" s="229">
        <f>AH139</f>
        <v/>
      </c>
    </row>
    <row r="28" ht="8.25" customHeight="1" s="277">
      <c r="A28" s="224" t="n"/>
      <c r="B28" s="225" t="inlineStr">
        <is>
          <t>Supplies/Materials</t>
        </is>
      </c>
      <c r="C28" s="154" t="n"/>
      <c r="D28" s="154" t="n"/>
      <c r="E28" s="154" t="n"/>
      <c r="F28" s="154">
        <f>E113+E126+E149+E565</f>
        <v/>
      </c>
      <c r="G28" s="154">
        <f>F113+F126+F149+F565</f>
        <v/>
      </c>
      <c r="H28" s="154">
        <f>G113+G126+G149+G565</f>
        <v/>
      </c>
      <c r="I28" s="154">
        <f>H113+H126+H149+H565</f>
        <v/>
      </c>
      <c r="J28" s="154">
        <f>I113+I126+I149+I565</f>
        <v/>
      </c>
      <c r="K28" s="154">
        <f>J113+J126+J149+J565</f>
        <v/>
      </c>
      <c r="L28" s="154">
        <f>K113+K126+K149+K565</f>
        <v/>
      </c>
      <c r="M28" s="154">
        <f>L113+L126+L149+L565</f>
        <v/>
      </c>
      <c r="N28" s="154">
        <f>M113+M126+M149+M565</f>
        <v/>
      </c>
      <c r="O28" s="154">
        <f>N113+N126+N149+N565</f>
        <v/>
      </c>
      <c r="P28" s="154">
        <f>O113+O126+O149+O565</f>
        <v/>
      </c>
      <c r="Q28" s="154">
        <f>P113+P126+P149+P565</f>
        <v/>
      </c>
      <c r="R28" s="229">
        <f>SUM(F28:Q28)</f>
        <v/>
      </c>
      <c r="S28" s="154">
        <f>Q113+Q126+Q149+Q565</f>
        <v/>
      </c>
      <c r="T28" s="154">
        <f>S113+S126+S149+S565</f>
        <v/>
      </c>
      <c r="U28" s="154">
        <f>T113+T126+T149+T565</f>
        <v/>
      </c>
      <c r="V28" s="154">
        <f>U113+U126+U149+U565</f>
        <v/>
      </c>
      <c r="W28" s="154">
        <f>V113+V126+V149+V565</f>
        <v/>
      </c>
      <c r="X28" s="154">
        <f>W113+W126+W149+W565</f>
        <v/>
      </c>
      <c r="Y28" s="154">
        <f>X113+X126+X149+X565</f>
        <v/>
      </c>
      <c r="Z28" s="154">
        <f>Y113+Y126+Y149+Y565</f>
        <v/>
      </c>
      <c r="AA28" s="154">
        <f>Z113+Z126+Z149+Z565</f>
        <v/>
      </c>
      <c r="AB28" s="154">
        <f>AA113+AA126+AA149+AA565</f>
        <v/>
      </c>
      <c r="AC28" s="154">
        <f>AB113+AB126+AB149+AB565</f>
        <v/>
      </c>
      <c r="AD28" s="154">
        <f>AC113+AC126+AC149+AC565</f>
        <v/>
      </c>
      <c r="AE28" s="229">
        <f>SUM(S28:AD28)</f>
        <v/>
      </c>
      <c r="AF28" s="229">
        <f>(AD113+AD126+AD149+AD565)+(AF113+AF126+AF149+AF565)*11/12</f>
        <v/>
      </c>
      <c r="AG28" s="229">
        <f>(AF113+AF126+AF149+AF565)/12+(AG113+AG126+AG149+AG565)*11/12</f>
        <v/>
      </c>
      <c r="AH28" s="229">
        <f>(AG113+AG126+AG149+AG565)/12+(AH113+AH126+AH149+AH565)*11/12</f>
        <v/>
      </c>
    </row>
    <row r="29" ht="8.25" customHeight="1" s="277">
      <c r="A29" s="224" t="n"/>
      <c r="B29" s="225" t="inlineStr">
        <is>
          <t>Travel &amp; Meals</t>
        </is>
      </c>
      <c r="C29" s="154" t="n"/>
      <c r="D29" s="154" t="n"/>
      <c r="E29" s="154" t="n"/>
      <c r="F29" s="154">
        <f>E114+E127+E150+E566</f>
        <v/>
      </c>
      <c r="G29" s="154">
        <f>F114+F127+F150+F566</f>
        <v/>
      </c>
      <c r="H29" s="154">
        <f>G114+G127+G150+G566</f>
        <v/>
      </c>
      <c r="I29" s="154">
        <f>H114+H127+H150+H566</f>
        <v/>
      </c>
      <c r="J29" s="154">
        <f>I114+I127+I150+I566</f>
        <v/>
      </c>
      <c r="K29" s="154">
        <f>J114+J127+J150+J566</f>
        <v/>
      </c>
      <c r="L29" s="154">
        <f>K114+K127+K150+K566</f>
        <v/>
      </c>
      <c r="M29" s="154">
        <f>L114+L127+L150+L566</f>
        <v/>
      </c>
      <c r="N29" s="154">
        <f>M114+M127+M150+M566</f>
        <v/>
      </c>
      <c r="O29" s="154">
        <f>N114+N127+N150+N566</f>
        <v/>
      </c>
      <c r="P29" s="154">
        <f>O114+O127+O150+O566</f>
        <v/>
      </c>
      <c r="Q29" s="154">
        <f>P114+P127+P150+P566</f>
        <v/>
      </c>
      <c r="R29" s="229">
        <f>SUM(F29:Q29)</f>
        <v/>
      </c>
      <c r="S29" s="154">
        <f>Q114+Q127+Q150+Q566</f>
        <v/>
      </c>
      <c r="T29" s="154">
        <f>S114+S127+S150+S566</f>
        <v/>
      </c>
      <c r="U29" s="154">
        <f>T114+T127+T150+T566</f>
        <v/>
      </c>
      <c r="V29" s="154">
        <f>U114+U127+U150+U566</f>
        <v/>
      </c>
      <c r="W29" s="154">
        <f>V114+V127+V150+V566</f>
        <v/>
      </c>
      <c r="X29" s="154">
        <f>W114+W127+W150+W566</f>
        <v/>
      </c>
      <c r="Y29" s="154">
        <f>X114+X127+X150+X566</f>
        <v/>
      </c>
      <c r="Z29" s="154">
        <f>Y114+Y127+Y150+Y566</f>
        <v/>
      </c>
      <c r="AA29" s="154">
        <f>Z114+Z127+Z150+Z566</f>
        <v/>
      </c>
      <c r="AB29" s="154">
        <f>AA114+AA127+AA150+AA566</f>
        <v/>
      </c>
      <c r="AC29" s="154">
        <f>AB114+AB127+AB150+AB566</f>
        <v/>
      </c>
      <c r="AD29" s="154">
        <f>AC114+AC127+AC150+AC566</f>
        <v/>
      </c>
      <c r="AE29" s="229">
        <f>SUM(S29:AD29)</f>
        <v/>
      </c>
      <c r="AF29" s="229">
        <f>(AD114+AD127+AD150+AD566)+(AF114+AF127+AF150+AF566)*11/12</f>
        <v/>
      </c>
      <c r="AG29" s="229">
        <f>(AF114+AF127+AF150+AF566)/12+(AG114+AG127+AG150+AG566)*11/12</f>
        <v/>
      </c>
      <c r="AH29" s="229">
        <f>(AG114+AG127+AG150+AG566)/12+(AH114+AH127+AH150+AH566)*11/12</f>
        <v/>
      </c>
    </row>
    <row r="30" ht="8.25" customHeight="1" s="277">
      <c r="A30" s="224" t="n"/>
      <c r="B30" s="225" t="inlineStr">
        <is>
          <t>Telephone/Postage</t>
        </is>
      </c>
      <c r="C30" s="154" t="n"/>
      <c r="D30" s="154" t="n"/>
      <c r="E30" s="154" t="n"/>
      <c r="F30" s="154">
        <f>E115+E128+E151+E567</f>
        <v/>
      </c>
      <c r="G30" s="154">
        <f>F115+F128+F151+F567</f>
        <v/>
      </c>
      <c r="H30" s="154">
        <f>G115+G128+G151+G567</f>
        <v/>
      </c>
      <c r="I30" s="154">
        <f>H115+H128+H151+H567</f>
        <v/>
      </c>
      <c r="J30" s="154">
        <f>I115+I128+I151+I567</f>
        <v/>
      </c>
      <c r="K30" s="154">
        <f>J115+J128+J151+J567</f>
        <v/>
      </c>
      <c r="L30" s="154">
        <f>K115+K128+K151+K567</f>
        <v/>
      </c>
      <c r="M30" s="154">
        <f>L115+L128+L151+L567</f>
        <v/>
      </c>
      <c r="N30" s="154">
        <f>M115+M128+M151+M567</f>
        <v/>
      </c>
      <c r="O30" s="154">
        <f>N115+N128+N151+N567</f>
        <v/>
      </c>
      <c r="P30" s="154">
        <f>O115+O128+O151+O567</f>
        <v/>
      </c>
      <c r="Q30" s="154">
        <f>P115+P128+P151+P567</f>
        <v/>
      </c>
      <c r="R30" s="229">
        <f>SUM(F30:Q30)</f>
        <v/>
      </c>
      <c r="S30" s="154">
        <f>Q115+Q128+Q151+Q567</f>
        <v/>
      </c>
      <c r="T30" s="154">
        <f>S115+S128+S151+S567</f>
        <v/>
      </c>
      <c r="U30" s="154">
        <f>T115+T128+T151+T567</f>
        <v/>
      </c>
      <c r="V30" s="154">
        <f>U115+U128+U151+U567</f>
        <v/>
      </c>
      <c r="W30" s="154">
        <f>V115+V128+V151+V567</f>
        <v/>
      </c>
      <c r="X30" s="154">
        <f>W115+W128+W151+W567</f>
        <v/>
      </c>
      <c r="Y30" s="154">
        <f>X115+X128+X151+X567</f>
        <v/>
      </c>
      <c r="Z30" s="154">
        <f>Y115+Y128+Y151+Y567</f>
        <v/>
      </c>
      <c r="AA30" s="154">
        <f>Z115+Z128+Z151+Z567</f>
        <v/>
      </c>
      <c r="AB30" s="154">
        <f>AA115+AA128+AA151+AA567</f>
        <v/>
      </c>
      <c r="AC30" s="154">
        <f>AB115+AB128+AB151+AB567</f>
        <v/>
      </c>
      <c r="AD30" s="154">
        <f>AC115+AC128+AC151+AC567</f>
        <v/>
      </c>
      <c r="AE30" s="229">
        <f>SUM(S30:AD30)</f>
        <v/>
      </c>
      <c r="AF30" s="229">
        <f>(AD115+AD128+AD151+AD567)+(AF115+AF128+AF151+AF567)*11/12</f>
        <v/>
      </c>
      <c r="AG30" s="229">
        <f>(AF115+AF128+AF151+AF567)/12+(AG115+AG128+AG151+AG567)*11/12</f>
        <v/>
      </c>
      <c r="AH30" s="229">
        <f>(AG115+AG128+AG151+AG567)/12+(AH115+AH128+AH151+AH567)*11/12</f>
        <v/>
      </c>
    </row>
    <row r="31" ht="8.25" customHeight="1" s="277">
      <c r="A31" s="224" t="n"/>
      <c r="B31" s="225" t="inlineStr">
        <is>
          <t>Maintenance &amp; Repair</t>
        </is>
      </c>
      <c r="C31" s="154" t="n"/>
      <c r="D31" s="154" t="n"/>
      <c r="E31" s="154" t="n"/>
      <c r="F31" s="154">
        <f>E157</f>
        <v/>
      </c>
      <c r="G31" s="154">
        <f>F157</f>
        <v/>
      </c>
      <c r="H31" s="154">
        <f>G157</f>
        <v/>
      </c>
      <c r="I31" s="154">
        <f>H157</f>
        <v/>
      </c>
      <c r="J31" s="154">
        <f>I157</f>
        <v/>
      </c>
      <c r="K31" s="154">
        <f>J157</f>
        <v/>
      </c>
      <c r="L31" s="154">
        <f>K157</f>
        <v/>
      </c>
      <c r="M31" s="154">
        <f>L157</f>
        <v/>
      </c>
      <c r="N31" s="154">
        <f>M157</f>
        <v/>
      </c>
      <c r="O31" s="154">
        <f>N157</f>
        <v/>
      </c>
      <c r="P31" s="154">
        <f>O157</f>
        <v/>
      </c>
      <c r="Q31" s="154">
        <f>P157</f>
        <v/>
      </c>
      <c r="R31" s="229">
        <f>SUM(F31:Q31)</f>
        <v/>
      </c>
      <c r="S31" s="154">
        <f>Q157</f>
        <v/>
      </c>
      <c r="T31" s="154">
        <f>S157</f>
        <v/>
      </c>
      <c r="U31" s="154">
        <f>T157</f>
        <v/>
      </c>
      <c r="V31" s="154">
        <f>U157</f>
        <v/>
      </c>
      <c r="W31" s="154">
        <f>V157</f>
        <v/>
      </c>
      <c r="X31" s="154">
        <f>W157</f>
        <v/>
      </c>
      <c r="Y31" s="154">
        <f>X157</f>
        <v/>
      </c>
      <c r="Z31" s="154">
        <f>Y157</f>
        <v/>
      </c>
      <c r="AA31" s="154">
        <f>Z157</f>
        <v/>
      </c>
      <c r="AB31" s="154">
        <f>AA157</f>
        <v/>
      </c>
      <c r="AC31" s="154">
        <f>AB157</f>
        <v/>
      </c>
      <c r="AD31" s="154">
        <f>AC157</f>
        <v/>
      </c>
      <c r="AE31" s="229">
        <f>SUM(S31:AD31)</f>
        <v/>
      </c>
      <c r="AF31" s="229">
        <f>AD157+AF157*11/12</f>
        <v/>
      </c>
      <c r="AG31" s="229">
        <f>AF157/12+AG157*11/12</f>
        <v/>
      </c>
      <c r="AH31" s="229">
        <f>AG157/12+AH157*11/12</f>
        <v/>
      </c>
    </row>
    <row r="32" ht="8.25" customHeight="1" s="277">
      <c r="A32" s="224" t="n"/>
      <c r="B32" s="225" t="inlineStr">
        <is>
          <t>Rent</t>
        </is>
      </c>
      <c r="C32" s="154" t="n"/>
      <c r="D32" s="154" t="n"/>
      <c r="E32" s="154" t="n"/>
      <c r="F32" s="154">
        <f>F613</f>
        <v/>
      </c>
      <c r="G32" s="154">
        <f>G613</f>
        <v/>
      </c>
      <c r="H32" s="154">
        <f>H613</f>
        <v/>
      </c>
      <c r="I32" s="154">
        <f>I613</f>
        <v/>
      </c>
      <c r="J32" s="154">
        <f>J613</f>
        <v/>
      </c>
      <c r="K32" s="154">
        <f>K613</f>
        <v/>
      </c>
      <c r="L32" s="154">
        <f>L613</f>
        <v/>
      </c>
      <c r="M32" s="154">
        <f>M613</f>
        <v/>
      </c>
      <c r="N32" s="154">
        <f>N613</f>
        <v/>
      </c>
      <c r="O32" s="154">
        <f>O613</f>
        <v/>
      </c>
      <c r="P32" s="154">
        <f>P613</f>
        <v/>
      </c>
      <c r="Q32" s="154">
        <f>Q613</f>
        <v/>
      </c>
      <c r="R32" s="229">
        <f>SUM(F32:Q32)</f>
        <v/>
      </c>
      <c r="S32" s="154">
        <f>S613</f>
        <v/>
      </c>
      <c r="T32" s="154">
        <f>T613</f>
        <v/>
      </c>
      <c r="U32" s="154">
        <f>U613</f>
        <v/>
      </c>
      <c r="V32" s="154">
        <f>V613</f>
        <v/>
      </c>
      <c r="W32" s="154">
        <f>W613</f>
        <v/>
      </c>
      <c r="X32" s="154">
        <f>X613</f>
        <v/>
      </c>
      <c r="Y32" s="154">
        <f>Y613</f>
        <v/>
      </c>
      <c r="Z32" s="154">
        <f>Z613</f>
        <v/>
      </c>
      <c r="AA32" s="154">
        <f>AA613</f>
        <v/>
      </c>
      <c r="AB32" s="154">
        <f>AB613</f>
        <v/>
      </c>
      <c r="AC32" s="154">
        <f>AC613</f>
        <v/>
      </c>
      <c r="AD32" s="154">
        <f>AD613</f>
        <v/>
      </c>
      <c r="AE32" s="229">
        <f>SUM(S32:AD32)</f>
        <v/>
      </c>
      <c r="AF32" s="229">
        <f>AF613</f>
        <v/>
      </c>
      <c r="AG32" s="229">
        <f>AG613</f>
        <v/>
      </c>
      <c r="AH32" s="229">
        <f>AH613</f>
        <v/>
      </c>
    </row>
    <row r="33" ht="8.25" customHeight="1" s="277">
      <c r="A33" s="224" t="n"/>
      <c r="B33" s="225" t="inlineStr">
        <is>
          <t>Utilities</t>
        </is>
      </c>
      <c r="C33" s="154" t="n"/>
      <c r="D33" s="154" t="n"/>
      <c r="E33" s="154" t="n"/>
      <c r="F33" s="154">
        <f>E156</f>
        <v/>
      </c>
      <c r="G33" s="154">
        <f>F156</f>
        <v/>
      </c>
      <c r="H33" s="154">
        <f>G156</f>
        <v/>
      </c>
      <c r="I33" s="154">
        <f>H156</f>
        <v/>
      </c>
      <c r="J33" s="154">
        <f>I156</f>
        <v/>
      </c>
      <c r="K33" s="154">
        <f>J156</f>
        <v/>
      </c>
      <c r="L33" s="154">
        <f>K156</f>
        <v/>
      </c>
      <c r="M33" s="154">
        <f>L156</f>
        <v/>
      </c>
      <c r="N33" s="154">
        <f>M156</f>
        <v/>
      </c>
      <c r="O33" s="154">
        <f>N156</f>
        <v/>
      </c>
      <c r="P33" s="154">
        <f>O156</f>
        <v/>
      </c>
      <c r="Q33" s="154">
        <f>P156</f>
        <v/>
      </c>
      <c r="R33" s="229">
        <f>SUM(F33:Q33)</f>
        <v/>
      </c>
      <c r="S33" s="154">
        <f>Q156</f>
        <v/>
      </c>
      <c r="T33" s="154">
        <f>S156</f>
        <v/>
      </c>
      <c r="U33" s="154">
        <f>T156</f>
        <v/>
      </c>
      <c r="V33" s="154">
        <f>U156</f>
        <v/>
      </c>
      <c r="W33" s="154">
        <f>V156</f>
        <v/>
      </c>
      <c r="X33" s="154">
        <f>W156</f>
        <v/>
      </c>
      <c r="Y33" s="154">
        <f>X156</f>
        <v/>
      </c>
      <c r="Z33" s="154">
        <f>Y156</f>
        <v/>
      </c>
      <c r="AA33" s="154">
        <f>Z156</f>
        <v/>
      </c>
      <c r="AB33" s="154">
        <f>AA156</f>
        <v/>
      </c>
      <c r="AC33" s="154">
        <f>AB156</f>
        <v/>
      </c>
      <c r="AD33" s="154">
        <f>AC156</f>
        <v/>
      </c>
      <c r="AE33" s="229">
        <f>SUM(S33:AD33)</f>
        <v/>
      </c>
      <c r="AF33" s="229">
        <f>AD156+AF156*11/12</f>
        <v/>
      </c>
      <c r="AG33" s="229">
        <f>AF156/12+AG156*11/12</f>
        <v/>
      </c>
      <c r="AH33" s="229">
        <f>AG156/12+AH156*11/12</f>
        <v/>
      </c>
    </row>
    <row r="34" ht="8.25" customHeight="1" s="277">
      <c r="A34" s="224" t="n"/>
      <c r="B34" s="225" t="inlineStr">
        <is>
          <t>Insurance</t>
        </is>
      </c>
      <c r="C34" s="154" t="n"/>
      <c r="D34" s="154" t="n"/>
      <c r="E34" s="154" t="n"/>
      <c r="F34" s="154">
        <f>F152</f>
        <v/>
      </c>
      <c r="G34" s="154">
        <f>G152</f>
        <v/>
      </c>
      <c r="H34" s="154">
        <f>H152</f>
        <v/>
      </c>
      <c r="I34" s="154">
        <f>I152</f>
        <v/>
      </c>
      <c r="J34" s="154">
        <f>J152</f>
        <v/>
      </c>
      <c r="K34" s="154">
        <f>K152</f>
        <v/>
      </c>
      <c r="L34" s="154">
        <f>L152</f>
        <v/>
      </c>
      <c r="M34" s="154">
        <f>M152</f>
        <v/>
      </c>
      <c r="N34" s="154">
        <f>N152</f>
        <v/>
      </c>
      <c r="O34" s="154">
        <f>O152</f>
        <v/>
      </c>
      <c r="P34" s="154">
        <f>P152</f>
        <v/>
      </c>
      <c r="Q34" s="154">
        <f>Q152</f>
        <v/>
      </c>
      <c r="R34" s="229">
        <f>SUM(F34:Q34)</f>
        <v/>
      </c>
      <c r="S34" s="154">
        <f>S152</f>
        <v/>
      </c>
      <c r="T34" s="154">
        <f>T152</f>
        <v/>
      </c>
      <c r="U34" s="154">
        <f>U152</f>
        <v/>
      </c>
      <c r="V34" s="154">
        <f>V152</f>
        <v/>
      </c>
      <c r="W34" s="154">
        <f>W152</f>
        <v/>
      </c>
      <c r="X34" s="154">
        <f>X152</f>
        <v/>
      </c>
      <c r="Y34" s="154">
        <f>Y152</f>
        <v/>
      </c>
      <c r="Z34" s="154">
        <f>Z152</f>
        <v/>
      </c>
      <c r="AA34" s="154">
        <f>AA152</f>
        <v/>
      </c>
      <c r="AB34" s="154">
        <f>AB152</f>
        <v/>
      </c>
      <c r="AC34" s="154">
        <f>AC152</f>
        <v/>
      </c>
      <c r="AD34" s="154">
        <f>AD152</f>
        <v/>
      </c>
      <c r="AE34" s="229">
        <f>SUM(S34:AD34)</f>
        <v/>
      </c>
      <c r="AF34" s="229">
        <f>AF152</f>
        <v/>
      </c>
      <c r="AG34" s="229">
        <f>AG152</f>
        <v/>
      </c>
      <c r="AH34" s="229">
        <f>AH152</f>
        <v/>
      </c>
    </row>
    <row r="35" ht="8.25" customHeight="1" s="277">
      <c r="A35" s="224" t="n"/>
      <c r="B35" s="225" t="inlineStr">
        <is>
          <t>Consultants</t>
        </is>
      </c>
      <c r="C35" s="154" t="n"/>
      <c r="D35" s="154" t="n"/>
      <c r="E35" s="154" t="n"/>
      <c r="F35" s="154">
        <f>E112</f>
        <v/>
      </c>
      <c r="G35" s="154">
        <f>F112</f>
        <v/>
      </c>
      <c r="H35" s="154">
        <f>G112</f>
        <v/>
      </c>
      <c r="I35" s="154">
        <f>H112</f>
        <v/>
      </c>
      <c r="J35" s="154">
        <f>I112</f>
        <v/>
      </c>
      <c r="K35" s="154">
        <f>J112</f>
        <v/>
      </c>
      <c r="L35" s="154">
        <f>K112</f>
        <v/>
      </c>
      <c r="M35" s="154">
        <f>L112</f>
        <v/>
      </c>
      <c r="N35" s="154">
        <f>M112</f>
        <v/>
      </c>
      <c r="O35" s="154">
        <f>N112</f>
        <v/>
      </c>
      <c r="P35" s="154">
        <f>O112</f>
        <v/>
      </c>
      <c r="Q35" s="154">
        <f>P112</f>
        <v/>
      </c>
      <c r="R35" s="229">
        <f>SUM(F35:Q35)</f>
        <v/>
      </c>
      <c r="S35" s="154">
        <f>Q112</f>
        <v/>
      </c>
      <c r="T35" s="154">
        <f>S112</f>
        <v/>
      </c>
      <c r="U35" s="154">
        <f>T112</f>
        <v/>
      </c>
      <c r="V35" s="154">
        <f>U112</f>
        <v/>
      </c>
      <c r="W35" s="154">
        <f>V112</f>
        <v/>
      </c>
      <c r="X35" s="154">
        <f>W112</f>
        <v/>
      </c>
      <c r="Y35" s="154">
        <f>X112</f>
        <v/>
      </c>
      <c r="Z35" s="154">
        <f>Y112</f>
        <v/>
      </c>
      <c r="AA35" s="154">
        <f>Z112</f>
        <v/>
      </c>
      <c r="AB35" s="154">
        <f>AA112</f>
        <v/>
      </c>
      <c r="AC35" s="154">
        <f>AB112</f>
        <v/>
      </c>
      <c r="AD35" s="154">
        <f>AC112</f>
        <v/>
      </c>
      <c r="AE35" s="229">
        <f>SUM(S35:AD35)</f>
        <v/>
      </c>
      <c r="AF35" s="229">
        <f>AD112+AF112*11/12</f>
        <v/>
      </c>
      <c r="AG35" s="229">
        <f>AF112/12+AG112*11/12</f>
        <v/>
      </c>
      <c r="AH35" s="229">
        <f>AG112/12+AH112*11/12</f>
        <v/>
      </c>
    </row>
    <row r="36" ht="8.25" customHeight="1" s="277">
      <c r="A36" s="224" t="n"/>
      <c r="B36" s="225" t="inlineStr">
        <is>
          <t>Professional Services</t>
        </is>
      </c>
      <c r="C36" s="154" t="n"/>
      <c r="D36" s="154" t="n"/>
      <c r="E36" s="154" t="n"/>
      <c r="F36" s="154">
        <f>E153</f>
        <v/>
      </c>
      <c r="G36" s="154">
        <f>F153</f>
        <v/>
      </c>
      <c r="H36" s="154">
        <f>G153</f>
        <v/>
      </c>
      <c r="I36" s="154">
        <f>H153</f>
        <v/>
      </c>
      <c r="J36" s="154">
        <f>I153</f>
        <v/>
      </c>
      <c r="K36" s="154">
        <f>J153</f>
        <v/>
      </c>
      <c r="L36" s="154">
        <f>K153</f>
        <v/>
      </c>
      <c r="M36" s="154">
        <f>L153</f>
        <v/>
      </c>
      <c r="N36" s="154">
        <f>M153</f>
        <v/>
      </c>
      <c r="O36" s="154">
        <f>N153</f>
        <v/>
      </c>
      <c r="P36" s="154">
        <f>O153</f>
        <v/>
      </c>
      <c r="Q36" s="154">
        <f>P153</f>
        <v/>
      </c>
      <c r="R36" s="229">
        <f>SUM(F36:Q36)</f>
        <v/>
      </c>
      <c r="S36" s="154">
        <f>Q153</f>
        <v/>
      </c>
      <c r="T36" s="154">
        <f>S153</f>
        <v/>
      </c>
      <c r="U36" s="154">
        <f>T153</f>
        <v/>
      </c>
      <c r="V36" s="154">
        <f>U153</f>
        <v/>
      </c>
      <c r="W36" s="154">
        <f>V153</f>
        <v/>
      </c>
      <c r="X36" s="154">
        <f>W153</f>
        <v/>
      </c>
      <c r="Y36" s="154">
        <f>X153</f>
        <v/>
      </c>
      <c r="Z36" s="154">
        <f>Y153</f>
        <v/>
      </c>
      <c r="AA36" s="154">
        <f>Z153</f>
        <v/>
      </c>
      <c r="AB36" s="154">
        <f>AA153</f>
        <v/>
      </c>
      <c r="AC36" s="154">
        <f>AB153</f>
        <v/>
      </c>
      <c r="AD36" s="154">
        <f>AC153</f>
        <v/>
      </c>
      <c r="AE36" s="229">
        <f>SUM(S36:AD36)</f>
        <v/>
      </c>
      <c r="AF36" s="229">
        <f>AD153+AF153*11/12</f>
        <v/>
      </c>
      <c r="AG36" s="229">
        <f>AF153/12+AG153*11/12</f>
        <v/>
      </c>
      <c r="AH36" s="229">
        <f>AG153/12+AH153*11/12</f>
        <v/>
      </c>
    </row>
    <row r="37" ht="8.25" customHeight="1" s="277">
      <c r="A37" s="224" t="n"/>
      <c r="B37" s="225" t="inlineStr">
        <is>
          <t>Taxes</t>
        </is>
      </c>
      <c r="C37" s="154" t="n"/>
      <c r="D37" s="154" t="n"/>
      <c r="E37" s="154" t="n"/>
      <c r="F37" s="154">
        <f>-F217+E217+F176</f>
        <v/>
      </c>
      <c r="G37" s="154">
        <f>-G217+F217+G176</f>
        <v/>
      </c>
      <c r="H37" s="154">
        <f>-H217+G217+H176</f>
        <v/>
      </c>
      <c r="I37" s="154">
        <f>-I217+H217+I176</f>
        <v/>
      </c>
      <c r="J37" s="154">
        <f>-J217+I217+J176</f>
        <v/>
      </c>
      <c r="K37" s="154">
        <f>-K217+J217+K176</f>
        <v/>
      </c>
      <c r="L37" s="154">
        <f>-L217+K217+L176</f>
        <v/>
      </c>
      <c r="M37" s="154">
        <f>-M217+L217+M176</f>
        <v/>
      </c>
      <c r="N37" s="154">
        <f>-N217+M217+N176</f>
        <v/>
      </c>
      <c r="O37" s="154">
        <f>-O217+N217+O176</f>
        <v/>
      </c>
      <c r="P37" s="154">
        <f>-P217+O217+P176</f>
        <v/>
      </c>
      <c r="Q37" s="154">
        <f>-Q217+P217+Q176</f>
        <v/>
      </c>
      <c r="R37" s="229">
        <f>SUM(F37:Q37)</f>
        <v/>
      </c>
      <c r="S37" s="154">
        <f>-S217+R217+S176</f>
        <v/>
      </c>
      <c r="T37" s="154">
        <f>-T217+S217+T176</f>
        <v/>
      </c>
      <c r="U37" s="154">
        <f>-U217+T217+U176</f>
        <v/>
      </c>
      <c r="V37" s="154">
        <f>-V217+U217+V176</f>
        <v/>
      </c>
      <c r="W37" s="154">
        <f>-W217+V217+W176</f>
        <v/>
      </c>
      <c r="X37" s="154">
        <f>-X217+W217+X176</f>
        <v/>
      </c>
      <c r="Y37" s="154">
        <f>-Y217+X217+Y176</f>
        <v/>
      </c>
      <c r="Z37" s="154">
        <f>-Z217+Y217+Z176</f>
        <v/>
      </c>
      <c r="AA37" s="154">
        <f>-AA217+Z217+AA176</f>
        <v/>
      </c>
      <c r="AB37" s="154">
        <f>-AB217+AA217+AB176</f>
        <v/>
      </c>
      <c r="AC37" s="154">
        <f>-AC217+AB217+AC176</f>
        <v/>
      </c>
      <c r="AD37" s="154">
        <f>-AD217+AC217+AD176</f>
        <v/>
      </c>
      <c r="AE37" s="229">
        <f>SUM(S37:AD37)</f>
        <v/>
      </c>
      <c r="AF37" s="229">
        <f>-AF217+AE217+AF176</f>
        <v/>
      </c>
      <c r="AG37" s="229">
        <f>-AG217+AF217+AG176</f>
        <v/>
      </c>
      <c r="AH37" s="229">
        <f>-AH217+AG217+AH176</f>
        <v/>
      </c>
    </row>
    <row r="38" ht="8.25" customHeight="1" s="277">
      <c r="A38" s="224" t="n"/>
      <c r="B38" s="225" t="inlineStr">
        <is>
          <t>Equipment Purchases</t>
        </is>
      </c>
      <c r="C38" s="154" t="n"/>
      <c r="D38" s="154" t="n"/>
      <c r="E38" s="154" t="n"/>
      <c r="F38" s="154">
        <f>F200-E200</f>
        <v/>
      </c>
      <c r="G38" s="154">
        <f>G200-F200</f>
        <v/>
      </c>
      <c r="H38" s="154">
        <f>H200-G200</f>
        <v/>
      </c>
      <c r="I38" s="154">
        <f>I200-H200</f>
        <v/>
      </c>
      <c r="J38" s="154">
        <f>J200-I200</f>
        <v/>
      </c>
      <c r="K38" s="154">
        <f>K200-J200</f>
        <v/>
      </c>
      <c r="L38" s="154">
        <f>L200-K200</f>
        <v/>
      </c>
      <c r="M38" s="154">
        <f>M200-L200</f>
        <v/>
      </c>
      <c r="N38" s="154">
        <f>N200-M200</f>
        <v/>
      </c>
      <c r="O38" s="154">
        <f>O200-N200</f>
        <v/>
      </c>
      <c r="P38" s="154">
        <f>P200-O200</f>
        <v/>
      </c>
      <c r="Q38" s="154">
        <f>Q200-P200</f>
        <v/>
      </c>
      <c r="R38" s="229">
        <f>SUM(F38:Q38)</f>
        <v/>
      </c>
      <c r="S38" s="154">
        <f>S200-Q200</f>
        <v/>
      </c>
      <c r="T38" s="154">
        <f>T200-S200</f>
        <v/>
      </c>
      <c r="U38" s="154">
        <f>U200-T200</f>
        <v/>
      </c>
      <c r="V38" s="154">
        <f>V200-U200</f>
        <v/>
      </c>
      <c r="W38" s="154">
        <f>W200-V200</f>
        <v/>
      </c>
      <c r="X38" s="154">
        <f>X200-W200</f>
        <v/>
      </c>
      <c r="Y38" s="154">
        <f>Y200-X200</f>
        <v/>
      </c>
      <c r="Z38" s="154">
        <f>Z200-Y200</f>
        <v/>
      </c>
      <c r="AA38" s="154">
        <f>AA200-Z200</f>
        <v/>
      </c>
      <c r="AB38" s="154">
        <f>AB200-AA200</f>
        <v/>
      </c>
      <c r="AC38" s="154">
        <f>AC200-AB200</f>
        <v/>
      </c>
      <c r="AD38" s="154">
        <f>AD200-AC200</f>
        <v/>
      </c>
      <c r="AE38" s="229">
        <f>SUM(S38:AD38)</f>
        <v/>
      </c>
      <c r="AF38" s="229">
        <f>AF200-AE200</f>
        <v/>
      </c>
      <c r="AG38" s="229">
        <f>AG200-AF200</f>
        <v/>
      </c>
      <c r="AH38" s="229">
        <f>AH200-AG200</f>
        <v/>
      </c>
    </row>
    <row r="39" ht="8.25" customHeight="1" s="277">
      <c r="A39" s="224" t="n"/>
      <c r="B39" s="225" t="inlineStr">
        <is>
          <t>Debt Repayments</t>
        </is>
      </c>
      <c r="C39" s="154" t="n"/>
      <c r="D39" s="154" t="n"/>
      <c r="E39" s="154" t="n"/>
      <c r="F39" s="154">
        <f>SUM(F75:F77)</f>
        <v/>
      </c>
      <c r="G39" s="154">
        <f>SUM(G75:G77)</f>
        <v/>
      </c>
      <c r="H39" s="154">
        <f>SUM(H75:H77)</f>
        <v/>
      </c>
      <c r="I39" s="154">
        <f>SUM(I75:I77)</f>
        <v/>
      </c>
      <c r="J39" s="154">
        <f>SUM(J75:J77)</f>
        <v/>
      </c>
      <c r="K39" s="154">
        <f>SUM(K75:K77)</f>
        <v/>
      </c>
      <c r="L39" s="154">
        <f>SUM(L75:L77)</f>
        <v/>
      </c>
      <c r="M39" s="154">
        <f>SUM(M75:M77)</f>
        <v/>
      </c>
      <c r="N39" s="154">
        <f>SUM(N75:N77)</f>
        <v/>
      </c>
      <c r="O39" s="154">
        <f>SUM(O75:O77)</f>
        <v/>
      </c>
      <c r="P39" s="154">
        <f>SUM(P75:P77)</f>
        <v/>
      </c>
      <c r="Q39" s="154">
        <f>SUM(Q75:Q77)</f>
        <v/>
      </c>
      <c r="R39" s="229">
        <f>SUM(F39:Q39)</f>
        <v/>
      </c>
      <c r="S39" s="154">
        <f>SUM(S75:S77)</f>
        <v/>
      </c>
      <c r="T39" s="154">
        <f>SUM(T75:T77)</f>
        <v/>
      </c>
      <c r="U39" s="154">
        <f>SUM(U75:U77)</f>
        <v/>
      </c>
      <c r="V39" s="154">
        <f>SUM(V75:V77)</f>
        <v/>
      </c>
      <c r="W39" s="154">
        <f>SUM(W75:W77)</f>
        <v/>
      </c>
      <c r="X39" s="154">
        <f>SUM(X75:X77)</f>
        <v/>
      </c>
      <c r="Y39" s="154">
        <f>SUM(Y75:Y77)</f>
        <v/>
      </c>
      <c r="Z39" s="154">
        <f>SUM(Z75:Z77)</f>
        <v/>
      </c>
      <c r="AA39" s="154">
        <f>SUM(AA75:AA77)</f>
        <v/>
      </c>
      <c r="AB39" s="154">
        <f>SUM(AB75:AB77)</f>
        <v/>
      </c>
      <c r="AC39" s="154">
        <f>SUM(AC75:AC77)</f>
        <v/>
      </c>
      <c r="AD39" s="154">
        <f>SUM(AD75:AD77)</f>
        <v/>
      </c>
      <c r="AE39" s="229">
        <f>SUM(S39:AD39)</f>
        <v/>
      </c>
      <c r="AF39" s="229">
        <f>SUM(AF75:AF77)</f>
        <v/>
      </c>
      <c r="AG39" s="229">
        <f>SUM(AG75:AG77)</f>
        <v/>
      </c>
      <c r="AH39" s="229">
        <f>SUM(AH75:AH77)</f>
        <v/>
      </c>
    </row>
    <row r="40" ht="8.25" customHeight="1" s="277">
      <c r="A40" s="224" t="n"/>
      <c r="B40" s="225" t="inlineStr">
        <is>
          <t>Interest Expense</t>
        </is>
      </c>
      <c r="C40" s="154" t="n"/>
      <c r="D40" s="154" t="n"/>
      <c r="E40" s="154" t="n"/>
      <c r="F40" s="154">
        <f>SUM(F170:F172)</f>
        <v/>
      </c>
      <c r="G40" s="154">
        <f>SUM(G170:G172)</f>
        <v/>
      </c>
      <c r="H40" s="154">
        <f>SUM(H170:H172)</f>
        <v/>
      </c>
      <c r="I40" s="154">
        <f>SUM(I170:I172)</f>
        <v/>
      </c>
      <c r="J40" s="154">
        <f>SUM(J170:J172)</f>
        <v/>
      </c>
      <c r="K40" s="154">
        <f>SUM(K170:K172)</f>
        <v/>
      </c>
      <c r="L40" s="154">
        <f>SUM(L170:L172)</f>
        <v/>
      </c>
      <c r="M40" s="154">
        <f>SUM(M170:M172)</f>
        <v/>
      </c>
      <c r="N40" s="154">
        <f>SUM(N170:N172)</f>
        <v/>
      </c>
      <c r="O40" s="154">
        <f>SUM(O170:O172)</f>
        <v/>
      </c>
      <c r="P40" s="154">
        <f>SUM(P170:P172)</f>
        <v/>
      </c>
      <c r="Q40" s="154">
        <f>SUM(Q170:Q172)</f>
        <v/>
      </c>
      <c r="R40" s="229">
        <f>SUM(F40:Q40)</f>
        <v/>
      </c>
      <c r="S40" s="154">
        <f>SUM(S170:S172)</f>
        <v/>
      </c>
      <c r="T40" s="154">
        <f>SUM(T170:T172)</f>
        <v/>
      </c>
      <c r="U40" s="154">
        <f>SUM(U170:U172)</f>
        <v/>
      </c>
      <c r="V40" s="154">
        <f>SUM(V170:V172)</f>
        <v/>
      </c>
      <c r="W40" s="154">
        <f>SUM(W170:W172)</f>
        <v/>
      </c>
      <c r="X40" s="154">
        <f>SUM(X170:X172)</f>
        <v/>
      </c>
      <c r="Y40" s="154">
        <f>SUM(Y170:Y172)</f>
        <v/>
      </c>
      <c r="Z40" s="154">
        <f>SUM(Z170:Z172)</f>
        <v/>
      </c>
      <c r="AA40" s="154">
        <f>SUM(AA170:AA172)</f>
        <v/>
      </c>
      <c r="AB40" s="154">
        <f>SUM(AB170:AB172)</f>
        <v/>
      </c>
      <c r="AC40" s="154">
        <f>SUM(AC170:AC172)</f>
        <v/>
      </c>
      <c r="AD40" s="154">
        <f>SUM(AD170:AD172)</f>
        <v/>
      </c>
      <c r="AE40" s="229">
        <f>SUM(S40:AD40)</f>
        <v/>
      </c>
      <c r="AF40" s="229">
        <f>SUM(AF170:AF172)</f>
        <v/>
      </c>
      <c r="AG40" s="229">
        <f>SUM(AG170:AG172)</f>
        <v/>
      </c>
      <c r="AH40" s="229">
        <f>SUM(AH170:AH172)</f>
        <v/>
      </c>
    </row>
    <row r="41" ht="8.25" customHeight="1" s="277">
      <c r="A41" s="224" t="n"/>
      <c r="B41" s="225" t="inlineStr">
        <is>
          <t>Prior Accounts Payable</t>
        </is>
      </c>
      <c r="C41" s="154" t="n"/>
      <c r="D41" s="154" t="n"/>
      <c r="E41" s="154" t="n"/>
      <c r="F41" s="154">
        <f>E215</f>
        <v/>
      </c>
      <c r="G41" s="154" t="n">
        <v>0</v>
      </c>
      <c r="H41" s="154" t="n">
        <v>0</v>
      </c>
      <c r="I41" s="154" t="n">
        <v>0</v>
      </c>
      <c r="J41" s="154" t="n">
        <v>0</v>
      </c>
      <c r="K41" s="154" t="n">
        <v>0</v>
      </c>
      <c r="L41" s="154" t="n">
        <v>0</v>
      </c>
      <c r="M41" s="154" t="n">
        <v>0</v>
      </c>
      <c r="N41" s="154" t="n">
        <v>0</v>
      </c>
      <c r="O41" s="154" t="n">
        <v>0</v>
      </c>
      <c r="P41" s="154" t="n">
        <v>0</v>
      </c>
      <c r="Q41" s="154" t="n">
        <v>0</v>
      </c>
      <c r="R41" s="229">
        <f>SUM(F41:Q41)</f>
        <v/>
      </c>
      <c r="S41" s="154" t="n">
        <v>0</v>
      </c>
      <c r="T41" s="154" t="n">
        <v>0</v>
      </c>
      <c r="U41" s="154" t="n">
        <v>0</v>
      </c>
      <c r="V41" s="154" t="n">
        <v>0</v>
      </c>
      <c r="W41" s="154" t="n">
        <v>0</v>
      </c>
      <c r="X41" s="154" t="n">
        <v>0</v>
      </c>
      <c r="Y41" s="154" t="n">
        <v>0</v>
      </c>
      <c r="Z41" s="154" t="n">
        <v>0</v>
      </c>
      <c r="AA41" s="154" t="n">
        <v>0</v>
      </c>
      <c r="AB41" s="154" t="n">
        <v>0</v>
      </c>
      <c r="AC41" s="154" t="n">
        <v>0</v>
      </c>
      <c r="AD41" s="154" t="n">
        <v>0</v>
      </c>
      <c r="AE41" s="229">
        <f>SUM(S41:AD41)</f>
        <v/>
      </c>
      <c r="AF41" s="229" t="n">
        <v>0</v>
      </c>
      <c r="AG41" s="229" t="n">
        <v>0</v>
      </c>
      <c r="AH41" s="229" t="n">
        <v>0</v>
      </c>
    </row>
    <row r="42" ht="8.25" customHeight="1" s="277">
      <c r="A42" s="139" t="inlineStr">
        <is>
          <t>Total Disbursements</t>
        </is>
      </c>
      <c r="B42" s="156" t="n"/>
      <c r="C42" s="228" t="n"/>
      <c r="D42" s="228" t="n"/>
      <c r="E42" s="228" t="n"/>
      <c r="F42" s="228">
        <f>SUM(F20:F41)</f>
        <v/>
      </c>
      <c r="G42" s="228">
        <f>SUM(G20:G41)</f>
        <v/>
      </c>
      <c r="H42" s="228">
        <f>SUM(H20:H41)</f>
        <v/>
      </c>
      <c r="I42" s="228">
        <f>SUM(I20:I41)</f>
        <v/>
      </c>
      <c r="J42" s="228">
        <f>SUM(J20:J41)</f>
        <v/>
      </c>
      <c r="K42" s="228">
        <f>SUM(K20:K41)</f>
        <v/>
      </c>
      <c r="L42" s="228">
        <f>SUM(L20:L41)</f>
        <v/>
      </c>
      <c r="M42" s="228">
        <f>SUM(M20:M41)</f>
        <v/>
      </c>
      <c r="N42" s="228">
        <f>SUM(N20:N41)</f>
        <v/>
      </c>
      <c r="O42" s="228">
        <f>SUM(O20:O41)</f>
        <v/>
      </c>
      <c r="P42" s="228">
        <f>SUM(P20:P41)</f>
        <v/>
      </c>
      <c r="Q42" s="228">
        <f>SUM(Q20:Q41)</f>
        <v/>
      </c>
      <c r="R42" s="158">
        <f>SUM(F42:Q42)</f>
        <v/>
      </c>
      <c r="S42" s="228">
        <f>SUM(S20:S41)</f>
        <v/>
      </c>
      <c r="T42" s="228">
        <f>SUM(T20:T41)</f>
        <v/>
      </c>
      <c r="U42" s="228">
        <f>SUM(U20:U41)</f>
        <v/>
      </c>
      <c r="V42" s="228">
        <f>SUM(V20:V41)</f>
        <v/>
      </c>
      <c r="W42" s="228">
        <f>SUM(W20:W41)</f>
        <v/>
      </c>
      <c r="X42" s="228">
        <f>SUM(X20:X41)</f>
        <v/>
      </c>
      <c r="Y42" s="228">
        <f>SUM(Y20:Y41)</f>
        <v/>
      </c>
      <c r="Z42" s="228">
        <f>SUM(Z20:Z41)</f>
        <v/>
      </c>
      <c r="AA42" s="228">
        <f>SUM(AA20:AA41)</f>
        <v/>
      </c>
      <c r="AB42" s="228">
        <f>SUM(AB20:AB41)</f>
        <v/>
      </c>
      <c r="AC42" s="228">
        <f>SUM(AC20:AC41)</f>
        <v/>
      </c>
      <c r="AD42" s="228">
        <f>SUM(AD20:AD41)</f>
        <v/>
      </c>
      <c r="AE42" s="158">
        <f>SUM(S42:AD42)</f>
        <v/>
      </c>
      <c r="AF42" s="158">
        <f>SUM(AF20:AF41)</f>
        <v/>
      </c>
      <c r="AG42" s="158">
        <f>SUM(AG20:AG41)</f>
        <v/>
      </c>
      <c r="AH42" s="158">
        <f>SUM(AH20:AH41)</f>
        <v/>
      </c>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f>F17-F42</f>
        <v/>
      </c>
      <c r="G44" s="154">
        <f>G17-G42</f>
        <v/>
      </c>
      <c r="H44" s="154">
        <f>H17-H42</f>
        <v/>
      </c>
      <c r="I44" s="154">
        <f>I17-I42</f>
        <v/>
      </c>
      <c r="J44" s="154">
        <f>J17-J42</f>
        <v/>
      </c>
      <c r="K44" s="154">
        <f>K17-K42</f>
        <v/>
      </c>
      <c r="L44" s="154">
        <f>L17-L42</f>
        <v/>
      </c>
      <c r="M44" s="154">
        <f>M17-M42</f>
        <v/>
      </c>
      <c r="N44" s="154">
        <f>N17-N42</f>
        <v/>
      </c>
      <c r="O44" s="154">
        <f>O17-O42</f>
        <v/>
      </c>
      <c r="P44" s="154">
        <f>P17-P42</f>
        <v/>
      </c>
      <c r="Q44" s="154">
        <f>Q17-Q42</f>
        <v/>
      </c>
      <c r="R44" s="229">
        <f>R17-R42</f>
        <v/>
      </c>
      <c r="S44" s="154">
        <f>S17-S42</f>
        <v/>
      </c>
      <c r="T44" s="154">
        <f>T17-T42</f>
        <v/>
      </c>
      <c r="U44" s="154">
        <f>U17-U42</f>
        <v/>
      </c>
      <c r="V44" s="154">
        <f>V17-V42</f>
        <v/>
      </c>
      <c r="W44" s="154">
        <f>W17-W42</f>
        <v/>
      </c>
      <c r="X44" s="154">
        <f>X17-X42</f>
        <v/>
      </c>
      <c r="Y44" s="154">
        <f>Y17-Y42</f>
        <v/>
      </c>
      <c r="Z44" s="154">
        <f>Z17-Z42</f>
        <v/>
      </c>
      <c r="AA44" s="154">
        <f>AA17-AA42</f>
        <v/>
      </c>
      <c r="AB44" s="154">
        <f>AB17-AB42</f>
        <v/>
      </c>
      <c r="AC44" s="154">
        <f>AC17-AC42</f>
        <v/>
      </c>
      <c r="AD44" s="154">
        <f>AD17-AD42</f>
        <v/>
      </c>
      <c r="AE44" s="229">
        <f>AE17-AE42</f>
        <v/>
      </c>
      <c r="AF44" s="229">
        <f>AF17-AF42</f>
        <v/>
      </c>
      <c r="AG44" s="229">
        <f>AG17-AG42</f>
        <v/>
      </c>
      <c r="AH44" s="229">
        <f>AH17-AH42</f>
        <v/>
      </c>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f>F10+F44</f>
        <v/>
      </c>
      <c r="G46" s="154">
        <f>G10+G44</f>
        <v/>
      </c>
      <c r="H46" s="154">
        <f>H10+H44</f>
        <v/>
      </c>
      <c r="I46" s="154">
        <f>I10+I44</f>
        <v/>
      </c>
      <c r="J46" s="154">
        <f>J10+J44</f>
        <v/>
      </c>
      <c r="K46" s="154">
        <f>K10+K44</f>
        <v/>
      </c>
      <c r="L46" s="154">
        <f>L10+L44</f>
        <v/>
      </c>
      <c r="M46" s="154">
        <f>M10+M44</f>
        <v/>
      </c>
      <c r="N46" s="154">
        <f>N10+N44</f>
        <v/>
      </c>
      <c r="O46" s="154">
        <f>O10+O44</f>
        <v/>
      </c>
      <c r="P46" s="154">
        <f>P10+P44</f>
        <v/>
      </c>
      <c r="Q46" s="154">
        <f>Q10+Q44</f>
        <v/>
      </c>
      <c r="R46" s="229">
        <f>Q46</f>
        <v/>
      </c>
      <c r="S46" s="154">
        <f>S10+S44</f>
        <v/>
      </c>
      <c r="T46" s="154">
        <f>T10+T44</f>
        <v/>
      </c>
      <c r="U46" s="154">
        <f>U10+U44</f>
        <v/>
      </c>
      <c r="V46" s="154">
        <f>V10+V44</f>
        <v/>
      </c>
      <c r="W46" s="154">
        <f>W10+W44</f>
        <v/>
      </c>
      <c r="X46" s="154">
        <f>X10+X44</f>
        <v/>
      </c>
      <c r="Y46" s="154">
        <f>Y10+Y44</f>
        <v/>
      </c>
      <c r="Z46" s="154">
        <f>Z10+Z44</f>
        <v/>
      </c>
      <c r="AA46" s="154">
        <f>AA10+AA44</f>
        <v/>
      </c>
      <c r="AB46" s="154">
        <f>AB10+AB44</f>
        <v/>
      </c>
      <c r="AC46" s="154">
        <f>AC10+AC44</f>
        <v/>
      </c>
      <c r="AD46" s="154">
        <f>AD10+AD44</f>
        <v/>
      </c>
      <c r="AE46" s="229">
        <f>AD46</f>
        <v/>
      </c>
      <c r="AF46" s="229">
        <f>AF10+AF44</f>
        <v/>
      </c>
      <c r="AG46" s="229">
        <f>AG10+AG44</f>
        <v/>
      </c>
      <c r="AH46" s="229">
        <f>AH10+AH44</f>
        <v/>
      </c>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f>$A$1</f>
        <v/>
      </c>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f>NOW()</f>
        <v/>
      </c>
      <c r="C49" s="228" t="n"/>
      <c r="D49" s="228" t="n"/>
      <c r="E49" s="228" t="n"/>
      <c r="F49" s="142">
        <f>F$7</f>
        <v/>
      </c>
      <c r="G49" s="142">
        <f>G$7</f>
        <v/>
      </c>
      <c r="H49" s="142">
        <f>H$7</f>
        <v/>
      </c>
      <c r="I49" s="142">
        <f>I$7</f>
        <v/>
      </c>
      <c r="J49" s="142">
        <f>J$7</f>
        <v/>
      </c>
      <c r="K49" s="142">
        <f>K$7</f>
        <v/>
      </c>
      <c r="L49" s="142">
        <f>L$7</f>
        <v/>
      </c>
      <c r="M49" s="142">
        <f>M$7</f>
        <v/>
      </c>
      <c r="N49" s="142">
        <f>N$7</f>
        <v/>
      </c>
      <c r="O49" s="142">
        <f>O$7</f>
        <v/>
      </c>
      <c r="P49" s="142">
        <f>P$7</f>
        <v/>
      </c>
      <c r="Q49" s="142">
        <f>Q$7</f>
        <v/>
      </c>
      <c r="R49" s="143" t="inlineStr">
        <is>
          <t>Total</t>
        </is>
      </c>
      <c r="S49" s="142">
        <f>S$7</f>
        <v/>
      </c>
      <c r="T49" s="142">
        <f>T$7</f>
        <v/>
      </c>
      <c r="U49" s="142">
        <f>U$7</f>
        <v/>
      </c>
      <c r="V49" s="142">
        <f>V$7</f>
        <v/>
      </c>
      <c r="W49" s="142">
        <f>W$7</f>
        <v/>
      </c>
      <c r="X49" s="142">
        <f>X$7</f>
        <v/>
      </c>
      <c r="Y49" s="142">
        <f>Y$7</f>
        <v/>
      </c>
      <c r="Z49" s="142">
        <f>Z$7</f>
        <v/>
      </c>
      <c r="AA49" s="142">
        <f>AA$7</f>
        <v/>
      </c>
      <c r="AB49" s="142">
        <f>AB$7</f>
        <v/>
      </c>
      <c r="AC49" s="142">
        <f>AC$7</f>
        <v/>
      </c>
      <c r="AD49" s="142">
        <f>AD$7</f>
        <v/>
      </c>
      <c r="AE49" s="143" t="inlineStr">
        <is>
          <t>Total</t>
        </is>
      </c>
      <c r="AF49" s="143">
        <f>AF$7</f>
        <v/>
      </c>
      <c r="AG49" s="143">
        <f>AG$7</f>
        <v/>
      </c>
      <c r="AH49" s="143">
        <f>AH$7</f>
        <v/>
      </c>
    </row>
    <row r="50" ht="8.25" customHeight="1" s="277">
      <c r="A50" s="328" t="n"/>
      <c r="B50" s="329">
        <f>NOW()</f>
        <v/>
      </c>
      <c r="C50" s="330" t="n"/>
      <c r="D50" s="330" t="n"/>
      <c r="E50" s="330" t="n"/>
      <c r="F50" s="324">
        <f>F$1</f>
        <v/>
      </c>
      <c r="G50" s="324">
        <f>G$1</f>
        <v/>
      </c>
      <c r="H50" s="324">
        <f>H$1</f>
        <v/>
      </c>
      <c r="I50" s="324">
        <f>I$1</f>
        <v/>
      </c>
      <c r="J50" s="324">
        <f>J$1</f>
        <v/>
      </c>
      <c r="K50" s="324">
        <f>K$1</f>
        <v/>
      </c>
      <c r="L50" s="324">
        <f>L$1</f>
        <v/>
      </c>
      <c r="M50" s="324">
        <f>M$1</f>
        <v/>
      </c>
      <c r="N50" s="324">
        <f>N$1</f>
        <v/>
      </c>
      <c r="O50" s="324">
        <f>O$1</f>
        <v/>
      </c>
      <c r="P50" s="324">
        <f>P$1</f>
        <v/>
      </c>
      <c r="Q50" s="324">
        <f>Q$1</f>
        <v/>
      </c>
      <c r="R50" s="325">
        <f>R$1</f>
        <v/>
      </c>
      <c r="S50" s="324">
        <f>S$1</f>
        <v/>
      </c>
      <c r="T50" s="324">
        <f>T$1</f>
        <v/>
      </c>
      <c r="U50" s="324">
        <f>U$1</f>
        <v/>
      </c>
      <c r="V50" s="324">
        <f>V$1</f>
        <v/>
      </c>
      <c r="W50" s="324">
        <f>W$1</f>
        <v/>
      </c>
      <c r="X50" s="324">
        <f>X$1</f>
        <v/>
      </c>
      <c r="Y50" s="324">
        <f>Y$1</f>
        <v/>
      </c>
      <c r="Z50" s="324">
        <f>Z$1</f>
        <v/>
      </c>
      <c r="AA50" s="324">
        <f>AA$1</f>
        <v/>
      </c>
      <c r="AB50" s="324">
        <f>AB$1</f>
        <v/>
      </c>
      <c r="AC50" s="324">
        <f>AC$1</f>
        <v/>
      </c>
      <c r="AD50" s="324">
        <f>AD$1</f>
        <v/>
      </c>
      <c r="AE50" s="325">
        <f>AE$1</f>
        <v/>
      </c>
      <c r="AF50" s="325">
        <f>AF$1</f>
        <v/>
      </c>
      <c r="AG50" s="325">
        <f>AG$1</f>
        <v/>
      </c>
      <c r="AH50" s="325">
        <f>AH$1</f>
        <v/>
      </c>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f>E189</f>
        <v/>
      </c>
      <c r="G52" s="154">
        <f>F82</f>
        <v/>
      </c>
      <c r="H52" s="154">
        <f>G82</f>
        <v/>
      </c>
      <c r="I52" s="154">
        <f>H82</f>
        <v/>
      </c>
      <c r="J52" s="154">
        <f>I82</f>
        <v/>
      </c>
      <c r="K52" s="154">
        <f>J82</f>
        <v/>
      </c>
      <c r="L52" s="154">
        <f>K82</f>
        <v/>
      </c>
      <c r="M52" s="154">
        <f>L82</f>
        <v/>
      </c>
      <c r="N52" s="154">
        <f>M82</f>
        <v/>
      </c>
      <c r="O52" s="154">
        <f>N82</f>
        <v/>
      </c>
      <c r="P52" s="154">
        <f>O82</f>
        <v/>
      </c>
      <c r="Q52" s="154">
        <f>P82</f>
        <v/>
      </c>
      <c r="R52" s="229">
        <f>F52</f>
        <v/>
      </c>
      <c r="S52" s="154">
        <f>Q82</f>
        <v/>
      </c>
      <c r="T52" s="154">
        <f>S82</f>
        <v/>
      </c>
      <c r="U52" s="154">
        <f>T82</f>
        <v/>
      </c>
      <c r="V52" s="154">
        <f>U82</f>
        <v/>
      </c>
      <c r="W52" s="154">
        <f>V82</f>
        <v/>
      </c>
      <c r="X52" s="154">
        <f>W82</f>
        <v/>
      </c>
      <c r="Y52" s="154">
        <f>X82</f>
        <v/>
      </c>
      <c r="Z52" s="154">
        <f>Y82</f>
        <v/>
      </c>
      <c r="AA52" s="154">
        <f>Z82</f>
        <v/>
      </c>
      <c r="AB52" s="154">
        <f>AA82</f>
        <v/>
      </c>
      <c r="AC52" s="154">
        <f>AB82</f>
        <v/>
      </c>
      <c r="AD52" s="154">
        <f>AC82</f>
        <v/>
      </c>
      <c r="AE52" s="229">
        <f>S52</f>
        <v/>
      </c>
      <c r="AF52" s="229">
        <f>AE82</f>
        <v/>
      </c>
      <c r="AG52" s="229">
        <f>AF82</f>
        <v/>
      </c>
      <c r="AH52" s="229">
        <f>AG82</f>
        <v/>
      </c>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f>F178</f>
        <v/>
      </c>
      <c r="G55" s="154">
        <f>G178</f>
        <v/>
      </c>
      <c r="H55" s="154">
        <f>H178</f>
        <v/>
      </c>
      <c r="I55" s="154">
        <f>I178</f>
        <v/>
      </c>
      <c r="J55" s="154">
        <f>J178</f>
        <v/>
      </c>
      <c r="K55" s="154">
        <f>K178</f>
        <v/>
      </c>
      <c r="L55" s="154">
        <f>L178</f>
        <v/>
      </c>
      <c r="M55" s="154">
        <f>M178</f>
        <v/>
      </c>
      <c r="N55" s="154">
        <f>N178</f>
        <v/>
      </c>
      <c r="O55" s="154">
        <f>O178</f>
        <v/>
      </c>
      <c r="P55" s="154">
        <f>P178</f>
        <v/>
      </c>
      <c r="Q55" s="154">
        <f>Q178</f>
        <v/>
      </c>
      <c r="R55" s="229">
        <f>SUM(F55:Q55)</f>
        <v/>
      </c>
      <c r="S55" s="154">
        <f>S178</f>
        <v/>
      </c>
      <c r="T55" s="154">
        <f>T178</f>
        <v/>
      </c>
      <c r="U55" s="154">
        <f>U178</f>
        <v/>
      </c>
      <c r="V55" s="154">
        <f>V178</f>
        <v/>
      </c>
      <c r="W55" s="154">
        <f>W178</f>
        <v/>
      </c>
      <c r="X55" s="154">
        <f>X178</f>
        <v/>
      </c>
      <c r="Y55" s="154">
        <f>Y178</f>
        <v/>
      </c>
      <c r="Z55" s="154">
        <f>Z178</f>
        <v/>
      </c>
      <c r="AA55" s="154">
        <f>AA178</f>
        <v/>
      </c>
      <c r="AB55" s="154">
        <f>AB178</f>
        <v/>
      </c>
      <c r="AC55" s="154">
        <f>AC178</f>
        <v/>
      </c>
      <c r="AD55" s="154">
        <f>AD178</f>
        <v/>
      </c>
      <c r="AE55" s="229">
        <f>SUM(S55:AD55)</f>
        <v/>
      </c>
      <c r="AF55" s="229">
        <f>AF178</f>
        <v/>
      </c>
      <c r="AG55" s="229">
        <f>AG178</f>
        <v/>
      </c>
      <c r="AH55" s="229">
        <f>AH178</f>
        <v/>
      </c>
    </row>
    <row r="56" ht="8.25" customHeight="1" s="277">
      <c r="A56" s="224" t="n"/>
      <c r="B56" s="225" t="inlineStr">
        <is>
          <t>Add Depr/Amort</t>
        </is>
      </c>
      <c r="C56" s="154" t="n"/>
      <c r="D56" s="154" t="n"/>
      <c r="E56" s="154" t="n"/>
      <c r="F56" s="154">
        <f>F206-E206</f>
        <v/>
      </c>
      <c r="G56" s="154">
        <f>G206-F206</f>
        <v/>
      </c>
      <c r="H56" s="154">
        <f>H206-G206</f>
        <v/>
      </c>
      <c r="I56" s="154">
        <f>I206-H206</f>
        <v/>
      </c>
      <c r="J56" s="154">
        <f>J206-I206</f>
        <v/>
      </c>
      <c r="K56" s="154">
        <f>K206-J206</f>
        <v/>
      </c>
      <c r="L56" s="154">
        <f>L206-K206</f>
        <v/>
      </c>
      <c r="M56" s="154">
        <f>M206-L206</f>
        <v/>
      </c>
      <c r="N56" s="154">
        <f>N206-M206</f>
        <v/>
      </c>
      <c r="O56" s="154">
        <f>O206-N206</f>
        <v/>
      </c>
      <c r="P56" s="154">
        <f>P206-O206</f>
        <v/>
      </c>
      <c r="Q56" s="154">
        <f>Q206-P206</f>
        <v/>
      </c>
      <c r="R56" s="229">
        <f>SUM(F56:Q56)</f>
        <v/>
      </c>
      <c r="S56" s="154">
        <f>S206-R206</f>
        <v/>
      </c>
      <c r="T56" s="154">
        <f>T206-S206</f>
        <v/>
      </c>
      <c r="U56" s="154">
        <f>U206-T206</f>
        <v/>
      </c>
      <c r="V56" s="154">
        <f>V206-U206</f>
        <v/>
      </c>
      <c r="W56" s="154">
        <f>W206-V206</f>
        <v/>
      </c>
      <c r="X56" s="154">
        <f>X206-W206</f>
        <v/>
      </c>
      <c r="Y56" s="154">
        <f>Y206-X206</f>
        <v/>
      </c>
      <c r="Z56" s="154">
        <f>Z206-Y206</f>
        <v/>
      </c>
      <c r="AA56" s="154">
        <f>AA206-Z206</f>
        <v/>
      </c>
      <c r="AB56" s="154">
        <f>AB206-AA206</f>
        <v/>
      </c>
      <c r="AC56" s="154">
        <f>AC206-AB206</f>
        <v/>
      </c>
      <c r="AD56" s="154">
        <f>AD206-AC206</f>
        <v/>
      </c>
      <c r="AE56" s="229">
        <f>SUM(S56:AD56)</f>
        <v/>
      </c>
      <c r="AF56" s="229">
        <f>AF206-AE206</f>
        <v/>
      </c>
      <c r="AG56" s="229">
        <f>AG206-AF206</f>
        <v/>
      </c>
      <c r="AH56" s="229">
        <f>AH206-AG206</f>
        <v/>
      </c>
    </row>
    <row r="57" ht="8.25" customHeight="1" s="277">
      <c r="A57" s="224" t="n"/>
      <c r="B57" s="225">
        <f>"Issuance of "&amp;B231</f>
        <v/>
      </c>
      <c r="C57" s="154" t="n"/>
      <c r="D57" s="154" t="n"/>
      <c r="E57" s="154" t="n"/>
      <c r="F57" s="154">
        <f>IF(F231-E231&gt;0,F231-E231,0)</f>
        <v/>
      </c>
      <c r="G57" s="154">
        <f>IF(G231-F231&gt;0,G231-F231,0)</f>
        <v/>
      </c>
      <c r="H57" s="154">
        <f>IF(H231-G231&gt;0,H231-G231,0)</f>
        <v/>
      </c>
      <c r="I57" s="154">
        <f>IF(I231-H231&gt;0,I231-H231,0)</f>
        <v/>
      </c>
      <c r="J57" s="154">
        <f>IF(J231-I231&gt;0,J231-I231,0)</f>
        <v/>
      </c>
      <c r="K57" s="154">
        <f>IF(K231-J231&gt;0,K231-J231,0)</f>
        <v/>
      </c>
      <c r="L57" s="154">
        <f>IF(L231-K231&gt;0,L231-K231,0)</f>
        <v/>
      </c>
      <c r="M57" s="154">
        <f>IF(M231-L231&gt;0,M231-L231,0)</f>
        <v/>
      </c>
      <c r="N57" s="154">
        <f>IF(N231-M231&gt;0,N231-M231,0)</f>
        <v/>
      </c>
      <c r="O57" s="154">
        <f>IF(O231-N231&gt;0,O231-N231,0)</f>
        <v/>
      </c>
      <c r="P57" s="154">
        <f>IF(P231-O231&gt;0,P231-O231,0)</f>
        <v/>
      </c>
      <c r="Q57" s="154">
        <f>IF(Q231-P231&gt;0,Q231-P231,0)</f>
        <v/>
      </c>
      <c r="R57" s="229">
        <f>SUM(F57:Q57)</f>
        <v/>
      </c>
      <c r="S57" s="154">
        <f>IF(S231-R231&gt;0,S231-R231,0)</f>
        <v/>
      </c>
      <c r="T57" s="154">
        <f>IF(T231-S231&gt;0,T231-S231,0)</f>
        <v/>
      </c>
      <c r="U57" s="154">
        <f>IF(U231-T231&gt;0,U231-T231,0)</f>
        <v/>
      </c>
      <c r="V57" s="154">
        <f>IF(V231-U231&gt;0,V231-U231,0)</f>
        <v/>
      </c>
      <c r="W57" s="154">
        <f>IF(W231-V231&gt;0,W231-V231,0)</f>
        <v/>
      </c>
      <c r="X57" s="154">
        <f>IF(X231-W231&gt;0,X231-W231,0)</f>
        <v/>
      </c>
      <c r="Y57" s="154">
        <f>IF(Y231-X231&gt;0,Y231-X231,0)</f>
        <v/>
      </c>
      <c r="Z57" s="154">
        <f>IF(Z231-Y231&gt;0,Z231-Y231,0)</f>
        <v/>
      </c>
      <c r="AA57" s="154">
        <f>IF(AA231-Z231&gt;0,AA231-Z231,0)</f>
        <v/>
      </c>
      <c r="AB57" s="154">
        <f>IF(AB231-AA231&gt;0,AB231-AA231,0)</f>
        <v/>
      </c>
      <c r="AC57" s="154">
        <f>IF(AC231-AB231&gt;0,AC231-AB231,0)</f>
        <v/>
      </c>
      <c r="AD57" s="154">
        <f>IF(AD231-AC231&gt;0,AD231-AC231,0)</f>
        <v/>
      </c>
      <c r="AE57" s="229">
        <f>SUM(S57:AD57)</f>
        <v/>
      </c>
      <c r="AF57" s="229">
        <f>IF(AF231-AE231&gt;0,AF231-AE231,0)</f>
        <v/>
      </c>
      <c r="AG57" s="229">
        <f>IF(AG231-AF231&gt;0,AG231-AF231,0)</f>
        <v/>
      </c>
      <c r="AH57" s="229">
        <f>IF(AH231-AG231&gt;0,AH231-AG231,0)</f>
        <v/>
      </c>
    </row>
    <row r="58" ht="8.25" customHeight="1" s="277">
      <c r="A58" s="224" t="n"/>
      <c r="B58" s="225">
        <f>"Issuance of "&amp;B232</f>
        <v/>
      </c>
      <c r="C58" s="154" t="n"/>
      <c r="D58" s="154" t="n"/>
      <c r="E58" s="154" t="n"/>
      <c r="F58" s="154">
        <f>IF(F232-E232&gt;0,F232-E232,0)</f>
        <v/>
      </c>
      <c r="G58" s="154">
        <f>IF(G232-F232&gt;0,G232-F232,0)</f>
        <v/>
      </c>
      <c r="H58" s="154">
        <f>IF(H232-G232&gt;0,H232-G232,0)</f>
        <v/>
      </c>
      <c r="I58" s="154">
        <f>IF(I232-H232&gt;0,I232-H232,0)</f>
        <v/>
      </c>
      <c r="J58" s="154">
        <f>IF(J232-I232&gt;0,J232-I232,0)</f>
        <v/>
      </c>
      <c r="K58" s="154">
        <f>IF(K232-J232&gt;0,K232-J232,0)</f>
        <v/>
      </c>
      <c r="L58" s="154">
        <f>IF(L232-K232&gt;0,L232-K232,0)</f>
        <v/>
      </c>
      <c r="M58" s="154">
        <f>IF(M232-L232&gt;0,M232-L232,0)</f>
        <v/>
      </c>
      <c r="N58" s="154">
        <f>IF(N232-M232&gt;0,N232-M232,0)</f>
        <v/>
      </c>
      <c r="O58" s="154">
        <f>IF(O232-N232&gt;0,O232-N232,0)</f>
        <v/>
      </c>
      <c r="P58" s="154">
        <f>IF(P232-O232&gt;0,P232-O232,0)</f>
        <v/>
      </c>
      <c r="Q58" s="154">
        <f>IF(Q232-P232&gt;0,Q232-P232,0)</f>
        <v/>
      </c>
      <c r="R58" s="229">
        <f>SUM(F58:Q58)</f>
        <v/>
      </c>
      <c r="S58" s="154">
        <f>IF(S232-R232&gt;0,S232-R232,0)</f>
        <v/>
      </c>
      <c r="T58" s="154">
        <f>IF(T232-S232&gt;0,T232-S232,0)</f>
        <v/>
      </c>
      <c r="U58" s="154">
        <f>IF(U232-T232&gt;0,U232-T232,0)</f>
        <v/>
      </c>
      <c r="V58" s="154">
        <f>IF(V232-U232&gt;0,V232-U232,0)</f>
        <v/>
      </c>
      <c r="W58" s="154">
        <f>IF(W232-V232&gt;0,W232-V232,0)</f>
        <v/>
      </c>
      <c r="X58" s="154">
        <f>IF(X232-W232&gt;0,X232-W232,0)</f>
        <v/>
      </c>
      <c r="Y58" s="154">
        <f>IF(Y232-X232&gt;0,Y232-X232,0)</f>
        <v/>
      </c>
      <c r="Z58" s="154">
        <f>IF(Z232-Y232&gt;0,Z232-Y232,0)</f>
        <v/>
      </c>
      <c r="AA58" s="154">
        <f>IF(AA232-Z232&gt;0,AA232-Z232,0)</f>
        <v/>
      </c>
      <c r="AB58" s="154">
        <f>IF(AB232-AA232&gt;0,AB232-AA232,0)</f>
        <v/>
      </c>
      <c r="AC58" s="154">
        <f>IF(AC232-AB232&gt;0,AC232-AB232,0)</f>
        <v/>
      </c>
      <c r="AD58" s="154">
        <f>IF(AD232-AC232&gt;0,AD232-AC232,0)</f>
        <v/>
      </c>
      <c r="AE58" s="229">
        <f>SUM(S58:AD58)</f>
        <v/>
      </c>
      <c r="AF58" s="229">
        <f>IF(AF232-AE232&gt;0,AF232-AE232,0)</f>
        <v/>
      </c>
      <c r="AG58" s="229">
        <f>IF(AG232-AF232&gt;0,AG232-AF232,0)</f>
        <v/>
      </c>
      <c r="AH58" s="229">
        <f>IF(AH232-AG232&gt;0,AH232-AG232,0)</f>
        <v/>
      </c>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f>B215</f>
        <v/>
      </c>
      <c r="C60" s="154" t="n"/>
      <c r="D60" s="154" t="n"/>
      <c r="E60" s="154" t="n"/>
      <c r="F60" s="154">
        <f>F215-E215</f>
        <v/>
      </c>
      <c r="G60" s="154">
        <f>G215-F215</f>
        <v/>
      </c>
      <c r="H60" s="154">
        <f>H215-G215</f>
        <v/>
      </c>
      <c r="I60" s="154">
        <f>I215-H215</f>
        <v/>
      </c>
      <c r="J60" s="154">
        <f>J215-I215</f>
        <v/>
      </c>
      <c r="K60" s="154">
        <f>K215-J215</f>
        <v/>
      </c>
      <c r="L60" s="154">
        <f>L215-K215</f>
        <v/>
      </c>
      <c r="M60" s="154">
        <f>M215-L215</f>
        <v/>
      </c>
      <c r="N60" s="154">
        <f>N215-M215</f>
        <v/>
      </c>
      <c r="O60" s="154">
        <f>O215-N215</f>
        <v/>
      </c>
      <c r="P60" s="154">
        <f>P215-O215</f>
        <v/>
      </c>
      <c r="Q60" s="154">
        <f>Q215-P215</f>
        <v/>
      </c>
      <c r="R60" s="229">
        <f>SUM(F60:Q60)</f>
        <v/>
      </c>
      <c r="S60" s="154">
        <f>S215-Q215</f>
        <v/>
      </c>
      <c r="T60" s="154">
        <f>T215-S215</f>
        <v/>
      </c>
      <c r="U60" s="154">
        <f>U215-T215</f>
        <v/>
      </c>
      <c r="V60" s="154">
        <f>V215-U215</f>
        <v/>
      </c>
      <c r="W60" s="154">
        <f>W215-V215</f>
        <v/>
      </c>
      <c r="X60" s="154">
        <f>X215-W215</f>
        <v/>
      </c>
      <c r="Y60" s="154">
        <f>Y215-X215</f>
        <v/>
      </c>
      <c r="Z60" s="154">
        <f>Z215-Y215</f>
        <v/>
      </c>
      <c r="AA60" s="154">
        <f>AA215-Z215</f>
        <v/>
      </c>
      <c r="AB60" s="154">
        <f>AB215-AA215</f>
        <v/>
      </c>
      <c r="AC60" s="154">
        <f>AC215-AB215</f>
        <v/>
      </c>
      <c r="AD60" s="154">
        <f>AD215-AC215</f>
        <v/>
      </c>
      <c r="AE60" s="229">
        <f>SUM(S60:AD60)</f>
        <v/>
      </c>
      <c r="AF60" s="229">
        <f>AF215-AE215</f>
        <v/>
      </c>
      <c r="AG60" s="229">
        <f>AG215-AF215</f>
        <v/>
      </c>
      <c r="AH60" s="229">
        <f>AH215-AG215</f>
        <v/>
      </c>
    </row>
    <row r="61" ht="8.25" customHeight="1" s="277">
      <c r="A61" s="224" t="n"/>
      <c r="B61" s="225">
        <f>B216</f>
        <v/>
      </c>
      <c r="C61" s="154" t="n"/>
      <c r="D61" s="154" t="n"/>
      <c r="E61" s="154" t="n"/>
      <c r="F61" s="154">
        <f>F216-E216</f>
        <v/>
      </c>
      <c r="G61" s="154">
        <f>G216-F216</f>
        <v/>
      </c>
      <c r="H61" s="154">
        <f>H216-G216</f>
        <v/>
      </c>
      <c r="I61" s="154">
        <f>I216-H216</f>
        <v/>
      </c>
      <c r="J61" s="154">
        <f>J216-I216</f>
        <v/>
      </c>
      <c r="K61" s="154">
        <f>K216-J216</f>
        <v/>
      </c>
      <c r="L61" s="154">
        <f>L216-K216</f>
        <v/>
      </c>
      <c r="M61" s="154">
        <f>M216-L216</f>
        <v/>
      </c>
      <c r="N61" s="154">
        <f>N216-M216</f>
        <v/>
      </c>
      <c r="O61" s="154">
        <f>O216-N216</f>
        <v/>
      </c>
      <c r="P61" s="154">
        <f>P216-O216</f>
        <v/>
      </c>
      <c r="Q61" s="154">
        <f>Q216-P216</f>
        <v/>
      </c>
      <c r="R61" s="229">
        <f>SUM(F61:Q61)</f>
        <v/>
      </c>
      <c r="S61" s="154">
        <f>S216-Q216</f>
        <v/>
      </c>
      <c r="T61" s="154">
        <f>T216-S216</f>
        <v/>
      </c>
      <c r="U61" s="154">
        <f>U216-T216</f>
        <v/>
      </c>
      <c r="V61" s="154">
        <f>V216-U216</f>
        <v/>
      </c>
      <c r="W61" s="154">
        <f>W216-V216</f>
        <v/>
      </c>
      <c r="X61" s="154">
        <f>X216-W216</f>
        <v/>
      </c>
      <c r="Y61" s="154">
        <f>Y216-X216</f>
        <v/>
      </c>
      <c r="Z61" s="154">
        <f>Z216-Y216</f>
        <v/>
      </c>
      <c r="AA61" s="154">
        <f>AA216-Z216</f>
        <v/>
      </c>
      <c r="AB61" s="154">
        <f>AB216-AA216</f>
        <v/>
      </c>
      <c r="AC61" s="154">
        <f>AC216-AB216</f>
        <v/>
      </c>
      <c r="AD61" s="154">
        <f>AD216-AC216</f>
        <v/>
      </c>
      <c r="AE61" s="229">
        <f>SUM(S61:AD61)</f>
        <v/>
      </c>
      <c r="AF61" s="229">
        <f>AF216-AE216</f>
        <v/>
      </c>
      <c r="AG61" s="229">
        <f>AG216-AF216</f>
        <v/>
      </c>
      <c r="AH61" s="229">
        <f>AH216-AG216</f>
        <v/>
      </c>
    </row>
    <row r="62" ht="8.25" customHeight="1" s="277">
      <c r="A62" s="224" t="n"/>
      <c r="B62" s="225">
        <f>B217</f>
        <v/>
      </c>
      <c r="C62" s="154" t="n"/>
      <c r="D62" s="154" t="n"/>
      <c r="E62" s="154" t="n"/>
      <c r="F62" s="154">
        <f>F217-E217</f>
        <v/>
      </c>
      <c r="G62" s="154">
        <f>G217-F217</f>
        <v/>
      </c>
      <c r="H62" s="154">
        <f>H217-G217</f>
        <v/>
      </c>
      <c r="I62" s="154">
        <f>I217-H217</f>
        <v/>
      </c>
      <c r="J62" s="154">
        <f>J217-I217</f>
        <v/>
      </c>
      <c r="K62" s="154">
        <f>K217-J217</f>
        <v/>
      </c>
      <c r="L62" s="154">
        <f>L217-K217</f>
        <v/>
      </c>
      <c r="M62" s="154">
        <f>M217-L217</f>
        <v/>
      </c>
      <c r="N62" s="154">
        <f>N217-M217</f>
        <v/>
      </c>
      <c r="O62" s="154">
        <f>O217-N217</f>
        <v/>
      </c>
      <c r="P62" s="154">
        <f>P217-O217</f>
        <v/>
      </c>
      <c r="Q62" s="154">
        <f>Q217-P217</f>
        <v/>
      </c>
      <c r="R62" s="229">
        <f>SUM(F62:Q62)</f>
        <v/>
      </c>
      <c r="S62" s="154">
        <f>S217-Q217</f>
        <v/>
      </c>
      <c r="T62" s="154">
        <f>T217-S217</f>
        <v/>
      </c>
      <c r="U62" s="154">
        <f>U217-T217</f>
        <v/>
      </c>
      <c r="V62" s="154">
        <f>V217-U217</f>
        <v/>
      </c>
      <c r="W62" s="154">
        <f>W217-V217</f>
        <v/>
      </c>
      <c r="X62" s="154">
        <f>X217-W217</f>
        <v/>
      </c>
      <c r="Y62" s="154">
        <f>Y217-X217</f>
        <v/>
      </c>
      <c r="Z62" s="154">
        <f>Z217-Y217</f>
        <v/>
      </c>
      <c r="AA62" s="154">
        <f>AA217-Z217</f>
        <v/>
      </c>
      <c r="AB62" s="154">
        <f>AB217-AA217</f>
        <v/>
      </c>
      <c r="AC62" s="154">
        <f>AC217-AB217</f>
        <v/>
      </c>
      <c r="AD62" s="154">
        <f>AD217-AC217</f>
        <v/>
      </c>
      <c r="AE62" s="229">
        <f>SUM(S62:AD62)</f>
        <v/>
      </c>
      <c r="AF62" s="229">
        <f>AF217-AE217</f>
        <v/>
      </c>
      <c r="AG62" s="229">
        <f>AG217-AF217</f>
        <v/>
      </c>
      <c r="AH62" s="229">
        <f>AH217-AG217</f>
        <v/>
      </c>
    </row>
    <row r="63" ht="8.25" customHeight="1" s="277">
      <c r="A63" s="224" t="n"/>
      <c r="B63" s="225">
        <f>"Additions to "&amp;B218</f>
        <v/>
      </c>
      <c r="C63" s="154" t="n"/>
      <c r="D63" s="154" t="n"/>
      <c r="E63" s="154" t="n"/>
      <c r="F63" s="154">
        <f>IF(F218-E218&gt;0,F218-E218,0)</f>
        <v/>
      </c>
      <c r="G63" s="154">
        <f>IF(G218-F218&gt;0,G218-F218,0)</f>
        <v/>
      </c>
      <c r="H63" s="154">
        <f>IF(H218-G218&gt;0,H218-G218,0)</f>
        <v/>
      </c>
      <c r="I63" s="154">
        <f>IF(I218-H218&gt;0,I218-H218,0)</f>
        <v/>
      </c>
      <c r="J63" s="154">
        <f>IF(J218-I218&gt;0,J218-I218,0)</f>
        <v/>
      </c>
      <c r="K63" s="154">
        <f>IF(K218-J218&gt;0,K218-J218,0)</f>
        <v/>
      </c>
      <c r="L63" s="154">
        <f>IF(L218-K218&gt;0,L218-K218,0)</f>
        <v/>
      </c>
      <c r="M63" s="154">
        <f>IF(M218-L218&gt;0,M218-L218,0)</f>
        <v/>
      </c>
      <c r="N63" s="154">
        <f>IF(N218-M218&gt;0,N218-M218,0)</f>
        <v/>
      </c>
      <c r="O63" s="154">
        <f>IF(O218-N218&gt;0,O218-N218,0)</f>
        <v/>
      </c>
      <c r="P63" s="154">
        <f>IF(P218-O218&gt;0,P218-O218,0)</f>
        <v/>
      </c>
      <c r="Q63" s="154">
        <f>IF(Q218-P218&gt;0,Q218-P218,0)</f>
        <v/>
      </c>
      <c r="R63" s="229">
        <f>SUM(F63:Q63)</f>
        <v/>
      </c>
      <c r="S63" s="154">
        <f>IF(S218-R218&gt;0,S218-R218,0)</f>
        <v/>
      </c>
      <c r="T63" s="154">
        <f>IF(T218-S218&gt;0,T218-S218,0)</f>
        <v/>
      </c>
      <c r="U63" s="154">
        <f>IF(U218-T218&gt;0,U218-T218,0)</f>
        <v/>
      </c>
      <c r="V63" s="154">
        <f>IF(V218-U218&gt;0,V218-U218,0)</f>
        <v/>
      </c>
      <c r="W63" s="154">
        <f>IF(W218-V218&gt;0,W218-V218,0)</f>
        <v/>
      </c>
      <c r="X63" s="154">
        <f>IF(X218-W218&gt;0,X218-W218,0)</f>
        <v/>
      </c>
      <c r="Y63" s="154">
        <f>IF(Y218-X218&gt;0,Y218-X218,0)</f>
        <v/>
      </c>
      <c r="Z63" s="154">
        <f>IF(Z218-Y218&gt;0,Z218-Y218,0)</f>
        <v/>
      </c>
      <c r="AA63" s="154">
        <f>IF(AA218-Z218&gt;0,AA218-Z218,0)</f>
        <v/>
      </c>
      <c r="AB63" s="154">
        <f>IF(AB218-AA218&gt;0,AB218-AA218,0)</f>
        <v/>
      </c>
      <c r="AC63" s="154">
        <f>IF(AC218-AB218&gt;0,AC218-AB218,0)</f>
        <v/>
      </c>
      <c r="AD63" s="154">
        <f>IF(AD218-AC218&gt;0,AD218-AC218,0)</f>
        <v/>
      </c>
      <c r="AE63" s="229">
        <f>SUM(S63:AD63)</f>
        <v/>
      </c>
      <c r="AF63" s="229">
        <f>IF(AF218-AE218&gt;0,AF218-AE218,0)</f>
        <v/>
      </c>
      <c r="AG63" s="229">
        <f>IF(AG218-AF218&gt;0,AG218-AF218,0)</f>
        <v/>
      </c>
      <c r="AH63" s="229">
        <f>IF(AH218-AG218&gt;0,AH218-AG218,0)</f>
        <v/>
      </c>
    </row>
    <row r="64" ht="8.25" customHeight="1" s="277">
      <c r="A64" s="224" t="n"/>
      <c r="B64" s="225">
        <f>"Additions to "&amp;B224</f>
        <v/>
      </c>
      <c r="C64" s="154" t="n"/>
      <c r="D64" s="154" t="n"/>
      <c r="E64" s="154" t="n"/>
      <c r="F64" s="154">
        <f>IF(F219+F224-E219-E224&gt;0,F219+F224-E219-E224,0)</f>
        <v/>
      </c>
      <c r="G64" s="154">
        <f>IF(G219+G224-F219-F224&gt;0,G219+G224-F219-F224,0)</f>
        <v/>
      </c>
      <c r="H64" s="154">
        <f>IF(H219+H224-G219-G224&gt;0,H219+H224-G219-G224,0)</f>
        <v/>
      </c>
      <c r="I64" s="154">
        <f>IF(I219+I224-H219-H224&gt;0,I219+I224-H219-H224,0)</f>
        <v/>
      </c>
      <c r="J64" s="154">
        <f>IF(J219+J224-I219-I224&gt;0,J219+J224-I219-I224,0)</f>
        <v/>
      </c>
      <c r="K64" s="154">
        <f>IF(K219+K224-J219-J224&gt;0,K219+K224-J219-J224,0)</f>
        <v/>
      </c>
      <c r="L64" s="154">
        <f>IF(L219+L224-K219-K224&gt;0,L219+L224-K219-K224,0)</f>
        <v/>
      </c>
      <c r="M64" s="154">
        <f>IF(M219+M224-L219-L224&gt;0,M219+M224-L219-L224,0)</f>
        <v/>
      </c>
      <c r="N64" s="154">
        <f>IF(N219+N224-M219-M224&gt;0,N219+N224-M219-M224,0)</f>
        <v/>
      </c>
      <c r="O64" s="154">
        <f>IF(O219+O224-N219-N224&gt;0,O219+O224-N219-N224,0)</f>
        <v/>
      </c>
      <c r="P64" s="154">
        <f>IF(P219+P224-O219-O224&gt;0,P219+P224-O219-O224,0)</f>
        <v/>
      </c>
      <c r="Q64" s="154">
        <f>IF(Q219+Q224-P219-P224&gt;0,Q219+Q224-P219-P224,0)</f>
        <v/>
      </c>
      <c r="R64" s="229">
        <f>SUM(F64:Q64)</f>
        <v/>
      </c>
      <c r="S64" s="154">
        <f>IF(S219+S224-R219-R224&gt;0,S219+S224-R219-R224,0)</f>
        <v/>
      </c>
      <c r="T64" s="154">
        <f>IF(T219+T224-S219-S224&gt;0,T219+T224-S219-S224,0)</f>
        <v/>
      </c>
      <c r="U64" s="154">
        <f>IF(U219+U224-T219-T224&gt;0,U219+U224-T219-T224,0)</f>
        <v/>
      </c>
      <c r="V64" s="154">
        <f>IF(V219+V224-U219-U224&gt;0,V219+V224-U219-U224,0)</f>
        <v/>
      </c>
      <c r="W64" s="154">
        <f>IF(W219+W224-V219-V224&gt;0,W219+W224-V219-V224,0)</f>
        <v/>
      </c>
      <c r="X64" s="154">
        <f>IF(X219+X224-W219-W224&gt;0,X219+X224-W219-W224,0)</f>
        <v/>
      </c>
      <c r="Y64" s="154">
        <f>IF(Y219+Y224-X219-X224&gt;0,Y219+Y224-X219-X224,0)</f>
        <v/>
      </c>
      <c r="Z64" s="154">
        <f>IF(Z219+Z224-Y219-Y224&gt;0,Z219+Z224-Y219-Y224,0)</f>
        <v/>
      </c>
      <c r="AA64" s="154">
        <f>IF(AA219+AA224-Z219-Z224&gt;0,AA219+AA224-Z219-Z224,0)</f>
        <v/>
      </c>
      <c r="AB64" s="154">
        <f>IF(AB219+AB224-AA219-AA224&gt;0,AB219+AB224-AA219-AA224,0)</f>
        <v/>
      </c>
      <c r="AC64" s="154">
        <f>IF(AC219+AC224-AB219-AB224&gt;0,AC219+AC224-AB219-AB224,0)</f>
        <v/>
      </c>
      <c r="AD64" s="154">
        <f>IF(AD219+AD224-AC219-AC224&gt;0,AD219+AD224-AC219-AC224,0)</f>
        <v/>
      </c>
      <c r="AE64" s="229">
        <f>SUM(S64:AD64)</f>
        <v/>
      </c>
      <c r="AF64" s="229">
        <f>IF(AF219+AF224-AE219-AE224&gt;0,AF219+AF224-AE219-AE224,0)</f>
        <v/>
      </c>
      <c r="AG64" s="229">
        <f>IF(AG219+AG224-AF219-AF224&gt;0,AG219+AG224-AF219-AF224,0)</f>
        <v/>
      </c>
      <c r="AH64" s="229">
        <f>IF(AH219+AH224-AG219-AG224&gt;0,AH219+AH224-AG219-AG224,0)</f>
        <v/>
      </c>
    </row>
    <row r="65" ht="8.25" customHeight="1" s="277">
      <c r="A65" s="224" t="n"/>
      <c r="B65" s="225">
        <f>"Additions to "&amp;B225</f>
        <v/>
      </c>
      <c r="C65" s="154" t="n"/>
      <c r="D65" s="154" t="n"/>
      <c r="E65" s="154" t="n"/>
      <c r="F65" s="154">
        <f>IF(F220+F225-E220-E225&gt;0,F220+F225-E220-E225,0)</f>
        <v/>
      </c>
      <c r="G65" s="154">
        <f>IF(G220+G225-F220-F225&gt;0,G220+G225-F220-F225,0)</f>
        <v/>
      </c>
      <c r="H65" s="154">
        <f>IF(H220+H225-G220-G225&gt;0,H220+H225-G220-G225,0)</f>
        <v/>
      </c>
      <c r="I65" s="154">
        <f>IF(I220+I225-H220-H225&gt;0,I220+I225-H220-H225,0)</f>
        <v/>
      </c>
      <c r="J65" s="154">
        <f>IF(J220+J225-I220-I225&gt;0,J220+J225-I220-I225,0)</f>
        <v/>
      </c>
      <c r="K65" s="154">
        <f>IF(K220+K225-J220-J225&gt;0,K220+K225-J220-J225,0)</f>
        <v/>
      </c>
      <c r="L65" s="154">
        <f>IF(L220+L225-K220-K225&gt;0,L220+L225-K220-K225,0)</f>
        <v/>
      </c>
      <c r="M65" s="154">
        <f>IF(M220+M225-L220-L225&gt;0,M220+M225-L220-L225,0)</f>
        <v/>
      </c>
      <c r="N65" s="154">
        <f>IF(N220+N225-M220-M225&gt;0,N220+N225-M220-M225,0)</f>
        <v/>
      </c>
      <c r="O65" s="154">
        <f>IF(O220+O225-N220-N225&gt;0,O220+O225-N220-N225,0)</f>
        <v/>
      </c>
      <c r="P65" s="154">
        <f>IF(P220+P225-O220-O225&gt;0,P220+P225-O220-O225,0)</f>
        <v/>
      </c>
      <c r="Q65" s="154">
        <f>IF(Q220+Q225-P220-P225&gt;0,Q220+Q225-P220-P225,0)</f>
        <v/>
      </c>
      <c r="R65" s="229">
        <f>SUM(F65:Q65)</f>
        <v/>
      </c>
      <c r="S65" s="154">
        <f>IF(S220+S225-R220-R225&gt;0,S220+S225-R220-R225,0)</f>
        <v/>
      </c>
      <c r="T65" s="154">
        <f>IF(T220+T225-S220-S225&gt;0,T220+T225-S220-S225,0)</f>
        <v/>
      </c>
      <c r="U65" s="154">
        <f>IF(U220+U225-T220-T225&gt;0,U220+U225-T220-T225,0)</f>
        <v/>
      </c>
      <c r="V65" s="154">
        <f>IF(V220+V225-U220-U225&gt;0,V220+V225-U220-U225,0)</f>
        <v/>
      </c>
      <c r="W65" s="154">
        <f>IF(W220+W225-V220-V225&gt;0,W220+W225-V220-V225,0)</f>
        <v/>
      </c>
      <c r="X65" s="154">
        <f>IF(X220+X225-W220-W225&gt;0,X220+X225-W220-W225,0)</f>
        <v/>
      </c>
      <c r="Y65" s="154">
        <f>IF(Y220+Y225-X220-X225&gt;0,Y220+Y225-X220-X225,0)</f>
        <v/>
      </c>
      <c r="Z65" s="154">
        <f>IF(Z220+Z225-Y220-Y225&gt;0,Z220+Z225-Y220-Y225,0)</f>
        <v/>
      </c>
      <c r="AA65" s="154">
        <f>IF(AA220+AA225-Z220-Z225&gt;0,AA220+AA225-Z220-Z225,0)</f>
        <v/>
      </c>
      <c r="AB65" s="154">
        <f>IF(AB220+AB225-AA220-AA225&gt;0,AB220+AB225-AA220-AA225,0)</f>
        <v/>
      </c>
      <c r="AC65" s="154">
        <f>IF(AC220+AC225-AB220-AB225&gt;0,AC220+AC225-AB220-AB225,0)</f>
        <v/>
      </c>
      <c r="AD65" s="154">
        <f>IF(AD220+AD225-AC220-AC225&gt;0,AD220+AD225-AC220-AC225,0)</f>
        <v/>
      </c>
      <c r="AE65" s="229">
        <f>SUM(S65:AD65)</f>
        <v/>
      </c>
      <c r="AF65" s="229">
        <f>IF(AF220+AF225-AE220-AE225&gt;0,AF220+AF225-AE220-AE225,0)</f>
        <v/>
      </c>
      <c r="AG65" s="229">
        <f>IF(AG220+AG225-AF220-AF225&gt;0,AG220+AG225-AF220-AF225,0)</f>
        <v/>
      </c>
      <c r="AH65" s="229">
        <f>IF(AH220+AH225-AG220-AG225&gt;0,AH220+AH225-AG220-AG225,0)</f>
        <v/>
      </c>
    </row>
    <row r="66" ht="8.25" customHeight="1" s="277">
      <c r="A66" s="139" t="inlineStr">
        <is>
          <t>Total Sources of Cash</t>
        </is>
      </c>
      <c r="B66" s="156" t="n"/>
      <c r="C66" s="228" t="n"/>
      <c r="D66" s="228" t="n"/>
      <c r="E66" s="228" t="n"/>
      <c r="F66" s="228">
        <f>SUM(F55:F65)</f>
        <v/>
      </c>
      <c r="G66" s="228">
        <f>SUM(G55:G65)</f>
        <v/>
      </c>
      <c r="H66" s="228">
        <f>SUM(H55:H65)</f>
        <v/>
      </c>
      <c r="I66" s="228">
        <f>SUM(I55:I65)</f>
        <v/>
      </c>
      <c r="J66" s="228">
        <f>SUM(J55:J65)</f>
        <v/>
      </c>
      <c r="K66" s="228">
        <f>SUM(K55:K65)</f>
        <v/>
      </c>
      <c r="L66" s="228">
        <f>SUM(L55:L65)</f>
        <v/>
      </c>
      <c r="M66" s="228">
        <f>SUM(M55:M65)</f>
        <v/>
      </c>
      <c r="N66" s="228">
        <f>SUM(N55:N65)</f>
        <v/>
      </c>
      <c r="O66" s="228">
        <f>SUM(O55:O65)</f>
        <v/>
      </c>
      <c r="P66" s="228">
        <f>SUM(P55:P65)</f>
        <v/>
      </c>
      <c r="Q66" s="228">
        <f>SUM(Q55:Q65)</f>
        <v/>
      </c>
      <c r="R66" s="158">
        <f>SUM(F66:Q66)</f>
        <v/>
      </c>
      <c r="S66" s="228">
        <f>SUM(S55:S65)</f>
        <v/>
      </c>
      <c r="T66" s="228">
        <f>SUM(T55:T65)</f>
        <v/>
      </c>
      <c r="U66" s="228">
        <f>SUM(U55:U65)</f>
        <v/>
      </c>
      <c r="V66" s="228">
        <f>SUM(V55:V65)</f>
        <v/>
      </c>
      <c r="W66" s="228">
        <f>SUM(W55:W65)</f>
        <v/>
      </c>
      <c r="X66" s="228">
        <f>SUM(X55:X65)</f>
        <v/>
      </c>
      <c r="Y66" s="228">
        <f>SUM(Y55:Y65)</f>
        <v/>
      </c>
      <c r="Z66" s="228">
        <f>SUM(Z55:Z65)</f>
        <v/>
      </c>
      <c r="AA66" s="228">
        <f>SUM(AA55:AA65)</f>
        <v/>
      </c>
      <c r="AB66" s="228">
        <f>SUM(AB55:AB65)</f>
        <v/>
      </c>
      <c r="AC66" s="228">
        <f>SUM(AC55:AC65)</f>
        <v/>
      </c>
      <c r="AD66" s="228">
        <f>SUM(AD55:AD65)</f>
        <v/>
      </c>
      <c r="AE66" s="158">
        <f>SUM(S66:AD66)</f>
        <v/>
      </c>
      <c r="AF66" s="158">
        <f>SUM(AF55:AF65)</f>
        <v/>
      </c>
      <c r="AG66" s="158">
        <f>SUM(AG55:AG65)</f>
        <v/>
      </c>
      <c r="AH66" s="158">
        <f>SUM(AH55:AH65)</f>
        <v/>
      </c>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f>IF(F231-E231&lt;0,-(F231-E231),0)</f>
        <v/>
      </c>
      <c r="G69" s="154">
        <f>IF(G231-F231&lt;0,-(G231-F231),0)</f>
        <v/>
      </c>
      <c r="H69" s="154">
        <f>IF(H231-G231&lt;0,-(H231-G231),0)</f>
        <v/>
      </c>
      <c r="I69" s="154">
        <f>IF(I231-H231&lt;0,-(I231-H231),0)</f>
        <v/>
      </c>
      <c r="J69" s="154">
        <f>IF(J231-I231&lt;0,-(J231-I231),0)</f>
        <v/>
      </c>
      <c r="K69" s="154">
        <f>IF(K231-J231&lt;0,-(K231-J231),0)</f>
        <v/>
      </c>
      <c r="L69" s="154">
        <f>IF(L231-K231&lt;0,-(L231-K231),0)</f>
        <v/>
      </c>
      <c r="M69" s="154">
        <f>IF(M231-L231&lt;0,-(M231-L231),0)</f>
        <v/>
      </c>
      <c r="N69" s="154">
        <f>IF(N231-M231&lt;0,-(N231-M231),0)</f>
        <v/>
      </c>
      <c r="O69" s="154">
        <f>IF(O231-N231&lt;0,-(O231-N231),0)</f>
        <v/>
      </c>
      <c r="P69" s="154">
        <f>IF(P231-O231&lt;0,-(P231-O231),0)</f>
        <v/>
      </c>
      <c r="Q69" s="154">
        <f>IF(Q231-P231&lt;0,-(Q231-P231),0)</f>
        <v/>
      </c>
      <c r="R69" s="229">
        <f>SUM(F69:Q69)</f>
        <v/>
      </c>
      <c r="S69" s="154">
        <f>IF(S231-R231&lt;0,-(S231-R231),0)</f>
        <v/>
      </c>
      <c r="T69" s="154">
        <f>IF(T231-S231&lt;0,-(T231-S231),0)</f>
        <v/>
      </c>
      <c r="U69" s="154">
        <f>IF(U231-T231&lt;0,-(U231-T231),0)</f>
        <v/>
      </c>
      <c r="V69" s="154">
        <f>IF(V231-U231&lt;0,-(V231-U231),0)</f>
        <v/>
      </c>
      <c r="W69" s="154">
        <f>IF(W231-V231&lt;0,-(W231-V231),0)</f>
        <v/>
      </c>
      <c r="X69" s="154">
        <f>IF(X231-W231&lt;0,-(X231-W231),0)</f>
        <v/>
      </c>
      <c r="Y69" s="154">
        <f>IF(Y231-X231&lt;0,-(Y231-X231),0)</f>
        <v/>
      </c>
      <c r="Z69" s="154">
        <f>IF(Z231-Y231&lt;0,-(Z231-Y231),0)</f>
        <v/>
      </c>
      <c r="AA69" s="154">
        <f>IF(AA231-Z231&lt;0,-(AA231-Z231),0)</f>
        <v/>
      </c>
      <c r="AB69" s="154">
        <f>IF(AB231-AA231&lt;0,-(AB231-AA231),0)</f>
        <v/>
      </c>
      <c r="AC69" s="154">
        <f>IF(AC231-AB231&lt;0,-(AC231-AB231),0)</f>
        <v/>
      </c>
      <c r="AD69" s="154">
        <f>IF(AD231-AC231&lt;0,-(AD231-AC231),0)</f>
        <v/>
      </c>
      <c r="AE69" s="229">
        <f>SUM(S69:AD69)</f>
        <v/>
      </c>
      <c r="AF69" s="229">
        <f>IF(AF231-AE231&lt;0,-(AF231-AE231),0)</f>
        <v/>
      </c>
      <c r="AG69" s="229">
        <f>IF(AG231-AF231&lt;0,-(AG231-AF231),0)</f>
        <v/>
      </c>
      <c r="AH69" s="229">
        <f>IF(AH231-AG231&lt;0,-(AH231-AG231),0)</f>
        <v/>
      </c>
    </row>
    <row r="70" ht="8.25" customHeight="1" s="277">
      <c r="A70" s="224" t="n"/>
      <c r="B70" s="225" t="inlineStr">
        <is>
          <t>Buyback of Common Stock</t>
        </is>
      </c>
      <c r="C70" s="154" t="n"/>
      <c r="D70" s="154" t="n"/>
      <c r="E70" s="154" t="n"/>
      <c r="F70" s="154">
        <f>IF(F232-E232&lt;0,-(F232-E232),0)</f>
        <v/>
      </c>
      <c r="G70" s="154">
        <f>IF(G232-F232&lt;0,-(G232-F232),0)</f>
        <v/>
      </c>
      <c r="H70" s="154">
        <f>IF(H232-G232&lt;0,-(H232-G232),0)</f>
        <v/>
      </c>
      <c r="I70" s="154">
        <f>IF(I232-H232&lt;0,-(I232-H232),0)</f>
        <v/>
      </c>
      <c r="J70" s="154">
        <f>IF(J232-I232&lt;0,-(J232-I232),0)</f>
        <v/>
      </c>
      <c r="K70" s="154">
        <f>IF(K232-J232&lt;0,-(K232-J232),0)</f>
        <v/>
      </c>
      <c r="L70" s="154">
        <f>IF(L232-K232&lt;0,-(L232-K232),0)</f>
        <v/>
      </c>
      <c r="M70" s="154">
        <f>IF(M232-L232&lt;0,-(M232-L232),0)</f>
        <v/>
      </c>
      <c r="N70" s="154">
        <f>IF(N232-M232&lt;0,-(N232-M232),0)</f>
        <v/>
      </c>
      <c r="O70" s="154">
        <f>IF(O232-N232&lt;0,-(O232-N232),0)</f>
        <v/>
      </c>
      <c r="P70" s="154">
        <f>IF(P232-O232&lt;0,-(P232-O232),0)</f>
        <v/>
      </c>
      <c r="Q70" s="154">
        <f>IF(Q232-P232&lt;0,-(Q232-P232),0)</f>
        <v/>
      </c>
      <c r="R70" s="229">
        <f>SUM(F70:Q70)</f>
        <v/>
      </c>
      <c r="S70" s="154">
        <f>IF(S232-R232&lt;0,-(S232-R232),0)</f>
        <v/>
      </c>
      <c r="T70" s="154">
        <f>IF(T232-S232&lt;0,-(T232-S232),0)</f>
        <v/>
      </c>
      <c r="U70" s="154">
        <f>IF(U232-T232&lt;0,-(U232-T232),0)</f>
        <v/>
      </c>
      <c r="V70" s="154">
        <f>IF(V232-U232&lt;0,-(V232-U232),0)</f>
        <v/>
      </c>
      <c r="W70" s="154">
        <f>IF(W232-V232&lt;0,-(W232-V232),0)</f>
        <v/>
      </c>
      <c r="X70" s="154">
        <f>IF(X232-W232&lt;0,-(X232-W232),0)</f>
        <v/>
      </c>
      <c r="Y70" s="154">
        <f>IF(Y232-X232&lt;0,-(Y232-X232),0)</f>
        <v/>
      </c>
      <c r="Z70" s="154">
        <f>IF(Z232-Y232&lt;0,-(Z232-Y232),0)</f>
        <v/>
      </c>
      <c r="AA70" s="154">
        <f>IF(AA232-Z232&lt;0,-(AA232-Z232),0)</f>
        <v/>
      </c>
      <c r="AB70" s="154">
        <f>IF(AB232-AA232&lt;0,-(AB232-AA232),0)</f>
        <v/>
      </c>
      <c r="AC70" s="154">
        <f>IF(AC232-AB232&lt;0,-(AC232-AB232),0)</f>
        <v/>
      </c>
      <c r="AD70" s="154">
        <f>IF(AD232-AC232&lt;0,-(AD232-AC232),0)</f>
        <v/>
      </c>
      <c r="AE70" s="229">
        <f>SUM(S70:AD70)</f>
        <v/>
      </c>
      <c r="AF70" s="229">
        <f>IF(AF232-AE232&lt;0,-(AF232-AE232),0)</f>
        <v/>
      </c>
      <c r="AG70" s="229">
        <f>IF(AG232-AF232&lt;0,-(AG232-AF232),0)</f>
        <v/>
      </c>
      <c r="AH70" s="229">
        <f>IF(AH232-AG232&lt;0,-(AH232-AG232),0)</f>
        <v/>
      </c>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f>B192</f>
        <v/>
      </c>
      <c r="C72" s="154" t="n"/>
      <c r="D72" s="154" t="n"/>
      <c r="E72" s="154" t="n"/>
      <c r="F72" s="154">
        <f>F192-E192</f>
        <v/>
      </c>
      <c r="G72" s="154">
        <f>G192-F192</f>
        <v/>
      </c>
      <c r="H72" s="154">
        <f>H192-G192</f>
        <v/>
      </c>
      <c r="I72" s="154">
        <f>I192-H192</f>
        <v/>
      </c>
      <c r="J72" s="154">
        <f>J192-I192</f>
        <v/>
      </c>
      <c r="K72" s="154">
        <f>K192-J192</f>
        <v/>
      </c>
      <c r="L72" s="154">
        <f>L192-K192</f>
        <v/>
      </c>
      <c r="M72" s="154">
        <f>M192-L192</f>
        <v/>
      </c>
      <c r="N72" s="154">
        <f>N192-M192</f>
        <v/>
      </c>
      <c r="O72" s="154">
        <f>O192-N192</f>
        <v/>
      </c>
      <c r="P72" s="154">
        <f>P192-O192</f>
        <v/>
      </c>
      <c r="Q72" s="154">
        <f>Q192-P192</f>
        <v/>
      </c>
      <c r="R72" s="229">
        <f>SUM(F72:Q72)</f>
        <v/>
      </c>
      <c r="S72" s="154">
        <f>S192-Q192</f>
        <v/>
      </c>
      <c r="T72" s="154">
        <f>T192-S192</f>
        <v/>
      </c>
      <c r="U72" s="154">
        <f>U192-T192</f>
        <v/>
      </c>
      <c r="V72" s="154">
        <f>V192-U192</f>
        <v/>
      </c>
      <c r="W72" s="154">
        <f>W192-V192</f>
        <v/>
      </c>
      <c r="X72" s="154">
        <f>X192-W192</f>
        <v/>
      </c>
      <c r="Y72" s="154">
        <f>Y192-X192</f>
        <v/>
      </c>
      <c r="Z72" s="154">
        <f>Z192-Y192</f>
        <v/>
      </c>
      <c r="AA72" s="154">
        <f>AA192-Z192</f>
        <v/>
      </c>
      <c r="AB72" s="154">
        <f>AB192-AA192</f>
        <v/>
      </c>
      <c r="AC72" s="154">
        <f>AC192-AB192</f>
        <v/>
      </c>
      <c r="AD72" s="154">
        <f>AD192-AC192</f>
        <v/>
      </c>
      <c r="AE72" s="229">
        <f>SUM(S72:AD72)</f>
        <v/>
      </c>
      <c r="AF72" s="229">
        <f>AF192-AE192</f>
        <v/>
      </c>
      <c r="AG72" s="229">
        <f>AG192-AF192</f>
        <v/>
      </c>
      <c r="AH72" s="229">
        <f>AH192-AG192</f>
        <v/>
      </c>
    </row>
    <row r="73" ht="8.25" customHeight="1" s="277">
      <c r="A73" s="224" t="n"/>
      <c r="B73" s="225">
        <f>B193</f>
        <v/>
      </c>
      <c r="C73" s="154" t="n"/>
      <c r="D73" s="154" t="n"/>
      <c r="E73" s="154" t="n"/>
      <c r="F73" s="154">
        <f>F193-E193</f>
        <v/>
      </c>
      <c r="G73" s="154">
        <f>G193-F193</f>
        <v/>
      </c>
      <c r="H73" s="154">
        <f>H193-G193</f>
        <v/>
      </c>
      <c r="I73" s="154">
        <f>I193-H193</f>
        <v/>
      </c>
      <c r="J73" s="154">
        <f>J193-I193</f>
        <v/>
      </c>
      <c r="K73" s="154">
        <f>K193-J193</f>
        <v/>
      </c>
      <c r="L73" s="154">
        <f>L193-K193</f>
        <v/>
      </c>
      <c r="M73" s="154">
        <f>M193-L193</f>
        <v/>
      </c>
      <c r="N73" s="154">
        <f>N193-M193</f>
        <v/>
      </c>
      <c r="O73" s="154">
        <f>O193-N193</f>
        <v/>
      </c>
      <c r="P73" s="154">
        <f>P193-O193</f>
        <v/>
      </c>
      <c r="Q73" s="154">
        <f>Q193-P193</f>
        <v/>
      </c>
      <c r="R73" s="229">
        <f>SUM(F73:Q73)</f>
        <v/>
      </c>
      <c r="S73" s="154">
        <f>S193-Q193</f>
        <v/>
      </c>
      <c r="T73" s="154">
        <f>T193-S193</f>
        <v/>
      </c>
      <c r="U73" s="154">
        <f>U193-T193</f>
        <v/>
      </c>
      <c r="V73" s="154">
        <f>V193-U193</f>
        <v/>
      </c>
      <c r="W73" s="154">
        <f>W193-V193</f>
        <v/>
      </c>
      <c r="X73" s="154">
        <f>X193-W193</f>
        <v/>
      </c>
      <c r="Y73" s="154">
        <f>Y193-X193</f>
        <v/>
      </c>
      <c r="Z73" s="154">
        <f>Z193-Y193</f>
        <v/>
      </c>
      <c r="AA73" s="154">
        <f>AA193-Z193</f>
        <v/>
      </c>
      <c r="AB73" s="154">
        <f>AB193-AA193</f>
        <v/>
      </c>
      <c r="AC73" s="154">
        <f>AC193-AB193</f>
        <v/>
      </c>
      <c r="AD73" s="154">
        <f>AD193-AC193</f>
        <v/>
      </c>
      <c r="AE73" s="229">
        <f>SUM(S73:AD73)</f>
        <v/>
      </c>
      <c r="AF73" s="229">
        <f>AF193-AE193</f>
        <v/>
      </c>
      <c r="AG73" s="229">
        <f>AG193-AF193</f>
        <v/>
      </c>
      <c r="AH73" s="229">
        <f>AH193-AG193</f>
        <v/>
      </c>
    </row>
    <row r="74" ht="8.25" customHeight="1" s="277">
      <c r="A74" s="224" t="n"/>
      <c r="B74" s="225" t="inlineStr">
        <is>
          <t>Gross Fixed Assets</t>
        </is>
      </c>
      <c r="C74" s="154" t="n"/>
      <c r="D74" s="154" t="n"/>
      <c r="E74" s="154" t="n"/>
      <c r="F74" s="154">
        <f>F200-E200</f>
        <v/>
      </c>
      <c r="G74" s="154">
        <f>G200-F200</f>
        <v/>
      </c>
      <c r="H74" s="154">
        <f>H200-G200</f>
        <v/>
      </c>
      <c r="I74" s="154">
        <f>I200-H200</f>
        <v/>
      </c>
      <c r="J74" s="154">
        <f>J200-I200</f>
        <v/>
      </c>
      <c r="K74" s="154">
        <f>K200-J200</f>
        <v/>
      </c>
      <c r="L74" s="154">
        <f>L200-K200</f>
        <v/>
      </c>
      <c r="M74" s="154">
        <f>M200-L200</f>
        <v/>
      </c>
      <c r="N74" s="154">
        <f>N200-M200</f>
        <v/>
      </c>
      <c r="O74" s="154">
        <f>O200-N200</f>
        <v/>
      </c>
      <c r="P74" s="154">
        <f>P200-O200</f>
        <v/>
      </c>
      <c r="Q74" s="154">
        <f>Q200-P200</f>
        <v/>
      </c>
      <c r="R74" s="229">
        <f>SUM(F74:Q74)</f>
        <v/>
      </c>
      <c r="S74" s="154">
        <f>S200-Q200</f>
        <v/>
      </c>
      <c r="T74" s="154">
        <f>T200-S200</f>
        <v/>
      </c>
      <c r="U74" s="154">
        <f>U200-T200</f>
        <v/>
      </c>
      <c r="V74" s="154">
        <f>V200-U200</f>
        <v/>
      </c>
      <c r="W74" s="154">
        <f>W200-V200</f>
        <v/>
      </c>
      <c r="X74" s="154">
        <f>X200-W200</f>
        <v/>
      </c>
      <c r="Y74" s="154">
        <f>Y200-X200</f>
        <v/>
      </c>
      <c r="Z74" s="154">
        <f>Z200-Y200</f>
        <v/>
      </c>
      <c r="AA74" s="154">
        <f>AA200-Z200</f>
        <v/>
      </c>
      <c r="AB74" s="154">
        <f>AB200-AA200</f>
        <v/>
      </c>
      <c r="AC74" s="154">
        <f>AC200-AB200</f>
        <v/>
      </c>
      <c r="AD74" s="154">
        <f>AD200-AC200</f>
        <v/>
      </c>
      <c r="AE74" s="229">
        <f>SUM(S74:AD74)</f>
        <v/>
      </c>
      <c r="AF74" s="229">
        <f>AF200-AE200</f>
        <v/>
      </c>
      <c r="AG74" s="229">
        <f>AG200-AF200</f>
        <v/>
      </c>
      <c r="AH74" s="229">
        <f>AH200-AG200</f>
        <v/>
      </c>
    </row>
    <row r="75" ht="8.25" customHeight="1" s="277">
      <c r="A75" s="224" t="n"/>
      <c r="B75" s="225" t="inlineStr">
        <is>
          <t>Reductions To Credit Line</t>
        </is>
      </c>
      <c r="C75" s="154" t="n"/>
      <c r="D75" s="154" t="n"/>
      <c r="E75" s="154" t="n"/>
      <c r="F75" s="154">
        <f>IF(F218-E218&lt;0,-(F218-E218),0)</f>
        <v/>
      </c>
      <c r="G75" s="154">
        <f>IF(G218-F218&lt;0,-(G218-F218),0)</f>
        <v/>
      </c>
      <c r="H75" s="154">
        <f>IF(H218-G218&lt;0,-(H218-G218),0)</f>
        <v/>
      </c>
      <c r="I75" s="154">
        <f>IF(I218-H218&lt;0,-(I218-H218),0)</f>
        <v/>
      </c>
      <c r="J75" s="154">
        <f>IF(J218-I218&lt;0,-(J218-I218),0)</f>
        <v/>
      </c>
      <c r="K75" s="154">
        <f>IF(K218-J218&lt;0,-(K218-J218),0)</f>
        <v/>
      </c>
      <c r="L75" s="154">
        <f>IF(L218-K218&lt;0,-(L218-K218),0)</f>
        <v/>
      </c>
      <c r="M75" s="154">
        <f>IF(M218-L218&lt;0,-(M218-L218),0)</f>
        <v/>
      </c>
      <c r="N75" s="154">
        <f>IF(N218-M218&lt;0,-(N218-M218),0)</f>
        <v/>
      </c>
      <c r="O75" s="154">
        <f>IF(O218-N218&lt;0,-(O218-N218),0)</f>
        <v/>
      </c>
      <c r="P75" s="154">
        <f>IF(P218-O218&lt;0,-(P218-O218),0)</f>
        <v/>
      </c>
      <c r="Q75" s="154">
        <f>IF(Q218-P218&lt;0,-(Q218-P218),0)</f>
        <v/>
      </c>
      <c r="R75" s="229">
        <f>SUM(F75:Q75)</f>
        <v/>
      </c>
      <c r="S75" s="154">
        <f>IF(S218-R218&lt;0,-(S218-R218),0)</f>
        <v/>
      </c>
      <c r="T75" s="154">
        <f>IF(T218-S218&lt;0,-(T218-S218),0)</f>
        <v/>
      </c>
      <c r="U75" s="154">
        <f>IF(U218-T218&lt;0,-(U218-T218),0)</f>
        <v/>
      </c>
      <c r="V75" s="154">
        <f>IF(V218-U218&lt;0,-(V218-U218),0)</f>
        <v/>
      </c>
      <c r="W75" s="154">
        <f>IF(W218-V218&lt;0,-(W218-V218),0)</f>
        <v/>
      </c>
      <c r="X75" s="154">
        <f>IF(X218-W218&lt;0,-(X218-W218),0)</f>
        <v/>
      </c>
      <c r="Y75" s="154">
        <f>IF(Y218-X218&lt;0,-(Y218-X218),0)</f>
        <v/>
      </c>
      <c r="Z75" s="154">
        <f>IF(Z218-Y218&lt;0,-(Z218-Y218),0)</f>
        <v/>
      </c>
      <c r="AA75" s="154">
        <f>IF(AA218-Z218&lt;0,-(AA218-Z218),0)</f>
        <v/>
      </c>
      <c r="AB75" s="154">
        <f>IF(AB218-AA218&lt;0,-(AB218-AA218),0)</f>
        <v/>
      </c>
      <c r="AC75" s="154">
        <f>IF(AC218-AB218&lt;0,-(AC218-AB218),0)</f>
        <v/>
      </c>
      <c r="AD75" s="154">
        <f>IF(AD218-AC218&lt;0,-(AD218-AC218),0)</f>
        <v/>
      </c>
      <c r="AE75" s="229">
        <f>SUM(S75:AD75)</f>
        <v/>
      </c>
      <c r="AF75" s="229">
        <f>IF(AF218-AE218&lt;0,-(AF218-AE218),0)</f>
        <v/>
      </c>
      <c r="AG75" s="229">
        <f>IF(AG218-AF218&lt;0,-(AG218-AF218),0)</f>
        <v/>
      </c>
      <c r="AH75" s="229">
        <f>IF(AH218-AG218&lt;0,-(AH218-AG218),0)</f>
        <v/>
      </c>
    </row>
    <row r="76" ht="8.25" customHeight="1" s="277">
      <c r="A76" s="224" t="n"/>
      <c r="B76" s="225" t="inlineStr">
        <is>
          <t>Reductions To Capital Equipment Lease</t>
        </is>
      </c>
      <c r="C76" s="154" t="n"/>
      <c r="D76" s="154" t="n"/>
      <c r="E76" s="154" t="n"/>
      <c r="F76" s="154">
        <f>IF(F219+F224-E219-E224&lt;0,-(F219+F224-E219-E224),0)</f>
        <v/>
      </c>
      <c r="G76" s="154">
        <f>IF(G219+G224-F219-F224&lt;0,-(G219+G224-F219-F224),0)</f>
        <v/>
      </c>
      <c r="H76" s="154">
        <f>IF(H219+H224-G219-G224&lt;0,-(H219+H224-G219-G224),0)</f>
        <v/>
      </c>
      <c r="I76" s="154">
        <f>IF(I219+I224-H219-H224&lt;0,-(I219+I224-H219-H224),0)</f>
        <v/>
      </c>
      <c r="J76" s="154">
        <f>IF(J219+J224-I219-I224&lt;0,-(J219+J224-I219-I224),0)</f>
        <v/>
      </c>
      <c r="K76" s="154">
        <f>IF(K219+K224-J219-J224&lt;0,-(K219+K224-J219-J224),0)</f>
        <v/>
      </c>
      <c r="L76" s="154">
        <f>IF(L219+L224-K219-K224&lt;0,-(L219+L224-K219-K224),0)</f>
        <v/>
      </c>
      <c r="M76" s="154">
        <f>IF(M219+M224-L219-L224&lt;0,-(M219+M224-L219-L224),0)</f>
        <v/>
      </c>
      <c r="N76" s="154">
        <f>IF(N219+N224-M219-M224&lt;0,-(N219+N224-M219-M224),0)</f>
        <v/>
      </c>
      <c r="O76" s="154">
        <f>IF(O219+O224-N219-N224&lt;0,-(O219+O224-N219-N224),0)</f>
        <v/>
      </c>
      <c r="P76" s="154">
        <f>IF(P219+P224-O219-O224&lt;0,-(P219+P224-O219-O224),0)</f>
        <v/>
      </c>
      <c r="Q76" s="154">
        <f>IF(Q219+Q224-P219-P224&lt;0,-(Q219+Q224-P219-P224),0)</f>
        <v/>
      </c>
      <c r="R76" s="229">
        <f>SUM(F76:Q76)</f>
        <v/>
      </c>
      <c r="S76" s="154">
        <f>IF(S219+S224-R219-R224&lt;0,-(S219+S224-R219-R224),0)</f>
        <v/>
      </c>
      <c r="T76" s="154">
        <f>IF(T219+T224-S219-S224&lt;0,-(T219+T224-S219-S224),0)</f>
        <v/>
      </c>
      <c r="U76" s="154">
        <f>IF(U219+U224-T219-T224&lt;0,-(U219+U224-T219-T224),0)</f>
        <v/>
      </c>
      <c r="V76" s="154">
        <f>IF(V219+V224-U219-U224&lt;0,-(V219+V224-U219-U224),0)</f>
        <v/>
      </c>
      <c r="W76" s="154">
        <f>IF(W219+W224-V219-V224&lt;0,-(W219+W224-V219-V224),0)</f>
        <v/>
      </c>
      <c r="X76" s="154">
        <f>IF(X219+X224-W219-W224&lt;0,-(X219+X224-W219-W224),0)</f>
        <v/>
      </c>
      <c r="Y76" s="154">
        <f>IF(Y219+Y224-X219-X224&lt;0,-(Y219+Y224-X219-X224),0)</f>
        <v/>
      </c>
      <c r="Z76" s="154">
        <f>IF(Z219+Z224-Y219-Y224&lt;0,-(Z219+Z224-Y219-Y224),0)</f>
        <v/>
      </c>
      <c r="AA76" s="154">
        <f>IF(AA219+AA224-Z219-Z224&lt;0,-(AA219+AA224-Z219-Z224),0)</f>
        <v/>
      </c>
      <c r="AB76" s="154">
        <f>IF(AB219+AB224-AA219-AA224&lt;0,-(AB219+AB224-AA219-AA224),0)</f>
        <v/>
      </c>
      <c r="AC76" s="154">
        <f>IF(AC219+AC224-AB219-AB224&lt;0,-(AC219+AC224-AB219-AB224),0)</f>
        <v/>
      </c>
      <c r="AD76" s="154">
        <f>IF(AD219+AD224-AC219-AC224&lt;0,-(AD219+AD224-AC219-AC224),0)</f>
        <v/>
      </c>
      <c r="AE76" s="229">
        <f>SUM(S76:AD76)</f>
        <v/>
      </c>
      <c r="AF76" s="229">
        <f>IF(AF219+AF224-AE219-AE224&lt;0,-(AF219+AF224-AE219-AE224),0)</f>
        <v/>
      </c>
      <c r="AG76" s="229">
        <f>IF(AG219+AG224-AF219-AF224&lt;0,-(AG219+AG224-AF219-AF224),0)</f>
        <v/>
      </c>
      <c r="AH76" s="229">
        <f>IF(AH219+AH224-AG219-AG224&lt;0,-(AH219+AH224-AG219-AG224),0)</f>
        <v/>
      </c>
    </row>
    <row r="77" ht="8.25" customHeight="1" s="277">
      <c r="A77" s="224" t="n"/>
      <c r="B77" s="225" t="inlineStr">
        <is>
          <t>Reductions To Long Term Debt</t>
        </is>
      </c>
      <c r="C77" s="154" t="n"/>
      <c r="D77" s="154" t="n"/>
      <c r="E77" s="154" t="n"/>
      <c r="F77" s="154">
        <f>IF(F220+F225-E220-E225&lt;0,-(F220+F225-E220-E225),0)</f>
        <v/>
      </c>
      <c r="G77" s="154">
        <f>IF(G220+G225-F220-F225&lt;0,-(G220+G225-F220-F225),0)</f>
        <v/>
      </c>
      <c r="H77" s="154">
        <f>IF(H220+H225-G220-G225&lt;0,-(H220+H225-G220-G225),0)</f>
        <v/>
      </c>
      <c r="I77" s="154">
        <f>IF(I220+I225-H220-H225&lt;0,-(I220+I225-H220-H225),0)</f>
        <v/>
      </c>
      <c r="J77" s="154">
        <f>IF(J220+J225-I220-I225&lt;0,-(J220+J225-I220-I225),0)</f>
        <v/>
      </c>
      <c r="K77" s="154">
        <f>IF(K220+K225-J220-J225&lt;0,-(K220+K225-J220-J225),0)</f>
        <v/>
      </c>
      <c r="L77" s="154">
        <f>IF(L220+L225-K220-K225&lt;0,-(L220+L225-K220-K225),0)</f>
        <v/>
      </c>
      <c r="M77" s="154">
        <f>IF(M220+M225-L220-L225&lt;0,-(M220+M225-L220-L225),0)</f>
        <v/>
      </c>
      <c r="N77" s="154">
        <f>IF(N220+N225-M220-M225&lt;0,-(N220+N225-M220-M225),0)</f>
        <v/>
      </c>
      <c r="O77" s="154">
        <f>IF(O220+O225-N220-N225&lt;0,-(O220+O225-N220-N225),0)</f>
        <v/>
      </c>
      <c r="P77" s="154">
        <f>IF(P220+P225-O220-O225&lt;0,-(P220+P225-O220-O225),0)</f>
        <v/>
      </c>
      <c r="Q77" s="154">
        <f>IF(Q220+Q225-P220-P225&lt;0,-(Q220+Q225-P220-P225),0)</f>
        <v/>
      </c>
      <c r="R77" s="229">
        <f>SUM(F77:Q77)</f>
        <v/>
      </c>
      <c r="S77" s="154">
        <f>IF(S220+S225-R220-R225&lt;0,-(S220+S225-R220-R225),0)</f>
        <v/>
      </c>
      <c r="T77" s="154">
        <f>IF(T220+T225-S220-S225&lt;0,-(T220+T225-S220-S225),0)</f>
        <v/>
      </c>
      <c r="U77" s="154">
        <f>IF(U220+U225-T220-T225&lt;0,-(U220+U225-T220-T225),0)</f>
        <v/>
      </c>
      <c r="V77" s="154">
        <f>IF(V220+V225-U220-U225&lt;0,-(V220+V225-U220-U225),0)</f>
        <v/>
      </c>
      <c r="W77" s="154">
        <f>IF(W220+W225-V220-V225&lt;0,-(W220+W225-V220-V225),0)</f>
        <v/>
      </c>
      <c r="X77" s="154">
        <f>IF(X220+X225-W220-W225&lt;0,-(X220+X225-W220-W225),0)</f>
        <v/>
      </c>
      <c r="Y77" s="154">
        <f>IF(Y220+Y225-X220-X225&lt;0,-(Y220+Y225-X220-X225),0)</f>
        <v/>
      </c>
      <c r="Z77" s="154">
        <f>IF(Z220+Z225-Y220-Y225&lt;0,-(Z220+Z225-Y220-Y225),0)</f>
        <v/>
      </c>
      <c r="AA77" s="154">
        <f>IF(AA220+AA225-Z220-Z225&lt;0,-(AA220+AA225-Z220-Z225),0)</f>
        <v/>
      </c>
      <c r="AB77" s="154">
        <f>IF(AB220+AB225-AA220-AA225&lt;0,-(AB220+AB225-AA220-AA225),0)</f>
        <v/>
      </c>
      <c r="AC77" s="154">
        <f>IF(AC220+AC225-AB220-AB225&lt;0,-(AC220+AC225-AB220-AB225),0)</f>
        <v/>
      </c>
      <c r="AD77" s="154">
        <f>IF(AD220+AD225-AC220-AC225&lt;0,-(AD220+AD225-AC220-AC225),0)</f>
        <v/>
      </c>
      <c r="AE77" s="229">
        <f>SUM(S77:AD77)</f>
        <v/>
      </c>
      <c r="AF77" s="229">
        <f>IF(AF220+AF225-AE220-AE225&lt;0,-(AF220+AF225-AE220-AE225),0)</f>
        <v/>
      </c>
      <c r="AG77" s="229">
        <f>IF(AG220+AG225-AF220-AF225&lt;0,-(AG220+AG225-AF220-AF225),0)</f>
        <v/>
      </c>
      <c r="AH77" s="229">
        <f>IF(AH220+AH225-AG220-AG225&lt;0,-(AH220+AH225-AG220-AG225),0)</f>
        <v/>
      </c>
    </row>
    <row r="78" ht="8.25" customHeight="1" s="277">
      <c r="A78" s="139" t="inlineStr">
        <is>
          <t>Total Uses</t>
        </is>
      </c>
      <c r="B78" s="156" t="n"/>
      <c r="C78" s="228" t="n"/>
      <c r="D78" s="228" t="n"/>
      <c r="E78" s="228" t="n"/>
      <c r="F78" s="228">
        <f>SUM(F72:F77)</f>
        <v/>
      </c>
      <c r="G78" s="228">
        <f>SUM(G72:G77)</f>
        <v/>
      </c>
      <c r="H78" s="228">
        <f>SUM(H72:H77)</f>
        <v/>
      </c>
      <c r="I78" s="228">
        <f>SUM(I72:I77)</f>
        <v/>
      </c>
      <c r="J78" s="228">
        <f>SUM(J72:J77)</f>
        <v/>
      </c>
      <c r="K78" s="228">
        <f>SUM(K72:K77)</f>
        <v/>
      </c>
      <c r="L78" s="228">
        <f>SUM(L72:L77)</f>
        <v/>
      </c>
      <c r="M78" s="228">
        <f>SUM(M72:M77)</f>
        <v/>
      </c>
      <c r="N78" s="228">
        <f>SUM(N72:N77)</f>
        <v/>
      </c>
      <c r="O78" s="228">
        <f>SUM(O72:O77)</f>
        <v/>
      </c>
      <c r="P78" s="228">
        <f>SUM(P72:P77)</f>
        <v/>
      </c>
      <c r="Q78" s="228">
        <f>SUM(Q72:Q77)</f>
        <v/>
      </c>
      <c r="R78" s="158">
        <f>SUM(F78:Q78)</f>
        <v/>
      </c>
      <c r="S78" s="228">
        <f>SUM(S72:S77)</f>
        <v/>
      </c>
      <c r="T78" s="228">
        <f>SUM(T72:T77)</f>
        <v/>
      </c>
      <c r="U78" s="228">
        <f>SUM(U72:U77)</f>
        <v/>
      </c>
      <c r="V78" s="228">
        <f>SUM(V72:V77)</f>
        <v/>
      </c>
      <c r="W78" s="228">
        <f>SUM(W72:W77)</f>
        <v/>
      </c>
      <c r="X78" s="228">
        <f>SUM(X72:X77)</f>
        <v/>
      </c>
      <c r="Y78" s="228">
        <f>SUM(Y72:Y77)</f>
        <v/>
      </c>
      <c r="Z78" s="228">
        <f>SUM(Z72:Z77)</f>
        <v/>
      </c>
      <c r="AA78" s="228">
        <f>SUM(AA72:AA77)</f>
        <v/>
      </c>
      <c r="AB78" s="228">
        <f>SUM(AB72:AB77)</f>
        <v/>
      </c>
      <c r="AC78" s="228">
        <f>SUM(AC72:AC77)</f>
        <v/>
      </c>
      <c r="AD78" s="228">
        <f>SUM(AD72:AD77)</f>
        <v/>
      </c>
      <c r="AE78" s="158">
        <f>SUM(S78:AD78)</f>
        <v/>
      </c>
      <c r="AF78" s="158">
        <f>SUM(AF72:AF77)</f>
        <v/>
      </c>
      <c r="AG78" s="158">
        <f>SUM(AG72:AG77)</f>
        <v/>
      </c>
      <c r="AH78" s="158">
        <f>SUM(AH72:AH77)</f>
        <v/>
      </c>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f>F66-F78</f>
        <v/>
      </c>
      <c r="G80" s="154">
        <f>G66-G78</f>
        <v/>
      </c>
      <c r="H80" s="154">
        <f>H66-H78</f>
        <v/>
      </c>
      <c r="I80" s="154">
        <f>I66-I78</f>
        <v/>
      </c>
      <c r="J80" s="154">
        <f>J66-J78</f>
        <v/>
      </c>
      <c r="K80" s="154">
        <f>K66-K78</f>
        <v/>
      </c>
      <c r="L80" s="154">
        <f>L66-L78</f>
        <v/>
      </c>
      <c r="M80" s="154">
        <f>M66-M78</f>
        <v/>
      </c>
      <c r="N80" s="154">
        <f>N66-N78</f>
        <v/>
      </c>
      <c r="O80" s="154">
        <f>O66-O78</f>
        <v/>
      </c>
      <c r="P80" s="154">
        <f>P66-P78</f>
        <v/>
      </c>
      <c r="Q80" s="154">
        <f>Q66-Q78</f>
        <v/>
      </c>
      <c r="R80" s="229">
        <f>SUM(F80:Q80)</f>
        <v/>
      </c>
      <c r="S80" s="154">
        <f>S66-S78</f>
        <v/>
      </c>
      <c r="T80" s="154">
        <f>T66-T78</f>
        <v/>
      </c>
      <c r="U80" s="154">
        <f>U66-U78</f>
        <v/>
      </c>
      <c r="V80" s="154">
        <f>V66-V78</f>
        <v/>
      </c>
      <c r="W80" s="154">
        <f>W66-W78</f>
        <v/>
      </c>
      <c r="X80" s="154">
        <f>X66-X78</f>
        <v/>
      </c>
      <c r="Y80" s="154">
        <f>Y66-Y78</f>
        <v/>
      </c>
      <c r="Z80" s="154">
        <f>Z66-Z78</f>
        <v/>
      </c>
      <c r="AA80" s="154">
        <f>AA66-AA78</f>
        <v/>
      </c>
      <c r="AB80" s="154">
        <f>AB66-AB78</f>
        <v/>
      </c>
      <c r="AC80" s="154">
        <f>AC66-AC78</f>
        <v/>
      </c>
      <c r="AD80" s="154">
        <f>AD66-AD78</f>
        <v/>
      </c>
      <c r="AE80" s="229">
        <f>SUM(S80:AD80)</f>
        <v/>
      </c>
      <c r="AF80" s="229">
        <f>AF66-AF78</f>
        <v/>
      </c>
      <c r="AG80" s="229">
        <f>AG66-AG78</f>
        <v/>
      </c>
      <c r="AH80" s="229">
        <f>AH66-AH78</f>
        <v/>
      </c>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f>F52+F80</f>
        <v/>
      </c>
      <c r="G82" s="154">
        <f>G52+G80</f>
        <v/>
      </c>
      <c r="H82" s="154">
        <f>H52+H80</f>
        <v/>
      </c>
      <c r="I82" s="154">
        <f>I52+I80</f>
        <v/>
      </c>
      <c r="J82" s="154">
        <f>J52+J80</f>
        <v/>
      </c>
      <c r="K82" s="154">
        <f>K52+K80</f>
        <v/>
      </c>
      <c r="L82" s="154">
        <f>L52+L80</f>
        <v/>
      </c>
      <c r="M82" s="154">
        <f>M52+M80</f>
        <v/>
      </c>
      <c r="N82" s="154">
        <f>N52+N80</f>
        <v/>
      </c>
      <c r="O82" s="154">
        <f>O52+O80</f>
        <v/>
      </c>
      <c r="P82" s="154">
        <f>P52+P80</f>
        <v/>
      </c>
      <c r="Q82" s="154">
        <f>Q52+Q80</f>
        <v/>
      </c>
      <c r="R82" s="229">
        <f>Q82</f>
        <v/>
      </c>
      <c r="S82" s="154">
        <f>S52+S80</f>
        <v/>
      </c>
      <c r="T82" s="154">
        <f>T52+T80</f>
        <v/>
      </c>
      <c r="U82" s="154">
        <f>U52+U80</f>
        <v/>
      </c>
      <c r="V82" s="154">
        <f>V52+V80</f>
        <v/>
      </c>
      <c r="W82" s="154">
        <f>W52+W80</f>
        <v/>
      </c>
      <c r="X82" s="154">
        <f>X52+X80</f>
        <v/>
      </c>
      <c r="Y82" s="154">
        <f>Y52+Y80</f>
        <v/>
      </c>
      <c r="Z82" s="154">
        <f>Z52+Z80</f>
        <v/>
      </c>
      <c r="AA82" s="154">
        <f>AA52+AA80</f>
        <v/>
      </c>
      <c r="AB82" s="154">
        <f>AB52+AB80</f>
        <v/>
      </c>
      <c r="AC82" s="154">
        <f>AC52+AC80</f>
        <v/>
      </c>
      <c r="AD82" s="154">
        <f>AD52+AD80</f>
        <v/>
      </c>
      <c r="AE82" s="229">
        <f>AD82</f>
        <v/>
      </c>
      <c r="AF82" s="229">
        <f>AF52+AF80</f>
        <v/>
      </c>
      <c r="AG82" s="229">
        <f>AG52+AG80</f>
        <v/>
      </c>
      <c r="AH82" s="229">
        <f>AH52+AH80</f>
        <v/>
      </c>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f>$A$1</f>
        <v/>
      </c>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f>NOW()</f>
        <v/>
      </c>
      <c r="C85" s="228" t="n"/>
      <c r="D85" s="228" t="n"/>
      <c r="E85" s="228" t="n"/>
      <c r="F85" s="142">
        <f>F$7</f>
        <v/>
      </c>
      <c r="G85" s="142">
        <f>G$7</f>
        <v/>
      </c>
      <c r="H85" s="142">
        <f>H$7</f>
        <v/>
      </c>
      <c r="I85" s="142">
        <f>I$7</f>
        <v/>
      </c>
      <c r="J85" s="142">
        <f>J$7</f>
        <v/>
      </c>
      <c r="K85" s="142">
        <f>K$7</f>
        <v/>
      </c>
      <c r="L85" s="142">
        <f>L$7</f>
        <v/>
      </c>
      <c r="M85" s="142">
        <f>M$7</f>
        <v/>
      </c>
      <c r="N85" s="142">
        <f>N$7</f>
        <v/>
      </c>
      <c r="O85" s="142">
        <f>O$7</f>
        <v/>
      </c>
      <c r="P85" s="142">
        <f>P$7</f>
        <v/>
      </c>
      <c r="Q85" s="142">
        <f>Q$7</f>
        <v/>
      </c>
      <c r="R85" s="143" t="inlineStr">
        <is>
          <t>Total</t>
        </is>
      </c>
      <c r="S85" s="142">
        <f>S$7</f>
        <v/>
      </c>
      <c r="T85" s="142">
        <f>T$7</f>
        <v/>
      </c>
      <c r="U85" s="142">
        <f>U$7</f>
        <v/>
      </c>
      <c r="V85" s="142">
        <f>V$7</f>
        <v/>
      </c>
      <c r="W85" s="142">
        <f>W$7</f>
        <v/>
      </c>
      <c r="X85" s="142">
        <f>X$7</f>
        <v/>
      </c>
      <c r="Y85" s="142">
        <f>Y$7</f>
        <v/>
      </c>
      <c r="Z85" s="142">
        <f>Z$7</f>
        <v/>
      </c>
      <c r="AA85" s="142">
        <f>AA$7</f>
        <v/>
      </c>
      <c r="AB85" s="142">
        <f>AB$7</f>
        <v/>
      </c>
      <c r="AC85" s="142">
        <f>AC$7</f>
        <v/>
      </c>
      <c r="AD85" s="142">
        <f>AD$7</f>
        <v/>
      </c>
      <c r="AE85" s="143" t="inlineStr">
        <is>
          <t>Total</t>
        </is>
      </c>
      <c r="AF85" s="143">
        <f>AF$7</f>
        <v/>
      </c>
      <c r="AG85" s="143">
        <f>AG$7</f>
        <v/>
      </c>
      <c r="AH85" s="143">
        <f>AH$7</f>
        <v/>
      </c>
    </row>
    <row r="86" ht="8.25" customHeight="1" s="277">
      <c r="A86" s="328" t="n"/>
      <c r="B86" s="329">
        <f>NOW()</f>
        <v/>
      </c>
      <c r="C86" s="330" t="n"/>
      <c r="D86" s="330" t="n"/>
      <c r="E86" s="330" t="n"/>
      <c r="F86" s="324">
        <f>F$1</f>
        <v/>
      </c>
      <c r="G86" s="324">
        <f>G$1</f>
        <v/>
      </c>
      <c r="H86" s="324">
        <f>H$1</f>
        <v/>
      </c>
      <c r="I86" s="324">
        <f>I$1</f>
        <v/>
      </c>
      <c r="J86" s="324">
        <f>J$1</f>
        <v/>
      </c>
      <c r="K86" s="324">
        <f>K$1</f>
        <v/>
      </c>
      <c r="L86" s="324">
        <f>L$1</f>
        <v/>
      </c>
      <c r="M86" s="324">
        <f>M$1</f>
        <v/>
      </c>
      <c r="N86" s="324">
        <f>N$1</f>
        <v/>
      </c>
      <c r="O86" s="324">
        <f>O$1</f>
        <v/>
      </c>
      <c r="P86" s="324">
        <f>P$1</f>
        <v/>
      </c>
      <c r="Q86" s="324">
        <f>Q$1</f>
        <v/>
      </c>
      <c r="R86" s="325">
        <f>R$1</f>
        <v/>
      </c>
      <c r="S86" s="324">
        <f>S$1</f>
        <v/>
      </c>
      <c r="T86" s="324">
        <f>T$1</f>
        <v/>
      </c>
      <c r="U86" s="324">
        <f>U$1</f>
        <v/>
      </c>
      <c r="V86" s="324">
        <f>V$1</f>
        <v/>
      </c>
      <c r="W86" s="324">
        <f>W$1</f>
        <v/>
      </c>
      <c r="X86" s="324">
        <f>X$1</f>
        <v/>
      </c>
      <c r="Y86" s="324">
        <f>Y$1</f>
        <v/>
      </c>
      <c r="Z86" s="324">
        <f>Z$1</f>
        <v/>
      </c>
      <c r="AA86" s="324">
        <f>AA$1</f>
        <v/>
      </c>
      <c r="AB86" s="324">
        <f>AB$1</f>
        <v/>
      </c>
      <c r="AC86" s="324">
        <f>AC$1</f>
        <v/>
      </c>
      <c r="AD86" s="324">
        <f>AD$1</f>
        <v/>
      </c>
      <c r="AE86" s="325">
        <f>AE$1</f>
        <v/>
      </c>
      <c r="AF86" s="325">
        <f>AF$1</f>
        <v/>
      </c>
      <c r="AG86" s="325">
        <f>AG$1</f>
        <v/>
      </c>
      <c r="AH86" s="325">
        <f>AH$1</f>
        <v/>
      </c>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f>Assumptions!I10</f>
        <v/>
      </c>
      <c r="C89" s="154" t="n"/>
      <c r="D89" s="154" t="n"/>
      <c r="E89" s="154" t="n"/>
      <c r="F89" s="154">
        <f>F255</f>
        <v/>
      </c>
      <c r="G89" s="154">
        <f>G255</f>
        <v/>
      </c>
      <c r="H89" s="154">
        <f>H255</f>
        <v/>
      </c>
      <c r="I89" s="154">
        <f>I255</f>
        <v/>
      </c>
      <c r="J89" s="154">
        <f>J255</f>
        <v/>
      </c>
      <c r="K89" s="154">
        <f>K255</f>
        <v/>
      </c>
      <c r="L89" s="154">
        <f>L255</f>
        <v/>
      </c>
      <c r="M89" s="154">
        <f>M255</f>
        <v/>
      </c>
      <c r="N89" s="154">
        <f>N255</f>
        <v/>
      </c>
      <c r="O89" s="154">
        <f>O255</f>
        <v/>
      </c>
      <c r="P89" s="154">
        <f>P255</f>
        <v/>
      </c>
      <c r="Q89" s="154">
        <f>Q255</f>
        <v/>
      </c>
      <c r="R89" s="229">
        <f>SUM(F89:Q89)</f>
        <v/>
      </c>
      <c r="S89" s="154">
        <f>S255</f>
        <v/>
      </c>
      <c r="T89" s="154">
        <f>T255</f>
        <v/>
      </c>
      <c r="U89" s="154">
        <f>U255</f>
        <v/>
      </c>
      <c r="V89" s="154">
        <f>V255</f>
        <v/>
      </c>
      <c r="W89" s="154">
        <f>W255</f>
        <v/>
      </c>
      <c r="X89" s="154">
        <f>X255</f>
        <v/>
      </c>
      <c r="Y89" s="154">
        <f>Y255</f>
        <v/>
      </c>
      <c r="Z89" s="154">
        <f>Z255</f>
        <v/>
      </c>
      <c r="AA89" s="154">
        <f>AA255</f>
        <v/>
      </c>
      <c r="AB89" s="154">
        <f>AB255</f>
        <v/>
      </c>
      <c r="AC89" s="154">
        <f>AC255</f>
        <v/>
      </c>
      <c r="AD89" s="154">
        <f>AD255</f>
        <v/>
      </c>
      <c r="AE89" s="229">
        <f>SUM(S89:AD89)</f>
        <v/>
      </c>
      <c r="AF89" s="229">
        <f>AF255</f>
        <v/>
      </c>
      <c r="AG89" s="229">
        <f>AG255</f>
        <v/>
      </c>
      <c r="AH89" s="229">
        <f>AH255</f>
        <v/>
      </c>
    </row>
    <row r="90" ht="8.25" customHeight="1" s="277">
      <c r="A90" s="224" t="n"/>
      <c r="B90" s="225">
        <f>Assumptions!I11</f>
        <v/>
      </c>
      <c r="C90" s="154" t="n"/>
      <c r="D90" s="154" t="n"/>
      <c r="E90" s="154" t="n"/>
      <c r="F90" s="154">
        <f>F294</f>
        <v/>
      </c>
      <c r="G90" s="154">
        <f>G294</f>
        <v/>
      </c>
      <c r="H90" s="154">
        <f>H294</f>
        <v/>
      </c>
      <c r="I90" s="154">
        <f>I294</f>
        <v/>
      </c>
      <c r="J90" s="154">
        <f>J294</f>
        <v/>
      </c>
      <c r="K90" s="154">
        <f>K294</f>
        <v/>
      </c>
      <c r="L90" s="154">
        <f>L294</f>
        <v/>
      </c>
      <c r="M90" s="154">
        <f>M294</f>
        <v/>
      </c>
      <c r="N90" s="154">
        <f>N294</f>
        <v/>
      </c>
      <c r="O90" s="154">
        <f>O294</f>
        <v/>
      </c>
      <c r="P90" s="154">
        <f>P294</f>
        <v/>
      </c>
      <c r="Q90" s="154">
        <f>Q294</f>
        <v/>
      </c>
      <c r="R90" s="229">
        <f>SUM(F90:Q90)</f>
        <v/>
      </c>
      <c r="S90" s="154">
        <f>S294</f>
        <v/>
      </c>
      <c r="T90" s="154">
        <f>T294</f>
        <v/>
      </c>
      <c r="U90" s="154">
        <f>U294</f>
        <v/>
      </c>
      <c r="V90" s="154">
        <f>V294</f>
        <v/>
      </c>
      <c r="W90" s="154">
        <f>W294</f>
        <v/>
      </c>
      <c r="X90" s="154">
        <f>X294</f>
        <v/>
      </c>
      <c r="Y90" s="154">
        <f>Y294</f>
        <v/>
      </c>
      <c r="Z90" s="154">
        <f>Z294</f>
        <v/>
      </c>
      <c r="AA90" s="154">
        <f>AA294</f>
        <v/>
      </c>
      <c r="AB90" s="154">
        <f>AB294</f>
        <v/>
      </c>
      <c r="AC90" s="154">
        <f>AC294</f>
        <v/>
      </c>
      <c r="AD90" s="154">
        <f>AD294</f>
        <v/>
      </c>
      <c r="AE90" s="229">
        <f>SUM(S90:AD90)</f>
        <v/>
      </c>
      <c r="AF90" s="229">
        <f>AF294</f>
        <v/>
      </c>
      <c r="AG90" s="229">
        <f>AG294</f>
        <v/>
      </c>
      <c r="AH90" s="229">
        <f>AH294</f>
        <v/>
      </c>
    </row>
    <row r="91" ht="8.25" customHeight="1" s="277">
      <c r="A91" s="224" t="n"/>
      <c r="B91" s="225">
        <f>Assumptions!I12</f>
        <v/>
      </c>
      <c r="C91" s="154" t="n"/>
      <c r="D91" s="154" t="n"/>
      <c r="E91" s="154" t="n"/>
      <c r="F91" s="154">
        <f>F333</f>
        <v/>
      </c>
      <c r="G91" s="154">
        <f>G333</f>
        <v/>
      </c>
      <c r="H91" s="154">
        <f>H333</f>
        <v/>
      </c>
      <c r="I91" s="154">
        <f>I333</f>
        <v/>
      </c>
      <c r="J91" s="154">
        <f>J333</f>
        <v/>
      </c>
      <c r="K91" s="154">
        <f>K333</f>
        <v/>
      </c>
      <c r="L91" s="154">
        <f>L333</f>
        <v/>
      </c>
      <c r="M91" s="154">
        <f>M333</f>
        <v/>
      </c>
      <c r="N91" s="154">
        <f>N333</f>
        <v/>
      </c>
      <c r="O91" s="154">
        <f>O333</f>
        <v/>
      </c>
      <c r="P91" s="154">
        <f>P333</f>
        <v/>
      </c>
      <c r="Q91" s="154">
        <f>Q333</f>
        <v/>
      </c>
      <c r="R91" s="229">
        <f>SUM(F91:Q91)</f>
        <v/>
      </c>
      <c r="S91" s="154">
        <f>S333</f>
        <v/>
      </c>
      <c r="T91" s="154">
        <f>T333</f>
        <v/>
      </c>
      <c r="U91" s="154">
        <f>U333</f>
        <v/>
      </c>
      <c r="V91" s="154">
        <f>V333</f>
        <v/>
      </c>
      <c r="W91" s="154">
        <f>W333</f>
        <v/>
      </c>
      <c r="X91" s="154">
        <f>X333</f>
        <v/>
      </c>
      <c r="Y91" s="154">
        <f>Y333</f>
        <v/>
      </c>
      <c r="Z91" s="154">
        <f>Z333</f>
        <v/>
      </c>
      <c r="AA91" s="154">
        <f>AA333</f>
        <v/>
      </c>
      <c r="AB91" s="154">
        <f>AB333</f>
        <v/>
      </c>
      <c r="AC91" s="154">
        <f>AC333</f>
        <v/>
      </c>
      <c r="AD91" s="154">
        <f>AD333</f>
        <v/>
      </c>
      <c r="AE91" s="229">
        <f>SUM(S91:AD91)</f>
        <v/>
      </c>
      <c r="AF91" s="229">
        <f>AF333</f>
        <v/>
      </c>
      <c r="AG91" s="229">
        <f>AG333</f>
        <v/>
      </c>
      <c r="AH91" s="229">
        <f>AH333</f>
        <v/>
      </c>
    </row>
    <row r="92" ht="8.25" customHeight="1" s="277">
      <c r="A92" s="224" t="n"/>
      <c r="B92" s="225">
        <f>Assumptions!I13</f>
        <v/>
      </c>
      <c r="C92" s="154" t="n"/>
      <c r="D92" s="154" t="n"/>
      <c r="E92" s="154" t="n"/>
      <c r="F92" s="154">
        <f>F372</f>
        <v/>
      </c>
      <c r="G92" s="154">
        <f>G372</f>
        <v/>
      </c>
      <c r="H92" s="154">
        <f>H372</f>
        <v/>
      </c>
      <c r="I92" s="154">
        <f>I372</f>
        <v/>
      </c>
      <c r="J92" s="154">
        <f>J372</f>
        <v/>
      </c>
      <c r="K92" s="154">
        <f>K372</f>
        <v/>
      </c>
      <c r="L92" s="154">
        <f>L372</f>
        <v/>
      </c>
      <c r="M92" s="154">
        <f>M372</f>
        <v/>
      </c>
      <c r="N92" s="154">
        <f>N372</f>
        <v/>
      </c>
      <c r="O92" s="154">
        <f>O372</f>
        <v/>
      </c>
      <c r="P92" s="154">
        <f>P372</f>
        <v/>
      </c>
      <c r="Q92" s="154">
        <f>Q372</f>
        <v/>
      </c>
      <c r="R92" s="229">
        <f>SUM(F92:Q92)</f>
        <v/>
      </c>
      <c r="S92" s="154">
        <f>S372</f>
        <v/>
      </c>
      <c r="T92" s="154">
        <f>T372</f>
        <v/>
      </c>
      <c r="U92" s="154">
        <f>U372</f>
        <v/>
      </c>
      <c r="V92" s="154">
        <f>V372</f>
        <v/>
      </c>
      <c r="W92" s="154">
        <f>W372</f>
        <v/>
      </c>
      <c r="X92" s="154">
        <f>X372</f>
        <v/>
      </c>
      <c r="Y92" s="154">
        <f>Y372</f>
        <v/>
      </c>
      <c r="Z92" s="154">
        <f>Z372</f>
        <v/>
      </c>
      <c r="AA92" s="154">
        <f>AA372</f>
        <v/>
      </c>
      <c r="AB92" s="154">
        <f>AB372</f>
        <v/>
      </c>
      <c r="AC92" s="154">
        <f>AC372</f>
        <v/>
      </c>
      <c r="AD92" s="154">
        <f>AD372</f>
        <v/>
      </c>
      <c r="AE92" s="229">
        <f>SUM(S92:AD92)</f>
        <v/>
      </c>
      <c r="AF92" s="229">
        <f>AF372</f>
        <v/>
      </c>
      <c r="AG92" s="229">
        <f>AG372</f>
        <v/>
      </c>
      <c r="AH92" s="229">
        <f>AH372</f>
        <v/>
      </c>
    </row>
    <row r="93" ht="8.25" customHeight="1" s="277">
      <c r="A93" s="139" t="inlineStr">
        <is>
          <t>Total Revenue</t>
        </is>
      </c>
      <c r="B93" s="156" t="n"/>
      <c r="C93" s="228" t="n"/>
      <c r="D93" s="228" t="n"/>
      <c r="E93" s="228" t="n"/>
      <c r="F93" s="228">
        <f>SUM(F89:F92)</f>
        <v/>
      </c>
      <c r="G93" s="228">
        <f>SUM(G89:G92)</f>
        <v/>
      </c>
      <c r="H93" s="228">
        <f>SUM(H89:H92)</f>
        <v/>
      </c>
      <c r="I93" s="228">
        <f>SUM(I89:I92)</f>
        <v/>
      </c>
      <c r="J93" s="228">
        <f>SUM(J89:J92)</f>
        <v/>
      </c>
      <c r="K93" s="228">
        <f>SUM(K89:K92)</f>
        <v/>
      </c>
      <c r="L93" s="228">
        <f>SUM(L89:L92)</f>
        <v/>
      </c>
      <c r="M93" s="228">
        <f>SUM(M89:M92)</f>
        <v/>
      </c>
      <c r="N93" s="228">
        <f>SUM(N89:N92)</f>
        <v/>
      </c>
      <c r="O93" s="228">
        <f>SUM(O89:O92)</f>
        <v/>
      </c>
      <c r="P93" s="228">
        <f>SUM(P89:P92)</f>
        <v/>
      </c>
      <c r="Q93" s="228">
        <f>SUM(Q89:Q92)</f>
        <v/>
      </c>
      <c r="R93" s="158">
        <f>SUM(F93:Q93)</f>
        <v/>
      </c>
      <c r="S93" s="228">
        <f>SUM(S89:S92)</f>
        <v/>
      </c>
      <c r="T93" s="228">
        <f>SUM(T89:T92)</f>
        <v/>
      </c>
      <c r="U93" s="228">
        <f>SUM(U89:U92)</f>
        <v/>
      </c>
      <c r="V93" s="228">
        <f>SUM(V89:V92)</f>
        <v/>
      </c>
      <c r="W93" s="228">
        <f>SUM(W89:W92)</f>
        <v/>
      </c>
      <c r="X93" s="228">
        <f>SUM(X89:X92)</f>
        <v/>
      </c>
      <c r="Y93" s="228">
        <f>SUM(Y89:Y92)</f>
        <v/>
      </c>
      <c r="Z93" s="228">
        <f>SUM(Z89:Z92)</f>
        <v/>
      </c>
      <c r="AA93" s="228">
        <f>SUM(AA89:AA92)</f>
        <v/>
      </c>
      <c r="AB93" s="228">
        <f>SUM(AB89:AB92)</f>
        <v/>
      </c>
      <c r="AC93" s="228">
        <f>SUM(AC89:AC92)</f>
        <v/>
      </c>
      <c r="AD93" s="228">
        <f>SUM(AD89:AD92)</f>
        <v/>
      </c>
      <c r="AE93" s="158">
        <f>SUM(S93:AD93)</f>
        <v/>
      </c>
      <c r="AF93" s="158">
        <f>SUM(AF89:AF92)</f>
        <v/>
      </c>
      <c r="AG93" s="158">
        <f>SUM(AG89:AG92)</f>
        <v/>
      </c>
      <c r="AH93" s="158">
        <f>SUM(AH89:AH92)</f>
        <v/>
      </c>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f>IF(F$93=0,0,F386)</f>
        <v/>
      </c>
      <c r="G97" s="154">
        <f>IF(G$93=0,0,G386)</f>
        <v/>
      </c>
      <c r="H97" s="154">
        <f>IF(H$93=0,0,H386)</f>
        <v/>
      </c>
      <c r="I97" s="154">
        <f>IF(I$93=0,0,I386)</f>
        <v/>
      </c>
      <c r="J97" s="154">
        <f>IF(J$93=0,0,J386)</f>
        <v/>
      </c>
      <c r="K97" s="154">
        <f>IF(K$93=0,0,K386)</f>
        <v/>
      </c>
      <c r="L97" s="154">
        <f>IF(L$93=0,0,L386)</f>
        <v/>
      </c>
      <c r="M97" s="154">
        <f>IF(M$93=0,0,M386)</f>
        <v/>
      </c>
      <c r="N97" s="154">
        <f>IF(N$93=0,0,N386)</f>
        <v/>
      </c>
      <c r="O97" s="154">
        <f>IF(O$93=0,0,O386)</f>
        <v/>
      </c>
      <c r="P97" s="154">
        <f>IF(P$93=0,0,P386)</f>
        <v/>
      </c>
      <c r="Q97" s="154">
        <f>IF(Q$93=0,0,Q386)</f>
        <v/>
      </c>
      <c r="R97" s="229">
        <f>SUM(F97:Q97)</f>
        <v/>
      </c>
      <c r="S97" s="154">
        <f>IF(S$93=0,0,S386)</f>
        <v/>
      </c>
      <c r="T97" s="154">
        <f>IF(T$93=0,0,T386)</f>
        <v/>
      </c>
      <c r="U97" s="154">
        <f>IF(U$93=0,0,U386)</f>
        <v/>
      </c>
      <c r="V97" s="154">
        <f>IF(V$93=0,0,V386)</f>
        <v/>
      </c>
      <c r="W97" s="154">
        <f>IF(W$93=0,0,W386)</f>
        <v/>
      </c>
      <c r="X97" s="154">
        <f>IF(X$93=0,0,X386)</f>
        <v/>
      </c>
      <c r="Y97" s="154">
        <f>IF(Y$93=0,0,Y386)</f>
        <v/>
      </c>
      <c r="Z97" s="154">
        <f>IF(Z$93=0,0,Z386)</f>
        <v/>
      </c>
      <c r="AA97" s="154">
        <f>IF(AA$93=0,0,AA386)</f>
        <v/>
      </c>
      <c r="AB97" s="154">
        <f>IF(AB$93=0,0,AB386)</f>
        <v/>
      </c>
      <c r="AC97" s="154">
        <f>IF(AC$93=0,0,AC386)</f>
        <v/>
      </c>
      <c r="AD97" s="154">
        <f>IF(AD$93=0,0,AD386)</f>
        <v/>
      </c>
      <c r="AE97" s="229">
        <f>SUM(S97:AD97)</f>
        <v/>
      </c>
      <c r="AF97" s="229">
        <f>IF(AF$93=0,0,AF386)</f>
        <v/>
      </c>
      <c r="AG97" s="229">
        <f>IF(AG$93=0,0,AG386)</f>
        <v/>
      </c>
      <c r="AH97" s="229">
        <f>IF(AH$93=0,0,AH386)</f>
        <v/>
      </c>
    </row>
    <row r="98" ht="8.25" customHeight="1" s="277">
      <c r="A98" s="224" t="n"/>
      <c r="B98" s="225" t="inlineStr">
        <is>
          <t>Other Direct Costs</t>
        </is>
      </c>
      <c r="C98" s="154" t="n"/>
      <c r="D98" s="154" t="n"/>
      <c r="E98" s="154" t="n"/>
      <c r="F98" s="154">
        <f>IF(F$93=0,0,F388)</f>
        <v/>
      </c>
      <c r="G98" s="154">
        <f>IF(G$93=0,0,G388)</f>
        <v/>
      </c>
      <c r="H98" s="154">
        <f>IF(H$93=0,0,H388)</f>
        <v/>
      </c>
      <c r="I98" s="154">
        <f>IF(I$93=0,0,I388)</f>
        <v/>
      </c>
      <c r="J98" s="154">
        <f>IF(J$93=0,0,J388)</f>
        <v/>
      </c>
      <c r="K98" s="154">
        <f>IF(K$93=0,0,K388)</f>
        <v/>
      </c>
      <c r="L98" s="154">
        <f>IF(L$93=0,0,L388)</f>
        <v/>
      </c>
      <c r="M98" s="154">
        <f>IF(M$93=0,0,M388)</f>
        <v/>
      </c>
      <c r="N98" s="154">
        <f>IF(N$93=0,0,N388)</f>
        <v/>
      </c>
      <c r="O98" s="154">
        <f>IF(O$93=0,0,O388)</f>
        <v/>
      </c>
      <c r="P98" s="154">
        <f>IF(P$93=0,0,P388)</f>
        <v/>
      </c>
      <c r="Q98" s="154">
        <f>IF(Q$93=0,0,Q388)</f>
        <v/>
      </c>
      <c r="R98" s="229">
        <f>SUM(F98:Q98)</f>
        <v/>
      </c>
      <c r="S98" s="154">
        <f>IF(S$93=0,0,S388)</f>
        <v/>
      </c>
      <c r="T98" s="154">
        <f>IF(T$93=0,0,T388)</f>
        <v/>
      </c>
      <c r="U98" s="154">
        <f>IF(U$93=0,0,U388)</f>
        <v/>
      </c>
      <c r="V98" s="154">
        <f>IF(V$93=0,0,V388)</f>
        <v/>
      </c>
      <c r="W98" s="154">
        <f>IF(W$93=0,0,W388)</f>
        <v/>
      </c>
      <c r="X98" s="154">
        <f>IF(X$93=0,0,X388)</f>
        <v/>
      </c>
      <c r="Y98" s="154">
        <f>IF(Y$93=0,0,Y388)</f>
        <v/>
      </c>
      <c r="Z98" s="154">
        <f>IF(Z$93=0,0,Z388)</f>
        <v/>
      </c>
      <c r="AA98" s="154">
        <f>IF(AA$93=0,0,AA388)</f>
        <v/>
      </c>
      <c r="AB98" s="154">
        <f>IF(AB$93=0,0,AB388)</f>
        <v/>
      </c>
      <c r="AC98" s="154">
        <f>IF(AC$93=0,0,AC388)</f>
        <v/>
      </c>
      <c r="AD98" s="154">
        <f>IF(AD$93=0,0,AD388)</f>
        <v/>
      </c>
      <c r="AE98" s="229">
        <f>SUM(S98:AD98)</f>
        <v/>
      </c>
      <c r="AF98" s="229">
        <f>IF(AF$93=0,0,AF388)</f>
        <v/>
      </c>
      <c r="AG98" s="229">
        <f>IF(AG$93=0,0,AG388)</f>
        <v/>
      </c>
      <c r="AH98" s="229">
        <f>IF(AH$93=0,0,AH388)</f>
        <v/>
      </c>
    </row>
    <row r="99" ht="8.25" customHeight="1" s="277">
      <c r="A99" s="224" t="n"/>
      <c r="B99" s="225" t="inlineStr">
        <is>
          <t>Direct Materials</t>
        </is>
      </c>
      <c r="C99" s="154" t="n"/>
      <c r="D99" s="154" t="n"/>
      <c r="E99" s="154" t="n"/>
      <c r="F99" s="154">
        <f>F267+F306+F345+F384</f>
        <v/>
      </c>
      <c r="G99" s="154">
        <f>G267+G306+G345+G384</f>
        <v/>
      </c>
      <c r="H99" s="154">
        <f>H267+H306+H345+H384</f>
        <v/>
      </c>
      <c r="I99" s="154">
        <f>I267+I306+I345+I384</f>
        <v/>
      </c>
      <c r="J99" s="154">
        <f>J267+J306+J345+J384</f>
        <v/>
      </c>
      <c r="K99" s="154">
        <f>K267+K306+K345+K384</f>
        <v/>
      </c>
      <c r="L99" s="154">
        <f>L267+L306+L345+L384</f>
        <v/>
      </c>
      <c r="M99" s="154">
        <f>M267+M306+M345+M384</f>
        <v/>
      </c>
      <c r="N99" s="154">
        <f>N267+N306+N345+N384</f>
        <v/>
      </c>
      <c r="O99" s="154">
        <f>O267+O306+O345+O384</f>
        <v/>
      </c>
      <c r="P99" s="154">
        <f>P267+P306+P345+P384</f>
        <v/>
      </c>
      <c r="Q99" s="154">
        <f>Q267+Q306+Q345+Q384</f>
        <v/>
      </c>
      <c r="R99" s="229">
        <f>SUM(F99:Q99)</f>
        <v/>
      </c>
      <c r="S99" s="154">
        <f>S267+S306+S345+S384</f>
        <v/>
      </c>
      <c r="T99" s="154">
        <f>T267+T306+T345+T384</f>
        <v/>
      </c>
      <c r="U99" s="154">
        <f>U267+U306+U345+U384</f>
        <v/>
      </c>
      <c r="V99" s="154">
        <f>V267+V306+V345+V384</f>
        <v/>
      </c>
      <c r="W99" s="154">
        <f>W267+W306+W345+W384</f>
        <v/>
      </c>
      <c r="X99" s="154">
        <f>X267+X306+X345+X384</f>
        <v/>
      </c>
      <c r="Y99" s="154">
        <f>Y267+Y306+Y345+Y384</f>
        <v/>
      </c>
      <c r="Z99" s="154">
        <f>Z267+Z306+Z345+Z384</f>
        <v/>
      </c>
      <c r="AA99" s="154">
        <f>AA267+AA306+AA345+AA384</f>
        <v/>
      </c>
      <c r="AB99" s="154">
        <f>AB267+AB306+AB345+AB384</f>
        <v/>
      </c>
      <c r="AC99" s="154">
        <f>AC267+AC306+AC345+AC384</f>
        <v/>
      </c>
      <c r="AD99" s="154">
        <f>AD267+AD306+AD345+AD384</f>
        <v/>
      </c>
      <c r="AE99" s="229">
        <f>SUM(S99:AD99)</f>
        <v/>
      </c>
      <c r="AF99" s="229">
        <f>AF267+AF306+AF345+AF384</f>
        <v/>
      </c>
      <c r="AG99" s="229">
        <f>AG267+AG306+AG345+AG384</f>
        <v/>
      </c>
      <c r="AH99" s="229">
        <f>AH267+AH306+AH345+AH384</f>
        <v/>
      </c>
    </row>
    <row r="100" ht="8.25" customHeight="1" s="277">
      <c r="A100" s="224" t="n"/>
      <c r="B100" s="225" t="inlineStr">
        <is>
          <t>Returns</t>
        </is>
      </c>
      <c r="C100" s="154" t="n"/>
      <c r="D100" s="154" t="n"/>
      <c r="E100" s="154" t="n"/>
      <c r="F100" s="154">
        <f>F269+F308+F347+F390</f>
        <v/>
      </c>
      <c r="G100" s="154">
        <f>G269+G308+G347+G390</f>
        <v/>
      </c>
      <c r="H100" s="154">
        <f>H269+H308+H347+H390</f>
        <v/>
      </c>
      <c r="I100" s="154">
        <f>I269+I308+I347+I390</f>
        <v/>
      </c>
      <c r="J100" s="154">
        <f>J269+J308+J347+J390</f>
        <v/>
      </c>
      <c r="K100" s="154">
        <f>K269+K308+K347+K390</f>
        <v/>
      </c>
      <c r="L100" s="154">
        <f>L269+L308+L347+L390</f>
        <v/>
      </c>
      <c r="M100" s="154">
        <f>M269+M308+M347+M390</f>
        <v/>
      </c>
      <c r="N100" s="154">
        <f>N269+N308+N347+N390</f>
        <v/>
      </c>
      <c r="O100" s="154">
        <f>O269+O308+O347+O390</f>
        <v/>
      </c>
      <c r="P100" s="154">
        <f>P269+P308+P347+P390</f>
        <v/>
      </c>
      <c r="Q100" s="154">
        <f>Q269+Q308+Q347+Q390</f>
        <v/>
      </c>
      <c r="R100" s="229">
        <f>SUM(F100:Q100)</f>
        <v/>
      </c>
      <c r="S100" s="154">
        <f>S269+S308+S347+S390</f>
        <v/>
      </c>
      <c r="T100" s="154">
        <f>T269+T308+T347+T390</f>
        <v/>
      </c>
      <c r="U100" s="154">
        <f>U269+U308+U347+U390</f>
        <v/>
      </c>
      <c r="V100" s="154">
        <f>V269+V308+V347+V390</f>
        <v/>
      </c>
      <c r="W100" s="154">
        <f>W269+W308+W347+W390</f>
        <v/>
      </c>
      <c r="X100" s="154">
        <f>X269+X308+X347+X390</f>
        <v/>
      </c>
      <c r="Y100" s="154">
        <f>Y269+Y308+Y347+Y390</f>
        <v/>
      </c>
      <c r="Z100" s="154">
        <f>Z269+Z308+Z347+Z390</f>
        <v/>
      </c>
      <c r="AA100" s="154">
        <f>AA269+AA308+AA347+AA390</f>
        <v/>
      </c>
      <c r="AB100" s="154">
        <f>AB269+AB308+AB347+AB390</f>
        <v/>
      </c>
      <c r="AC100" s="154">
        <f>AC269+AC308+AC347+AC390</f>
        <v/>
      </c>
      <c r="AD100" s="154">
        <f>AD269+AD308+AD347+AD390</f>
        <v/>
      </c>
      <c r="AE100" s="229">
        <f>SUM(S100:AD100)</f>
        <v/>
      </c>
      <c r="AF100" s="229">
        <f>AF269+AF308+AF347+AF390</f>
        <v/>
      </c>
      <c r="AG100" s="229">
        <f>AG269+AG308+AG347+AG390</f>
        <v/>
      </c>
      <c r="AH100" s="229">
        <f>AH269+AH308+AH347+AH390</f>
        <v/>
      </c>
    </row>
    <row r="101" ht="8.25" customHeight="1" s="277">
      <c r="A101" s="139" t="inlineStr">
        <is>
          <t>Total COGS</t>
        </is>
      </c>
      <c r="B101" s="156" t="n"/>
      <c r="C101" s="228" t="n"/>
      <c r="D101" s="228" t="n"/>
      <c r="E101" s="228" t="n"/>
      <c r="F101" s="228">
        <f>SUM(F97:F100)</f>
        <v/>
      </c>
      <c r="G101" s="228">
        <f>SUM(G97:G100)</f>
        <v/>
      </c>
      <c r="H101" s="228">
        <f>SUM(H97:H100)</f>
        <v/>
      </c>
      <c r="I101" s="228">
        <f>SUM(I97:I100)</f>
        <v/>
      </c>
      <c r="J101" s="228">
        <f>SUM(J97:J100)</f>
        <v/>
      </c>
      <c r="K101" s="228">
        <f>SUM(K97:K100)</f>
        <v/>
      </c>
      <c r="L101" s="228">
        <f>SUM(L97:L100)</f>
        <v/>
      </c>
      <c r="M101" s="228">
        <f>SUM(M97:M100)</f>
        <v/>
      </c>
      <c r="N101" s="228">
        <f>SUM(N97:N100)</f>
        <v/>
      </c>
      <c r="O101" s="228">
        <f>SUM(O97:O100)</f>
        <v/>
      </c>
      <c r="P101" s="228">
        <f>SUM(P97:P100)</f>
        <v/>
      </c>
      <c r="Q101" s="228">
        <f>SUM(Q97:Q100)</f>
        <v/>
      </c>
      <c r="R101" s="158">
        <f>SUM(F101:Q101)</f>
        <v/>
      </c>
      <c r="S101" s="228">
        <f>SUM(S97:S100)</f>
        <v/>
      </c>
      <c r="T101" s="228">
        <f>SUM(T97:T100)</f>
        <v/>
      </c>
      <c r="U101" s="228">
        <f>SUM(U97:U100)</f>
        <v/>
      </c>
      <c r="V101" s="228">
        <f>SUM(V97:V100)</f>
        <v/>
      </c>
      <c r="W101" s="228">
        <f>SUM(W97:W100)</f>
        <v/>
      </c>
      <c r="X101" s="228">
        <f>SUM(X97:X100)</f>
        <v/>
      </c>
      <c r="Y101" s="228">
        <f>SUM(Y97:Y100)</f>
        <v/>
      </c>
      <c r="Z101" s="228">
        <f>SUM(Z97:Z100)</f>
        <v/>
      </c>
      <c r="AA101" s="228">
        <f>SUM(AA97:AA100)</f>
        <v/>
      </c>
      <c r="AB101" s="228">
        <f>SUM(AB97:AB100)</f>
        <v/>
      </c>
      <c r="AC101" s="228">
        <f>SUM(AC97:AC100)</f>
        <v/>
      </c>
      <c r="AD101" s="228">
        <f>SUM(AD97:AD100)</f>
        <v/>
      </c>
      <c r="AE101" s="158">
        <f>SUM(S101:AD101)</f>
        <v/>
      </c>
      <c r="AF101" s="158">
        <f>SUM(AF97:AF100)</f>
        <v/>
      </c>
      <c r="AG101" s="158">
        <f>SUM(AG97:AG100)</f>
        <v/>
      </c>
      <c r="AH101" s="158">
        <f>SUM(AH97:AH100)</f>
        <v/>
      </c>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f>F93-F101</f>
        <v/>
      </c>
      <c r="G103" s="228">
        <f>G93-G101</f>
        <v/>
      </c>
      <c r="H103" s="228">
        <f>H93-H101</f>
        <v/>
      </c>
      <c r="I103" s="228">
        <f>I93-I101</f>
        <v/>
      </c>
      <c r="J103" s="228">
        <f>J93-J101</f>
        <v/>
      </c>
      <c r="K103" s="228">
        <f>K93-K101</f>
        <v/>
      </c>
      <c r="L103" s="228">
        <f>L93-L101</f>
        <v/>
      </c>
      <c r="M103" s="228">
        <f>M93-M101</f>
        <v/>
      </c>
      <c r="N103" s="228">
        <f>N93-N101</f>
        <v/>
      </c>
      <c r="O103" s="228">
        <f>O93-O101</f>
        <v/>
      </c>
      <c r="P103" s="228">
        <f>P93-P101</f>
        <v/>
      </c>
      <c r="Q103" s="228">
        <f>Q93-Q101</f>
        <v/>
      </c>
      <c r="R103" s="158">
        <f>SUM(F103:Q103)</f>
        <v/>
      </c>
      <c r="S103" s="228">
        <f>S93-S101</f>
        <v/>
      </c>
      <c r="T103" s="228">
        <f>T93-T101</f>
        <v/>
      </c>
      <c r="U103" s="228">
        <f>U93-U101</f>
        <v/>
      </c>
      <c r="V103" s="228">
        <f>V93-V101</f>
        <v/>
      </c>
      <c r="W103" s="228">
        <f>W93-W101</f>
        <v/>
      </c>
      <c r="X103" s="228">
        <f>X93-X101</f>
        <v/>
      </c>
      <c r="Y103" s="228">
        <f>Y93-Y101</f>
        <v/>
      </c>
      <c r="Z103" s="228">
        <f>Z93-Z101</f>
        <v/>
      </c>
      <c r="AA103" s="228">
        <f>AA93-AA101</f>
        <v/>
      </c>
      <c r="AB103" s="228">
        <f>AB93-AB101</f>
        <v/>
      </c>
      <c r="AC103" s="228">
        <f>AC93-AC101</f>
        <v/>
      </c>
      <c r="AD103" s="228">
        <f>AD93-AD101</f>
        <v/>
      </c>
      <c r="AE103" s="158">
        <f>SUM(S103:AD103)</f>
        <v/>
      </c>
      <c r="AF103" s="158">
        <f>AF93-AF101</f>
        <v/>
      </c>
      <c r="AG103" s="158">
        <f>AG93-AG101</f>
        <v/>
      </c>
      <c r="AH103" s="158">
        <f>AH93-AH101</f>
        <v/>
      </c>
    </row>
    <row r="104" ht="8.25" customHeight="1" s="277">
      <c r="A104" s="333" t="n"/>
      <c r="B104" s="334" t="inlineStr">
        <is>
          <t>% of Sales</t>
        </is>
      </c>
      <c r="C104" s="154" t="n"/>
      <c r="D104" s="154" t="n"/>
      <c r="E104" s="154" t="n"/>
      <c r="F104" s="335">
        <f>IF(F$93&gt;0,F103/F$93,0)</f>
        <v/>
      </c>
      <c r="G104" s="335">
        <f>IF(G$93&gt;0,G103/G$93,0)</f>
        <v/>
      </c>
      <c r="H104" s="335">
        <f>IF(H$93&gt;0,H103/H$93,0)</f>
        <v/>
      </c>
      <c r="I104" s="335">
        <f>IF(I$93&gt;0,I103/I$93,0)</f>
        <v/>
      </c>
      <c r="J104" s="335">
        <f>IF(J$93&gt;0,J103/J$93,0)</f>
        <v/>
      </c>
      <c r="K104" s="335">
        <f>IF(K$93&gt;0,K103/K$93,0)</f>
        <v/>
      </c>
      <c r="L104" s="335">
        <f>IF(L$93&gt;0,L103/L$93,0)</f>
        <v/>
      </c>
      <c r="M104" s="335">
        <f>IF(M$93&gt;0,M103/M$93,0)</f>
        <v/>
      </c>
      <c r="N104" s="335">
        <f>IF(N$93&gt;0,N103/N$93,0)</f>
        <v/>
      </c>
      <c r="O104" s="335">
        <f>IF(O$93&gt;0,O103/O$93,0)</f>
        <v/>
      </c>
      <c r="P104" s="335">
        <f>IF(P$93&gt;0,P103/P$93,0)</f>
        <v/>
      </c>
      <c r="Q104" s="335">
        <f>IF(Q$93&gt;0,Q103/Q$93,0)</f>
        <v/>
      </c>
      <c r="R104" s="336">
        <f>IF(R$93&gt;0,R103/R$93,0)</f>
        <v/>
      </c>
      <c r="S104" s="335">
        <f>IF(S$93&gt;0,S103/S$93,0)</f>
        <v/>
      </c>
      <c r="T104" s="335">
        <f>IF(T$93&gt;0,T103/T$93,0)</f>
        <v/>
      </c>
      <c r="U104" s="335">
        <f>IF(U$93&gt;0,U103/U$93,0)</f>
        <v/>
      </c>
      <c r="V104" s="335">
        <f>IF(V$93&gt;0,V103/V$93,0)</f>
        <v/>
      </c>
      <c r="W104" s="335">
        <f>IF(W$93&gt;0,W103/W$93,0)</f>
        <v/>
      </c>
      <c r="X104" s="335">
        <f>IF(X$93&gt;0,X103/X$93,0)</f>
        <v/>
      </c>
      <c r="Y104" s="335">
        <f>IF(Y$93&gt;0,Y103/Y$93,0)</f>
        <v/>
      </c>
      <c r="Z104" s="335">
        <f>IF(Z$93&gt;0,Z103/Z$93,0)</f>
        <v/>
      </c>
      <c r="AA104" s="335">
        <f>IF(AA$93&gt;0,AA103/AA$93,0)</f>
        <v/>
      </c>
      <c r="AB104" s="335">
        <f>IF(AB$93&gt;0,AB103/AB$93,0)</f>
        <v/>
      </c>
      <c r="AC104" s="335">
        <f>IF(AC$93&gt;0,AC103/AC$93,0)</f>
        <v/>
      </c>
      <c r="AD104" s="335">
        <f>IF(AD$93&gt;0,AD103/AD$93,0)</f>
        <v/>
      </c>
      <c r="AE104" s="336">
        <f>IF(AE$93&gt;0,AE103/AE$93,0)</f>
        <v/>
      </c>
      <c r="AF104" s="336">
        <f>IF(AF$93&gt;0,AF103/AF$93,0)</f>
        <v/>
      </c>
      <c r="AG104" s="336">
        <f>IF(AG$93&gt;0,AG103/AG$93,0)</f>
        <v/>
      </c>
      <c r="AH104" s="336">
        <f>IF(AH$93&gt;0,AH103/AH$93,0)</f>
        <v/>
      </c>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f>UPPER($A$409)</f>
        <v/>
      </c>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f>F415</f>
        <v/>
      </c>
      <c r="G108" s="154">
        <f>G415</f>
        <v/>
      </c>
      <c r="H108" s="154">
        <f>H415</f>
        <v/>
      </c>
      <c r="I108" s="154">
        <f>I415</f>
        <v/>
      </c>
      <c r="J108" s="154">
        <f>J415</f>
        <v/>
      </c>
      <c r="K108" s="154">
        <f>K415</f>
        <v/>
      </c>
      <c r="L108" s="154">
        <f>L415</f>
        <v/>
      </c>
      <c r="M108" s="154">
        <f>M415</f>
        <v/>
      </c>
      <c r="N108" s="154">
        <f>N415</f>
        <v/>
      </c>
      <c r="O108" s="154">
        <f>O415</f>
        <v/>
      </c>
      <c r="P108" s="154">
        <f>P415</f>
        <v/>
      </c>
      <c r="Q108" s="154">
        <f>Q415</f>
        <v/>
      </c>
      <c r="R108" s="229">
        <f>Q108</f>
        <v/>
      </c>
      <c r="S108" s="154">
        <f>S415</f>
        <v/>
      </c>
      <c r="T108" s="154">
        <f>T415</f>
        <v/>
      </c>
      <c r="U108" s="154">
        <f>U415</f>
        <v/>
      </c>
      <c r="V108" s="154">
        <f>V415</f>
        <v/>
      </c>
      <c r="W108" s="154">
        <f>W415</f>
        <v/>
      </c>
      <c r="X108" s="154">
        <f>X415</f>
        <v/>
      </c>
      <c r="Y108" s="154">
        <f>Y415</f>
        <v/>
      </c>
      <c r="Z108" s="154">
        <f>Z415</f>
        <v/>
      </c>
      <c r="AA108" s="154">
        <f>AA415</f>
        <v/>
      </c>
      <c r="AB108" s="154">
        <f>AB415</f>
        <v/>
      </c>
      <c r="AC108" s="154">
        <f>AC415</f>
        <v/>
      </c>
      <c r="AD108" s="154">
        <f>AD415</f>
        <v/>
      </c>
      <c r="AE108" s="229">
        <f>AD108</f>
        <v/>
      </c>
      <c r="AF108" s="229">
        <f>AF415</f>
        <v/>
      </c>
      <c r="AG108" s="229">
        <f>AG415</f>
        <v/>
      </c>
      <c r="AH108" s="229">
        <f>AH415</f>
        <v/>
      </c>
    </row>
    <row r="109" ht="8.25" customHeight="1" s="277">
      <c r="A109" s="224" t="n"/>
      <c r="B109" s="225" t="inlineStr">
        <is>
          <t>Salary</t>
        </is>
      </c>
      <c r="C109" s="154" t="n"/>
      <c r="D109" s="154" t="n"/>
      <c r="E109" s="154" t="n"/>
      <c r="F109" s="154">
        <f>F458</f>
        <v/>
      </c>
      <c r="G109" s="154">
        <f>G458</f>
        <v/>
      </c>
      <c r="H109" s="154">
        <f>H458</f>
        <v/>
      </c>
      <c r="I109" s="154">
        <f>I458</f>
        <v/>
      </c>
      <c r="J109" s="154">
        <f>J458</f>
        <v/>
      </c>
      <c r="K109" s="154">
        <f>K458</f>
        <v/>
      </c>
      <c r="L109" s="154">
        <f>L458</f>
        <v/>
      </c>
      <c r="M109" s="154">
        <f>M458</f>
        <v/>
      </c>
      <c r="N109" s="154">
        <f>N458</f>
        <v/>
      </c>
      <c r="O109" s="154">
        <f>O458</f>
        <v/>
      </c>
      <c r="P109" s="154">
        <f>P458</f>
        <v/>
      </c>
      <c r="Q109" s="154">
        <f>Q458</f>
        <v/>
      </c>
      <c r="R109" s="229">
        <f>SUM(F109:Q109)</f>
        <v/>
      </c>
      <c r="S109" s="154">
        <f>S458</f>
        <v/>
      </c>
      <c r="T109" s="154">
        <f>T458</f>
        <v/>
      </c>
      <c r="U109" s="154">
        <f>U458</f>
        <v/>
      </c>
      <c r="V109" s="154">
        <f>V458</f>
        <v/>
      </c>
      <c r="W109" s="154">
        <f>W458</f>
        <v/>
      </c>
      <c r="X109" s="154">
        <f>X458</f>
        <v/>
      </c>
      <c r="Y109" s="154">
        <f>Y458</f>
        <v/>
      </c>
      <c r="Z109" s="154">
        <f>Z458</f>
        <v/>
      </c>
      <c r="AA109" s="154">
        <f>AA458</f>
        <v/>
      </c>
      <c r="AB109" s="154">
        <f>AB458</f>
        <v/>
      </c>
      <c r="AC109" s="154">
        <f>AC458</f>
        <v/>
      </c>
      <c r="AD109" s="154">
        <f>AD458</f>
        <v/>
      </c>
      <c r="AE109" s="229">
        <f>SUM(S109:AD109)</f>
        <v/>
      </c>
      <c r="AF109" s="229">
        <f>AF458</f>
        <v/>
      </c>
      <c r="AG109" s="229">
        <f>AG458</f>
        <v/>
      </c>
      <c r="AH109" s="229">
        <f>AH458</f>
        <v/>
      </c>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f>SUM(F110:Q110)</f>
        <v/>
      </c>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f>SUM(S110:AD110)</f>
        <v/>
      </c>
      <c r="AF110" s="172" t="n">
        <v>0</v>
      </c>
      <c r="AG110" s="172" t="n">
        <v>0</v>
      </c>
      <c r="AH110" s="172" t="n">
        <v>0</v>
      </c>
    </row>
    <row r="111" ht="8.25" customHeight="1" s="277">
      <c r="A111" s="224" t="n"/>
      <c r="B111" s="225" t="inlineStr">
        <is>
          <t>Benefits &amp; Taxes</t>
        </is>
      </c>
      <c r="C111" s="154" t="n"/>
      <c r="D111" s="154" t="n"/>
      <c r="E111" s="154" t="n"/>
      <c r="F111" s="154">
        <f>SUM(F109:F110)*F$482</f>
        <v/>
      </c>
      <c r="G111" s="154">
        <f>SUM(G109:G110)*G$482</f>
        <v/>
      </c>
      <c r="H111" s="154">
        <f>SUM(H109:H110)*H$482</f>
        <v/>
      </c>
      <c r="I111" s="154">
        <f>SUM(I109:I110)*I$482</f>
        <v/>
      </c>
      <c r="J111" s="154">
        <f>SUM(J109:J110)*J$482</f>
        <v/>
      </c>
      <c r="K111" s="154">
        <f>SUM(K109:K110)*K$482</f>
        <v/>
      </c>
      <c r="L111" s="154">
        <f>SUM(L109:L110)*L$482</f>
        <v/>
      </c>
      <c r="M111" s="154">
        <f>SUM(M109:M110)*M$482</f>
        <v/>
      </c>
      <c r="N111" s="154">
        <f>SUM(N109:N110)*N$482</f>
        <v/>
      </c>
      <c r="O111" s="154">
        <f>SUM(O109:O110)*O$482</f>
        <v/>
      </c>
      <c r="P111" s="154">
        <f>SUM(P109:P110)*P$482</f>
        <v/>
      </c>
      <c r="Q111" s="154">
        <f>SUM(Q109:Q110)*Q$482</f>
        <v/>
      </c>
      <c r="R111" s="229">
        <f>SUM(F111:Q111)</f>
        <v/>
      </c>
      <c r="S111" s="154">
        <f>SUM(S109:S110)*S$482</f>
        <v/>
      </c>
      <c r="T111" s="154">
        <f>SUM(T109:T110)*T$482</f>
        <v/>
      </c>
      <c r="U111" s="154">
        <f>SUM(U109:U110)*U$482</f>
        <v/>
      </c>
      <c r="V111" s="154">
        <f>SUM(V109:V110)*V$482</f>
        <v/>
      </c>
      <c r="W111" s="154">
        <f>SUM(W109:W110)*W$482</f>
        <v/>
      </c>
      <c r="X111" s="154">
        <f>SUM(X109:X110)*X$482</f>
        <v/>
      </c>
      <c r="Y111" s="154">
        <f>SUM(Y109:Y110)*Y$482</f>
        <v/>
      </c>
      <c r="Z111" s="154">
        <f>SUM(Z109:Z110)*Z$482</f>
        <v/>
      </c>
      <c r="AA111" s="154">
        <f>SUM(AA109:AA110)*AA$482</f>
        <v/>
      </c>
      <c r="AB111" s="154">
        <f>SUM(AB109:AB110)*AB$482</f>
        <v/>
      </c>
      <c r="AC111" s="154">
        <f>SUM(AC109:AC110)*AC$482</f>
        <v/>
      </c>
      <c r="AD111" s="154">
        <f>SUM(AD109:AD110)*AD$482</f>
        <v/>
      </c>
      <c r="AE111" s="229">
        <f>SUM(S111:AD111)</f>
        <v/>
      </c>
      <c r="AF111" s="229">
        <f>SUM(AF109:AF110)*AF$482</f>
        <v/>
      </c>
      <c r="AG111" s="229">
        <f>SUM(AG109:AG110)*AG$482</f>
        <v/>
      </c>
      <c r="AH111" s="229">
        <f>SUM(AH109:AH110)*AH$482</f>
        <v/>
      </c>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f>SUM(F112:Q112)</f>
        <v/>
      </c>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f>SUM(S112:AD112)</f>
        <v/>
      </c>
      <c r="AF112" s="172" t="n">
        <v>0</v>
      </c>
      <c r="AG112" s="172" t="n">
        <v>0</v>
      </c>
      <c r="AH112" s="172" t="n">
        <v>0</v>
      </c>
    </row>
    <row r="113" ht="8.25" customHeight="1" s="277">
      <c r="A113" s="224" t="n"/>
      <c r="B113" s="225" t="inlineStr">
        <is>
          <t>Supplies/ Materials</t>
        </is>
      </c>
      <c r="C113" s="337">
        <f>Assumptions!E92</f>
        <v/>
      </c>
      <c r="D113" s="154" t="n"/>
      <c r="E113" s="154" t="n"/>
      <c r="F113" s="154">
        <f>$C113*F$108</f>
        <v/>
      </c>
      <c r="G113" s="154">
        <f>$C113*G$108</f>
        <v/>
      </c>
      <c r="H113" s="154">
        <f>$C113*H$108</f>
        <v/>
      </c>
      <c r="I113" s="154">
        <f>$C113*I$108</f>
        <v/>
      </c>
      <c r="J113" s="154">
        <f>$C113*J$108</f>
        <v/>
      </c>
      <c r="K113" s="154">
        <f>$C113*K$108</f>
        <v/>
      </c>
      <c r="L113" s="154">
        <f>$C113*L$108</f>
        <v/>
      </c>
      <c r="M113" s="154">
        <f>$C113*M$108</f>
        <v/>
      </c>
      <c r="N113" s="154">
        <f>$C113*N$108</f>
        <v/>
      </c>
      <c r="O113" s="154">
        <f>$C113*O$108</f>
        <v/>
      </c>
      <c r="P113" s="154">
        <f>$C113*P$108</f>
        <v/>
      </c>
      <c r="Q113" s="154">
        <f>$C113*Q$108</f>
        <v/>
      </c>
      <c r="R113" s="229">
        <f>SUM(F113:Q113)</f>
        <v/>
      </c>
      <c r="S113" s="154">
        <f>$C113*S$108</f>
        <v/>
      </c>
      <c r="T113" s="154">
        <f>$C113*T$108</f>
        <v/>
      </c>
      <c r="U113" s="154">
        <f>$C113*U$108</f>
        <v/>
      </c>
      <c r="V113" s="154">
        <f>$C113*V$108</f>
        <v/>
      </c>
      <c r="W113" s="154">
        <f>$C113*W$108</f>
        <v/>
      </c>
      <c r="X113" s="154">
        <f>$C113*X$108</f>
        <v/>
      </c>
      <c r="Y113" s="154">
        <f>$C113*Y$108</f>
        <v/>
      </c>
      <c r="Z113" s="154">
        <f>$C113*Z$108</f>
        <v/>
      </c>
      <c r="AA113" s="154">
        <f>$C113*AA$108</f>
        <v/>
      </c>
      <c r="AB113" s="154">
        <f>$C113*AB$108</f>
        <v/>
      </c>
      <c r="AC113" s="154">
        <f>$C113*AC$108</f>
        <v/>
      </c>
      <c r="AD113" s="154">
        <f>$C113*AD$108</f>
        <v/>
      </c>
      <c r="AE113" s="229">
        <f>SUM(S113:AD113)</f>
        <v/>
      </c>
      <c r="AF113" s="229">
        <f>$C113*AF$108*12</f>
        <v/>
      </c>
      <c r="AG113" s="229">
        <f>$C113*AG$108*12</f>
        <v/>
      </c>
      <c r="AH113" s="229">
        <f>$C113*AH$108*12</f>
        <v/>
      </c>
    </row>
    <row r="114" ht="8.25" customHeight="1" s="277">
      <c r="A114" s="224" t="n"/>
      <c r="B114" s="225" t="inlineStr">
        <is>
          <t>Travel &amp; Meals</t>
        </is>
      </c>
      <c r="C114" s="337">
        <f>Assumptions!F92</f>
        <v/>
      </c>
      <c r="D114" s="154" t="n"/>
      <c r="E114" s="154" t="n"/>
      <c r="F114" s="154">
        <f>$C114*F$108</f>
        <v/>
      </c>
      <c r="G114" s="154">
        <f>$C114*G$108</f>
        <v/>
      </c>
      <c r="H114" s="154">
        <f>$C114*H$108</f>
        <v/>
      </c>
      <c r="I114" s="154">
        <f>$C114*I$108</f>
        <v/>
      </c>
      <c r="J114" s="154">
        <f>$C114*J$108</f>
        <v/>
      </c>
      <c r="K114" s="154">
        <f>$C114*K$108</f>
        <v/>
      </c>
      <c r="L114" s="154">
        <f>$C114*L$108</f>
        <v/>
      </c>
      <c r="M114" s="154">
        <f>$C114*M$108</f>
        <v/>
      </c>
      <c r="N114" s="154">
        <f>$C114*N$108</f>
        <v/>
      </c>
      <c r="O114" s="154">
        <f>$C114*O$108</f>
        <v/>
      </c>
      <c r="P114" s="154">
        <f>$C114*P$108</f>
        <v/>
      </c>
      <c r="Q114" s="154">
        <f>$C114*Q$108</f>
        <v/>
      </c>
      <c r="R114" s="229">
        <f>SUM(F114:Q114)</f>
        <v/>
      </c>
      <c r="S114" s="154">
        <f>$C114*S$108</f>
        <v/>
      </c>
      <c r="T114" s="154">
        <f>$C114*T$108</f>
        <v/>
      </c>
      <c r="U114" s="154">
        <f>$C114*U$108</f>
        <v/>
      </c>
      <c r="V114" s="154">
        <f>$C114*V$108</f>
        <v/>
      </c>
      <c r="W114" s="154">
        <f>$C114*W$108</f>
        <v/>
      </c>
      <c r="X114" s="154">
        <f>$C114*X$108</f>
        <v/>
      </c>
      <c r="Y114" s="154">
        <f>$C114*Y$108</f>
        <v/>
      </c>
      <c r="Z114" s="154">
        <f>$C114*Z$108</f>
        <v/>
      </c>
      <c r="AA114" s="154">
        <f>$C114*AA$108</f>
        <v/>
      </c>
      <c r="AB114" s="154">
        <f>$C114*AB$108</f>
        <v/>
      </c>
      <c r="AC114" s="154">
        <f>$C114*AC$108</f>
        <v/>
      </c>
      <c r="AD114" s="154">
        <f>$C114*AD$108</f>
        <v/>
      </c>
      <c r="AE114" s="229">
        <f>SUM(S114:AD114)</f>
        <v/>
      </c>
      <c r="AF114" s="229">
        <f>$C114*AF$108*12</f>
        <v/>
      </c>
      <c r="AG114" s="229">
        <f>$C114*AG$108*12</f>
        <v/>
      </c>
      <c r="AH114" s="229">
        <f>$C114*AH$108*12</f>
        <v/>
      </c>
    </row>
    <row r="115" ht="8.25" customHeight="1" s="277">
      <c r="A115" s="224" t="n"/>
      <c r="B115" s="225" t="inlineStr">
        <is>
          <t>Telephone/Postage</t>
        </is>
      </c>
      <c r="C115" s="337">
        <f>Assumptions!G92</f>
        <v/>
      </c>
      <c r="D115" s="154" t="n"/>
      <c r="E115" s="154" t="n"/>
      <c r="F115" s="154">
        <f>$C115*F$108</f>
        <v/>
      </c>
      <c r="G115" s="154">
        <f>$C115*G$108</f>
        <v/>
      </c>
      <c r="H115" s="154">
        <f>$C115*H$108</f>
        <v/>
      </c>
      <c r="I115" s="154">
        <f>$C115*I$108</f>
        <v/>
      </c>
      <c r="J115" s="154">
        <f>$C115*J$108</f>
        <v/>
      </c>
      <c r="K115" s="154">
        <f>$C115*K$108</f>
        <v/>
      </c>
      <c r="L115" s="154">
        <f>$C115*L$108</f>
        <v/>
      </c>
      <c r="M115" s="154">
        <f>$C115*M$108</f>
        <v/>
      </c>
      <c r="N115" s="154">
        <f>$C115*N$108</f>
        <v/>
      </c>
      <c r="O115" s="154">
        <f>$C115*O$108</f>
        <v/>
      </c>
      <c r="P115" s="154">
        <f>$C115*P$108</f>
        <v/>
      </c>
      <c r="Q115" s="154">
        <f>$C115*Q$108</f>
        <v/>
      </c>
      <c r="R115" s="229">
        <f>SUM(F115:Q115)</f>
        <v/>
      </c>
      <c r="S115" s="154">
        <f>$C115*S$108</f>
        <v/>
      </c>
      <c r="T115" s="154">
        <f>$C115*T$108</f>
        <v/>
      </c>
      <c r="U115" s="154">
        <f>$C115*U$108</f>
        <v/>
      </c>
      <c r="V115" s="154">
        <f>$C115*V$108</f>
        <v/>
      </c>
      <c r="W115" s="154">
        <f>$C115*W$108</f>
        <v/>
      </c>
      <c r="X115" s="154">
        <f>$C115*X$108</f>
        <v/>
      </c>
      <c r="Y115" s="154">
        <f>$C115*Y$108</f>
        <v/>
      </c>
      <c r="Z115" s="154">
        <f>$C115*Z$108</f>
        <v/>
      </c>
      <c r="AA115" s="154">
        <f>$C115*AA$108</f>
        <v/>
      </c>
      <c r="AB115" s="154">
        <f>$C115*AB$108</f>
        <v/>
      </c>
      <c r="AC115" s="154">
        <f>$C115*AC$108</f>
        <v/>
      </c>
      <c r="AD115" s="154">
        <f>$C115*AD$108</f>
        <v/>
      </c>
      <c r="AE115" s="229">
        <f>SUM(S115:AD115)</f>
        <v/>
      </c>
      <c r="AF115" s="229">
        <f>$C115*AF$108*12</f>
        <v/>
      </c>
      <c r="AG115" s="229">
        <f>$C115*AG$108*12</f>
        <v/>
      </c>
      <c r="AH115" s="229">
        <f>$C115*AH$108*12</f>
        <v/>
      </c>
    </row>
    <row r="116" ht="8.25" customHeight="1" s="277">
      <c r="A116" s="174" t="n"/>
      <c r="B116" s="225" t="inlineStr">
        <is>
          <t>Operations Setup</t>
        </is>
      </c>
      <c r="C116" s="154" t="n"/>
      <c r="D116" s="154" t="n"/>
      <c r="E116" s="154" t="n"/>
      <c r="F116" s="154">
        <f>F571-F97-F98</f>
        <v/>
      </c>
      <c r="G116" s="154">
        <f>G571-G97-G98</f>
        <v/>
      </c>
      <c r="H116" s="154">
        <f>H571-H97-H98</f>
        <v/>
      </c>
      <c r="I116" s="154">
        <f>I571-I97-I98</f>
        <v/>
      </c>
      <c r="J116" s="154">
        <f>J571-J97-J98</f>
        <v/>
      </c>
      <c r="K116" s="154">
        <f>K571-K97-K98</f>
        <v/>
      </c>
      <c r="L116" s="154">
        <f>L571-L97-L98</f>
        <v/>
      </c>
      <c r="M116" s="154">
        <f>M571-M97-M98</f>
        <v/>
      </c>
      <c r="N116" s="154">
        <f>N571-N97-N98</f>
        <v/>
      </c>
      <c r="O116" s="154">
        <f>O571-O97-O98</f>
        <v/>
      </c>
      <c r="P116" s="154">
        <f>P571-P97-P98</f>
        <v/>
      </c>
      <c r="Q116" s="154">
        <f>Q571-Q97-Q98</f>
        <v/>
      </c>
      <c r="R116" s="229">
        <f>SUM(F116:Q116)</f>
        <v/>
      </c>
      <c r="S116" s="154">
        <f>S571-S97-S98</f>
        <v/>
      </c>
      <c r="T116" s="154">
        <f>T571-T97-T98</f>
        <v/>
      </c>
      <c r="U116" s="154">
        <f>U571-U97-U98</f>
        <v/>
      </c>
      <c r="V116" s="154">
        <f>V571-V97-V98</f>
        <v/>
      </c>
      <c r="W116" s="154">
        <f>W571-W97-W98</f>
        <v/>
      </c>
      <c r="X116" s="154">
        <f>X571-X97-X98</f>
        <v/>
      </c>
      <c r="Y116" s="154">
        <f>Y571-Y97-Y98</f>
        <v/>
      </c>
      <c r="Z116" s="154">
        <f>Z571-Z97-Z98</f>
        <v/>
      </c>
      <c r="AA116" s="154">
        <f>AA571-AA97-AA98</f>
        <v/>
      </c>
      <c r="AB116" s="154">
        <f>AB571-AB97-AB98</f>
        <v/>
      </c>
      <c r="AC116" s="154">
        <f>AC571-AC97-AC98</f>
        <v/>
      </c>
      <c r="AD116" s="154">
        <f>AD571-AD97-AD98</f>
        <v/>
      </c>
      <c r="AE116" s="229">
        <f>SUM(S116:AD116)</f>
        <v/>
      </c>
      <c r="AF116" s="229">
        <f>AF571-AF97-AF98</f>
        <v/>
      </c>
      <c r="AG116" s="229">
        <f>AG571-AG97-AG98</f>
        <v/>
      </c>
      <c r="AH116" s="229">
        <f>AH571-AH97-AH98</f>
        <v/>
      </c>
    </row>
    <row r="117" ht="8.25" customHeight="1" s="277">
      <c r="A117" s="224" t="n"/>
      <c r="B117" s="225" t="inlineStr">
        <is>
          <t>Depreciation</t>
        </is>
      </c>
      <c r="C117" s="154" t="n"/>
      <c r="D117" s="154" t="n"/>
      <c r="E117" s="154" t="n"/>
      <c r="F117" s="154">
        <f>F535</f>
        <v/>
      </c>
      <c r="G117" s="154">
        <f>G535</f>
        <v/>
      </c>
      <c r="H117" s="154">
        <f>H535</f>
        <v/>
      </c>
      <c r="I117" s="154">
        <f>I535</f>
        <v/>
      </c>
      <c r="J117" s="154">
        <f>J535</f>
        <v/>
      </c>
      <c r="K117" s="154">
        <f>K535</f>
        <v/>
      </c>
      <c r="L117" s="154">
        <f>L535</f>
        <v/>
      </c>
      <c r="M117" s="154">
        <f>M535</f>
        <v/>
      </c>
      <c r="N117" s="154">
        <f>N535</f>
        <v/>
      </c>
      <c r="O117" s="154">
        <f>O535</f>
        <v/>
      </c>
      <c r="P117" s="154">
        <f>P535</f>
        <v/>
      </c>
      <c r="Q117" s="154">
        <f>Q535</f>
        <v/>
      </c>
      <c r="R117" s="229">
        <f>SUM(F117:Q117)</f>
        <v/>
      </c>
      <c r="S117" s="154">
        <f>S535</f>
        <v/>
      </c>
      <c r="T117" s="154">
        <f>T535</f>
        <v/>
      </c>
      <c r="U117" s="154">
        <f>U535</f>
        <v/>
      </c>
      <c r="V117" s="154">
        <f>V535</f>
        <v/>
      </c>
      <c r="W117" s="154">
        <f>W535</f>
        <v/>
      </c>
      <c r="X117" s="154">
        <f>X535</f>
        <v/>
      </c>
      <c r="Y117" s="154">
        <f>Y535</f>
        <v/>
      </c>
      <c r="Z117" s="154">
        <f>Z535</f>
        <v/>
      </c>
      <c r="AA117" s="154">
        <f>AA535</f>
        <v/>
      </c>
      <c r="AB117" s="154">
        <f>AB535</f>
        <v/>
      </c>
      <c r="AC117" s="154">
        <f>AC535</f>
        <v/>
      </c>
      <c r="AD117" s="154">
        <f>AD535</f>
        <v/>
      </c>
      <c r="AE117" s="229">
        <f>SUM(S117:AD117)</f>
        <v/>
      </c>
      <c r="AF117" s="229">
        <f>AF535</f>
        <v/>
      </c>
      <c r="AG117" s="229">
        <f>AG535</f>
        <v/>
      </c>
      <c r="AH117" s="229">
        <f>AH535</f>
        <v/>
      </c>
    </row>
    <row r="118" ht="8.25" customHeight="1" s="277">
      <c r="A118" s="139" t="inlineStr">
        <is>
          <t>Total Expenses</t>
        </is>
      </c>
      <c r="B118" s="156" t="n"/>
      <c r="C118" s="228" t="n"/>
      <c r="D118" s="228" t="n"/>
      <c r="E118" s="228" t="n"/>
      <c r="F118" s="228">
        <f>SUM(F109:F117)</f>
        <v/>
      </c>
      <c r="G118" s="228">
        <f>SUM(G109:G117)</f>
        <v/>
      </c>
      <c r="H118" s="228">
        <f>SUM(H109:H117)</f>
        <v/>
      </c>
      <c r="I118" s="228">
        <f>SUM(I109:I117)</f>
        <v/>
      </c>
      <c r="J118" s="228">
        <f>SUM(J109:J117)</f>
        <v/>
      </c>
      <c r="K118" s="228">
        <f>SUM(K109:K117)</f>
        <v/>
      </c>
      <c r="L118" s="228">
        <f>SUM(L109:L117)</f>
        <v/>
      </c>
      <c r="M118" s="228">
        <f>SUM(M109:M117)</f>
        <v/>
      </c>
      <c r="N118" s="228">
        <f>SUM(N109:N117)</f>
        <v/>
      </c>
      <c r="O118" s="228">
        <f>SUM(O109:O117)</f>
        <v/>
      </c>
      <c r="P118" s="228">
        <f>SUM(P109:P117)</f>
        <v/>
      </c>
      <c r="Q118" s="228">
        <f>SUM(Q109:Q117)</f>
        <v/>
      </c>
      <c r="R118" s="158">
        <f>SUM(F118:Q118)</f>
        <v/>
      </c>
      <c r="S118" s="228">
        <f>SUM(S109:S117)</f>
        <v/>
      </c>
      <c r="T118" s="228">
        <f>SUM(T109:T117)</f>
        <v/>
      </c>
      <c r="U118" s="228">
        <f>SUM(U109:U117)</f>
        <v/>
      </c>
      <c r="V118" s="228">
        <f>SUM(V109:V117)</f>
        <v/>
      </c>
      <c r="W118" s="228">
        <f>SUM(W109:W117)</f>
        <v/>
      </c>
      <c r="X118" s="228">
        <f>SUM(X109:X117)</f>
        <v/>
      </c>
      <c r="Y118" s="228">
        <f>SUM(Y109:Y117)</f>
        <v/>
      </c>
      <c r="Z118" s="228">
        <f>SUM(Z109:Z117)</f>
        <v/>
      </c>
      <c r="AA118" s="228">
        <f>SUM(AA109:AA117)</f>
        <v/>
      </c>
      <c r="AB118" s="228">
        <f>SUM(AB109:AB117)</f>
        <v/>
      </c>
      <c r="AC118" s="228">
        <f>SUM(AC109:AC117)</f>
        <v/>
      </c>
      <c r="AD118" s="228">
        <f>SUM(AD109:AD117)</f>
        <v/>
      </c>
      <c r="AE118" s="158">
        <f>SUM(S118:AD118)</f>
        <v/>
      </c>
      <c r="AF118" s="158">
        <f>SUM(AF109:AF117)</f>
        <v/>
      </c>
      <c r="AG118" s="158">
        <f>SUM(AG109:AG117)</f>
        <v/>
      </c>
      <c r="AH118" s="158">
        <f>SUM(AH109:AH117)</f>
        <v/>
      </c>
    </row>
    <row r="119" ht="8.25" customHeight="1" s="277">
      <c r="A119" s="333" t="n"/>
      <c r="B119" s="334" t="inlineStr">
        <is>
          <t>% of Sales</t>
        </is>
      </c>
      <c r="C119" s="154" t="n"/>
      <c r="D119" s="154" t="n"/>
      <c r="E119" s="154" t="n"/>
      <c r="F119" s="335">
        <f>IF(F$93&gt;0,F118/F$93,0)</f>
        <v/>
      </c>
      <c r="G119" s="335">
        <f>IF(G$93&gt;0,G118/G$93,0)</f>
        <v/>
      </c>
      <c r="H119" s="335">
        <f>IF(H$93&gt;0,H118/H$93,0)</f>
        <v/>
      </c>
      <c r="I119" s="335">
        <f>IF(I$93&gt;0,I118/I$93,0)</f>
        <v/>
      </c>
      <c r="J119" s="335">
        <f>IF(J$93&gt;0,J118/J$93,0)</f>
        <v/>
      </c>
      <c r="K119" s="335">
        <f>IF(K$93&gt;0,K118/K$93,0)</f>
        <v/>
      </c>
      <c r="L119" s="335">
        <f>IF(L$93&gt;0,L118/L$93,0)</f>
        <v/>
      </c>
      <c r="M119" s="335">
        <f>IF(M$93&gt;0,M118/M$93,0)</f>
        <v/>
      </c>
      <c r="N119" s="335">
        <f>IF(N$93&gt;0,N118/N$93,0)</f>
        <v/>
      </c>
      <c r="O119" s="335">
        <f>IF(O$93&gt;0,O118/O$93,0)</f>
        <v/>
      </c>
      <c r="P119" s="335">
        <f>IF(P$93&gt;0,P118/P$93,0)</f>
        <v/>
      </c>
      <c r="Q119" s="335">
        <f>IF(Q$93&gt;0,Q118/Q$93,0)</f>
        <v/>
      </c>
      <c r="R119" s="336">
        <f>IF(R$93&gt;0,R118/R$93,0)</f>
        <v/>
      </c>
      <c r="S119" s="335">
        <f>IF(S$93&gt;0,S118/S$93,0)</f>
        <v/>
      </c>
      <c r="T119" s="335">
        <f>IF(T$93&gt;0,T118/T$93,0)</f>
        <v/>
      </c>
      <c r="U119" s="335">
        <f>IF(U$93&gt;0,U118/U$93,0)</f>
        <v/>
      </c>
      <c r="V119" s="335">
        <f>IF(V$93&gt;0,V118/V$93,0)</f>
        <v/>
      </c>
      <c r="W119" s="335">
        <f>IF(W$93&gt;0,W118/W$93,0)</f>
        <v/>
      </c>
      <c r="X119" s="335">
        <f>IF(X$93&gt;0,X118/X$93,0)</f>
        <v/>
      </c>
      <c r="Y119" s="335">
        <f>IF(Y$93&gt;0,Y118/Y$93,0)</f>
        <v/>
      </c>
      <c r="Z119" s="335">
        <f>IF(Z$93&gt;0,Z118/Z$93,0)</f>
        <v/>
      </c>
      <c r="AA119" s="335">
        <f>IF(AA$93&gt;0,AA118/AA$93,0)</f>
        <v/>
      </c>
      <c r="AB119" s="335">
        <f>IF(AB$93&gt;0,AB118/AB$93,0)</f>
        <v/>
      </c>
      <c r="AC119" s="335">
        <f>IF(AC$93&gt;0,AC118/AC$93,0)</f>
        <v/>
      </c>
      <c r="AD119" s="335">
        <f>IF(AD$93&gt;0,AD118/AD$93,0)</f>
        <v/>
      </c>
      <c r="AE119" s="336">
        <f>IF(AE$93&gt;0,AE118/AE$93,0)</f>
        <v/>
      </c>
      <c r="AF119" s="336">
        <f>IF(AF$93&gt;0,AF118/AF$93,0)</f>
        <v/>
      </c>
      <c r="AG119" s="336">
        <f>IF(AG$93&gt;0,AG118/AG$93,0)</f>
        <v/>
      </c>
      <c r="AH119" s="336">
        <f>IF(AH$93&gt;0,AH118/AH$93,0)</f>
        <v/>
      </c>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f>UPPER($A$417)</f>
        <v/>
      </c>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f>F426</f>
        <v/>
      </c>
      <c r="G122" s="154">
        <f>G426</f>
        <v/>
      </c>
      <c r="H122" s="154">
        <f>H426</f>
        <v/>
      </c>
      <c r="I122" s="154">
        <f>I426</f>
        <v/>
      </c>
      <c r="J122" s="154">
        <f>J426</f>
        <v/>
      </c>
      <c r="K122" s="154">
        <f>K426</f>
        <v/>
      </c>
      <c r="L122" s="154">
        <f>L426</f>
        <v/>
      </c>
      <c r="M122" s="154">
        <f>M426</f>
        <v/>
      </c>
      <c r="N122" s="154">
        <f>N426</f>
        <v/>
      </c>
      <c r="O122" s="154">
        <f>O426</f>
        <v/>
      </c>
      <c r="P122" s="154">
        <f>P426</f>
        <v/>
      </c>
      <c r="Q122" s="154">
        <f>Q426</f>
        <v/>
      </c>
      <c r="R122" s="229">
        <f>Q122</f>
        <v/>
      </c>
      <c r="S122" s="154">
        <f>S426</f>
        <v/>
      </c>
      <c r="T122" s="154">
        <f>T426</f>
        <v/>
      </c>
      <c r="U122" s="154">
        <f>U426</f>
        <v/>
      </c>
      <c r="V122" s="154">
        <f>V426</f>
        <v/>
      </c>
      <c r="W122" s="154">
        <f>W426</f>
        <v/>
      </c>
      <c r="X122" s="154">
        <f>X426</f>
        <v/>
      </c>
      <c r="Y122" s="154">
        <f>Y426</f>
        <v/>
      </c>
      <c r="Z122" s="154">
        <f>Z426</f>
        <v/>
      </c>
      <c r="AA122" s="154">
        <f>AA426</f>
        <v/>
      </c>
      <c r="AB122" s="154">
        <f>AB426</f>
        <v/>
      </c>
      <c r="AC122" s="154">
        <f>AC426</f>
        <v/>
      </c>
      <c r="AD122" s="154">
        <f>AD426</f>
        <v/>
      </c>
      <c r="AE122" s="229">
        <f>AD122</f>
        <v/>
      </c>
      <c r="AF122" s="229">
        <f>AF426</f>
        <v/>
      </c>
      <c r="AG122" s="229">
        <f>AG426</f>
        <v/>
      </c>
      <c r="AH122" s="229">
        <f>AH426</f>
        <v/>
      </c>
    </row>
    <row r="123" ht="8.25" customHeight="1" s="277">
      <c r="A123" s="224" t="n"/>
      <c r="B123" s="225" t="inlineStr">
        <is>
          <t>Salary</t>
        </is>
      </c>
      <c r="C123" s="154" t="n"/>
      <c r="D123" s="154" t="n"/>
      <c r="E123" s="154" t="n"/>
      <c r="F123" s="154">
        <f>F469</f>
        <v/>
      </c>
      <c r="G123" s="154">
        <f>G469</f>
        <v/>
      </c>
      <c r="H123" s="154">
        <f>H469</f>
        <v/>
      </c>
      <c r="I123" s="154">
        <f>I469</f>
        <v/>
      </c>
      <c r="J123" s="154">
        <f>J469</f>
        <v/>
      </c>
      <c r="K123" s="154">
        <f>K469</f>
        <v/>
      </c>
      <c r="L123" s="154">
        <f>L469</f>
        <v/>
      </c>
      <c r="M123" s="154">
        <f>M469</f>
        <v/>
      </c>
      <c r="N123" s="154">
        <f>N469</f>
        <v/>
      </c>
      <c r="O123" s="154">
        <f>O469</f>
        <v/>
      </c>
      <c r="P123" s="154">
        <f>P469</f>
        <v/>
      </c>
      <c r="Q123" s="154">
        <f>Q469</f>
        <v/>
      </c>
      <c r="R123" s="229">
        <f>SUM(F123:Q123)</f>
        <v/>
      </c>
      <c r="S123" s="154">
        <f>S469</f>
        <v/>
      </c>
      <c r="T123" s="154">
        <f>T469</f>
        <v/>
      </c>
      <c r="U123" s="154">
        <f>U469</f>
        <v/>
      </c>
      <c r="V123" s="154">
        <f>V469</f>
        <v/>
      </c>
      <c r="W123" s="154">
        <f>W469</f>
        <v/>
      </c>
      <c r="X123" s="154">
        <f>X469</f>
        <v/>
      </c>
      <c r="Y123" s="154">
        <f>Y469</f>
        <v/>
      </c>
      <c r="Z123" s="154">
        <f>Z469</f>
        <v/>
      </c>
      <c r="AA123" s="154">
        <f>AA469</f>
        <v/>
      </c>
      <c r="AB123" s="154">
        <f>AB469</f>
        <v/>
      </c>
      <c r="AC123" s="154">
        <f>AC469</f>
        <v/>
      </c>
      <c r="AD123" s="154">
        <f>AD469</f>
        <v/>
      </c>
      <c r="AE123" s="229">
        <f>SUM(S123:AD123)</f>
        <v/>
      </c>
      <c r="AF123" s="229">
        <f>AF469</f>
        <v/>
      </c>
      <c r="AG123" s="229">
        <f>AG469</f>
        <v/>
      </c>
      <c r="AH123" s="229">
        <f>AH469</f>
        <v/>
      </c>
    </row>
    <row r="124" ht="8.25" customHeight="1" s="277">
      <c r="A124" s="224" t="n"/>
      <c r="B124" s="225" t="inlineStr">
        <is>
          <t>Incentives/Commissions</t>
        </is>
      </c>
      <c r="C124" s="338">
        <f>Assumptions!I106</f>
        <v/>
      </c>
      <c r="D124" s="339">
        <f>Assumptions!I107</f>
        <v/>
      </c>
      <c r="E124" s="154" t="n"/>
      <c r="F124" s="154">
        <f>$C124*F93*$D124</f>
        <v/>
      </c>
      <c r="G124" s="154">
        <f>$C124*G93*$D124</f>
        <v/>
      </c>
      <c r="H124" s="154">
        <f>$C124*H93*$D124</f>
        <v/>
      </c>
      <c r="I124" s="154">
        <f>$C124*I93*$D124</f>
        <v/>
      </c>
      <c r="J124" s="154">
        <f>$C124*J93*$D124</f>
        <v/>
      </c>
      <c r="K124" s="154">
        <f>$C124*K93*$D124</f>
        <v/>
      </c>
      <c r="L124" s="154">
        <f>$C124*L93*$D124</f>
        <v/>
      </c>
      <c r="M124" s="154">
        <f>$C124*M93*$D124</f>
        <v/>
      </c>
      <c r="N124" s="154">
        <f>$C124*N93*$D124</f>
        <v/>
      </c>
      <c r="O124" s="154">
        <f>$C124*O93*$D124</f>
        <v/>
      </c>
      <c r="P124" s="154">
        <f>$C124*P93*$D124</f>
        <v/>
      </c>
      <c r="Q124" s="154">
        <f>$C124*Q93*$D124</f>
        <v/>
      </c>
      <c r="R124" s="229">
        <f>SUM(F124:Q124)</f>
        <v/>
      </c>
      <c r="S124" s="154">
        <f>$C124*S93*$D124</f>
        <v/>
      </c>
      <c r="T124" s="154">
        <f>$C124*T93*$D124</f>
        <v/>
      </c>
      <c r="U124" s="154">
        <f>$C124*U93*$D124</f>
        <v/>
      </c>
      <c r="V124" s="154">
        <f>$C124*V93*$D124</f>
        <v/>
      </c>
      <c r="W124" s="154">
        <f>$C124*W93*$D124</f>
        <v/>
      </c>
      <c r="X124" s="154">
        <f>$C124*X93*$D124</f>
        <v/>
      </c>
      <c r="Y124" s="154">
        <f>$C124*Y93*$D124</f>
        <v/>
      </c>
      <c r="Z124" s="154">
        <f>$C124*Z93*$D124</f>
        <v/>
      </c>
      <c r="AA124" s="154">
        <f>$C124*AA93*$D124</f>
        <v/>
      </c>
      <c r="AB124" s="154">
        <f>$C124*AB93*$D124</f>
        <v/>
      </c>
      <c r="AC124" s="154">
        <f>$C124*AC93*$D124</f>
        <v/>
      </c>
      <c r="AD124" s="154">
        <f>$C124*AD93*$D124</f>
        <v/>
      </c>
      <c r="AE124" s="229">
        <f>SUM(S124:AD124)</f>
        <v/>
      </c>
      <c r="AF124" s="229">
        <f>$C124*AF93*$D124</f>
        <v/>
      </c>
      <c r="AG124" s="229">
        <f>$C124*AG93*$D124</f>
        <v/>
      </c>
      <c r="AH124" s="229">
        <f>$C124*AH93*$D124</f>
        <v/>
      </c>
    </row>
    <row r="125" ht="8.25" customHeight="1" s="277">
      <c r="A125" s="224" t="n"/>
      <c r="B125" s="225" t="inlineStr">
        <is>
          <t>Benefits &amp; Taxes</t>
        </is>
      </c>
      <c r="C125" s="154" t="n"/>
      <c r="D125" s="154" t="n"/>
      <c r="E125" s="154" t="n"/>
      <c r="F125" s="154">
        <f>SUM(F123:F124)*F$482</f>
        <v/>
      </c>
      <c r="G125" s="154">
        <f>SUM(G123:G124)*G$482</f>
        <v/>
      </c>
      <c r="H125" s="154">
        <f>SUM(H123:H124)*H$482</f>
        <v/>
      </c>
      <c r="I125" s="154">
        <f>SUM(I123:I124)*I$482</f>
        <v/>
      </c>
      <c r="J125" s="154">
        <f>SUM(J123:J124)*J$482</f>
        <v/>
      </c>
      <c r="K125" s="154">
        <f>SUM(K123:K124)*K$482</f>
        <v/>
      </c>
      <c r="L125" s="154">
        <f>SUM(L123:L124)*L$482</f>
        <v/>
      </c>
      <c r="M125" s="154">
        <f>SUM(M123:M124)*M$482</f>
        <v/>
      </c>
      <c r="N125" s="154">
        <f>SUM(N123:N124)*N$482</f>
        <v/>
      </c>
      <c r="O125" s="154">
        <f>SUM(O123:O124)*O$482</f>
        <v/>
      </c>
      <c r="P125" s="154">
        <f>SUM(P123:P124)*P$482</f>
        <v/>
      </c>
      <c r="Q125" s="154">
        <f>SUM(Q123:Q124)*Q$482</f>
        <v/>
      </c>
      <c r="R125" s="229">
        <f>SUM(F125:Q125)</f>
        <v/>
      </c>
      <c r="S125" s="154">
        <f>SUM(S123:S124)*S$482</f>
        <v/>
      </c>
      <c r="T125" s="154">
        <f>SUM(T123:T124)*T$482</f>
        <v/>
      </c>
      <c r="U125" s="154">
        <f>SUM(U123:U124)*U$482</f>
        <v/>
      </c>
      <c r="V125" s="154">
        <f>SUM(V123:V124)*V$482</f>
        <v/>
      </c>
      <c r="W125" s="154">
        <f>SUM(W123:W124)*W$482</f>
        <v/>
      </c>
      <c r="X125" s="154">
        <f>SUM(X123:X124)*X$482</f>
        <v/>
      </c>
      <c r="Y125" s="154">
        <f>SUM(Y123:Y124)*Y$482</f>
        <v/>
      </c>
      <c r="Z125" s="154">
        <f>SUM(Z123:Z124)*Z$482</f>
        <v/>
      </c>
      <c r="AA125" s="154">
        <f>SUM(AA123:AA124)*AA$482</f>
        <v/>
      </c>
      <c r="AB125" s="154">
        <f>SUM(AB123:AB124)*AB$482</f>
        <v/>
      </c>
      <c r="AC125" s="154">
        <f>SUM(AC123:AC124)*AC$482</f>
        <v/>
      </c>
      <c r="AD125" s="154">
        <f>SUM(AD123:AD124)*AD$482</f>
        <v/>
      </c>
      <c r="AE125" s="229">
        <f>SUM(S125:AD125)</f>
        <v/>
      </c>
      <c r="AF125" s="229">
        <f>SUM(AF123:AF124)*AF$482</f>
        <v/>
      </c>
      <c r="AG125" s="229">
        <f>SUM(AG123:AG124)*AG$482</f>
        <v/>
      </c>
      <c r="AH125" s="229">
        <f>SUM(AH123:AH124)*AH$482</f>
        <v/>
      </c>
    </row>
    <row r="126" ht="8.25" customHeight="1" s="277">
      <c r="A126" s="224" t="n"/>
      <c r="B126" s="225" t="inlineStr">
        <is>
          <t>Supplies</t>
        </is>
      </c>
      <c r="C126" s="337">
        <f>Assumptions!E93</f>
        <v/>
      </c>
      <c r="D126" s="154" t="n"/>
      <c r="E126" s="154" t="n"/>
      <c r="F126" s="154">
        <f>$C126*F$122</f>
        <v/>
      </c>
      <c r="G126" s="154">
        <f>$C126*G$122</f>
        <v/>
      </c>
      <c r="H126" s="154">
        <f>$C126*H$122</f>
        <v/>
      </c>
      <c r="I126" s="154">
        <f>$C126*I$122</f>
        <v/>
      </c>
      <c r="J126" s="154">
        <f>$C126*J$122</f>
        <v/>
      </c>
      <c r="K126" s="154">
        <f>$C126*K$122</f>
        <v/>
      </c>
      <c r="L126" s="154">
        <f>$C126*L$122</f>
        <v/>
      </c>
      <c r="M126" s="154">
        <f>$C126*M$122</f>
        <v/>
      </c>
      <c r="N126" s="154">
        <f>$C126*N$122</f>
        <v/>
      </c>
      <c r="O126" s="154">
        <f>$C126*O$122</f>
        <v/>
      </c>
      <c r="P126" s="154">
        <f>$C126*P$122</f>
        <v/>
      </c>
      <c r="Q126" s="154">
        <f>$C126*Q$122</f>
        <v/>
      </c>
      <c r="R126" s="229">
        <f>SUM(F126:Q126)</f>
        <v/>
      </c>
      <c r="S126" s="154">
        <f>$C126*S$122</f>
        <v/>
      </c>
      <c r="T126" s="154">
        <f>$C126*T$122</f>
        <v/>
      </c>
      <c r="U126" s="154">
        <f>$C126*U$122</f>
        <v/>
      </c>
      <c r="V126" s="154">
        <f>$C126*V$122</f>
        <v/>
      </c>
      <c r="W126" s="154">
        <f>$C126*W$122</f>
        <v/>
      </c>
      <c r="X126" s="154">
        <f>$C126*X$122</f>
        <v/>
      </c>
      <c r="Y126" s="154">
        <f>$C126*Y$122</f>
        <v/>
      </c>
      <c r="Z126" s="154">
        <f>$C126*Z$122</f>
        <v/>
      </c>
      <c r="AA126" s="154">
        <f>$C126*AA$122</f>
        <v/>
      </c>
      <c r="AB126" s="154">
        <f>$C126*AB$122</f>
        <v/>
      </c>
      <c r="AC126" s="154">
        <f>$C126*AC$122</f>
        <v/>
      </c>
      <c r="AD126" s="154">
        <f>$C126*AD$122</f>
        <v/>
      </c>
      <c r="AE126" s="229">
        <f>SUM(S126:AD126)</f>
        <v/>
      </c>
      <c r="AF126" s="229">
        <f>$C126*AF$122*12</f>
        <v/>
      </c>
      <c r="AG126" s="229">
        <f>$C126*AG$122*12</f>
        <v/>
      </c>
      <c r="AH126" s="229">
        <f>$C126*AH$122*12</f>
        <v/>
      </c>
    </row>
    <row r="127" ht="8.25" customHeight="1" s="277">
      <c r="A127" s="224" t="n"/>
      <c r="B127" s="225" t="inlineStr">
        <is>
          <t>Travel &amp; Meals</t>
        </is>
      </c>
      <c r="C127" s="337">
        <f>Assumptions!F93</f>
        <v/>
      </c>
      <c r="D127" s="154" t="n"/>
      <c r="E127" s="154" t="n"/>
      <c r="F127" s="154">
        <f>$C127*F$122</f>
        <v/>
      </c>
      <c r="G127" s="154">
        <f>$C127*G$122</f>
        <v/>
      </c>
      <c r="H127" s="154">
        <f>$C127*H$122</f>
        <v/>
      </c>
      <c r="I127" s="154">
        <f>$C127*I$122</f>
        <v/>
      </c>
      <c r="J127" s="154">
        <f>$C127*J$122</f>
        <v/>
      </c>
      <c r="K127" s="154">
        <f>$C127*K$122</f>
        <v/>
      </c>
      <c r="L127" s="154">
        <f>$C127*L$122</f>
        <v/>
      </c>
      <c r="M127" s="154">
        <f>$C127*M$122</f>
        <v/>
      </c>
      <c r="N127" s="154">
        <f>$C127*N$122</f>
        <v/>
      </c>
      <c r="O127" s="154">
        <f>$C127*O$122</f>
        <v/>
      </c>
      <c r="P127" s="154">
        <f>$C127*P$122</f>
        <v/>
      </c>
      <c r="Q127" s="154">
        <f>$C127*Q$122</f>
        <v/>
      </c>
      <c r="R127" s="229">
        <f>SUM(F127:Q127)</f>
        <v/>
      </c>
      <c r="S127" s="154">
        <f>$C127*S$122</f>
        <v/>
      </c>
      <c r="T127" s="154">
        <f>$C127*T$122</f>
        <v/>
      </c>
      <c r="U127" s="154">
        <f>$C127*U$122</f>
        <v/>
      </c>
      <c r="V127" s="154">
        <f>$C127*V$122</f>
        <v/>
      </c>
      <c r="W127" s="154">
        <f>$C127*W$122</f>
        <v/>
      </c>
      <c r="X127" s="154">
        <f>$C127*X$122</f>
        <v/>
      </c>
      <c r="Y127" s="154">
        <f>$C127*Y$122</f>
        <v/>
      </c>
      <c r="Z127" s="154">
        <f>$C127*Z$122</f>
        <v/>
      </c>
      <c r="AA127" s="154">
        <f>$C127*AA$122</f>
        <v/>
      </c>
      <c r="AB127" s="154">
        <f>$C127*AB$122</f>
        <v/>
      </c>
      <c r="AC127" s="154">
        <f>$C127*AC$122</f>
        <v/>
      </c>
      <c r="AD127" s="154">
        <f>$C127*AD$122</f>
        <v/>
      </c>
      <c r="AE127" s="229">
        <f>SUM(S127:AD127)</f>
        <v/>
      </c>
      <c r="AF127" s="229">
        <f>$C127*AF$122*12</f>
        <v/>
      </c>
      <c r="AG127" s="229">
        <f>$C127*AG$122*12</f>
        <v/>
      </c>
      <c r="AH127" s="229">
        <f>$C127*AH$122*12</f>
        <v/>
      </c>
    </row>
    <row r="128" ht="8.25" customHeight="1" s="277">
      <c r="A128" s="224" t="n"/>
      <c r="B128" s="225" t="inlineStr">
        <is>
          <t>Telephone/Postage</t>
        </is>
      </c>
      <c r="C128" s="337">
        <f>Assumptions!G93</f>
        <v/>
      </c>
      <c r="D128" s="154" t="n"/>
      <c r="E128" s="154" t="n"/>
      <c r="F128" s="154">
        <f>$C128*F$122</f>
        <v/>
      </c>
      <c r="G128" s="154">
        <f>$C128*G$122</f>
        <v/>
      </c>
      <c r="H128" s="154">
        <f>$C128*H$122</f>
        <v/>
      </c>
      <c r="I128" s="154">
        <f>$C128*I$122</f>
        <v/>
      </c>
      <c r="J128" s="154">
        <f>$C128*J$122</f>
        <v/>
      </c>
      <c r="K128" s="154">
        <f>$C128*K$122</f>
        <v/>
      </c>
      <c r="L128" s="154">
        <f>$C128*L$122</f>
        <v/>
      </c>
      <c r="M128" s="154">
        <f>$C128*M$122</f>
        <v/>
      </c>
      <c r="N128" s="154">
        <f>$C128*N$122</f>
        <v/>
      </c>
      <c r="O128" s="154">
        <f>$C128*O$122</f>
        <v/>
      </c>
      <c r="P128" s="154">
        <f>$C128*P$122</f>
        <v/>
      </c>
      <c r="Q128" s="154">
        <f>$C128*Q$122</f>
        <v/>
      </c>
      <c r="R128" s="229">
        <f>SUM(F128:Q128)</f>
        <v/>
      </c>
      <c r="S128" s="154">
        <f>$C128*S$122</f>
        <v/>
      </c>
      <c r="T128" s="154">
        <f>$C128*T$122</f>
        <v/>
      </c>
      <c r="U128" s="154">
        <f>$C128*U$122</f>
        <v/>
      </c>
      <c r="V128" s="154">
        <f>$C128*V$122</f>
        <v/>
      </c>
      <c r="W128" s="154">
        <f>$C128*W$122</f>
        <v/>
      </c>
      <c r="X128" s="154">
        <f>$C128*X$122</f>
        <v/>
      </c>
      <c r="Y128" s="154">
        <f>$C128*Y$122</f>
        <v/>
      </c>
      <c r="Z128" s="154">
        <f>$C128*Z$122</f>
        <v/>
      </c>
      <c r="AA128" s="154">
        <f>$C128*AA$122</f>
        <v/>
      </c>
      <c r="AB128" s="154">
        <f>$C128*AB$122</f>
        <v/>
      </c>
      <c r="AC128" s="154">
        <f>$C128*AC$122</f>
        <v/>
      </c>
      <c r="AD128" s="154">
        <f>$C128*AD$122</f>
        <v/>
      </c>
      <c r="AE128" s="229">
        <f>SUM(S128:AD128)</f>
        <v/>
      </c>
      <c r="AF128" s="229">
        <f>$C128*AF$122*12</f>
        <v/>
      </c>
      <c r="AG128" s="229">
        <f>$C128*AG$122*12</f>
        <v/>
      </c>
      <c r="AH128" s="229">
        <f>$C128*AH$122*12</f>
        <v/>
      </c>
    </row>
    <row r="129" ht="8.25" customHeight="1" s="277">
      <c r="A129" s="224" t="n"/>
      <c r="B129" s="225" t="inlineStr">
        <is>
          <t>Depreciation</t>
        </is>
      </c>
      <c r="C129" s="154" t="n"/>
      <c r="D129" s="154" t="n"/>
      <c r="E129" s="154" t="n"/>
      <c r="F129" s="154">
        <f>F541</f>
        <v/>
      </c>
      <c r="G129" s="154">
        <f>G541</f>
        <v/>
      </c>
      <c r="H129" s="154">
        <f>H541</f>
        <v/>
      </c>
      <c r="I129" s="154">
        <f>I541</f>
        <v/>
      </c>
      <c r="J129" s="154">
        <f>J541</f>
        <v/>
      </c>
      <c r="K129" s="154">
        <f>K541</f>
        <v/>
      </c>
      <c r="L129" s="154">
        <f>L541</f>
        <v/>
      </c>
      <c r="M129" s="154">
        <f>M541</f>
        <v/>
      </c>
      <c r="N129" s="154">
        <f>N541</f>
        <v/>
      </c>
      <c r="O129" s="154">
        <f>O541</f>
        <v/>
      </c>
      <c r="P129" s="154">
        <f>P541</f>
        <v/>
      </c>
      <c r="Q129" s="154">
        <f>Q541</f>
        <v/>
      </c>
      <c r="R129" s="229">
        <f>SUM(F129:Q129)</f>
        <v/>
      </c>
      <c r="S129" s="154">
        <f>S541</f>
        <v/>
      </c>
      <c r="T129" s="154">
        <f>T541</f>
        <v/>
      </c>
      <c r="U129" s="154">
        <f>U541</f>
        <v/>
      </c>
      <c r="V129" s="154">
        <f>V541</f>
        <v/>
      </c>
      <c r="W129" s="154">
        <f>W541</f>
        <v/>
      </c>
      <c r="X129" s="154">
        <f>X541</f>
        <v/>
      </c>
      <c r="Y129" s="154">
        <f>Y541</f>
        <v/>
      </c>
      <c r="Z129" s="154">
        <f>Z541</f>
        <v/>
      </c>
      <c r="AA129" s="154">
        <f>AA541</f>
        <v/>
      </c>
      <c r="AB129" s="154">
        <f>AB541</f>
        <v/>
      </c>
      <c r="AC129" s="154">
        <f>AC541</f>
        <v/>
      </c>
      <c r="AD129" s="154">
        <f>AD541</f>
        <v/>
      </c>
      <c r="AE129" s="229">
        <f>SUM(S129:AD129)</f>
        <v/>
      </c>
      <c r="AF129" s="229">
        <f>AF541</f>
        <v/>
      </c>
      <c r="AG129" s="229">
        <f>AG541</f>
        <v/>
      </c>
      <c r="AH129" s="229">
        <f>AH541</f>
        <v/>
      </c>
    </row>
    <row r="130" ht="8.25" customHeight="1" s="277">
      <c r="A130" s="139" t="inlineStr">
        <is>
          <t>Total Expenses</t>
        </is>
      </c>
      <c r="B130" s="156" t="n"/>
      <c r="C130" s="228" t="n"/>
      <c r="D130" s="228" t="n"/>
      <c r="E130" s="228" t="n"/>
      <c r="F130" s="228">
        <f>SUM(F123:F129)</f>
        <v/>
      </c>
      <c r="G130" s="228">
        <f>SUM(G123:G129)</f>
        <v/>
      </c>
      <c r="H130" s="228">
        <f>SUM(H123:H129)</f>
        <v/>
      </c>
      <c r="I130" s="228">
        <f>SUM(I123:I129)</f>
        <v/>
      </c>
      <c r="J130" s="228">
        <f>SUM(J123:J129)</f>
        <v/>
      </c>
      <c r="K130" s="228">
        <f>SUM(K123:K129)</f>
        <v/>
      </c>
      <c r="L130" s="228">
        <f>SUM(L123:L129)</f>
        <v/>
      </c>
      <c r="M130" s="228">
        <f>SUM(M123:M129)</f>
        <v/>
      </c>
      <c r="N130" s="228">
        <f>SUM(N123:N129)</f>
        <v/>
      </c>
      <c r="O130" s="228">
        <f>SUM(O123:O129)</f>
        <v/>
      </c>
      <c r="P130" s="228">
        <f>SUM(P123:P129)</f>
        <v/>
      </c>
      <c r="Q130" s="228">
        <f>SUM(Q123:Q129)</f>
        <v/>
      </c>
      <c r="R130" s="158">
        <f>SUM(F130:Q130)</f>
        <v/>
      </c>
      <c r="S130" s="228">
        <f>SUM(S123:S129)</f>
        <v/>
      </c>
      <c r="T130" s="228">
        <f>SUM(T123:T129)</f>
        <v/>
      </c>
      <c r="U130" s="228">
        <f>SUM(U123:U129)</f>
        <v/>
      </c>
      <c r="V130" s="228">
        <f>SUM(V123:V129)</f>
        <v/>
      </c>
      <c r="W130" s="228">
        <f>SUM(W123:W129)</f>
        <v/>
      </c>
      <c r="X130" s="228">
        <f>SUM(X123:X129)</f>
        <v/>
      </c>
      <c r="Y130" s="228">
        <f>SUM(Y123:Y129)</f>
        <v/>
      </c>
      <c r="Z130" s="228">
        <f>SUM(Z123:Z129)</f>
        <v/>
      </c>
      <c r="AA130" s="228">
        <f>SUM(AA123:AA129)</f>
        <v/>
      </c>
      <c r="AB130" s="228">
        <f>SUM(AB123:AB129)</f>
        <v/>
      </c>
      <c r="AC130" s="228">
        <f>SUM(AC123:AC129)</f>
        <v/>
      </c>
      <c r="AD130" s="228">
        <f>SUM(AD123:AD129)</f>
        <v/>
      </c>
      <c r="AE130" s="158">
        <f>SUM(S130:AD130)</f>
        <v/>
      </c>
      <c r="AF130" s="158">
        <f>SUM(AF123:AF129)</f>
        <v/>
      </c>
      <c r="AG130" s="158">
        <f>SUM(AG123:AG129)</f>
        <v/>
      </c>
      <c r="AH130" s="158">
        <f>SUM(AH123:AH129)</f>
        <v/>
      </c>
    </row>
    <row r="131" ht="9" customHeight="1" s="277">
      <c r="A131" s="333" t="n"/>
      <c r="B131" s="334" t="inlineStr">
        <is>
          <t>% of Sales</t>
        </is>
      </c>
      <c r="C131" s="154" t="n"/>
      <c r="D131" s="154" t="n"/>
      <c r="E131" s="154" t="n"/>
      <c r="F131" s="335">
        <f>IF(F$93&gt;0,F130/F$93,0)</f>
        <v/>
      </c>
      <c r="G131" s="335">
        <f>IF(G$93&gt;0,G130/G$93,0)</f>
        <v/>
      </c>
      <c r="H131" s="335">
        <f>IF(H$93&gt;0,H130/H$93,0)</f>
        <v/>
      </c>
      <c r="I131" s="335">
        <f>IF(I$93&gt;0,I130/I$93,0)</f>
        <v/>
      </c>
      <c r="J131" s="335">
        <f>IF(J$93&gt;0,J130/J$93,0)</f>
        <v/>
      </c>
      <c r="K131" s="335">
        <f>IF(K$93&gt;0,K130/K$93,0)</f>
        <v/>
      </c>
      <c r="L131" s="335">
        <f>IF(L$93&gt;0,L130/L$93,0)</f>
        <v/>
      </c>
      <c r="M131" s="335">
        <f>IF(M$93&gt;0,M130/M$93,0)</f>
        <v/>
      </c>
      <c r="N131" s="335">
        <f>IF(N$93&gt;0,N130/N$93,0)</f>
        <v/>
      </c>
      <c r="O131" s="335">
        <f>IF(O$93&gt;0,O130/O$93,0)</f>
        <v/>
      </c>
      <c r="P131" s="335">
        <f>IF(P$93&gt;0,P130/P$93,0)</f>
        <v/>
      </c>
      <c r="Q131" s="335">
        <f>IF(Q$93&gt;0,Q130/Q$93,0)</f>
        <v/>
      </c>
      <c r="R131" s="336">
        <f>IF(R$93&gt;0,R130/R$93,0)</f>
        <v/>
      </c>
      <c r="S131" s="335">
        <f>IF(S$93&gt;0,S130/S$93,0)</f>
        <v/>
      </c>
      <c r="T131" s="335">
        <f>IF(T$93&gt;0,T130/T$93,0)</f>
        <v/>
      </c>
      <c r="U131" s="335">
        <f>IF(U$93&gt;0,U130/U$93,0)</f>
        <v/>
      </c>
      <c r="V131" s="335">
        <f>IF(V$93&gt;0,V130/V$93,0)</f>
        <v/>
      </c>
      <c r="W131" s="335">
        <f>IF(W$93&gt;0,W130/W$93,0)</f>
        <v/>
      </c>
      <c r="X131" s="335">
        <f>IF(X$93&gt;0,X130/X$93,0)</f>
        <v/>
      </c>
      <c r="Y131" s="335">
        <f>IF(Y$93&gt;0,Y130/Y$93,0)</f>
        <v/>
      </c>
      <c r="Z131" s="335">
        <f>IF(Z$93&gt;0,Z130/Z$93,0)</f>
        <v/>
      </c>
      <c r="AA131" s="335">
        <f>IF(AA$93&gt;0,AA130/AA$93,0)</f>
        <v/>
      </c>
      <c r="AB131" s="335">
        <f>IF(AB$93&gt;0,AB130/AB$93,0)</f>
        <v/>
      </c>
      <c r="AC131" s="335">
        <f>IF(AC$93&gt;0,AC130/AC$93,0)</f>
        <v/>
      </c>
      <c r="AD131" s="335">
        <f>IF(AD$93&gt;0,AD130/AD$93,0)</f>
        <v/>
      </c>
      <c r="AE131" s="336">
        <f>IF(AE$93&gt;0,AE130/AE$93,0)</f>
        <v/>
      </c>
      <c r="AF131" s="336">
        <f>IF(AF$93&gt;0,AF130/AF$93,0)</f>
        <v/>
      </c>
      <c r="AG131" s="336">
        <f>IF(AG$93&gt;0,AG130/AG$93,0)</f>
        <v/>
      </c>
      <c r="AH131" s="336">
        <f>IF(AH$93&gt;0,AH130/AH$93,0)</f>
        <v/>
      </c>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f>$A$1</f>
        <v/>
      </c>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f>NOW()</f>
        <v/>
      </c>
      <c r="C134" s="228" t="n"/>
      <c r="D134" s="228" t="n"/>
      <c r="E134" s="228" t="n"/>
      <c r="F134" s="142">
        <f>F$7</f>
        <v/>
      </c>
      <c r="G134" s="142">
        <f>G$7</f>
        <v/>
      </c>
      <c r="H134" s="142">
        <f>H$7</f>
        <v/>
      </c>
      <c r="I134" s="142">
        <f>I$7</f>
        <v/>
      </c>
      <c r="J134" s="142">
        <f>J$7</f>
        <v/>
      </c>
      <c r="K134" s="142">
        <f>K$7</f>
        <v/>
      </c>
      <c r="L134" s="142">
        <f>L$7</f>
        <v/>
      </c>
      <c r="M134" s="142">
        <f>M$7</f>
        <v/>
      </c>
      <c r="N134" s="142">
        <f>N$7</f>
        <v/>
      </c>
      <c r="O134" s="142">
        <f>O$7</f>
        <v/>
      </c>
      <c r="P134" s="142">
        <f>P$7</f>
        <v/>
      </c>
      <c r="Q134" s="142">
        <f>Q$7</f>
        <v/>
      </c>
      <c r="R134" s="143" t="inlineStr">
        <is>
          <t>Total</t>
        </is>
      </c>
      <c r="S134" s="142">
        <f>S$7</f>
        <v/>
      </c>
      <c r="T134" s="142">
        <f>T$7</f>
        <v/>
      </c>
      <c r="U134" s="142">
        <f>U$7</f>
        <v/>
      </c>
      <c r="V134" s="142">
        <f>V$7</f>
        <v/>
      </c>
      <c r="W134" s="142">
        <f>W$7</f>
        <v/>
      </c>
      <c r="X134" s="142">
        <f>X$7</f>
        <v/>
      </c>
      <c r="Y134" s="142">
        <f>Y$7</f>
        <v/>
      </c>
      <c r="Z134" s="142">
        <f>Z$7</f>
        <v/>
      </c>
      <c r="AA134" s="142">
        <f>AA$7</f>
        <v/>
      </c>
      <c r="AB134" s="142">
        <f>AB$7</f>
        <v/>
      </c>
      <c r="AC134" s="142">
        <f>AC$7</f>
        <v/>
      </c>
      <c r="AD134" s="142">
        <f>AD$7</f>
        <v/>
      </c>
      <c r="AE134" s="143" t="inlineStr">
        <is>
          <t>Total</t>
        </is>
      </c>
      <c r="AF134" s="143">
        <f>AF$7</f>
        <v/>
      </c>
      <c r="AG134" s="143">
        <f>AG$7</f>
        <v/>
      </c>
      <c r="AH134" s="143">
        <f>AH$7</f>
        <v/>
      </c>
    </row>
    <row r="135" ht="8.25" customHeight="1" s="277">
      <c r="A135" s="328" t="n"/>
      <c r="B135" s="329">
        <f>NOW()</f>
        <v/>
      </c>
      <c r="C135" s="330" t="n"/>
      <c r="D135" s="330" t="n"/>
      <c r="E135" s="330" t="n"/>
      <c r="F135" s="324">
        <f>F$1</f>
        <v/>
      </c>
      <c r="G135" s="324">
        <f>G$1</f>
        <v/>
      </c>
      <c r="H135" s="324">
        <f>H$1</f>
        <v/>
      </c>
      <c r="I135" s="324">
        <f>I$1</f>
        <v/>
      </c>
      <c r="J135" s="324">
        <f>J$1</f>
        <v/>
      </c>
      <c r="K135" s="324">
        <f>K$1</f>
        <v/>
      </c>
      <c r="L135" s="324">
        <f>L$1</f>
        <v/>
      </c>
      <c r="M135" s="324">
        <f>M$1</f>
        <v/>
      </c>
      <c r="N135" s="324">
        <f>N$1</f>
        <v/>
      </c>
      <c r="O135" s="324">
        <f>O$1</f>
        <v/>
      </c>
      <c r="P135" s="324">
        <f>P$1</f>
        <v/>
      </c>
      <c r="Q135" s="324">
        <f>Q$1</f>
        <v/>
      </c>
      <c r="R135" s="325">
        <f>R$1</f>
        <v/>
      </c>
      <c r="S135" s="324">
        <f>S$1</f>
        <v/>
      </c>
      <c r="T135" s="324">
        <f>T$1</f>
        <v/>
      </c>
      <c r="U135" s="324">
        <f>U$1</f>
        <v/>
      </c>
      <c r="V135" s="324">
        <f>V$1</f>
        <v/>
      </c>
      <c r="W135" s="324">
        <f>W$1</f>
        <v/>
      </c>
      <c r="X135" s="324">
        <f>X$1</f>
        <v/>
      </c>
      <c r="Y135" s="324">
        <f>Y$1</f>
        <v/>
      </c>
      <c r="Z135" s="324">
        <f>Z$1</f>
        <v/>
      </c>
      <c r="AA135" s="324">
        <f>AA$1</f>
        <v/>
      </c>
      <c r="AB135" s="324">
        <f>AB$1</f>
        <v/>
      </c>
      <c r="AC135" s="324">
        <f>AC$1</f>
        <v/>
      </c>
      <c r="AD135" s="324">
        <f>AD$1</f>
        <v/>
      </c>
      <c r="AE135" s="325">
        <f>AE$1</f>
        <v/>
      </c>
      <c r="AF135" s="325">
        <f>AF$1</f>
        <v/>
      </c>
      <c r="AG135" s="325">
        <f>AG$1</f>
        <v/>
      </c>
      <c r="AH135" s="325">
        <f>AH$1</f>
        <v/>
      </c>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f>F138</f>
        <v/>
      </c>
      <c r="H138" s="171">
        <f>G138</f>
        <v/>
      </c>
      <c r="I138" s="171">
        <f>H138</f>
        <v/>
      </c>
      <c r="J138" s="171">
        <f>I138</f>
        <v/>
      </c>
      <c r="K138" s="171">
        <f>J138</f>
        <v/>
      </c>
      <c r="L138" s="171">
        <f>K138</f>
        <v/>
      </c>
      <c r="M138" s="171">
        <f>L138</f>
        <v/>
      </c>
      <c r="N138" s="171">
        <f>M138</f>
        <v/>
      </c>
      <c r="O138" s="171">
        <f>N138</f>
        <v/>
      </c>
      <c r="P138" s="171">
        <f>O138</f>
        <v/>
      </c>
      <c r="Q138" s="171">
        <f>P138</f>
        <v/>
      </c>
      <c r="R138" s="177">
        <f>SUM(F138:Q138)</f>
        <v/>
      </c>
      <c r="S138" s="171">
        <f>Q138</f>
        <v/>
      </c>
      <c r="T138" s="171">
        <f>S138</f>
        <v/>
      </c>
      <c r="U138" s="171">
        <f>T138</f>
        <v/>
      </c>
      <c r="V138" s="171">
        <f>U138</f>
        <v/>
      </c>
      <c r="W138" s="171">
        <f>V138</f>
        <v/>
      </c>
      <c r="X138" s="171">
        <f>W138</f>
        <v/>
      </c>
      <c r="Y138" s="171">
        <f>X138</f>
        <v/>
      </c>
      <c r="Z138" s="171">
        <f>Y138</f>
        <v/>
      </c>
      <c r="AA138" s="171">
        <f>Z138</f>
        <v/>
      </c>
      <c r="AB138" s="171">
        <f>AA138</f>
        <v/>
      </c>
      <c r="AC138" s="171">
        <f>AB138</f>
        <v/>
      </c>
      <c r="AD138" s="171">
        <f>AC138</f>
        <v/>
      </c>
      <c r="AE138" s="177">
        <f>SUM(S138:AD138)</f>
        <v/>
      </c>
      <c r="AF138" s="172">
        <f>AE138</f>
        <v/>
      </c>
      <c r="AG138" s="172">
        <f>AF138</f>
        <v/>
      </c>
      <c r="AH138" s="172">
        <f>AG138</f>
        <v/>
      </c>
    </row>
    <row r="139" ht="8.25" customHeight="1" s="277">
      <c r="A139" s="224" t="n"/>
      <c r="B139" s="225" t="inlineStr">
        <is>
          <t>Trade Shows</t>
        </is>
      </c>
      <c r="C139" s="154" t="n"/>
      <c r="D139" s="154" t="n"/>
      <c r="E139" s="154" t="n"/>
      <c r="F139" s="171" t="n">
        <v>0</v>
      </c>
      <c r="G139" s="171">
        <f>F139</f>
        <v/>
      </c>
      <c r="H139" s="171">
        <f>G139</f>
        <v/>
      </c>
      <c r="I139" s="171">
        <f>H139</f>
        <v/>
      </c>
      <c r="J139" s="171">
        <f>I139</f>
        <v/>
      </c>
      <c r="K139" s="171">
        <f>J139</f>
        <v/>
      </c>
      <c r="L139" s="171">
        <f>K139</f>
        <v/>
      </c>
      <c r="M139" s="171">
        <f>L139</f>
        <v/>
      </c>
      <c r="N139" s="171">
        <f>M139</f>
        <v/>
      </c>
      <c r="O139" s="171">
        <f>N139</f>
        <v/>
      </c>
      <c r="P139" s="171">
        <f>O139</f>
        <v/>
      </c>
      <c r="Q139" s="171">
        <f>P139</f>
        <v/>
      </c>
      <c r="R139" s="177">
        <f>SUM(F139:Q139)</f>
        <v/>
      </c>
      <c r="S139" s="171">
        <f>Q139</f>
        <v/>
      </c>
      <c r="T139" s="171">
        <f>S139</f>
        <v/>
      </c>
      <c r="U139" s="171">
        <f>T139</f>
        <v/>
      </c>
      <c r="V139" s="171">
        <f>U139</f>
        <v/>
      </c>
      <c r="W139" s="171">
        <f>V139</f>
        <v/>
      </c>
      <c r="X139" s="171">
        <f>W139</f>
        <v/>
      </c>
      <c r="Y139" s="171">
        <f>X139</f>
        <v/>
      </c>
      <c r="Z139" s="171">
        <f>Y139</f>
        <v/>
      </c>
      <c r="AA139" s="171">
        <f>Z139</f>
        <v/>
      </c>
      <c r="AB139" s="171">
        <f>AA139</f>
        <v/>
      </c>
      <c r="AC139" s="171">
        <f>AB139</f>
        <v/>
      </c>
      <c r="AD139" s="171">
        <f>AC139</f>
        <v/>
      </c>
      <c r="AE139" s="177">
        <f>SUM(S139:AD139)</f>
        <v/>
      </c>
      <c r="AF139" s="172">
        <f>AE139</f>
        <v/>
      </c>
      <c r="AG139" s="172">
        <f>AF139</f>
        <v/>
      </c>
      <c r="AH139" s="172">
        <f>AG139</f>
        <v/>
      </c>
    </row>
    <row r="140" ht="8.25" customHeight="1" s="277">
      <c r="A140" s="224" t="n"/>
      <c r="B140" s="225" t="inlineStr">
        <is>
          <t>Collateral</t>
        </is>
      </c>
      <c r="C140" s="154" t="n"/>
      <c r="D140" s="154" t="n"/>
      <c r="E140" s="154" t="n"/>
      <c r="F140" s="171" t="n">
        <v>0</v>
      </c>
      <c r="G140" s="171">
        <f>F140</f>
        <v/>
      </c>
      <c r="H140" s="171">
        <f>G140</f>
        <v/>
      </c>
      <c r="I140" s="171">
        <f>H140</f>
        <v/>
      </c>
      <c r="J140" s="171">
        <f>I140</f>
        <v/>
      </c>
      <c r="K140" s="171">
        <f>J140</f>
        <v/>
      </c>
      <c r="L140" s="171">
        <f>K140</f>
        <v/>
      </c>
      <c r="M140" s="171">
        <f>L140</f>
        <v/>
      </c>
      <c r="N140" s="171">
        <f>M140</f>
        <v/>
      </c>
      <c r="O140" s="171">
        <f>N140</f>
        <v/>
      </c>
      <c r="P140" s="171">
        <f>O140</f>
        <v/>
      </c>
      <c r="Q140" s="171">
        <f>P140</f>
        <v/>
      </c>
      <c r="R140" s="177">
        <f>SUM(F140:Q140)</f>
        <v/>
      </c>
      <c r="S140" s="171">
        <f>Q140</f>
        <v/>
      </c>
      <c r="T140" s="171">
        <f>S140</f>
        <v/>
      </c>
      <c r="U140" s="171">
        <f>T140</f>
        <v/>
      </c>
      <c r="V140" s="171">
        <f>U140</f>
        <v/>
      </c>
      <c r="W140" s="171">
        <f>V140</f>
        <v/>
      </c>
      <c r="X140" s="171">
        <f>W140</f>
        <v/>
      </c>
      <c r="Y140" s="171">
        <f>X140</f>
        <v/>
      </c>
      <c r="Z140" s="171">
        <f>Y140</f>
        <v/>
      </c>
      <c r="AA140" s="171">
        <f>Z140</f>
        <v/>
      </c>
      <c r="AB140" s="171">
        <f>AA140</f>
        <v/>
      </c>
      <c r="AC140" s="171">
        <f>AB140</f>
        <v/>
      </c>
      <c r="AD140" s="171">
        <f>AC140</f>
        <v/>
      </c>
      <c r="AE140" s="177">
        <f>SUM(S140:AD140)</f>
        <v/>
      </c>
      <c r="AF140" s="172">
        <f>AE140</f>
        <v/>
      </c>
      <c r="AG140" s="172">
        <f>AF140</f>
        <v/>
      </c>
      <c r="AH140" s="172">
        <f>AG140</f>
        <v/>
      </c>
    </row>
    <row r="141" ht="8.25" customHeight="1" s="277">
      <c r="A141" s="139" t="inlineStr">
        <is>
          <t>Total Adv/Promotion</t>
        </is>
      </c>
      <c r="B141" s="156" t="n"/>
      <c r="C141" s="228" t="n"/>
      <c r="D141" s="228" t="n"/>
      <c r="E141" s="228" t="n"/>
      <c r="F141" s="228">
        <f>SUM(F138:F140)</f>
        <v/>
      </c>
      <c r="G141" s="228">
        <f>SUM(G138:G140)</f>
        <v/>
      </c>
      <c r="H141" s="228">
        <f>SUM(H138:H140)</f>
        <v/>
      </c>
      <c r="I141" s="228">
        <f>SUM(I138:I140)</f>
        <v/>
      </c>
      <c r="J141" s="228">
        <f>SUM(J138:J140)</f>
        <v/>
      </c>
      <c r="K141" s="228">
        <f>SUM(K138:K140)</f>
        <v/>
      </c>
      <c r="L141" s="228">
        <f>SUM(L138:L140)</f>
        <v/>
      </c>
      <c r="M141" s="228">
        <f>SUM(M138:M140)</f>
        <v/>
      </c>
      <c r="N141" s="228">
        <f>SUM(N138:N140)</f>
        <v/>
      </c>
      <c r="O141" s="228">
        <f>SUM(O138:O140)</f>
        <v/>
      </c>
      <c r="P141" s="228">
        <f>SUM(P138:P140)</f>
        <v/>
      </c>
      <c r="Q141" s="228">
        <f>SUM(Q138:Q140)</f>
        <v/>
      </c>
      <c r="R141" s="158">
        <f>SUM(F141:Q141)</f>
        <v/>
      </c>
      <c r="S141" s="228">
        <f>SUM(S138:S140)</f>
        <v/>
      </c>
      <c r="T141" s="228">
        <f>SUM(T138:T140)</f>
        <v/>
      </c>
      <c r="U141" s="228">
        <f>SUM(U138:U140)</f>
        <v/>
      </c>
      <c r="V141" s="228">
        <f>SUM(V138:V140)</f>
        <v/>
      </c>
      <c r="W141" s="228">
        <f>SUM(W138:W140)</f>
        <v/>
      </c>
      <c r="X141" s="228">
        <f>SUM(X138:X140)</f>
        <v/>
      </c>
      <c r="Y141" s="228">
        <f>SUM(Y138:Y140)</f>
        <v/>
      </c>
      <c r="Z141" s="228">
        <f>SUM(Z138:Z140)</f>
        <v/>
      </c>
      <c r="AA141" s="228">
        <f>SUM(AA138:AA140)</f>
        <v/>
      </c>
      <c r="AB141" s="228">
        <f>SUM(AB138:AB140)</f>
        <v/>
      </c>
      <c r="AC141" s="228">
        <f>SUM(AC138:AC140)</f>
        <v/>
      </c>
      <c r="AD141" s="228">
        <f>SUM(AD138:AD140)</f>
        <v/>
      </c>
      <c r="AE141" s="158">
        <f>SUM(S141:AD141)</f>
        <v/>
      </c>
      <c r="AF141" s="158">
        <f>SUM(AF138:AF140)</f>
        <v/>
      </c>
      <c r="AG141" s="158">
        <f>SUM(AG138:AG140)</f>
        <v/>
      </c>
      <c r="AH141" s="158">
        <f>SUM(AH138:AH140)</f>
        <v/>
      </c>
    </row>
    <row r="142" ht="8.25" customHeight="1" s="277">
      <c r="A142" s="333" t="n"/>
      <c r="B142" s="334" t="inlineStr">
        <is>
          <t>% of Sales</t>
        </is>
      </c>
      <c r="C142" s="154" t="n"/>
      <c r="D142" s="154" t="n"/>
      <c r="E142" s="154" t="n"/>
      <c r="F142" s="335">
        <f>IF(F$93&gt;0,F141/F$93,0)</f>
        <v/>
      </c>
      <c r="G142" s="335">
        <f>IF(G$93&gt;0,G141/G$93,0)</f>
        <v/>
      </c>
      <c r="H142" s="335">
        <f>IF(H$93&gt;0,H141/H$93,0)</f>
        <v/>
      </c>
      <c r="I142" s="335">
        <f>IF(I$93&gt;0,I141/I$93,0)</f>
        <v/>
      </c>
      <c r="J142" s="335">
        <f>IF(J$93&gt;0,J141/J$93,0)</f>
        <v/>
      </c>
      <c r="K142" s="335">
        <f>IF(K$93&gt;0,K141/K$93,0)</f>
        <v/>
      </c>
      <c r="L142" s="335">
        <f>IF(L$93&gt;0,L141/L$93,0)</f>
        <v/>
      </c>
      <c r="M142" s="335">
        <f>IF(M$93&gt;0,M141/M$93,0)</f>
        <v/>
      </c>
      <c r="N142" s="335">
        <f>IF(N$93&gt;0,N141/N$93,0)</f>
        <v/>
      </c>
      <c r="O142" s="335">
        <f>IF(O$93&gt;0,O141/O$93,0)</f>
        <v/>
      </c>
      <c r="P142" s="335">
        <f>IF(P$93&gt;0,P141/P$93,0)</f>
        <v/>
      </c>
      <c r="Q142" s="335">
        <f>IF(Q$93&gt;0,Q141/Q$93,0)</f>
        <v/>
      </c>
      <c r="R142" s="336">
        <f>IF(R$93&gt;0,R141/R$93,0)</f>
        <v/>
      </c>
      <c r="S142" s="335">
        <f>IF(S$93&gt;0,S141/S$93,0)</f>
        <v/>
      </c>
      <c r="T142" s="335">
        <f>IF(T$93&gt;0,T141/T$93,0)</f>
        <v/>
      </c>
      <c r="U142" s="335">
        <f>IF(U$93&gt;0,U141/U$93,0)</f>
        <v/>
      </c>
      <c r="V142" s="335">
        <f>IF(V$93&gt;0,V141/V$93,0)</f>
        <v/>
      </c>
      <c r="W142" s="335">
        <f>IF(W$93&gt;0,W141/W$93,0)</f>
        <v/>
      </c>
      <c r="X142" s="335">
        <f>IF(X$93&gt;0,X141/X$93,0)</f>
        <v/>
      </c>
      <c r="Y142" s="335">
        <f>IF(Y$93&gt;0,Y141/Y$93,0)</f>
        <v/>
      </c>
      <c r="Z142" s="335">
        <f>IF(Z$93&gt;0,Z141/Z$93,0)</f>
        <v/>
      </c>
      <c r="AA142" s="335">
        <f>IF(AA$93&gt;0,AA141/AA$93,0)</f>
        <v/>
      </c>
      <c r="AB142" s="335">
        <f>IF(AB$93&gt;0,AB141/AB$93,0)</f>
        <v/>
      </c>
      <c r="AC142" s="335">
        <f>IF(AC$93&gt;0,AC141/AC$93,0)</f>
        <v/>
      </c>
      <c r="AD142" s="335">
        <f>IF(AD$93&gt;0,AD141/AD$93,0)</f>
        <v/>
      </c>
      <c r="AE142" s="336">
        <f>IF(AE$93&gt;0,AE141/AE$93,0)</f>
        <v/>
      </c>
      <c r="AF142" s="336">
        <f>IF(AF$93&gt;0,AF141/AF$93,0)</f>
        <v/>
      </c>
      <c r="AG142" s="336">
        <f>IF(AG$93&gt;0,AG141/AG$93,0)</f>
        <v/>
      </c>
      <c r="AH142" s="336">
        <f>IF(AH$93&gt;0,AH141/AH$93,0)</f>
        <v/>
      </c>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f>UPPER($A$428)</f>
        <v/>
      </c>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f>F435</f>
        <v/>
      </c>
      <c r="G145" s="154">
        <f>G435</f>
        <v/>
      </c>
      <c r="H145" s="154">
        <f>H435</f>
        <v/>
      </c>
      <c r="I145" s="154">
        <f>I435</f>
        <v/>
      </c>
      <c r="J145" s="154">
        <f>J435</f>
        <v/>
      </c>
      <c r="K145" s="154">
        <f>K435</f>
        <v/>
      </c>
      <c r="L145" s="154">
        <f>L435</f>
        <v/>
      </c>
      <c r="M145" s="154">
        <f>M435</f>
        <v/>
      </c>
      <c r="N145" s="154">
        <f>N435</f>
        <v/>
      </c>
      <c r="O145" s="154">
        <f>O435</f>
        <v/>
      </c>
      <c r="P145" s="154">
        <f>P435</f>
        <v/>
      </c>
      <c r="Q145" s="154">
        <f>Q435</f>
        <v/>
      </c>
      <c r="R145" s="229">
        <f>Q145</f>
        <v/>
      </c>
      <c r="S145" s="154">
        <f>S435</f>
        <v/>
      </c>
      <c r="T145" s="154">
        <f>T435</f>
        <v/>
      </c>
      <c r="U145" s="154">
        <f>U435</f>
        <v/>
      </c>
      <c r="V145" s="154">
        <f>V435</f>
        <v/>
      </c>
      <c r="W145" s="154">
        <f>W435</f>
        <v/>
      </c>
      <c r="X145" s="154">
        <f>X435</f>
        <v/>
      </c>
      <c r="Y145" s="154">
        <f>Y435</f>
        <v/>
      </c>
      <c r="Z145" s="154">
        <f>Z435</f>
        <v/>
      </c>
      <c r="AA145" s="154">
        <f>AA435</f>
        <v/>
      </c>
      <c r="AB145" s="154">
        <f>AB435</f>
        <v/>
      </c>
      <c r="AC145" s="154">
        <f>AC435</f>
        <v/>
      </c>
      <c r="AD145" s="154">
        <f>AD435</f>
        <v/>
      </c>
      <c r="AE145" s="229">
        <f>AD145</f>
        <v/>
      </c>
      <c r="AF145" s="229">
        <f>AF435</f>
        <v/>
      </c>
      <c r="AG145" s="229">
        <f>AG435</f>
        <v/>
      </c>
      <c r="AH145" s="229">
        <f>AH435</f>
        <v/>
      </c>
    </row>
    <row r="146" ht="8.25" customHeight="1" s="277">
      <c r="A146" s="224" t="n"/>
      <c r="B146" s="225" t="inlineStr">
        <is>
          <t>Salary</t>
        </is>
      </c>
      <c r="C146" s="154" t="n"/>
      <c r="D146" s="154" t="n"/>
      <c r="E146" s="154" t="n"/>
      <c r="F146" s="154">
        <f>F478</f>
        <v/>
      </c>
      <c r="G146" s="154">
        <f>G478</f>
        <v/>
      </c>
      <c r="H146" s="154">
        <f>H478</f>
        <v/>
      </c>
      <c r="I146" s="154">
        <f>I478</f>
        <v/>
      </c>
      <c r="J146" s="154">
        <f>J478</f>
        <v/>
      </c>
      <c r="K146" s="154">
        <f>K478</f>
        <v/>
      </c>
      <c r="L146" s="154">
        <f>L478</f>
        <v/>
      </c>
      <c r="M146" s="154">
        <f>M478</f>
        <v/>
      </c>
      <c r="N146" s="154">
        <f>N478</f>
        <v/>
      </c>
      <c r="O146" s="154">
        <f>O478</f>
        <v/>
      </c>
      <c r="P146" s="154">
        <f>P478</f>
        <v/>
      </c>
      <c r="Q146" s="154">
        <f>Q478</f>
        <v/>
      </c>
      <c r="R146" s="229">
        <f>SUM(F146:Q146)</f>
        <v/>
      </c>
      <c r="S146" s="154">
        <f>S478</f>
        <v/>
      </c>
      <c r="T146" s="154">
        <f>T478</f>
        <v/>
      </c>
      <c r="U146" s="154">
        <f>U478</f>
        <v/>
      </c>
      <c r="V146" s="154">
        <f>V478</f>
        <v/>
      </c>
      <c r="W146" s="154">
        <f>W478</f>
        <v/>
      </c>
      <c r="X146" s="154">
        <f>X478</f>
        <v/>
      </c>
      <c r="Y146" s="154">
        <f>Y478</f>
        <v/>
      </c>
      <c r="Z146" s="154">
        <f>Z478</f>
        <v/>
      </c>
      <c r="AA146" s="154">
        <f>AA478</f>
        <v/>
      </c>
      <c r="AB146" s="154">
        <f>AB478</f>
        <v/>
      </c>
      <c r="AC146" s="154">
        <f>AC478</f>
        <v/>
      </c>
      <c r="AD146" s="154">
        <f>AD478</f>
        <v/>
      </c>
      <c r="AE146" s="229">
        <f>SUM(S146:AD146)</f>
        <v/>
      </c>
      <c r="AF146" s="229">
        <f>AF478</f>
        <v/>
      </c>
      <c r="AG146" s="229">
        <f>AG478</f>
        <v/>
      </c>
      <c r="AH146" s="229">
        <f>AH478</f>
        <v/>
      </c>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f>SUM(F147:Q147)</f>
        <v/>
      </c>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f>SUM(S147:AD147)</f>
        <v/>
      </c>
      <c r="AF147" s="172" t="n">
        <v>0</v>
      </c>
      <c r="AG147" s="172" t="n">
        <v>0</v>
      </c>
      <c r="AH147" s="172" t="n">
        <v>0</v>
      </c>
    </row>
    <row r="148" ht="8.25" customHeight="1" s="277">
      <c r="A148" s="224" t="n"/>
      <c r="B148" s="225" t="inlineStr">
        <is>
          <t>Benefits &amp; Taxes</t>
        </is>
      </c>
      <c r="C148" s="154" t="n"/>
      <c r="D148" s="154" t="n"/>
      <c r="E148" s="154" t="n"/>
      <c r="F148" s="154">
        <f>SUM(F146:F147)*F$482</f>
        <v/>
      </c>
      <c r="G148" s="154">
        <f>SUM(G146:G147)*G$482</f>
        <v/>
      </c>
      <c r="H148" s="154">
        <f>SUM(H146:H147)*H$482</f>
        <v/>
      </c>
      <c r="I148" s="154">
        <f>SUM(I146:I147)*I$482</f>
        <v/>
      </c>
      <c r="J148" s="154">
        <f>SUM(J146:J147)*J$482</f>
        <v/>
      </c>
      <c r="K148" s="154">
        <f>SUM(K146:K147)*K$482</f>
        <v/>
      </c>
      <c r="L148" s="154">
        <f>SUM(L146:L147)*L$482</f>
        <v/>
      </c>
      <c r="M148" s="154">
        <f>SUM(M146:M147)*M$482</f>
        <v/>
      </c>
      <c r="N148" s="154">
        <f>SUM(N146:N147)*N$482</f>
        <v/>
      </c>
      <c r="O148" s="154">
        <f>SUM(O146:O147)*O$482</f>
        <v/>
      </c>
      <c r="P148" s="154">
        <f>SUM(P146:P147)*P$482</f>
        <v/>
      </c>
      <c r="Q148" s="154">
        <f>SUM(Q146:Q147)*Q$482</f>
        <v/>
      </c>
      <c r="R148" s="229">
        <f>SUM(F148:Q148)</f>
        <v/>
      </c>
      <c r="S148" s="154">
        <f>SUM(S146:S147)*S$482</f>
        <v/>
      </c>
      <c r="T148" s="154">
        <f>SUM(T146:T147)*T$482</f>
        <v/>
      </c>
      <c r="U148" s="154">
        <f>SUM(U146:U147)*U$482</f>
        <v/>
      </c>
      <c r="V148" s="154">
        <f>SUM(V146:V147)*V$482</f>
        <v/>
      </c>
      <c r="W148" s="154">
        <f>SUM(W146:W147)*W$482</f>
        <v/>
      </c>
      <c r="X148" s="154">
        <f>SUM(X146:X147)*X$482</f>
        <v/>
      </c>
      <c r="Y148" s="154">
        <f>SUM(Y146:Y147)*Y$482</f>
        <v/>
      </c>
      <c r="Z148" s="154">
        <f>SUM(Z146:Z147)*Z$482</f>
        <v/>
      </c>
      <c r="AA148" s="154">
        <f>SUM(AA146:AA147)*AA$482</f>
        <v/>
      </c>
      <c r="AB148" s="154">
        <f>SUM(AB146:AB147)*AB$482</f>
        <v/>
      </c>
      <c r="AC148" s="154">
        <f>SUM(AC146:AC147)*AC$482</f>
        <v/>
      </c>
      <c r="AD148" s="154">
        <f>SUM(AD146:AD147)*AD$482</f>
        <v/>
      </c>
      <c r="AE148" s="229">
        <f>SUM(S148:AD148)</f>
        <v/>
      </c>
      <c r="AF148" s="229">
        <f>SUM(AF146:AF147)*AF$482</f>
        <v/>
      </c>
      <c r="AG148" s="229">
        <f>SUM(AG146:AG147)*AG$482</f>
        <v/>
      </c>
      <c r="AH148" s="229">
        <f>SUM(AH146:AH147)*AH$482</f>
        <v/>
      </c>
    </row>
    <row r="149" ht="8.25" customHeight="1" s="277">
      <c r="A149" s="224" t="n"/>
      <c r="B149" s="225" t="inlineStr">
        <is>
          <t>Office Supplies</t>
        </is>
      </c>
      <c r="C149" s="337">
        <f>Assumptions!E94</f>
        <v/>
      </c>
      <c r="D149" s="154" t="n"/>
      <c r="E149" s="154" t="n"/>
      <c r="F149" s="154">
        <f>$C149*F$145</f>
        <v/>
      </c>
      <c r="G149" s="154">
        <f>$C149*G$145</f>
        <v/>
      </c>
      <c r="H149" s="154">
        <f>$C149*H$145</f>
        <v/>
      </c>
      <c r="I149" s="154">
        <f>$C149*I$145</f>
        <v/>
      </c>
      <c r="J149" s="154">
        <f>$C149*J$145</f>
        <v/>
      </c>
      <c r="K149" s="154">
        <f>$C149*K$145</f>
        <v/>
      </c>
      <c r="L149" s="154">
        <f>$C149*L$145</f>
        <v/>
      </c>
      <c r="M149" s="154">
        <f>$C149*M$145</f>
        <v/>
      </c>
      <c r="N149" s="154">
        <f>$C149*N$145</f>
        <v/>
      </c>
      <c r="O149" s="154">
        <f>$C149*O$145</f>
        <v/>
      </c>
      <c r="P149" s="154">
        <f>$C149*P$145</f>
        <v/>
      </c>
      <c r="Q149" s="154">
        <f>$C149*Q$145</f>
        <v/>
      </c>
      <c r="R149" s="229">
        <f>SUM(F149:Q149)</f>
        <v/>
      </c>
      <c r="S149" s="154">
        <f>$C149*S$145</f>
        <v/>
      </c>
      <c r="T149" s="154">
        <f>$C149*T$145</f>
        <v/>
      </c>
      <c r="U149" s="154">
        <f>$C149*U$145</f>
        <v/>
      </c>
      <c r="V149" s="154">
        <f>$C149*V$145</f>
        <v/>
      </c>
      <c r="W149" s="154">
        <f>$C149*W$145</f>
        <v/>
      </c>
      <c r="X149" s="154">
        <f>$C149*X$145</f>
        <v/>
      </c>
      <c r="Y149" s="154">
        <f>$C149*Y$145</f>
        <v/>
      </c>
      <c r="Z149" s="154">
        <f>$C149*Z$145</f>
        <v/>
      </c>
      <c r="AA149" s="154">
        <f>$C149*AA$145</f>
        <v/>
      </c>
      <c r="AB149" s="154">
        <f>$C149*AB$145</f>
        <v/>
      </c>
      <c r="AC149" s="154">
        <f>$C149*AC$145</f>
        <v/>
      </c>
      <c r="AD149" s="154">
        <f>$C149*AD$145</f>
        <v/>
      </c>
      <c r="AE149" s="229">
        <f>SUM(S149:AD149)</f>
        <v/>
      </c>
      <c r="AF149" s="229">
        <f>$C149*AF$145*12</f>
        <v/>
      </c>
      <c r="AG149" s="229">
        <f>$C149*AG$145*12</f>
        <v/>
      </c>
      <c r="AH149" s="229">
        <f>$C149*AH$145*12</f>
        <v/>
      </c>
    </row>
    <row r="150" ht="8.25" customHeight="1" s="277">
      <c r="A150" s="224" t="n"/>
      <c r="B150" s="225" t="inlineStr">
        <is>
          <t>Travel &amp; Meals</t>
        </is>
      </c>
      <c r="C150" s="337">
        <f>Assumptions!F94</f>
        <v/>
      </c>
      <c r="D150" s="154" t="n"/>
      <c r="E150" s="154" t="n"/>
      <c r="F150" s="154">
        <f>$C150*F$145</f>
        <v/>
      </c>
      <c r="G150" s="154">
        <f>$C150*G$145</f>
        <v/>
      </c>
      <c r="H150" s="154">
        <f>$C150*H$145</f>
        <v/>
      </c>
      <c r="I150" s="154">
        <f>$C150*I$145</f>
        <v/>
      </c>
      <c r="J150" s="154">
        <f>$C150*J$145</f>
        <v/>
      </c>
      <c r="K150" s="154">
        <f>$C150*K$145</f>
        <v/>
      </c>
      <c r="L150" s="154">
        <f>$C150*L$145</f>
        <v/>
      </c>
      <c r="M150" s="154">
        <f>$C150*M$145</f>
        <v/>
      </c>
      <c r="N150" s="154">
        <f>$C150*N$145</f>
        <v/>
      </c>
      <c r="O150" s="154">
        <f>$C150*O$145</f>
        <v/>
      </c>
      <c r="P150" s="154">
        <f>$C150*P$145</f>
        <v/>
      </c>
      <c r="Q150" s="154">
        <f>$C150*Q$145</f>
        <v/>
      </c>
      <c r="R150" s="229">
        <f>SUM(F150:Q150)</f>
        <v/>
      </c>
      <c r="S150" s="154">
        <f>$C150*S$145</f>
        <v/>
      </c>
      <c r="T150" s="154">
        <f>$C150*T$145</f>
        <v/>
      </c>
      <c r="U150" s="154">
        <f>$C150*U$145</f>
        <v/>
      </c>
      <c r="V150" s="154">
        <f>$C150*V$145</f>
        <v/>
      </c>
      <c r="W150" s="154">
        <f>$C150*W$145</f>
        <v/>
      </c>
      <c r="X150" s="154">
        <f>$C150*X$145</f>
        <v/>
      </c>
      <c r="Y150" s="154">
        <f>$C150*Y$145</f>
        <v/>
      </c>
      <c r="Z150" s="154">
        <f>$C150*Z$145</f>
        <v/>
      </c>
      <c r="AA150" s="154">
        <f>$C150*AA$145</f>
        <v/>
      </c>
      <c r="AB150" s="154">
        <f>$C150*AB$145</f>
        <v/>
      </c>
      <c r="AC150" s="154">
        <f>$C150*AC$145</f>
        <v/>
      </c>
      <c r="AD150" s="154">
        <f>$C150*AD$145</f>
        <v/>
      </c>
      <c r="AE150" s="229">
        <f>SUM(S150:AD150)</f>
        <v/>
      </c>
      <c r="AF150" s="229">
        <f>$C150*AF$145*12</f>
        <v/>
      </c>
      <c r="AG150" s="229">
        <f>$C150*AG$145*12</f>
        <v/>
      </c>
      <c r="AH150" s="229">
        <f>$C150*AH$145*12</f>
        <v/>
      </c>
    </row>
    <row r="151" ht="8.25" customHeight="1" s="277">
      <c r="A151" s="224" t="n"/>
      <c r="B151" s="225" t="inlineStr">
        <is>
          <t>Telephone/Postage</t>
        </is>
      </c>
      <c r="C151" s="337">
        <f>Assumptions!G94</f>
        <v/>
      </c>
      <c r="D151" s="154" t="n"/>
      <c r="E151" s="154" t="n"/>
      <c r="F151" s="154">
        <f>$C151*F$145</f>
        <v/>
      </c>
      <c r="G151" s="154">
        <f>$C151*G$145</f>
        <v/>
      </c>
      <c r="H151" s="154">
        <f>$C151*H$145</f>
        <v/>
      </c>
      <c r="I151" s="154">
        <f>$C151*I$145</f>
        <v/>
      </c>
      <c r="J151" s="154">
        <f>$C151*J$145</f>
        <v/>
      </c>
      <c r="K151" s="154">
        <f>$C151*K$145</f>
        <v/>
      </c>
      <c r="L151" s="154">
        <f>$C151*L$145</f>
        <v/>
      </c>
      <c r="M151" s="154">
        <f>$C151*M$145</f>
        <v/>
      </c>
      <c r="N151" s="154">
        <f>$C151*N$145</f>
        <v/>
      </c>
      <c r="O151" s="154">
        <f>$C151*O$145</f>
        <v/>
      </c>
      <c r="P151" s="154">
        <f>$C151*P$145</f>
        <v/>
      </c>
      <c r="Q151" s="154">
        <f>$C151*Q$145</f>
        <v/>
      </c>
      <c r="R151" s="229">
        <f>SUM(F151:Q151)</f>
        <v/>
      </c>
      <c r="S151" s="154">
        <f>$C151*S$145</f>
        <v/>
      </c>
      <c r="T151" s="154">
        <f>$C151*T$145</f>
        <v/>
      </c>
      <c r="U151" s="154">
        <f>$C151*U$145</f>
        <v/>
      </c>
      <c r="V151" s="154">
        <f>$C151*V$145</f>
        <v/>
      </c>
      <c r="W151" s="154">
        <f>$C151*W$145</f>
        <v/>
      </c>
      <c r="X151" s="154">
        <f>$C151*X$145</f>
        <v/>
      </c>
      <c r="Y151" s="154">
        <f>$C151*Y$145</f>
        <v/>
      </c>
      <c r="Z151" s="154">
        <f>$C151*Z$145</f>
        <v/>
      </c>
      <c r="AA151" s="154">
        <f>$C151*AA$145</f>
        <v/>
      </c>
      <c r="AB151" s="154">
        <f>$C151*AB$145</f>
        <v/>
      </c>
      <c r="AC151" s="154">
        <f>$C151*AC$145</f>
        <v/>
      </c>
      <c r="AD151" s="154">
        <f>$C151*AD$145</f>
        <v/>
      </c>
      <c r="AE151" s="229">
        <f>SUM(S151:AD151)</f>
        <v/>
      </c>
      <c r="AF151" s="229">
        <f>$C151*AF$145*12</f>
        <v/>
      </c>
      <c r="AG151" s="229">
        <f>$C151*AG$145*12</f>
        <v/>
      </c>
      <c r="AH151" s="229">
        <f>$C151*AH$145*12</f>
        <v/>
      </c>
    </row>
    <row r="152" ht="8.25" customHeight="1" s="277">
      <c r="A152" s="224" t="n"/>
      <c r="B152" s="225" t="inlineStr">
        <is>
          <t>Insurance</t>
        </is>
      </c>
      <c r="C152" s="340">
        <f>Assumptions!I108</f>
        <v/>
      </c>
      <c r="D152" s="154" t="n"/>
      <c r="E152" s="154" t="n"/>
      <c r="F152" s="154">
        <f>$C152*F$93</f>
        <v/>
      </c>
      <c r="G152" s="154">
        <f>$C152*G$93</f>
        <v/>
      </c>
      <c r="H152" s="154">
        <f>$C152*H$93</f>
        <v/>
      </c>
      <c r="I152" s="154">
        <f>$C152*I$93</f>
        <v/>
      </c>
      <c r="J152" s="154">
        <f>$C152*J$93</f>
        <v/>
      </c>
      <c r="K152" s="154">
        <f>$C152*K$93</f>
        <v/>
      </c>
      <c r="L152" s="154">
        <f>$C152*L$93</f>
        <v/>
      </c>
      <c r="M152" s="154">
        <f>$C152*M$93</f>
        <v/>
      </c>
      <c r="N152" s="154">
        <f>$C152*N$93</f>
        <v/>
      </c>
      <c r="O152" s="154">
        <f>$C152*O$93</f>
        <v/>
      </c>
      <c r="P152" s="154">
        <f>$C152*P$93</f>
        <v/>
      </c>
      <c r="Q152" s="154">
        <f>$C152*Q$93</f>
        <v/>
      </c>
      <c r="R152" s="229">
        <f>SUM(F152:Q152)</f>
        <v/>
      </c>
      <c r="S152" s="154">
        <f>$C152*S$93</f>
        <v/>
      </c>
      <c r="T152" s="154">
        <f>$C152*T$93</f>
        <v/>
      </c>
      <c r="U152" s="154">
        <f>$C152*U$93</f>
        <v/>
      </c>
      <c r="V152" s="154">
        <f>$C152*V$93</f>
        <v/>
      </c>
      <c r="W152" s="154">
        <f>$C152*W$93</f>
        <v/>
      </c>
      <c r="X152" s="154">
        <f>$C152*X$93</f>
        <v/>
      </c>
      <c r="Y152" s="154">
        <f>$C152*Y$93</f>
        <v/>
      </c>
      <c r="Z152" s="154">
        <f>$C152*Z$93</f>
        <v/>
      </c>
      <c r="AA152" s="154">
        <f>$C152*AA$93</f>
        <v/>
      </c>
      <c r="AB152" s="154">
        <f>$C152*AB$93</f>
        <v/>
      </c>
      <c r="AC152" s="154">
        <f>$C152*AC$93</f>
        <v/>
      </c>
      <c r="AD152" s="154">
        <f>$C152*AD$93</f>
        <v/>
      </c>
      <c r="AE152" s="229">
        <f>SUM(S152:AD152)</f>
        <v/>
      </c>
      <c r="AF152" s="229">
        <f>$C152*AF$93</f>
        <v/>
      </c>
      <c r="AG152" s="229">
        <f>$C152*AG$93</f>
        <v/>
      </c>
      <c r="AH152" s="229">
        <f>$C152*AH$93</f>
        <v/>
      </c>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f>SUM(F153:Q153)</f>
        <v/>
      </c>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f>SUM(S153:AD153)</f>
        <v/>
      </c>
      <c r="AF153" s="172" t="n">
        <v>0</v>
      </c>
      <c r="AG153" s="172" t="n">
        <v>0</v>
      </c>
      <c r="AH153" s="172" t="n">
        <v>0</v>
      </c>
    </row>
    <row r="154" ht="8.25" customHeight="1" s="277">
      <c r="A154" s="224" t="n"/>
      <c r="B154" s="225" t="inlineStr">
        <is>
          <t>Bad Debt</t>
        </is>
      </c>
      <c r="C154" s="341">
        <f>Assumptions!I109</f>
        <v/>
      </c>
      <c r="D154" s="154" t="n"/>
      <c r="E154" s="154" t="n"/>
      <c r="F154" s="154">
        <f>$C154*F93</f>
        <v/>
      </c>
      <c r="G154" s="154">
        <f>$C154*G93</f>
        <v/>
      </c>
      <c r="H154" s="154">
        <f>$C154*H93</f>
        <v/>
      </c>
      <c r="I154" s="154">
        <f>$C154*I93</f>
        <v/>
      </c>
      <c r="J154" s="154">
        <f>$C154*J93</f>
        <v/>
      </c>
      <c r="K154" s="154">
        <f>$C154*K93</f>
        <v/>
      </c>
      <c r="L154" s="154">
        <f>$C154*L93</f>
        <v/>
      </c>
      <c r="M154" s="154">
        <f>$C154*M93</f>
        <v/>
      </c>
      <c r="N154" s="154">
        <f>$C154*N93</f>
        <v/>
      </c>
      <c r="O154" s="154">
        <f>$C154*O93</f>
        <v/>
      </c>
      <c r="P154" s="154">
        <f>$C154*P93</f>
        <v/>
      </c>
      <c r="Q154" s="154">
        <f>$C154*Q93</f>
        <v/>
      </c>
      <c r="R154" s="229">
        <f>SUM(F154:Q154)</f>
        <v/>
      </c>
      <c r="S154" s="154">
        <f>$C154*S93</f>
        <v/>
      </c>
      <c r="T154" s="154">
        <f>$C154*T93</f>
        <v/>
      </c>
      <c r="U154" s="154">
        <f>$C154*U93</f>
        <v/>
      </c>
      <c r="V154" s="154">
        <f>$C154*V93</f>
        <v/>
      </c>
      <c r="W154" s="154">
        <f>$C154*W93</f>
        <v/>
      </c>
      <c r="X154" s="154">
        <f>$C154*X93</f>
        <v/>
      </c>
      <c r="Y154" s="154">
        <f>$C154*Y93</f>
        <v/>
      </c>
      <c r="Z154" s="154">
        <f>$C154*Z93</f>
        <v/>
      </c>
      <c r="AA154" s="154">
        <f>$C154*AA93</f>
        <v/>
      </c>
      <c r="AB154" s="154">
        <f>$C154*AB93</f>
        <v/>
      </c>
      <c r="AC154" s="154">
        <f>$C154*AC93</f>
        <v/>
      </c>
      <c r="AD154" s="154">
        <f>$C154*AD93</f>
        <v/>
      </c>
      <c r="AE154" s="229">
        <f>SUM(S154:AD154)</f>
        <v/>
      </c>
      <c r="AF154" s="229">
        <f>$C154*AF93</f>
        <v/>
      </c>
      <c r="AG154" s="229">
        <f>$C154*AG93</f>
        <v/>
      </c>
      <c r="AH154" s="229">
        <f>$C154*AH93</f>
        <v/>
      </c>
    </row>
    <row r="155" ht="8.25" customHeight="1" s="277">
      <c r="A155" s="224" t="n"/>
      <c r="B155" s="225" t="inlineStr">
        <is>
          <t>Office Rent</t>
        </is>
      </c>
      <c r="C155" s="154" t="n"/>
      <c r="D155" s="154" t="n"/>
      <c r="E155" s="154" t="n"/>
      <c r="F155" s="154">
        <f>F613</f>
        <v/>
      </c>
      <c r="G155" s="154">
        <f>G613</f>
        <v/>
      </c>
      <c r="H155" s="154">
        <f>H613</f>
        <v/>
      </c>
      <c r="I155" s="154">
        <f>I613</f>
        <v/>
      </c>
      <c r="J155" s="154">
        <f>J613</f>
        <v/>
      </c>
      <c r="K155" s="154">
        <f>K613</f>
        <v/>
      </c>
      <c r="L155" s="154">
        <f>L613</f>
        <v/>
      </c>
      <c r="M155" s="154">
        <f>M613</f>
        <v/>
      </c>
      <c r="N155" s="154">
        <f>N613</f>
        <v/>
      </c>
      <c r="O155" s="154">
        <f>O613</f>
        <v/>
      </c>
      <c r="P155" s="154">
        <f>P613</f>
        <v/>
      </c>
      <c r="Q155" s="154">
        <f>Q613</f>
        <v/>
      </c>
      <c r="R155" s="229">
        <f>SUM(F155:Q155)</f>
        <v/>
      </c>
      <c r="S155" s="154">
        <f>S613</f>
        <v/>
      </c>
      <c r="T155" s="154">
        <f>T613</f>
        <v/>
      </c>
      <c r="U155" s="154">
        <f>U613</f>
        <v/>
      </c>
      <c r="V155" s="154">
        <f>V613</f>
        <v/>
      </c>
      <c r="W155" s="154">
        <f>W613</f>
        <v/>
      </c>
      <c r="X155" s="154">
        <f>X613</f>
        <v/>
      </c>
      <c r="Y155" s="154">
        <f>Y613</f>
        <v/>
      </c>
      <c r="Z155" s="154">
        <f>Z613</f>
        <v/>
      </c>
      <c r="AA155" s="154">
        <f>AA613</f>
        <v/>
      </c>
      <c r="AB155" s="154">
        <f>AB613</f>
        <v/>
      </c>
      <c r="AC155" s="154">
        <f>AC613</f>
        <v/>
      </c>
      <c r="AD155" s="154">
        <f>AD613</f>
        <v/>
      </c>
      <c r="AE155" s="229">
        <f>SUM(S155:AD155)</f>
        <v/>
      </c>
      <c r="AF155" s="229">
        <f>AF613</f>
        <v/>
      </c>
      <c r="AG155" s="229">
        <f>AG613</f>
        <v/>
      </c>
      <c r="AH155" s="229">
        <f>AH613</f>
        <v/>
      </c>
    </row>
    <row r="156" ht="8.25" customHeight="1" s="277">
      <c r="A156" s="224" t="n"/>
      <c r="B156" s="225" t="inlineStr">
        <is>
          <t>Utilities</t>
        </is>
      </c>
      <c r="C156" s="342">
        <f>Assumptions!I118</f>
        <v/>
      </c>
      <c r="D156" s="154" t="n"/>
      <c r="E156" s="154" t="n"/>
      <c r="F156" s="154">
        <f>$C156*F610</f>
        <v/>
      </c>
      <c r="G156" s="154">
        <f>$C156*G610</f>
        <v/>
      </c>
      <c r="H156" s="154">
        <f>$C156*H610</f>
        <v/>
      </c>
      <c r="I156" s="154">
        <f>$C156*I610</f>
        <v/>
      </c>
      <c r="J156" s="154">
        <f>$C156*J610</f>
        <v/>
      </c>
      <c r="K156" s="154">
        <f>$C156*K610</f>
        <v/>
      </c>
      <c r="L156" s="154">
        <f>$C156*L610</f>
        <v/>
      </c>
      <c r="M156" s="154">
        <f>$C156*M610</f>
        <v/>
      </c>
      <c r="N156" s="154">
        <f>$C156*N610</f>
        <v/>
      </c>
      <c r="O156" s="154">
        <f>$C156*O610</f>
        <v/>
      </c>
      <c r="P156" s="154">
        <f>$C156*P610</f>
        <v/>
      </c>
      <c r="Q156" s="154">
        <f>$C156*Q610</f>
        <v/>
      </c>
      <c r="R156" s="229">
        <f>SUM(F156:Q156)</f>
        <v/>
      </c>
      <c r="S156" s="154">
        <f>$C156*S610</f>
        <v/>
      </c>
      <c r="T156" s="154">
        <f>$C156*T610</f>
        <v/>
      </c>
      <c r="U156" s="154">
        <f>$C156*U610</f>
        <v/>
      </c>
      <c r="V156" s="154">
        <f>$C156*V610</f>
        <v/>
      </c>
      <c r="W156" s="154">
        <f>$C156*W610</f>
        <v/>
      </c>
      <c r="X156" s="154">
        <f>$C156*X610</f>
        <v/>
      </c>
      <c r="Y156" s="154">
        <f>$C156*Y610</f>
        <v/>
      </c>
      <c r="Z156" s="154">
        <f>$C156*Z610</f>
        <v/>
      </c>
      <c r="AA156" s="154">
        <f>$C156*AA610</f>
        <v/>
      </c>
      <c r="AB156" s="154">
        <f>$C156*AB610</f>
        <v/>
      </c>
      <c r="AC156" s="154">
        <f>$C156*AC610</f>
        <v/>
      </c>
      <c r="AD156" s="154">
        <f>$C156*AD610</f>
        <v/>
      </c>
      <c r="AE156" s="229">
        <f>SUM(S156:AD156)</f>
        <v/>
      </c>
      <c r="AF156" s="229">
        <f>$C156*AF610*12</f>
        <v/>
      </c>
      <c r="AG156" s="229">
        <f>$C156*AG610*12</f>
        <v/>
      </c>
      <c r="AH156" s="229">
        <f>$C156*AH610*12</f>
        <v/>
      </c>
    </row>
    <row r="157" ht="8.25" customHeight="1" s="277">
      <c r="A157" s="224" t="n"/>
      <c r="B157" s="225" t="inlineStr">
        <is>
          <t>Maint/Repair</t>
        </is>
      </c>
      <c r="C157" s="342">
        <f>Assumptions!I119</f>
        <v/>
      </c>
      <c r="D157" s="154" t="n"/>
      <c r="E157" s="154" t="n"/>
      <c r="F157" s="154">
        <f>$C157*F610</f>
        <v/>
      </c>
      <c r="G157" s="154">
        <f>$C157*G610</f>
        <v/>
      </c>
      <c r="H157" s="154">
        <f>$C157*H610</f>
        <v/>
      </c>
      <c r="I157" s="154">
        <f>$C157*I610</f>
        <v/>
      </c>
      <c r="J157" s="154">
        <f>$C157*J610</f>
        <v/>
      </c>
      <c r="K157" s="154">
        <f>$C157*K610</f>
        <v/>
      </c>
      <c r="L157" s="154">
        <f>$C157*L610</f>
        <v/>
      </c>
      <c r="M157" s="154">
        <f>$C157*M610</f>
        <v/>
      </c>
      <c r="N157" s="154">
        <f>$C157*N610</f>
        <v/>
      </c>
      <c r="O157" s="154">
        <f>$C157*O610</f>
        <v/>
      </c>
      <c r="P157" s="154">
        <f>$C157*P610</f>
        <v/>
      </c>
      <c r="Q157" s="154">
        <f>$C157*Q610</f>
        <v/>
      </c>
      <c r="R157" s="229">
        <f>SUM(F157:Q157)</f>
        <v/>
      </c>
      <c r="S157" s="154">
        <f>$C157*S610</f>
        <v/>
      </c>
      <c r="T157" s="154">
        <f>$C157*T610</f>
        <v/>
      </c>
      <c r="U157" s="154">
        <f>$C157*U610</f>
        <v/>
      </c>
      <c r="V157" s="154">
        <f>$C157*V610</f>
        <v/>
      </c>
      <c r="W157" s="154">
        <f>$C157*W610</f>
        <v/>
      </c>
      <c r="X157" s="154">
        <f>$C157*X610</f>
        <v/>
      </c>
      <c r="Y157" s="154">
        <f>$C157*Y610</f>
        <v/>
      </c>
      <c r="Z157" s="154">
        <f>$C157*Z610</f>
        <v/>
      </c>
      <c r="AA157" s="154">
        <f>$C157*AA610</f>
        <v/>
      </c>
      <c r="AB157" s="154">
        <f>$C157*AB610</f>
        <v/>
      </c>
      <c r="AC157" s="154">
        <f>$C157*AC610</f>
        <v/>
      </c>
      <c r="AD157" s="154">
        <f>$C157*AD610</f>
        <v/>
      </c>
      <c r="AE157" s="229">
        <f>SUM(S157:AD157)</f>
        <v/>
      </c>
      <c r="AF157" s="229">
        <f>$C157*AF610*12</f>
        <v/>
      </c>
      <c r="AG157" s="229">
        <f>$C157*AG610*12</f>
        <v/>
      </c>
      <c r="AH157" s="229">
        <f>$C157*AH610*12</f>
        <v/>
      </c>
    </row>
    <row r="158" ht="8.25" customHeight="1" s="277">
      <c r="A158" s="224" t="n"/>
      <c r="B158" s="225" t="inlineStr">
        <is>
          <t>Depreciation</t>
        </is>
      </c>
      <c r="C158" s="154" t="n"/>
      <c r="D158" s="154" t="n"/>
      <c r="E158" s="154" t="n"/>
      <c r="F158" s="154">
        <f>F547</f>
        <v/>
      </c>
      <c r="G158" s="154">
        <f>G547</f>
        <v/>
      </c>
      <c r="H158" s="154">
        <f>H547</f>
        <v/>
      </c>
      <c r="I158" s="154">
        <f>I547</f>
        <v/>
      </c>
      <c r="J158" s="154">
        <f>J547</f>
        <v/>
      </c>
      <c r="K158" s="154">
        <f>K547</f>
        <v/>
      </c>
      <c r="L158" s="154">
        <f>L547</f>
        <v/>
      </c>
      <c r="M158" s="154">
        <f>M547</f>
        <v/>
      </c>
      <c r="N158" s="154">
        <f>N547</f>
        <v/>
      </c>
      <c r="O158" s="154">
        <f>O547</f>
        <v/>
      </c>
      <c r="P158" s="154">
        <f>P547</f>
        <v/>
      </c>
      <c r="Q158" s="154">
        <f>Q547</f>
        <v/>
      </c>
      <c r="R158" s="229">
        <f>SUM(F158:Q158)</f>
        <v/>
      </c>
      <c r="S158" s="154">
        <f>S547</f>
        <v/>
      </c>
      <c r="T158" s="154">
        <f>T547</f>
        <v/>
      </c>
      <c r="U158" s="154">
        <f>U547</f>
        <v/>
      </c>
      <c r="V158" s="154">
        <f>V547</f>
        <v/>
      </c>
      <c r="W158" s="154">
        <f>W547</f>
        <v/>
      </c>
      <c r="X158" s="154">
        <f>X547</f>
        <v/>
      </c>
      <c r="Y158" s="154">
        <f>Y547</f>
        <v/>
      </c>
      <c r="Z158" s="154">
        <f>Z547</f>
        <v/>
      </c>
      <c r="AA158" s="154">
        <f>AA547</f>
        <v/>
      </c>
      <c r="AB158" s="154">
        <f>AB547</f>
        <v/>
      </c>
      <c r="AC158" s="154">
        <f>AC547</f>
        <v/>
      </c>
      <c r="AD158" s="154">
        <f>AD547</f>
        <v/>
      </c>
      <c r="AE158" s="229">
        <f>SUM(S158:AD158)</f>
        <v/>
      </c>
      <c r="AF158" s="229">
        <f>AF547</f>
        <v/>
      </c>
      <c r="AG158" s="229">
        <f>AG547</f>
        <v/>
      </c>
      <c r="AH158" s="229">
        <f>AH547</f>
        <v/>
      </c>
    </row>
    <row r="159" ht="8.25" customHeight="1" s="277">
      <c r="A159" s="139" t="inlineStr">
        <is>
          <t>Total Expenses</t>
        </is>
      </c>
      <c r="B159" s="156" t="n"/>
      <c r="C159" s="228" t="n"/>
      <c r="D159" s="228" t="n"/>
      <c r="E159" s="228" t="n"/>
      <c r="F159" s="228">
        <f>SUM(F146:F158)</f>
        <v/>
      </c>
      <c r="G159" s="228">
        <f>SUM(G146:G158)</f>
        <v/>
      </c>
      <c r="H159" s="228">
        <f>SUM(H146:H158)</f>
        <v/>
      </c>
      <c r="I159" s="228">
        <f>SUM(I146:I158)</f>
        <v/>
      </c>
      <c r="J159" s="228">
        <f>SUM(J146:J158)</f>
        <v/>
      </c>
      <c r="K159" s="228">
        <f>SUM(K146:K158)</f>
        <v/>
      </c>
      <c r="L159" s="228">
        <f>SUM(L146:L158)</f>
        <v/>
      </c>
      <c r="M159" s="228">
        <f>SUM(M146:M158)</f>
        <v/>
      </c>
      <c r="N159" s="228">
        <f>SUM(N146:N158)</f>
        <v/>
      </c>
      <c r="O159" s="228">
        <f>SUM(O146:O158)</f>
        <v/>
      </c>
      <c r="P159" s="228">
        <f>SUM(P146:P158)</f>
        <v/>
      </c>
      <c r="Q159" s="228">
        <f>SUM(Q146:Q158)</f>
        <v/>
      </c>
      <c r="R159" s="158">
        <f>SUM(F159:Q159)</f>
        <v/>
      </c>
      <c r="S159" s="228">
        <f>SUM(S146:S158)</f>
        <v/>
      </c>
      <c r="T159" s="228">
        <f>SUM(T146:T158)</f>
        <v/>
      </c>
      <c r="U159" s="228">
        <f>SUM(U146:U158)</f>
        <v/>
      </c>
      <c r="V159" s="228">
        <f>SUM(V146:V158)</f>
        <v/>
      </c>
      <c r="W159" s="228">
        <f>SUM(W146:W158)</f>
        <v/>
      </c>
      <c r="X159" s="228">
        <f>SUM(X146:X158)</f>
        <v/>
      </c>
      <c r="Y159" s="228">
        <f>SUM(Y146:Y158)</f>
        <v/>
      </c>
      <c r="Z159" s="228">
        <f>SUM(Z146:Z158)</f>
        <v/>
      </c>
      <c r="AA159" s="228">
        <f>SUM(AA146:AA158)</f>
        <v/>
      </c>
      <c r="AB159" s="228">
        <f>SUM(AB146:AB158)</f>
        <v/>
      </c>
      <c r="AC159" s="228">
        <f>SUM(AC146:AC158)</f>
        <v/>
      </c>
      <c r="AD159" s="228">
        <f>SUM(AD146:AD158)</f>
        <v/>
      </c>
      <c r="AE159" s="158">
        <f>SUM(S159:AD159)</f>
        <v/>
      </c>
      <c r="AF159" s="158">
        <f>SUM(AF146:AF158)</f>
        <v/>
      </c>
      <c r="AG159" s="158">
        <f>SUM(AG146:AG158)</f>
        <v/>
      </c>
      <c r="AH159" s="158">
        <f>SUM(AH146:AH158)</f>
        <v/>
      </c>
    </row>
    <row r="160" ht="8.25" customHeight="1" s="277">
      <c r="A160" s="333" t="n"/>
      <c r="B160" s="334" t="inlineStr">
        <is>
          <t>% of Sales</t>
        </is>
      </c>
      <c r="C160" s="154" t="n"/>
      <c r="D160" s="154" t="n"/>
      <c r="E160" s="154" t="n"/>
      <c r="F160" s="335">
        <f>IF(F$93&gt;0,F159/F$93,0)</f>
        <v/>
      </c>
      <c r="G160" s="335">
        <f>IF(G$93&gt;0,G159/G$93,0)</f>
        <v/>
      </c>
      <c r="H160" s="335">
        <f>IF(H$93&gt;0,H159/H$93,0)</f>
        <v/>
      </c>
      <c r="I160" s="335">
        <f>IF(I$93&gt;0,I159/I$93,0)</f>
        <v/>
      </c>
      <c r="J160" s="335">
        <f>IF(J$93&gt;0,J159/J$93,0)</f>
        <v/>
      </c>
      <c r="K160" s="335">
        <f>IF(K$93&gt;0,K159/K$93,0)</f>
        <v/>
      </c>
      <c r="L160" s="335">
        <f>IF(L$93&gt;0,L159/L$93,0)</f>
        <v/>
      </c>
      <c r="M160" s="335">
        <f>IF(M$93&gt;0,M159/M$93,0)</f>
        <v/>
      </c>
      <c r="N160" s="335">
        <f>IF(N$93&gt;0,N159/N$93,0)</f>
        <v/>
      </c>
      <c r="O160" s="335">
        <f>IF(O$93&gt;0,O159/O$93,0)</f>
        <v/>
      </c>
      <c r="P160" s="335">
        <f>IF(P$93&gt;0,P159/P$93,0)</f>
        <v/>
      </c>
      <c r="Q160" s="335">
        <f>IF(Q$93&gt;0,Q159/Q$93,0)</f>
        <v/>
      </c>
      <c r="R160" s="336">
        <f>IF(R$93&gt;0,R159/R$93,0)</f>
        <v/>
      </c>
      <c r="S160" s="335">
        <f>IF(S$93&gt;0,S159/S$93,0)</f>
        <v/>
      </c>
      <c r="T160" s="335">
        <f>IF(T$93&gt;0,T159/T$93,0)</f>
        <v/>
      </c>
      <c r="U160" s="335">
        <f>IF(U$93&gt;0,U159/U$93,0)</f>
        <v/>
      </c>
      <c r="V160" s="335">
        <f>IF(V$93&gt;0,V159/V$93,0)</f>
        <v/>
      </c>
      <c r="W160" s="335">
        <f>IF(W$93&gt;0,W159/W$93,0)</f>
        <v/>
      </c>
      <c r="X160" s="335">
        <f>IF(X$93&gt;0,X159/X$93,0)</f>
        <v/>
      </c>
      <c r="Y160" s="335">
        <f>IF(Y$93&gt;0,Y159/Y$93,0)</f>
        <v/>
      </c>
      <c r="Z160" s="335">
        <f>IF(Z$93&gt;0,Z159/Z$93,0)</f>
        <v/>
      </c>
      <c r="AA160" s="335">
        <f>IF(AA$93&gt;0,AA159/AA$93,0)</f>
        <v/>
      </c>
      <c r="AB160" s="335">
        <f>IF(AB$93&gt;0,AB159/AB$93,0)</f>
        <v/>
      </c>
      <c r="AC160" s="335">
        <f>IF(AC$93&gt;0,AC159/AC$93,0)</f>
        <v/>
      </c>
      <c r="AD160" s="335">
        <f>IF(AD$93&gt;0,AD159/AD$93,0)</f>
        <v/>
      </c>
      <c r="AE160" s="336">
        <f>IF(AE$93&gt;0,AE159/AE$93,0)</f>
        <v/>
      </c>
      <c r="AF160" s="336">
        <f>IF(AF$93&gt;0,AF159/AF$93,0)</f>
        <v/>
      </c>
      <c r="AG160" s="336">
        <f>IF(AG$93&gt;0,AG159/AG$93,0)</f>
        <v/>
      </c>
      <c r="AH160" s="336">
        <f>IF(AH$93&gt;0,AH159/AH$93,0)</f>
        <v/>
      </c>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f>F118+F130+F141+F159</f>
        <v/>
      </c>
      <c r="G162" s="228">
        <f>G118+G130+G141+G159</f>
        <v/>
      </c>
      <c r="H162" s="228">
        <f>H118+H130+H141+H159</f>
        <v/>
      </c>
      <c r="I162" s="228">
        <f>I118+I130+I141+I159</f>
        <v/>
      </c>
      <c r="J162" s="228">
        <f>J118+J130+J141+J159</f>
        <v/>
      </c>
      <c r="K162" s="228">
        <f>K118+K130+K141+K159</f>
        <v/>
      </c>
      <c r="L162" s="228">
        <f>L118+L130+L141+L159</f>
        <v/>
      </c>
      <c r="M162" s="228">
        <f>M118+M130+M141+M159</f>
        <v/>
      </c>
      <c r="N162" s="228">
        <f>N118+N130+N141+N159</f>
        <v/>
      </c>
      <c r="O162" s="228">
        <f>O118+O130+O141+O159</f>
        <v/>
      </c>
      <c r="P162" s="228">
        <f>P118+P130+P141+P159</f>
        <v/>
      </c>
      <c r="Q162" s="228">
        <f>Q118+Q130+Q141+Q159</f>
        <v/>
      </c>
      <c r="R162" s="158">
        <f>SUM(F162:Q162)</f>
        <v/>
      </c>
      <c r="S162" s="228">
        <f>S118+S130+S141+S159</f>
        <v/>
      </c>
      <c r="T162" s="228">
        <f>T118+T130+T141+T159</f>
        <v/>
      </c>
      <c r="U162" s="228">
        <f>U118+U130+U141+U159</f>
        <v/>
      </c>
      <c r="V162" s="228">
        <f>V118+V130+V141+V159</f>
        <v/>
      </c>
      <c r="W162" s="228">
        <f>W118+W130+W141+W159</f>
        <v/>
      </c>
      <c r="X162" s="228">
        <f>X118+X130+X141+X159</f>
        <v/>
      </c>
      <c r="Y162" s="228">
        <f>Y118+Y130+Y141+Y159</f>
        <v/>
      </c>
      <c r="Z162" s="228">
        <f>Z118+Z130+Z141+Z159</f>
        <v/>
      </c>
      <c r="AA162" s="228">
        <f>AA118+AA130+AA141+AA159</f>
        <v/>
      </c>
      <c r="AB162" s="228">
        <f>AB118+AB130+AB141+AB159</f>
        <v/>
      </c>
      <c r="AC162" s="228">
        <f>AC118+AC130+AC141+AC159</f>
        <v/>
      </c>
      <c r="AD162" s="228">
        <f>AD118+AD130+AD141+AD159</f>
        <v/>
      </c>
      <c r="AE162" s="158">
        <f>SUM(S162:AD162)</f>
        <v/>
      </c>
      <c r="AF162" s="158">
        <f>AF118+AF130+AF141+AF159</f>
        <v/>
      </c>
      <c r="AG162" s="158">
        <f>AG118+AG130+AG141+AG159</f>
        <v/>
      </c>
      <c r="AH162" s="158">
        <f>AH118+AH130+AH141+AH159</f>
        <v/>
      </c>
    </row>
    <row r="163" ht="8.25" customHeight="1" s="277">
      <c r="A163" s="333" t="n"/>
      <c r="B163" s="334" t="inlineStr">
        <is>
          <t>% of Sales</t>
        </is>
      </c>
      <c r="C163" s="154" t="n"/>
      <c r="D163" s="154" t="n"/>
      <c r="E163" s="154" t="n"/>
      <c r="F163" s="335">
        <f>IF(F$93&gt;0,F162/F$93,0)</f>
        <v/>
      </c>
      <c r="G163" s="335">
        <f>IF(G$93&gt;0,G162/G$93,0)</f>
        <v/>
      </c>
      <c r="H163" s="335">
        <f>IF(H$93&gt;0,H162/H$93,0)</f>
        <v/>
      </c>
      <c r="I163" s="335">
        <f>IF(I$93&gt;0,I162/I$93,0)</f>
        <v/>
      </c>
      <c r="J163" s="335">
        <f>IF(J$93&gt;0,J162/J$93,0)</f>
        <v/>
      </c>
      <c r="K163" s="335">
        <f>IF(K$93&gt;0,K162/K$93,0)</f>
        <v/>
      </c>
      <c r="L163" s="335">
        <f>IF(L$93&gt;0,L162/L$93,0)</f>
        <v/>
      </c>
      <c r="M163" s="335">
        <f>IF(M$93&gt;0,M162/M$93,0)</f>
        <v/>
      </c>
      <c r="N163" s="335">
        <f>IF(N$93&gt;0,N162/N$93,0)</f>
        <v/>
      </c>
      <c r="O163" s="335">
        <f>IF(O$93&gt;0,O162/O$93,0)</f>
        <v/>
      </c>
      <c r="P163" s="335">
        <f>IF(P$93&gt;0,P162/P$93,0)</f>
        <v/>
      </c>
      <c r="Q163" s="335">
        <f>IF(Q$93&gt;0,Q162/Q$93,0)</f>
        <v/>
      </c>
      <c r="R163" s="336">
        <f>IF(R$93&gt;0,R162/R$93,0)</f>
        <v/>
      </c>
      <c r="S163" s="335">
        <f>IF(S$93&gt;0,S162/S$93,0)</f>
        <v/>
      </c>
      <c r="T163" s="335">
        <f>IF(T$93&gt;0,T162/T$93,0)</f>
        <v/>
      </c>
      <c r="U163" s="335">
        <f>IF(U$93&gt;0,U162/U$93,0)</f>
        <v/>
      </c>
      <c r="V163" s="335">
        <f>IF(V$93&gt;0,V162/V$93,0)</f>
        <v/>
      </c>
      <c r="W163" s="335">
        <f>IF(W$93&gt;0,W162/W$93,0)</f>
        <v/>
      </c>
      <c r="X163" s="335">
        <f>IF(X$93&gt;0,X162/X$93,0)</f>
        <v/>
      </c>
      <c r="Y163" s="335">
        <f>IF(Y$93&gt;0,Y162/Y$93,0)</f>
        <v/>
      </c>
      <c r="Z163" s="335">
        <f>IF(Z$93&gt;0,Z162/Z$93,0)</f>
        <v/>
      </c>
      <c r="AA163" s="335">
        <f>IF(AA$93&gt;0,AA162/AA$93,0)</f>
        <v/>
      </c>
      <c r="AB163" s="335">
        <f>IF(AB$93&gt;0,AB162/AB$93,0)</f>
        <v/>
      </c>
      <c r="AC163" s="335">
        <f>IF(AC$93&gt;0,AC162/AC$93,0)</f>
        <v/>
      </c>
      <c r="AD163" s="335">
        <f>IF(AD$93&gt;0,AD162/AD$93,0)</f>
        <v/>
      </c>
      <c r="AE163" s="336">
        <f>IF(AE$93&gt;0,AE162/AE$93,0)</f>
        <v/>
      </c>
      <c r="AF163" s="336">
        <f>IF(AF$93&gt;0,AF162/AF$93,0)</f>
        <v/>
      </c>
      <c r="AG163" s="336">
        <f>IF(AG$93&gt;0,AG162/AG$93,0)</f>
        <v/>
      </c>
      <c r="AH163" s="336">
        <f>IF(AH$93&gt;0,AH162/AH$93,0)</f>
        <v/>
      </c>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f>F103-F162</f>
        <v/>
      </c>
      <c r="G165" s="228">
        <f>G103-G162</f>
        <v/>
      </c>
      <c r="H165" s="228">
        <f>H103-H162</f>
        <v/>
      </c>
      <c r="I165" s="228">
        <f>I103-I162</f>
        <v/>
      </c>
      <c r="J165" s="228">
        <f>J103-J162</f>
        <v/>
      </c>
      <c r="K165" s="228">
        <f>K103-K162</f>
        <v/>
      </c>
      <c r="L165" s="228">
        <f>L103-L162</f>
        <v/>
      </c>
      <c r="M165" s="228">
        <f>M103-M162</f>
        <v/>
      </c>
      <c r="N165" s="228">
        <f>N103-N162</f>
        <v/>
      </c>
      <c r="O165" s="228">
        <f>O103-O162</f>
        <v/>
      </c>
      <c r="P165" s="228">
        <f>P103-P162</f>
        <v/>
      </c>
      <c r="Q165" s="228">
        <f>Q103-Q162</f>
        <v/>
      </c>
      <c r="R165" s="158">
        <f>SUM(F165:Q165)</f>
        <v/>
      </c>
      <c r="S165" s="228">
        <f>S103-S162</f>
        <v/>
      </c>
      <c r="T165" s="228">
        <f>T103-T162</f>
        <v/>
      </c>
      <c r="U165" s="228">
        <f>U103-U162</f>
        <v/>
      </c>
      <c r="V165" s="228">
        <f>V103-V162</f>
        <v/>
      </c>
      <c r="W165" s="228">
        <f>W103-W162</f>
        <v/>
      </c>
      <c r="X165" s="228">
        <f>X103-X162</f>
        <v/>
      </c>
      <c r="Y165" s="228">
        <f>Y103-Y162</f>
        <v/>
      </c>
      <c r="Z165" s="228">
        <f>Z103-Z162</f>
        <v/>
      </c>
      <c r="AA165" s="228">
        <f>AA103-AA162</f>
        <v/>
      </c>
      <c r="AB165" s="228">
        <f>AB103-AB162</f>
        <v/>
      </c>
      <c r="AC165" s="228">
        <f>AC103-AC162</f>
        <v/>
      </c>
      <c r="AD165" s="228">
        <f>AD103-AD162</f>
        <v/>
      </c>
      <c r="AE165" s="158">
        <f>SUM(S165:AD165)</f>
        <v/>
      </c>
      <c r="AF165" s="158">
        <f>AF103-AF162</f>
        <v/>
      </c>
      <c r="AG165" s="158">
        <f>AG103-AG162</f>
        <v/>
      </c>
      <c r="AH165" s="158">
        <f>AH103-AH162</f>
        <v/>
      </c>
    </row>
    <row r="166" ht="8.25" customHeight="1" s="277">
      <c r="A166" s="333" t="n"/>
      <c r="B166" s="334" t="inlineStr">
        <is>
          <t>% of Sales</t>
        </is>
      </c>
      <c r="C166" s="154" t="n"/>
      <c r="D166" s="154" t="n"/>
      <c r="E166" s="154" t="n"/>
      <c r="F166" s="335">
        <f>IF(F$93&gt;0,F165/F$93,0)</f>
        <v/>
      </c>
      <c r="G166" s="335">
        <f>IF(G$93&gt;0,G165/G$93,0)</f>
        <v/>
      </c>
      <c r="H166" s="335">
        <f>IF(H$93&gt;0,H165/H$93,0)</f>
        <v/>
      </c>
      <c r="I166" s="335">
        <f>IF(I$93&gt;0,I165/I$93,0)</f>
        <v/>
      </c>
      <c r="J166" s="335">
        <f>IF(J$93&gt;0,J165/J$93,0)</f>
        <v/>
      </c>
      <c r="K166" s="335">
        <f>IF(K$93&gt;0,K165/K$93,0)</f>
        <v/>
      </c>
      <c r="L166" s="335">
        <f>IF(L$93&gt;0,L165/L$93,0)</f>
        <v/>
      </c>
      <c r="M166" s="335">
        <f>IF(M$93&gt;0,M165/M$93,0)</f>
        <v/>
      </c>
      <c r="N166" s="335">
        <f>IF(N$93&gt;0,N165/N$93,0)</f>
        <v/>
      </c>
      <c r="O166" s="335">
        <f>IF(O$93&gt;0,O165/O$93,0)</f>
        <v/>
      </c>
      <c r="P166" s="335">
        <f>IF(P$93&gt;0,P165/P$93,0)</f>
        <v/>
      </c>
      <c r="Q166" s="335">
        <f>IF(Q$93&gt;0,Q165/Q$93,0)</f>
        <v/>
      </c>
      <c r="R166" s="336">
        <f>IF(R$93&gt;0,R165/R$93,0)</f>
        <v/>
      </c>
      <c r="S166" s="335">
        <f>IF(S$93&gt;0,S165/S$93,0)</f>
        <v/>
      </c>
      <c r="T166" s="335">
        <f>IF(T$93&gt;0,T165/T$93,0)</f>
        <v/>
      </c>
      <c r="U166" s="335">
        <f>IF(U$93&gt;0,U165/U$93,0)</f>
        <v/>
      </c>
      <c r="V166" s="335">
        <f>IF(V$93&gt;0,V165/V$93,0)</f>
        <v/>
      </c>
      <c r="W166" s="335">
        <f>IF(W$93&gt;0,W165/W$93,0)</f>
        <v/>
      </c>
      <c r="X166" s="335">
        <f>IF(X$93&gt;0,X165/X$93,0)</f>
        <v/>
      </c>
      <c r="Y166" s="335">
        <f>IF(Y$93&gt;0,Y165/Y$93,0)</f>
        <v/>
      </c>
      <c r="Z166" s="335">
        <f>IF(Z$93&gt;0,Z165/Z$93,0)</f>
        <v/>
      </c>
      <c r="AA166" s="335">
        <f>IF(AA$93&gt;0,AA165/AA$93,0)</f>
        <v/>
      </c>
      <c r="AB166" s="335">
        <f>IF(AB$93&gt;0,AB165/AB$93,0)</f>
        <v/>
      </c>
      <c r="AC166" s="335">
        <f>IF(AC$93&gt;0,AC165/AC$93,0)</f>
        <v/>
      </c>
      <c r="AD166" s="335">
        <f>IF(AD$93&gt;0,AD165/AD$93,0)</f>
        <v/>
      </c>
      <c r="AE166" s="336">
        <f>IF(AE$93&gt;0,AE165/AE$93,0)</f>
        <v/>
      </c>
      <c r="AF166" s="336">
        <f>IF(AF$93&gt;0,AF165/AF$93,0)</f>
        <v/>
      </c>
      <c r="AG166" s="336">
        <f>IF(AG$93&gt;0,AG165/AG$93,0)</f>
        <v/>
      </c>
      <c r="AH166" s="336">
        <f>IF(AH$93&gt;0,AH165/AH$93,0)</f>
        <v/>
      </c>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f>"Interest Revenue ("&amp;$C169*100&amp;"% of cash)"</f>
        <v/>
      </c>
      <c r="C169" s="343">
        <f>Assumptions!I110</f>
        <v/>
      </c>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f>SUM(F169:Q169)</f>
        <v/>
      </c>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f>SUM(S169:AD169)</f>
        <v/>
      </c>
      <c r="AF169" s="172" t="n">
        <v>0</v>
      </c>
      <c r="AG169" s="172" t="n">
        <v>0</v>
      </c>
      <c r="AH169" s="172" t="n">
        <v>0</v>
      </c>
    </row>
    <row r="170" ht="8.25" customHeight="1" s="277">
      <c r="A170" s="224" t="n"/>
      <c r="B170" s="225">
        <f>"Interest Expense ("&amp;$C170*100&amp;"% of Credit Line)"</f>
        <v/>
      </c>
      <c r="C170" s="343">
        <f>Assumptions!I111</f>
        <v/>
      </c>
      <c r="D170" s="154" t="n"/>
      <c r="E170" s="154" t="n"/>
      <c r="F170" s="154">
        <f>$C170*F218/12</f>
        <v/>
      </c>
      <c r="G170" s="154">
        <f>$C170*G218/12</f>
        <v/>
      </c>
      <c r="H170" s="154">
        <f>$C170*H218/12</f>
        <v/>
      </c>
      <c r="I170" s="154">
        <f>$C170*I218/12</f>
        <v/>
      </c>
      <c r="J170" s="154">
        <f>$C170*J218/12</f>
        <v/>
      </c>
      <c r="K170" s="154">
        <f>$C170*K218/12</f>
        <v/>
      </c>
      <c r="L170" s="154">
        <f>$C170*L218/12</f>
        <v/>
      </c>
      <c r="M170" s="154">
        <f>$C170*M218/12</f>
        <v/>
      </c>
      <c r="N170" s="154">
        <f>$C170*N218/12</f>
        <v/>
      </c>
      <c r="O170" s="154">
        <f>$C170*O218/12</f>
        <v/>
      </c>
      <c r="P170" s="154">
        <f>$C170*P218/12</f>
        <v/>
      </c>
      <c r="Q170" s="154">
        <f>$C170*Q218/12</f>
        <v/>
      </c>
      <c r="R170" s="229">
        <f>SUM(F170:Q170)</f>
        <v/>
      </c>
      <c r="S170" s="154">
        <f>$C170*S218/12</f>
        <v/>
      </c>
      <c r="T170" s="154">
        <f>$C170*T218/12</f>
        <v/>
      </c>
      <c r="U170" s="154">
        <f>$C170*U218/12</f>
        <v/>
      </c>
      <c r="V170" s="154">
        <f>$C170*V218/12</f>
        <v/>
      </c>
      <c r="W170" s="154">
        <f>$C170*W218/12</f>
        <v/>
      </c>
      <c r="X170" s="154">
        <f>$C170*X218/12</f>
        <v/>
      </c>
      <c r="Y170" s="154">
        <f>$C170*Y218/12</f>
        <v/>
      </c>
      <c r="Z170" s="154">
        <f>$C170*Z218/12</f>
        <v/>
      </c>
      <c r="AA170" s="154">
        <f>$C170*AA218/12</f>
        <v/>
      </c>
      <c r="AB170" s="154">
        <f>$C170*AB218/12</f>
        <v/>
      </c>
      <c r="AC170" s="154">
        <f>$C170*AC218/12</f>
        <v/>
      </c>
      <c r="AD170" s="154">
        <f>$C170*AD218/12</f>
        <v/>
      </c>
      <c r="AE170" s="229">
        <f>SUM(S170:AD170)</f>
        <v/>
      </c>
      <c r="AF170" s="229">
        <f>$C170*AF218</f>
        <v/>
      </c>
      <c r="AG170" s="229">
        <f>$C170*AG218</f>
        <v/>
      </c>
      <c r="AH170" s="229">
        <f>$C170*AH218</f>
        <v/>
      </c>
    </row>
    <row r="171" ht="8.25" customHeight="1" s="277">
      <c r="A171" s="224" t="n"/>
      <c r="B171" s="225">
        <f>"Interest Expense - ("&amp;$C171*100&amp;"% of Cap. Equip. Lease)"</f>
        <v/>
      </c>
      <c r="C171" s="343">
        <f>Assumptions!I112</f>
        <v/>
      </c>
      <c r="D171" s="154" t="n"/>
      <c r="E171" s="154" t="n"/>
      <c r="F171" s="154">
        <f>$C171*F224/12</f>
        <v/>
      </c>
      <c r="G171" s="154">
        <f>$C171*G224/12</f>
        <v/>
      </c>
      <c r="H171" s="154">
        <f>$C171*H224/12</f>
        <v/>
      </c>
      <c r="I171" s="154">
        <f>$C171*I224/12</f>
        <v/>
      </c>
      <c r="J171" s="154">
        <f>$C171*J224/12</f>
        <v/>
      </c>
      <c r="K171" s="154">
        <f>$C171*K224/12</f>
        <v/>
      </c>
      <c r="L171" s="154">
        <f>$C171*L224/12</f>
        <v/>
      </c>
      <c r="M171" s="154">
        <f>$C171*M224/12</f>
        <v/>
      </c>
      <c r="N171" s="154">
        <f>$C171*N224/12</f>
        <v/>
      </c>
      <c r="O171" s="154">
        <f>$C171*O224/12</f>
        <v/>
      </c>
      <c r="P171" s="154">
        <f>$C171*P224/12</f>
        <v/>
      </c>
      <c r="Q171" s="154">
        <f>$C171*Q224/12</f>
        <v/>
      </c>
      <c r="R171" s="229">
        <f>SUM(F171:Q171)</f>
        <v/>
      </c>
      <c r="S171" s="154">
        <f>$C171*S224/12</f>
        <v/>
      </c>
      <c r="T171" s="154">
        <f>$C171*T224/12</f>
        <v/>
      </c>
      <c r="U171" s="154">
        <f>$C171*U224/12</f>
        <v/>
      </c>
      <c r="V171" s="154">
        <f>$C171*V224/12</f>
        <v/>
      </c>
      <c r="W171" s="154">
        <f>$C171*W224/12</f>
        <v/>
      </c>
      <c r="X171" s="154">
        <f>$C171*X224/12</f>
        <v/>
      </c>
      <c r="Y171" s="154">
        <f>$C171*Y224/12</f>
        <v/>
      </c>
      <c r="Z171" s="154">
        <f>$C171*Z224/12</f>
        <v/>
      </c>
      <c r="AA171" s="154">
        <f>$C171*AA224/12</f>
        <v/>
      </c>
      <c r="AB171" s="154">
        <f>$C171*AB224/12</f>
        <v/>
      </c>
      <c r="AC171" s="154">
        <f>$C171*AC224/12</f>
        <v/>
      </c>
      <c r="AD171" s="154">
        <f>$C171*AD224/12</f>
        <v/>
      </c>
      <c r="AE171" s="229">
        <f>SUM(S171:AD171)</f>
        <v/>
      </c>
      <c r="AF171" s="229">
        <f>$C171*AF224/12</f>
        <v/>
      </c>
      <c r="AG171" s="229">
        <f>$C171*AG224/12</f>
        <v/>
      </c>
      <c r="AH171" s="229">
        <f>$C171*AH224/12</f>
        <v/>
      </c>
    </row>
    <row r="172" ht="8.25" customHeight="1" s="277">
      <c r="A172" s="224" t="n"/>
      <c r="B172" s="225">
        <f>"Interest Expense - ("&amp;$C172*100&amp;"% of Long Term Debt)"</f>
        <v/>
      </c>
      <c r="C172" s="343">
        <f>Assumptions!I113</f>
        <v/>
      </c>
      <c r="D172" s="154" t="n"/>
      <c r="E172" s="154" t="n"/>
      <c r="F172" s="154">
        <f>$C172*F225/12</f>
        <v/>
      </c>
      <c r="G172" s="154">
        <f>$C172*G225/12</f>
        <v/>
      </c>
      <c r="H172" s="154">
        <f>$C172*H225/12</f>
        <v/>
      </c>
      <c r="I172" s="154">
        <f>$C172*I225/12</f>
        <v/>
      </c>
      <c r="J172" s="154">
        <f>$C172*J225/12</f>
        <v/>
      </c>
      <c r="K172" s="154">
        <f>$C172*K225/12</f>
        <v/>
      </c>
      <c r="L172" s="154">
        <f>$C172*L225/12</f>
        <v/>
      </c>
      <c r="M172" s="154">
        <f>$C172*M225/12</f>
        <v/>
      </c>
      <c r="N172" s="154">
        <f>$C172*N225/12</f>
        <v/>
      </c>
      <c r="O172" s="154">
        <f>$C172*O225/12</f>
        <v/>
      </c>
      <c r="P172" s="154">
        <f>$C172*P225/12</f>
        <v/>
      </c>
      <c r="Q172" s="154">
        <f>$C172*Q225/12</f>
        <v/>
      </c>
      <c r="R172" s="229">
        <f>SUM(F172:Q172)</f>
        <v/>
      </c>
      <c r="S172" s="154">
        <f>$C172*S225/12</f>
        <v/>
      </c>
      <c r="T172" s="154">
        <f>$C172*T225/12</f>
        <v/>
      </c>
      <c r="U172" s="154">
        <f>$C172*U225/12</f>
        <v/>
      </c>
      <c r="V172" s="154">
        <f>$C172*V225/12</f>
        <v/>
      </c>
      <c r="W172" s="154">
        <f>$C172*W225/12</f>
        <v/>
      </c>
      <c r="X172" s="154">
        <f>$C172*X225/12</f>
        <v/>
      </c>
      <c r="Y172" s="154">
        <f>$C172*Y225/12</f>
        <v/>
      </c>
      <c r="Z172" s="154">
        <f>$C172*Z225/12</f>
        <v/>
      </c>
      <c r="AA172" s="154">
        <f>$C172*AA225/12</f>
        <v/>
      </c>
      <c r="AB172" s="154">
        <f>$C172*AB225/12</f>
        <v/>
      </c>
      <c r="AC172" s="154">
        <f>$C172*AC225/12</f>
        <v/>
      </c>
      <c r="AD172" s="154">
        <f>$C172*AD225/12</f>
        <v/>
      </c>
      <c r="AE172" s="229">
        <f>SUM(S172:AD172)</f>
        <v/>
      </c>
      <c r="AF172" s="229">
        <f>$C172*AF225</f>
        <v/>
      </c>
      <c r="AG172" s="229">
        <f>$C172*AG225</f>
        <v/>
      </c>
      <c r="AH172" s="229">
        <f>$C172*AH225</f>
        <v/>
      </c>
    </row>
    <row r="173" ht="8.25" customHeight="1" s="277">
      <c r="A173" s="139" t="inlineStr">
        <is>
          <t>Net Interest Revenue</t>
        </is>
      </c>
      <c r="B173" s="156" t="n"/>
      <c r="C173" s="228" t="n"/>
      <c r="D173" s="228" t="n"/>
      <c r="E173" s="228" t="n"/>
      <c r="F173" s="228">
        <f>F169-SUM(F170:F172)</f>
        <v/>
      </c>
      <c r="G173" s="228">
        <f>G169-SUM(G170:G172)</f>
        <v/>
      </c>
      <c r="H173" s="228">
        <f>H169-SUM(H170:H172)</f>
        <v/>
      </c>
      <c r="I173" s="228">
        <f>I169-SUM(I170:I172)</f>
        <v/>
      </c>
      <c r="J173" s="228">
        <f>J169-SUM(J170:J172)</f>
        <v/>
      </c>
      <c r="K173" s="228">
        <f>K169-SUM(K170:K172)</f>
        <v/>
      </c>
      <c r="L173" s="228">
        <f>L169-SUM(L170:L172)</f>
        <v/>
      </c>
      <c r="M173" s="228">
        <f>M169-SUM(M170:M172)</f>
        <v/>
      </c>
      <c r="N173" s="228">
        <f>N169-SUM(N170:N172)</f>
        <v/>
      </c>
      <c r="O173" s="228">
        <f>O169-SUM(O170:O172)</f>
        <v/>
      </c>
      <c r="P173" s="228">
        <f>P169-SUM(P170:P172)</f>
        <v/>
      </c>
      <c r="Q173" s="228">
        <f>Q169-SUM(Q170:Q172)</f>
        <v/>
      </c>
      <c r="R173" s="158">
        <f>SUM(F173:Q173)</f>
        <v/>
      </c>
      <c r="S173" s="228">
        <f>S169-SUM(S170:S172)</f>
        <v/>
      </c>
      <c r="T173" s="228">
        <f>T169-SUM(T170:T172)</f>
        <v/>
      </c>
      <c r="U173" s="228">
        <f>U169-SUM(U170:U172)</f>
        <v/>
      </c>
      <c r="V173" s="228">
        <f>V169-SUM(V170:V172)</f>
        <v/>
      </c>
      <c r="W173" s="228">
        <f>W169-SUM(W170:W172)</f>
        <v/>
      </c>
      <c r="X173" s="228">
        <f>X169-SUM(X170:X172)</f>
        <v/>
      </c>
      <c r="Y173" s="228">
        <f>Y169-SUM(Y170:Y172)</f>
        <v/>
      </c>
      <c r="Z173" s="228">
        <f>Z169-SUM(Z170:Z172)</f>
        <v/>
      </c>
      <c r="AA173" s="228">
        <f>AA169-SUM(AA170:AA172)</f>
        <v/>
      </c>
      <c r="AB173" s="228">
        <f>AB169-SUM(AB170:AB172)</f>
        <v/>
      </c>
      <c r="AC173" s="228">
        <f>AC169-SUM(AC170:AC172)</f>
        <v/>
      </c>
      <c r="AD173" s="228">
        <f>AD169-SUM(AD170:AD172)</f>
        <v/>
      </c>
      <c r="AE173" s="158">
        <f>SUM(S173:AD173)</f>
        <v/>
      </c>
      <c r="AF173" s="158">
        <f>AF169-SUM(AF170:AF172)</f>
        <v/>
      </c>
      <c r="AG173" s="158">
        <f>AG169-SUM(AG170:AG172)</f>
        <v/>
      </c>
      <c r="AH173" s="158">
        <f>AH169-SUM(AH170:AH172)</f>
        <v/>
      </c>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f>F165+F173</f>
        <v/>
      </c>
      <c r="G175" s="228">
        <f>G165+G173</f>
        <v/>
      </c>
      <c r="H175" s="228">
        <f>H165+H173</f>
        <v/>
      </c>
      <c r="I175" s="228">
        <f>I165+I173</f>
        <v/>
      </c>
      <c r="J175" s="228">
        <f>J165+J173</f>
        <v/>
      </c>
      <c r="K175" s="228">
        <f>K165+K173</f>
        <v/>
      </c>
      <c r="L175" s="228">
        <f>L165+L173</f>
        <v/>
      </c>
      <c r="M175" s="228">
        <f>M165+M173</f>
        <v/>
      </c>
      <c r="N175" s="228">
        <f>N165+N173</f>
        <v/>
      </c>
      <c r="O175" s="228">
        <f>O165+O173</f>
        <v/>
      </c>
      <c r="P175" s="228">
        <f>P165+P173</f>
        <v/>
      </c>
      <c r="Q175" s="228">
        <f>Q165+Q173</f>
        <v/>
      </c>
      <c r="R175" s="158">
        <f>SUM(F175:Q175)</f>
        <v/>
      </c>
      <c r="S175" s="228">
        <f>S165+S173</f>
        <v/>
      </c>
      <c r="T175" s="228">
        <f>T165+T173</f>
        <v/>
      </c>
      <c r="U175" s="228">
        <f>U165+U173</f>
        <v/>
      </c>
      <c r="V175" s="228">
        <f>V165+V173</f>
        <v/>
      </c>
      <c r="W175" s="228">
        <f>W165+W173</f>
        <v/>
      </c>
      <c r="X175" s="228">
        <f>X165+X173</f>
        <v/>
      </c>
      <c r="Y175" s="228">
        <f>Y165+Y173</f>
        <v/>
      </c>
      <c r="Z175" s="228">
        <f>Z165+Z173</f>
        <v/>
      </c>
      <c r="AA175" s="228">
        <f>AA165+AA173</f>
        <v/>
      </c>
      <c r="AB175" s="228">
        <f>AB165+AB173</f>
        <v/>
      </c>
      <c r="AC175" s="228">
        <f>AC165+AC173</f>
        <v/>
      </c>
      <c r="AD175" s="228">
        <f>AD165+AD173</f>
        <v/>
      </c>
      <c r="AE175" s="158">
        <f>SUM(S175:AD175)</f>
        <v/>
      </c>
      <c r="AF175" s="158">
        <f>AF165+AF173</f>
        <v/>
      </c>
      <c r="AG175" s="158">
        <f>AG165+AG173</f>
        <v/>
      </c>
      <c r="AH175" s="158">
        <f>AH165+AH173</f>
        <v/>
      </c>
    </row>
    <row r="176" ht="8.25" customHeight="1" s="277">
      <c r="A176" s="224" t="n"/>
      <c r="B176" s="225" t="inlineStr">
        <is>
          <t>Tax Exp</t>
        </is>
      </c>
      <c r="C176" s="154" t="n"/>
      <c r="D176" s="154" t="n"/>
      <c r="E176" s="154" t="n"/>
      <c r="F176" s="154">
        <f>F619</f>
        <v/>
      </c>
      <c r="G176" s="154">
        <f>G619</f>
        <v/>
      </c>
      <c r="H176" s="154">
        <f>H619</f>
        <v/>
      </c>
      <c r="I176" s="154">
        <f>I619</f>
        <v/>
      </c>
      <c r="J176" s="154">
        <f>J619</f>
        <v/>
      </c>
      <c r="K176" s="154">
        <f>K619</f>
        <v/>
      </c>
      <c r="L176" s="154">
        <f>L619</f>
        <v/>
      </c>
      <c r="M176" s="154">
        <f>M619</f>
        <v/>
      </c>
      <c r="N176" s="154">
        <f>N619</f>
        <v/>
      </c>
      <c r="O176" s="154">
        <f>O619</f>
        <v/>
      </c>
      <c r="P176" s="154">
        <f>P619</f>
        <v/>
      </c>
      <c r="Q176" s="154">
        <f>Q619</f>
        <v/>
      </c>
      <c r="R176" s="229">
        <f>SUM(F176:Q176)</f>
        <v/>
      </c>
      <c r="S176" s="154">
        <f>S619</f>
        <v/>
      </c>
      <c r="T176" s="154">
        <f>T619</f>
        <v/>
      </c>
      <c r="U176" s="154">
        <f>U619</f>
        <v/>
      </c>
      <c r="V176" s="154">
        <f>V619</f>
        <v/>
      </c>
      <c r="W176" s="154">
        <f>W619</f>
        <v/>
      </c>
      <c r="X176" s="154">
        <f>X619</f>
        <v/>
      </c>
      <c r="Y176" s="154">
        <f>Y619</f>
        <v/>
      </c>
      <c r="Z176" s="154">
        <f>Z619</f>
        <v/>
      </c>
      <c r="AA176" s="154">
        <f>AA619</f>
        <v/>
      </c>
      <c r="AB176" s="154">
        <f>AB619</f>
        <v/>
      </c>
      <c r="AC176" s="154">
        <f>AC619</f>
        <v/>
      </c>
      <c r="AD176" s="154">
        <f>AD619</f>
        <v/>
      </c>
      <c r="AE176" s="229">
        <f>SUM(S176:AD176)</f>
        <v/>
      </c>
      <c r="AF176" s="229">
        <f>AF619</f>
        <v/>
      </c>
      <c r="AG176" s="229">
        <f>AG619</f>
        <v/>
      </c>
      <c r="AH176" s="229">
        <f>AH619</f>
        <v/>
      </c>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f>F175-F176</f>
        <v/>
      </c>
      <c r="G178" s="228">
        <f>G175-G176</f>
        <v/>
      </c>
      <c r="H178" s="228">
        <f>H175-H176</f>
        <v/>
      </c>
      <c r="I178" s="228">
        <f>I175-I176</f>
        <v/>
      </c>
      <c r="J178" s="228">
        <f>J175-J176</f>
        <v/>
      </c>
      <c r="K178" s="228">
        <f>K175-K176</f>
        <v/>
      </c>
      <c r="L178" s="228">
        <f>L175-L176</f>
        <v/>
      </c>
      <c r="M178" s="228">
        <f>M175-M176</f>
        <v/>
      </c>
      <c r="N178" s="228">
        <f>N175-N176</f>
        <v/>
      </c>
      <c r="O178" s="228">
        <f>O175-O176</f>
        <v/>
      </c>
      <c r="P178" s="228">
        <f>P175-P176</f>
        <v/>
      </c>
      <c r="Q178" s="228">
        <f>Q175-Q176</f>
        <v/>
      </c>
      <c r="R178" s="158">
        <f>SUM(F178:Q178)</f>
        <v/>
      </c>
      <c r="S178" s="228">
        <f>S175-S176</f>
        <v/>
      </c>
      <c r="T178" s="228">
        <f>T175-T176</f>
        <v/>
      </c>
      <c r="U178" s="228">
        <f>U175-U176</f>
        <v/>
      </c>
      <c r="V178" s="228">
        <f>V175-V176</f>
        <v/>
      </c>
      <c r="W178" s="228">
        <f>W175-W176</f>
        <v/>
      </c>
      <c r="X178" s="228">
        <f>X175-X176</f>
        <v/>
      </c>
      <c r="Y178" s="228">
        <f>Y175-Y176</f>
        <v/>
      </c>
      <c r="Z178" s="228">
        <f>Z175-Z176</f>
        <v/>
      </c>
      <c r="AA178" s="228">
        <f>AA175-AA176</f>
        <v/>
      </c>
      <c r="AB178" s="228">
        <f>AB175-AB176</f>
        <v/>
      </c>
      <c r="AC178" s="228">
        <f>AC175-AC176</f>
        <v/>
      </c>
      <c r="AD178" s="228">
        <f>AD175-AD176</f>
        <v/>
      </c>
      <c r="AE178" s="158">
        <f>SUM(S178:AD178)</f>
        <v/>
      </c>
      <c r="AF178" s="158">
        <f>AF175-AF176</f>
        <v/>
      </c>
      <c r="AG178" s="158">
        <f>AG175-AG176</f>
        <v/>
      </c>
      <c r="AH178" s="158">
        <f>AH175-AH176</f>
        <v/>
      </c>
    </row>
    <row r="179" ht="8.25" customHeight="1" s="277">
      <c r="A179" s="333" t="n"/>
      <c r="B179" s="334" t="inlineStr">
        <is>
          <t>% of Sales</t>
        </is>
      </c>
      <c r="C179" s="154" t="n"/>
      <c r="D179" s="154" t="n"/>
      <c r="E179" s="154" t="n"/>
      <c r="F179" s="335">
        <f>IF(F$93&gt;0,F178/F$93,0)</f>
        <v/>
      </c>
      <c r="G179" s="335">
        <f>IF(G$93&gt;0,G178/G$93,0)</f>
        <v/>
      </c>
      <c r="H179" s="335">
        <f>IF(H$93&gt;0,H178/H$93,0)</f>
        <v/>
      </c>
      <c r="I179" s="335">
        <f>IF(I$93&gt;0,I178/I$93,0)</f>
        <v/>
      </c>
      <c r="J179" s="335">
        <f>IF(J$93&gt;0,J178/J$93,0)</f>
        <v/>
      </c>
      <c r="K179" s="335">
        <f>IF(K$93&gt;0,K178/K$93,0)</f>
        <v/>
      </c>
      <c r="L179" s="335">
        <f>IF(L$93&gt;0,L178/L$93,0)</f>
        <v/>
      </c>
      <c r="M179" s="335">
        <f>IF(M$93&gt;0,M178/M$93,0)</f>
        <v/>
      </c>
      <c r="N179" s="335">
        <f>IF(N$93&gt;0,N178/N$93,0)</f>
        <v/>
      </c>
      <c r="O179" s="335">
        <f>IF(O$93&gt;0,O178/O$93,0)</f>
        <v/>
      </c>
      <c r="P179" s="335">
        <f>IF(P$93&gt;0,P178/P$93,0)</f>
        <v/>
      </c>
      <c r="Q179" s="335">
        <f>IF(Q$93&gt;0,Q178/Q$93,0)</f>
        <v/>
      </c>
      <c r="R179" s="336">
        <f>IF(R$93&gt;0,R178/R$93,0)</f>
        <v/>
      </c>
      <c r="S179" s="335">
        <f>IF(S$93&gt;0,S178/S$93,0)</f>
        <v/>
      </c>
      <c r="T179" s="335">
        <f>IF(T$93&gt;0,T178/T$93,0)</f>
        <v/>
      </c>
      <c r="U179" s="335">
        <f>IF(U$93&gt;0,U178/U$93,0)</f>
        <v/>
      </c>
      <c r="V179" s="335">
        <f>IF(V$93&gt;0,V178/V$93,0)</f>
        <v/>
      </c>
      <c r="W179" s="335">
        <f>IF(W$93&gt;0,W178/W$93,0)</f>
        <v/>
      </c>
      <c r="X179" s="335">
        <f>IF(X$93&gt;0,X178/X$93,0)</f>
        <v/>
      </c>
      <c r="Y179" s="335">
        <f>IF(Y$93&gt;0,Y178/Y$93,0)</f>
        <v/>
      </c>
      <c r="Z179" s="335">
        <f>IF(Z$93&gt;0,Z178/Z$93,0)</f>
        <v/>
      </c>
      <c r="AA179" s="335">
        <f>IF(AA$93&gt;0,AA178/AA$93,0)</f>
        <v/>
      </c>
      <c r="AB179" s="335">
        <f>IF(AB$93&gt;0,AB178/AB$93,0)</f>
        <v/>
      </c>
      <c r="AC179" s="335">
        <f>IF(AC$93&gt;0,AC178/AC$93,0)</f>
        <v/>
      </c>
      <c r="AD179" s="335">
        <f>IF(AD$93&gt;0,AD178/AD$93,0)</f>
        <v/>
      </c>
      <c r="AE179" s="336">
        <f>IF(AE$93&gt;0,AE178/AE$93,0)</f>
        <v/>
      </c>
      <c r="AF179" s="336">
        <f>IF(AF$93&gt;0,AF178/AF$93,0)</f>
        <v/>
      </c>
      <c r="AG179" s="336">
        <f>IF(AG$93&gt;0,AG178/AG$93,0)</f>
        <v/>
      </c>
      <c r="AH179" s="336">
        <f>IF(AH$93&gt;0,AH178/AH$93,0)</f>
        <v/>
      </c>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f>$A$1</f>
        <v/>
      </c>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f>NOW()</f>
        <v/>
      </c>
      <c r="C183" s="230" t="n"/>
      <c r="D183" s="230" t="n"/>
      <c r="E183" s="230" t="inlineStr">
        <is>
          <t>Existing</t>
        </is>
      </c>
      <c r="F183" s="142">
        <f>F$7</f>
        <v/>
      </c>
      <c r="G183" s="142">
        <f>G$7</f>
        <v/>
      </c>
      <c r="H183" s="142">
        <f>H$7</f>
        <v/>
      </c>
      <c r="I183" s="142">
        <f>I$7</f>
        <v/>
      </c>
      <c r="J183" s="142">
        <f>J$7</f>
        <v/>
      </c>
      <c r="K183" s="142">
        <f>K$7</f>
        <v/>
      </c>
      <c r="L183" s="142">
        <f>L$7</f>
        <v/>
      </c>
      <c r="M183" s="142">
        <f>M$7</f>
        <v/>
      </c>
      <c r="N183" s="142">
        <f>N$7</f>
        <v/>
      </c>
      <c r="O183" s="142">
        <f>O$7</f>
        <v/>
      </c>
      <c r="P183" s="142">
        <f>P$7</f>
        <v/>
      </c>
      <c r="Q183" s="142">
        <f>Q$7</f>
        <v/>
      </c>
      <c r="R183" s="143" t="inlineStr">
        <is>
          <t>Total</t>
        </is>
      </c>
      <c r="S183" s="142">
        <f>S$7</f>
        <v/>
      </c>
      <c r="T183" s="142">
        <f>T$7</f>
        <v/>
      </c>
      <c r="U183" s="142">
        <f>U$7</f>
        <v/>
      </c>
      <c r="V183" s="142">
        <f>V$7</f>
        <v/>
      </c>
      <c r="W183" s="142">
        <f>W$7</f>
        <v/>
      </c>
      <c r="X183" s="142">
        <f>X$7</f>
        <v/>
      </c>
      <c r="Y183" s="142">
        <f>Y$7</f>
        <v/>
      </c>
      <c r="Z183" s="142">
        <f>Z$7</f>
        <v/>
      </c>
      <c r="AA183" s="142">
        <f>AA$7</f>
        <v/>
      </c>
      <c r="AB183" s="142">
        <f>AB$7</f>
        <v/>
      </c>
      <c r="AC183" s="142">
        <f>AC$7</f>
        <v/>
      </c>
      <c r="AD183" s="142">
        <f>AD$7</f>
        <v/>
      </c>
      <c r="AE183" s="143" t="inlineStr">
        <is>
          <t>Total</t>
        </is>
      </c>
      <c r="AF183" s="143">
        <f>AF$7</f>
        <v/>
      </c>
      <c r="AG183" s="143">
        <f>AG$7</f>
        <v/>
      </c>
      <c r="AH183" s="143">
        <f>AH$7</f>
        <v/>
      </c>
    </row>
    <row r="184" ht="8.25" customHeight="1" s="277">
      <c r="A184" s="328" t="n"/>
      <c r="B184" s="329">
        <f>NOW()</f>
        <v/>
      </c>
      <c r="C184" s="330" t="n"/>
      <c r="D184" s="330" t="n"/>
      <c r="E184" s="330" t="n"/>
      <c r="F184" s="324">
        <f>F$1</f>
        <v/>
      </c>
      <c r="G184" s="324">
        <f>G$1</f>
        <v/>
      </c>
      <c r="H184" s="324">
        <f>H$1</f>
        <v/>
      </c>
      <c r="I184" s="324">
        <f>I$1</f>
        <v/>
      </c>
      <c r="J184" s="324">
        <f>J$1</f>
        <v/>
      </c>
      <c r="K184" s="324">
        <f>K$1</f>
        <v/>
      </c>
      <c r="L184" s="324">
        <f>L$1</f>
        <v/>
      </c>
      <c r="M184" s="324">
        <f>M$1</f>
        <v/>
      </c>
      <c r="N184" s="324">
        <f>N$1</f>
        <v/>
      </c>
      <c r="O184" s="324">
        <f>O$1</f>
        <v/>
      </c>
      <c r="P184" s="324">
        <f>P$1</f>
        <v/>
      </c>
      <c r="Q184" s="324">
        <f>Q$1</f>
        <v/>
      </c>
      <c r="R184" s="325">
        <f>R$1</f>
        <v/>
      </c>
      <c r="S184" s="324">
        <f>S$1</f>
        <v/>
      </c>
      <c r="T184" s="324">
        <f>T$1</f>
        <v/>
      </c>
      <c r="U184" s="324">
        <f>U$1</f>
        <v/>
      </c>
      <c r="V184" s="324">
        <f>V$1</f>
        <v/>
      </c>
      <c r="W184" s="324">
        <f>W$1</f>
        <v/>
      </c>
      <c r="X184" s="324">
        <f>X$1</f>
        <v/>
      </c>
      <c r="Y184" s="324">
        <f>Y$1</f>
        <v/>
      </c>
      <c r="Z184" s="324">
        <f>Z$1</f>
        <v/>
      </c>
      <c r="AA184" s="324">
        <f>AA$1</f>
        <v/>
      </c>
      <c r="AB184" s="324">
        <f>AB$1</f>
        <v/>
      </c>
      <c r="AC184" s="324">
        <f>AC$1</f>
        <v/>
      </c>
      <c r="AD184" s="324">
        <f>AD$1</f>
        <v/>
      </c>
      <c r="AE184" s="325">
        <f>AE$1</f>
        <v/>
      </c>
      <c r="AF184" s="325">
        <f>AF$1</f>
        <v/>
      </c>
      <c r="AG184" s="325">
        <f>AG$1</f>
        <v/>
      </c>
      <c r="AH184" s="325">
        <f>AH$1</f>
        <v/>
      </c>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f>F236-SUM(F192:F193)-F208</f>
        <v/>
      </c>
      <c r="G189" s="154">
        <f>G236-SUM(G192:G193)-G208</f>
        <v/>
      </c>
      <c r="H189" s="154">
        <f>H236-SUM(H192:H193)-H208</f>
        <v/>
      </c>
      <c r="I189" s="154">
        <f>I236-SUM(I192:I193)-I208</f>
        <v/>
      </c>
      <c r="J189" s="154">
        <f>J236-SUM(J192:J193)-J208</f>
        <v/>
      </c>
      <c r="K189" s="154">
        <f>K236-SUM(K192:K193)-K208</f>
        <v/>
      </c>
      <c r="L189" s="154">
        <f>L236-SUM(L192:L193)-L208</f>
        <v/>
      </c>
      <c r="M189" s="154">
        <f>M236-SUM(M192:M193)-M208</f>
        <v/>
      </c>
      <c r="N189" s="154">
        <f>N236-SUM(N192:N193)-N208</f>
        <v/>
      </c>
      <c r="O189" s="154">
        <f>O236-SUM(O192:O193)-O208</f>
        <v/>
      </c>
      <c r="P189" s="154">
        <f>P236-SUM(P192:P193)-P208</f>
        <v/>
      </c>
      <c r="Q189" s="154">
        <f>Q236-SUM(Q192:Q193)-Q208</f>
        <v/>
      </c>
      <c r="R189" s="229">
        <f>Q189</f>
        <v/>
      </c>
      <c r="S189" s="154">
        <f>S236-SUM(S192:S193)-S208</f>
        <v/>
      </c>
      <c r="T189" s="154">
        <f>T236-SUM(T192:T193)-T208</f>
        <v/>
      </c>
      <c r="U189" s="154">
        <f>U236-SUM(U192:U193)-U208</f>
        <v/>
      </c>
      <c r="V189" s="154">
        <f>V236-SUM(V192:V193)-V208</f>
        <v/>
      </c>
      <c r="W189" s="154">
        <f>W236-SUM(W192:W193)-W208</f>
        <v/>
      </c>
      <c r="X189" s="154">
        <f>X236-SUM(X192:X193)-X208</f>
        <v/>
      </c>
      <c r="Y189" s="154">
        <f>Y236-SUM(Y192:Y193)-Y208</f>
        <v/>
      </c>
      <c r="Z189" s="154">
        <f>Z236-SUM(Z192:Z193)-Z208</f>
        <v/>
      </c>
      <c r="AA189" s="154">
        <f>AA236-SUM(AA192:AA193)-AA208</f>
        <v/>
      </c>
      <c r="AB189" s="154">
        <f>AB236-SUM(AB192:AB193)-AB208</f>
        <v/>
      </c>
      <c r="AC189" s="154">
        <f>AC236-SUM(AC192:AC193)-AC208</f>
        <v/>
      </c>
      <c r="AD189" s="154">
        <f>AD236-SUM(AD192:AD193)-AD208</f>
        <v/>
      </c>
      <c r="AE189" s="229">
        <f>AD189</f>
        <v/>
      </c>
      <c r="AF189" s="229">
        <f>AF236-SUM(AF192:AF193)-AF208</f>
        <v/>
      </c>
      <c r="AG189" s="229">
        <f>AG236-SUM(AG192:AG193)-AG208</f>
        <v/>
      </c>
      <c r="AH189" s="229">
        <f>AH236-SUM(AH192:AH193)-AH208</f>
        <v/>
      </c>
    </row>
    <row r="190" ht="8.25" customHeight="1" s="277">
      <c r="A190" s="224" t="n"/>
      <c r="B190" s="225">
        <f>"Gross Accounts Receivable ("&amp;Assumptions!$I$58&amp;" days)"</f>
        <v/>
      </c>
      <c r="C190" s="154" t="n"/>
      <c r="D190" s="154" t="n"/>
      <c r="E190" s="183" t="n">
        <v>0</v>
      </c>
      <c r="F190" s="154">
        <f>IF(Assumptions!$I$58&lt;=0,0,IF(Assumptions!$I$58/30&gt;=COLUMNS($E190:F190),SUM($E93:F93),IF(ROUNDDOWN(Assumptions!$I$58/30,0)&gt;0,SUM(OFFSET(F93,0,-(ROUNDDOWN(Assumptions!$I$58/30,0)-1)):F93)+(OFFSET(F93,0,-(ROUNDUP(Assumptions!$I$58/30,0)-1))*MOD(Assumptions!$I$58,30)/30),F93*(MOD(Assumptions!$I$58,30)/30))))</f>
        <v/>
      </c>
      <c r="G190" s="154">
        <f>IF(Assumptions!$I$58&lt;=0,0,IF(Assumptions!$I$58/30&gt;=COLUMNS($E190:G190),SUM($E93:G93),IF(ROUNDDOWN(Assumptions!$I$58/30,0)&gt;0,SUM(OFFSET(G93,0,-(ROUNDDOWN(Assumptions!$I$58/30,0)-1)):G93)+(OFFSET(G93,0,-(ROUNDUP(Assumptions!$I$58/30,0)-1))*MOD(Assumptions!$I$58,30)/30),G93*(MOD(Assumptions!$I$58,30)/30))))</f>
        <v/>
      </c>
      <c r="H190" s="154">
        <f>IF(Assumptions!$I$58&lt;=0,0,IF(Assumptions!$I$58/30&gt;=COLUMNS($E190:H190),SUM($E93:H93),IF(ROUNDDOWN(Assumptions!$I$58/30,0)&gt;0,SUM(OFFSET(H93,0,-(ROUNDDOWN(Assumptions!$I$58/30,0)-1)):H93)+(OFFSET(H93,0,-(ROUNDUP(Assumptions!$I$58/30,0)-1))*MOD(Assumptions!$I$58,30)/30),H93*(MOD(Assumptions!$I$58,30)/30))))</f>
        <v/>
      </c>
      <c r="I190" s="154">
        <f>IF(Assumptions!$I$58&lt;=0,0,IF(Assumptions!$I$58/30&gt;=COLUMNS($E190:I190),SUM($E93:I93),IF(ROUNDDOWN(Assumptions!$I$58/30,0)&gt;0,SUM(OFFSET(I93,0,-(ROUNDDOWN(Assumptions!$I$58/30,0)-1)):I93)+(OFFSET(I93,0,-(ROUNDUP(Assumptions!$I$58/30,0)-1))*MOD(Assumptions!$I$58,30)/30),I93*(MOD(Assumptions!$I$58,30)/30))))</f>
        <v/>
      </c>
      <c r="J190" s="154">
        <f>IF(Assumptions!$I$58&lt;=0,0,IF(Assumptions!$I$58/30&gt;=COLUMNS($E190:J190),SUM($E93:J93),IF(ROUNDDOWN(Assumptions!$I$58/30,0)&gt;0,SUM(OFFSET(J93,0,-(ROUNDDOWN(Assumptions!$I$58/30,0)-1)):J93)+(OFFSET(J93,0,-(ROUNDUP(Assumptions!$I$58/30,0)-1))*MOD(Assumptions!$I$58,30)/30),J93*(MOD(Assumptions!$I$58,30)/30))))</f>
        <v/>
      </c>
      <c r="K190" s="154">
        <f>IF(Assumptions!$I$58&lt;=0,0,IF(Assumptions!$I$58/30&gt;=COLUMNS($E190:K190),SUM($E93:K93),IF(ROUNDDOWN(Assumptions!$I$58/30,0)&gt;0,SUM(OFFSET(K93,0,-(ROUNDDOWN(Assumptions!$I$58/30,0)-1)):K93)+(OFFSET(K93,0,-(ROUNDUP(Assumptions!$I$58/30,0)-1))*MOD(Assumptions!$I$58,30)/30),K93*(MOD(Assumptions!$I$58,30)/30))))</f>
        <v/>
      </c>
      <c r="L190" s="154">
        <f>IF(Assumptions!$I$58&lt;=0,0,IF(Assumptions!$I$58/30&gt;=COLUMNS($E190:L190),SUM($E93:L93),IF(ROUNDDOWN(Assumptions!$I$58/30,0)&gt;0,SUM(OFFSET(L93,0,-(ROUNDDOWN(Assumptions!$I$58/30,0)-1)):L93)+(OFFSET(L93,0,-(ROUNDUP(Assumptions!$I$58/30,0)-1))*MOD(Assumptions!$I$58,30)/30),L93*(MOD(Assumptions!$I$58,30)/30))))</f>
        <v/>
      </c>
      <c r="M190" s="154">
        <f>IF(Assumptions!$I$58&lt;=0,0,IF(Assumptions!$I$58/30&gt;=COLUMNS($E190:M190),SUM($E93:M93),IF(ROUNDDOWN(Assumptions!$I$58/30,0)&gt;0,SUM(OFFSET(M93,0,-(ROUNDDOWN(Assumptions!$I$58/30,0)-1)):M93)+(OFFSET(M93,0,-(ROUNDUP(Assumptions!$I$58/30,0)-1))*MOD(Assumptions!$I$58,30)/30),M93*(MOD(Assumptions!$I$58,30)/30))))</f>
        <v/>
      </c>
      <c r="N190" s="154">
        <f>IF(Assumptions!$I$58&lt;=0,0,IF(Assumptions!$I$58/30&gt;=COLUMNS($E190:N190),SUM($E93:N93),IF(ROUNDDOWN(Assumptions!$I$58/30,0)&gt;0,SUM(OFFSET(N93,0,-(ROUNDDOWN(Assumptions!$I$58/30,0)-1)):N93)+(OFFSET(N93,0,-(ROUNDUP(Assumptions!$I$58/30,0)-1))*MOD(Assumptions!$I$58,30)/30),N93*(MOD(Assumptions!$I$58,30)/30))))</f>
        <v/>
      </c>
      <c r="O190" s="154">
        <f>IF(Assumptions!$I$58&lt;=0,0,IF(Assumptions!$I$58/30&gt;=COLUMNS($E190:O190),SUM($E93:O93),IF(ROUNDDOWN(Assumptions!$I$58/30,0)&gt;0,SUM(OFFSET(O93,0,-(ROUNDDOWN(Assumptions!$I$58/30,0)-1)):O93)+(OFFSET(O93,0,-(ROUNDUP(Assumptions!$I$58/30,0)-1))*MOD(Assumptions!$I$58,30)/30),O93*(MOD(Assumptions!$I$58,30)/30))))</f>
        <v/>
      </c>
      <c r="P190" s="154">
        <f>IF(Assumptions!$I$58&lt;=0,0,IF(Assumptions!$I$58/30&gt;=COLUMNS($E190:P190),SUM($E93:P93),IF(ROUNDDOWN(Assumptions!$I$58/30,0)&gt;0,SUM(OFFSET(P93,0,-(ROUNDDOWN(Assumptions!$I$58/30,0)-1)):P93)+(OFFSET(P93,0,-(ROUNDUP(Assumptions!$I$58/30,0)-1))*MOD(Assumptions!$I$58,30)/30),P93*(MOD(Assumptions!$I$58,30)/30))))</f>
        <v/>
      </c>
      <c r="Q190" s="154">
        <f>IF(Assumptions!$I$58&lt;=0,0,IF(Assumptions!$I$58/30&gt;=COLUMNS($E190:Q190),SUM($E93:Q93),IF(ROUNDDOWN(Assumptions!$I$58/30,0)&gt;0,SUM(OFFSET(Q93,0,-(ROUNDDOWN(Assumptions!$I$58/30,0)-1)):Q93)+(OFFSET(Q93,0,-(ROUNDUP(Assumptions!$I$58/30,0)-1))*MOD(Assumptions!$I$58,30)/30),Q93*(MOD(Assumptions!$I$58,30)/30))))</f>
        <v/>
      </c>
      <c r="R190" s="229">
        <f>Q190</f>
        <v/>
      </c>
      <c r="S190" s="154">
        <f>IF(Assumptions!$I$58&lt;=0,0,IF(Assumptions!$I$58/30&gt;=COLUMNS($E190:S190)-1,SUM($E93:S93)-$R93,IF(Assumptions!$I$58/30&gt;COLUMNS($S190:S190),IF(ROUNDDOWN(Assumptions!$I$58/30,0)&gt;0,SUM(OFFSET(S93,0,-(ROUNDDOWN(Assumptions!$I$58/30,0)-1+1)):S93)-$R93+OFFSET(S93,0,-(ROUNDUP(Assumptions!$I$58/30,0)-1+1))*MOD(Assumptions!$I$58,30)/30,S93*MOD(Assumptions!$I$58,30)/30),IF(ROUNDDOWN(Assumptions!$I$58/30,0)&gt;0,SUM(OFFSET(S93,0,-(ROUNDDOWN(Assumptions!$I$58/30,0)-1)):S93)+OFFSET(S93,0,-(ROUNDUP(Assumptions!$I$58/30,0)-1))*MOD(Assumptions!$I$58,30)/30,S93*MOD(Assumptions!$I$58,30)/30))))</f>
        <v/>
      </c>
      <c r="T190" s="154">
        <f>IF(Assumptions!$I$58&lt;=0,0,IF(Assumptions!$I$58/30&gt;=COLUMNS($E190:T190)-1,SUM($E93:T93)-$R93,IF(Assumptions!$I$58/30&gt;COLUMNS($S190:T190),IF(ROUNDDOWN(Assumptions!$I$58/30,0)&gt;0,SUM(OFFSET(T93,0,-(ROUNDDOWN(Assumptions!$I$58/30,0)-1+1)):T93)-$R93+OFFSET(T93,0,-(ROUNDUP(Assumptions!$I$58/30,0)-1+1))*MOD(Assumptions!$I$58,30)/30,T93*MOD(Assumptions!$I$58,30)/30),IF(ROUNDDOWN(Assumptions!$I$58/30,0)&gt;0,SUM(OFFSET(T93,0,-(ROUNDDOWN(Assumptions!$I$58/30,0)-1)):T93)+OFFSET(T93,0,-(ROUNDUP(Assumptions!$I$58/30,0)-1))*MOD(Assumptions!$I$58,30)/30,T93*MOD(Assumptions!$I$58,30)/30))))</f>
        <v/>
      </c>
      <c r="U190" s="154">
        <f>IF(Assumptions!$I$58&lt;=0,0,IF(Assumptions!$I$58/30&gt;=COLUMNS($E190:U190)-1,SUM($E93:U93)-$R93,IF(Assumptions!$I$58/30&gt;COLUMNS($S190:U190),IF(ROUNDDOWN(Assumptions!$I$58/30,0)&gt;0,SUM(OFFSET(U93,0,-(ROUNDDOWN(Assumptions!$I$58/30,0)-1+1)):U93)-$R93+OFFSET(U93,0,-(ROUNDUP(Assumptions!$I$58/30,0)-1+1))*MOD(Assumptions!$I$58,30)/30,U93*MOD(Assumptions!$I$58,30)/30),IF(ROUNDDOWN(Assumptions!$I$58/30,0)&gt;0,SUM(OFFSET(U93,0,-(ROUNDDOWN(Assumptions!$I$58/30,0)-1)):U93)+OFFSET(U93,0,-(ROUNDUP(Assumptions!$I$58/30,0)-1))*MOD(Assumptions!$I$58,30)/30,U93*MOD(Assumptions!$I$58,30)/30))))</f>
        <v/>
      </c>
      <c r="V190" s="154">
        <f>IF(Assumptions!$I$58&lt;=0,0,IF(Assumptions!$I$58/30&gt;=COLUMNS($E190:V190)-1,SUM($E93:V93)-$R93,IF(Assumptions!$I$58/30&gt;COLUMNS($S190:V190),IF(ROUNDDOWN(Assumptions!$I$58/30,0)&gt;0,SUM(OFFSET(V93,0,-(ROUNDDOWN(Assumptions!$I$58/30,0)-1+1)):V93)-$R93+OFFSET(V93,0,-(ROUNDUP(Assumptions!$I$58/30,0)-1+1))*MOD(Assumptions!$I$58,30)/30,V93*MOD(Assumptions!$I$58,30)/30),IF(ROUNDDOWN(Assumptions!$I$58/30,0)&gt;0,SUM(OFFSET(V93,0,-(ROUNDDOWN(Assumptions!$I$58/30,0)-1)):V93)+OFFSET(V93,0,-(ROUNDUP(Assumptions!$I$58/30,0)-1))*MOD(Assumptions!$I$58,30)/30,V93*MOD(Assumptions!$I$58,30)/30))))</f>
        <v/>
      </c>
      <c r="W190" s="154">
        <f>IF(Assumptions!$I$58&lt;=0,0,IF(Assumptions!$I$58/30&gt;=COLUMNS($E190:W190)-1,SUM($E93:W93)-$R93,IF(Assumptions!$I$58/30&gt;COLUMNS($S190:W190),IF(ROUNDDOWN(Assumptions!$I$58/30,0)&gt;0,SUM(OFFSET(W93,0,-(ROUNDDOWN(Assumptions!$I$58/30,0)-1+1)):W93)-$R93+OFFSET(W93,0,-(ROUNDUP(Assumptions!$I$58/30,0)-1+1))*MOD(Assumptions!$I$58,30)/30,W93*MOD(Assumptions!$I$58,30)/30),IF(ROUNDDOWN(Assumptions!$I$58/30,0)&gt;0,SUM(OFFSET(W93,0,-(ROUNDDOWN(Assumptions!$I$58/30,0)-1)):W93)+OFFSET(W93,0,-(ROUNDUP(Assumptions!$I$58/30,0)-1))*MOD(Assumptions!$I$58,30)/30,W93*MOD(Assumptions!$I$58,30)/30))))</f>
        <v/>
      </c>
      <c r="X190" s="154">
        <f>IF(Assumptions!$I$58&lt;=0,0,IF(Assumptions!$I$58/30&gt;=COLUMNS($E190:X190)-1,SUM($E93:X93)-$R93,IF(Assumptions!$I$58/30&gt;COLUMNS($S190:X190),IF(ROUNDDOWN(Assumptions!$I$58/30,0)&gt;0,SUM(OFFSET(X93,0,-(ROUNDDOWN(Assumptions!$I$58/30,0)-1+1)):X93)-$R93+OFFSET(X93,0,-(ROUNDUP(Assumptions!$I$58/30,0)-1+1))*MOD(Assumptions!$I$58,30)/30,X93*MOD(Assumptions!$I$58,30)/30),IF(ROUNDDOWN(Assumptions!$I$58/30,0)&gt;0,SUM(OFFSET(X93,0,-(ROUNDDOWN(Assumptions!$I$58/30,0)-1)):X93)+OFFSET(X93,0,-(ROUNDUP(Assumptions!$I$58/30,0)-1))*MOD(Assumptions!$I$58,30)/30,X93*MOD(Assumptions!$I$58,30)/30))))</f>
        <v/>
      </c>
      <c r="Y190" s="154">
        <f>IF(Assumptions!$I$58&lt;=0,0,IF(Assumptions!$I$58/30&gt;=COLUMNS($E190:Y190)-1,SUM($E93:Y93)-$R93,IF(Assumptions!$I$58/30&gt;COLUMNS($S190:Y190),IF(ROUNDDOWN(Assumptions!$I$58/30,0)&gt;0,SUM(OFFSET(Y93,0,-(ROUNDDOWN(Assumptions!$I$58/30,0)-1+1)):Y93)-$R93+OFFSET(Y93,0,-(ROUNDUP(Assumptions!$I$58/30,0)-1+1))*MOD(Assumptions!$I$58,30)/30,Y93*MOD(Assumptions!$I$58,30)/30),IF(ROUNDDOWN(Assumptions!$I$58/30,0)&gt;0,SUM(OFFSET(Y93,0,-(ROUNDDOWN(Assumptions!$I$58/30,0)-1)):Y93)+OFFSET(Y93,0,-(ROUNDUP(Assumptions!$I$58/30,0)-1))*MOD(Assumptions!$I$58,30)/30,Y93*MOD(Assumptions!$I$58,30)/30))))</f>
        <v/>
      </c>
      <c r="Z190" s="154">
        <f>IF(Assumptions!$I$58&lt;=0,0,IF(Assumptions!$I$58/30&gt;=COLUMNS($E190:Z190)-1,SUM($E93:Z93)-$R93,IF(Assumptions!$I$58/30&gt;COLUMNS($S190:Z190),IF(ROUNDDOWN(Assumptions!$I$58/30,0)&gt;0,SUM(OFFSET(Z93,0,-(ROUNDDOWN(Assumptions!$I$58/30,0)-1+1)):Z93)-$R93+OFFSET(Z93,0,-(ROUNDUP(Assumptions!$I$58/30,0)-1+1))*MOD(Assumptions!$I$58,30)/30,Z93*MOD(Assumptions!$I$58,30)/30),IF(ROUNDDOWN(Assumptions!$I$58/30,0)&gt;0,SUM(OFFSET(Z93,0,-(ROUNDDOWN(Assumptions!$I$58/30,0)-1)):Z93)+OFFSET(Z93,0,-(ROUNDUP(Assumptions!$I$58/30,0)-1))*MOD(Assumptions!$I$58,30)/30,Z93*MOD(Assumptions!$I$58,30)/30))))</f>
        <v/>
      </c>
      <c r="AA190" s="154">
        <f>IF(Assumptions!$I$58&lt;=0,0,IF(Assumptions!$I$58/30&gt;=COLUMNS($E190:AA190)-1,SUM($E93:AA93)-$R93,IF(Assumptions!$I$58/30&gt;COLUMNS($S190:AA190),IF(ROUNDDOWN(Assumptions!$I$58/30,0)&gt;0,SUM(OFFSET(AA93,0,-(ROUNDDOWN(Assumptions!$I$58/30,0)-1+1)):AA93)-$R93+OFFSET(AA93,0,-(ROUNDUP(Assumptions!$I$58/30,0)-1+1))*MOD(Assumptions!$I$58,30)/30,AA93*MOD(Assumptions!$I$58,30)/30),IF(ROUNDDOWN(Assumptions!$I$58/30,0)&gt;0,SUM(OFFSET(AA93,0,-(ROUNDDOWN(Assumptions!$I$58/30,0)-1)):AA93)+OFFSET(AA93,0,-(ROUNDUP(Assumptions!$I$58/30,0)-1))*MOD(Assumptions!$I$58,30)/30,AA93*MOD(Assumptions!$I$58,30)/30))))</f>
        <v/>
      </c>
      <c r="AB190" s="154">
        <f>IF(Assumptions!$I$58&lt;=0,0,IF(Assumptions!$I$58/30&gt;=COLUMNS($E190:AB190)-1,SUM($E93:AB93)-$R93,IF(Assumptions!$I$58/30&gt;COLUMNS($S190:AB190),IF(ROUNDDOWN(Assumptions!$I$58/30,0)&gt;0,SUM(OFFSET(AB93,0,-(ROUNDDOWN(Assumptions!$I$58/30,0)-1+1)):AB93)-$R93+OFFSET(AB93,0,-(ROUNDUP(Assumptions!$I$58/30,0)-1+1))*MOD(Assumptions!$I$58,30)/30,AB93*MOD(Assumptions!$I$58,30)/30),IF(ROUNDDOWN(Assumptions!$I$58/30,0)&gt;0,SUM(OFFSET(AB93,0,-(ROUNDDOWN(Assumptions!$I$58/30,0)-1)):AB93)+OFFSET(AB93,0,-(ROUNDUP(Assumptions!$I$58/30,0)-1))*MOD(Assumptions!$I$58,30)/30,AB93*MOD(Assumptions!$I$58,30)/30))))</f>
        <v/>
      </c>
      <c r="AC190" s="154">
        <f>IF(Assumptions!$I$58&lt;=0,0,IF(Assumptions!$I$58/30&gt;=COLUMNS($E190:AC190)-1,SUM($E93:AC93)-$R93,IF(Assumptions!$I$58/30&gt;COLUMNS($S190:AC190),IF(ROUNDDOWN(Assumptions!$I$58/30,0)&gt;0,SUM(OFFSET(AC93,0,-(ROUNDDOWN(Assumptions!$I$58/30,0)-1+1)):AC93)-$R93+OFFSET(AC93,0,-(ROUNDUP(Assumptions!$I$58/30,0)-1+1))*MOD(Assumptions!$I$58,30)/30,AC93*MOD(Assumptions!$I$58,30)/30),IF(ROUNDDOWN(Assumptions!$I$58/30,0)&gt;0,SUM(OFFSET(AC93,0,-(ROUNDDOWN(Assumptions!$I$58/30,0)-1)):AC93)+OFFSET(AC93,0,-(ROUNDUP(Assumptions!$I$58/30,0)-1))*MOD(Assumptions!$I$58,30)/30,AC93*MOD(Assumptions!$I$58,30)/30))))</f>
        <v/>
      </c>
      <c r="AD190" s="154">
        <f>IF(Assumptions!$I$58&lt;=0,0,IF(Assumptions!$I$58/30&gt;=COLUMNS($E190:AD190)-1,SUM($E93:AD93)-$R93,IF(Assumptions!$I$58/30&gt;COLUMNS($S190:AD190),IF(ROUNDDOWN(Assumptions!$I$58/30,0)&gt;0,SUM(OFFSET(AD93,0,-(ROUNDDOWN(Assumptions!$I$58/30,0)-1+1)):AD93)-$R93+OFFSET(AD93,0,-(ROUNDUP(Assumptions!$I$58/30,0)-1+1))*MOD(Assumptions!$I$58,30)/30,AD93*MOD(Assumptions!$I$58,30)/30),IF(ROUNDDOWN(Assumptions!$I$58/30,0)&gt;0,SUM(OFFSET(AD93,0,-(ROUNDDOWN(Assumptions!$I$58/30,0)-1)):AD93)+OFFSET(AD93,0,-(ROUNDUP(Assumptions!$I$58/30,0)-1))*MOD(Assumptions!$I$58,30)/30,AD93*MOD(Assumptions!$I$58,30)/30))))</f>
        <v/>
      </c>
      <c r="AE190" s="229">
        <f>AD190</f>
        <v/>
      </c>
      <c r="AF190" s="229">
        <f>IF(Assumptions!$I$58=0,0,AF93/(360/Assumptions!$I$58))</f>
        <v/>
      </c>
      <c r="AG190" s="229">
        <f>IF(Assumptions!$I$58=0,0,AG93/(360/Assumptions!$I$58))</f>
        <v/>
      </c>
      <c r="AH190" s="229">
        <f>IF(Assumptions!$I$58=0,0,AH93/(360/Assumptions!$I$58))</f>
        <v/>
      </c>
    </row>
    <row r="191" ht="8.25" customHeight="1" s="277">
      <c r="A191" s="224" t="n"/>
      <c r="B191" s="225">
        <f>"Allow for Doubtful Accts ("&amp;$C154*100&amp;"%)"</f>
        <v/>
      </c>
      <c r="C191" s="154" t="n"/>
      <c r="D191" s="154" t="n"/>
      <c r="E191" s="154">
        <f>$C154*E190</f>
        <v/>
      </c>
      <c r="F191" s="154">
        <f>$C154*F190</f>
        <v/>
      </c>
      <c r="G191" s="154">
        <f>$C154*G190</f>
        <v/>
      </c>
      <c r="H191" s="154">
        <f>$C154*H190</f>
        <v/>
      </c>
      <c r="I191" s="154">
        <f>$C154*I190</f>
        <v/>
      </c>
      <c r="J191" s="154">
        <f>$C154*J190</f>
        <v/>
      </c>
      <c r="K191" s="154">
        <f>$C154*K190</f>
        <v/>
      </c>
      <c r="L191" s="154">
        <f>$C154*L190</f>
        <v/>
      </c>
      <c r="M191" s="154">
        <f>$C154*M190</f>
        <v/>
      </c>
      <c r="N191" s="154">
        <f>$C154*N190</f>
        <v/>
      </c>
      <c r="O191" s="154">
        <f>$C154*O190</f>
        <v/>
      </c>
      <c r="P191" s="154">
        <f>$C154*P190</f>
        <v/>
      </c>
      <c r="Q191" s="154">
        <f>$C154*Q190</f>
        <v/>
      </c>
      <c r="R191" s="229">
        <f>Q191</f>
        <v/>
      </c>
      <c r="S191" s="154">
        <f>$C154*S190</f>
        <v/>
      </c>
      <c r="T191" s="154">
        <f>$C154*T190</f>
        <v/>
      </c>
      <c r="U191" s="154">
        <f>$C154*U190</f>
        <v/>
      </c>
      <c r="V191" s="154">
        <f>$C154*V190</f>
        <v/>
      </c>
      <c r="W191" s="154">
        <f>$C154*W190</f>
        <v/>
      </c>
      <c r="X191" s="154">
        <f>$C154*X190</f>
        <v/>
      </c>
      <c r="Y191" s="154">
        <f>$C154*Y190</f>
        <v/>
      </c>
      <c r="Z191" s="154">
        <f>$C154*Z190</f>
        <v/>
      </c>
      <c r="AA191" s="154">
        <f>$C154*AA190</f>
        <v/>
      </c>
      <c r="AB191" s="154">
        <f>$C154*AB190</f>
        <v/>
      </c>
      <c r="AC191" s="154">
        <f>$C154*AC190</f>
        <v/>
      </c>
      <c r="AD191" s="154">
        <f>$C154*AD190</f>
        <v/>
      </c>
      <c r="AE191" s="229">
        <f>AD191</f>
        <v/>
      </c>
      <c r="AF191" s="229">
        <f>$C154*AF190</f>
        <v/>
      </c>
      <c r="AG191" s="229">
        <f>$C154*AG190</f>
        <v/>
      </c>
      <c r="AH191" s="229">
        <f>$C154*AH190</f>
        <v/>
      </c>
    </row>
    <row r="192" ht="8.25" customHeight="1" s="277">
      <c r="A192" s="224" t="n"/>
      <c r="B192" s="225" t="inlineStr">
        <is>
          <t>Net Accounts Rec</t>
        </is>
      </c>
      <c r="C192" s="154" t="n"/>
      <c r="D192" s="154" t="n"/>
      <c r="E192" s="154">
        <f>E190-E191</f>
        <v/>
      </c>
      <c r="F192" s="154">
        <f>F190-F191</f>
        <v/>
      </c>
      <c r="G192" s="154">
        <f>G190-G191</f>
        <v/>
      </c>
      <c r="H192" s="154">
        <f>H190-H191</f>
        <v/>
      </c>
      <c r="I192" s="154">
        <f>I190-I191</f>
        <v/>
      </c>
      <c r="J192" s="154">
        <f>J190-J191</f>
        <v/>
      </c>
      <c r="K192" s="154">
        <f>K190-K191</f>
        <v/>
      </c>
      <c r="L192" s="154">
        <f>L190-L191</f>
        <v/>
      </c>
      <c r="M192" s="154">
        <f>M190-M191</f>
        <v/>
      </c>
      <c r="N192" s="154">
        <f>N190-N191</f>
        <v/>
      </c>
      <c r="O192" s="154">
        <f>O190-O191</f>
        <v/>
      </c>
      <c r="P192" s="154">
        <f>P190-P191</f>
        <v/>
      </c>
      <c r="Q192" s="154">
        <f>Q190-Q191</f>
        <v/>
      </c>
      <c r="R192" s="229">
        <f>Q192</f>
        <v/>
      </c>
      <c r="S192" s="154">
        <f>S190-S191</f>
        <v/>
      </c>
      <c r="T192" s="154">
        <f>T190-T191</f>
        <v/>
      </c>
      <c r="U192" s="154">
        <f>U190-U191</f>
        <v/>
      </c>
      <c r="V192" s="154">
        <f>V190-V191</f>
        <v/>
      </c>
      <c r="W192" s="154">
        <f>W190-W191</f>
        <v/>
      </c>
      <c r="X192" s="154">
        <f>X190-X191</f>
        <v/>
      </c>
      <c r="Y192" s="154">
        <f>Y190-Y191</f>
        <v/>
      </c>
      <c r="Z192" s="154">
        <f>Z190-Z191</f>
        <v/>
      </c>
      <c r="AA192" s="154">
        <f>AA190-AA191</f>
        <v/>
      </c>
      <c r="AB192" s="154">
        <f>AB190-AB191</f>
        <v/>
      </c>
      <c r="AC192" s="154">
        <f>AC190-AC191</f>
        <v/>
      </c>
      <c r="AD192" s="154">
        <f>AD190-AD191</f>
        <v/>
      </c>
      <c r="AE192" s="229">
        <f>AD192</f>
        <v/>
      </c>
      <c r="AF192" s="229">
        <f>AF190-AF191</f>
        <v/>
      </c>
      <c r="AG192" s="229">
        <f>AG190-AG191</f>
        <v/>
      </c>
      <c r="AH192" s="229">
        <f>AH190-AH191</f>
        <v/>
      </c>
    </row>
    <row r="193" ht="8.25" customHeight="1" s="277">
      <c r="A193" s="224" t="n"/>
      <c r="B193" s="225">
        <f>"Inventory ("&amp;$C$574&amp;" days)"</f>
        <v/>
      </c>
      <c r="C193" s="154" t="n"/>
      <c r="D193" s="154" t="n"/>
      <c r="E193" s="184" t="n">
        <v>0</v>
      </c>
      <c r="F193" s="154">
        <f>F602</f>
        <v/>
      </c>
      <c r="G193" s="154">
        <f>G602</f>
        <v/>
      </c>
      <c r="H193" s="154">
        <f>H602</f>
        <v/>
      </c>
      <c r="I193" s="154">
        <f>I602</f>
        <v/>
      </c>
      <c r="J193" s="154">
        <f>J602</f>
        <v/>
      </c>
      <c r="K193" s="154">
        <f>K602</f>
        <v/>
      </c>
      <c r="L193" s="154">
        <f>L602</f>
        <v/>
      </c>
      <c r="M193" s="154">
        <f>M602</f>
        <v/>
      </c>
      <c r="N193" s="154">
        <f>N602</f>
        <v/>
      </c>
      <c r="O193" s="154">
        <f>O602</f>
        <v/>
      </c>
      <c r="P193" s="154">
        <f>P602</f>
        <v/>
      </c>
      <c r="Q193" s="154">
        <f>Q602</f>
        <v/>
      </c>
      <c r="R193" s="229">
        <f>Q193</f>
        <v/>
      </c>
      <c r="S193" s="154">
        <f>S602</f>
        <v/>
      </c>
      <c r="T193" s="154">
        <f>T602</f>
        <v/>
      </c>
      <c r="U193" s="154">
        <f>U602</f>
        <v/>
      </c>
      <c r="V193" s="154">
        <f>V602</f>
        <v/>
      </c>
      <c r="W193" s="154">
        <f>W602</f>
        <v/>
      </c>
      <c r="X193" s="154">
        <f>X602</f>
        <v/>
      </c>
      <c r="Y193" s="154">
        <f>Y602</f>
        <v/>
      </c>
      <c r="Z193" s="154">
        <f>Z602</f>
        <v/>
      </c>
      <c r="AA193" s="154">
        <f>AA602</f>
        <v/>
      </c>
      <c r="AB193" s="154">
        <f>AB602</f>
        <v/>
      </c>
      <c r="AC193" s="154">
        <f>AC602</f>
        <v/>
      </c>
      <c r="AD193" s="154">
        <f>AD602</f>
        <v/>
      </c>
      <c r="AE193" s="229">
        <f>AD193</f>
        <v/>
      </c>
      <c r="AF193" s="229">
        <f>AF602</f>
        <v/>
      </c>
      <c r="AG193" s="229">
        <f>AG602</f>
        <v/>
      </c>
      <c r="AH193" s="229">
        <f>AH602</f>
        <v/>
      </c>
    </row>
    <row r="194" ht="8.25" customHeight="1" s="277">
      <c r="A194" s="139" t="inlineStr">
        <is>
          <t>Total Current Assets</t>
        </is>
      </c>
      <c r="B194" s="156" t="n"/>
      <c r="C194" s="228" t="n"/>
      <c r="D194" s="228" t="n"/>
      <c r="E194" s="228">
        <f>E189+E192+E193</f>
        <v/>
      </c>
      <c r="F194" s="228">
        <f>F189+F192+F193</f>
        <v/>
      </c>
      <c r="G194" s="228">
        <f>G189+G192+G193</f>
        <v/>
      </c>
      <c r="H194" s="228">
        <f>H189+H192+H193</f>
        <v/>
      </c>
      <c r="I194" s="228">
        <f>I189+I192+I193</f>
        <v/>
      </c>
      <c r="J194" s="228">
        <f>J189+J192+J193</f>
        <v/>
      </c>
      <c r="K194" s="228">
        <f>K189+K192+K193</f>
        <v/>
      </c>
      <c r="L194" s="228">
        <f>L189+L192+L193</f>
        <v/>
      </c>
      <c r="M194" s="228">
        <f>M189+M192+M193</f>
        <v/>
      </c>
      <c r="N194" s="228">
        <f>N189+N192+N193</f>
        <v/>
      </c>
      <c r="O194" s="228">
        <f>O189+O192+O193</f>
        <v/>
      </c>
      <c r="P194" s="228">
        <f>P189+P192+P193</f>
        <v/>
      </c>
      <c r="Q194" s="228">
        <f>Q189+Q192+Q193</f>
        <v/>
      </c>
      <c r="R194" s="158">
        <f>Q194</f>
        <v/>
      </c>
      <c r="S194" s="228">
        <f>S189+S192+S193</f>
        <v/>
      </c>
      <c r="T194" s="228">
        <f>T189+T192+T193</f>
        <v/>
      </c>
      <c r="U194" s="228">
        <f>U189+U192+U193</f>
        <v/>
      </c>
      <c r="V194" s="228">
        <f>V189+V192+V193</f>
        <v/>
      </c>
      <c r="W194" s="228">
        <f>W189+W192+W193</f>
        <v/>
      </c>
      <c r="X194" s="228">
        <f>X189+X192+X193</f>
        <v/>
      </c>
      <c r="Y194" s="228">
        <f>Y189+Y192+Y193</f>
        <v/>
      </c>
      <c r="Z194" s="228">
        <f>Z189+Z192+Z193</f>
        <v/>
      </c>
      <c r="AA194" s="228">
        <f>AA189+AA192+AA193</f>
        <v/>
      </c>
      <c r="AB194" s="228">
        <f>AB189+AB192+AB193</f>
        <v/>
      </c>
      <c r="AC194" s="228">
        <f>AC189+AC192+AC193</f>
        <v/>
      </c>
      <c r="AD194" s="228">
        <f>AD189+AD192+AD193</f>
        <v/>
      </c>
      <c r="AE194" s="158">
        <f>AD194</f>
        <v/>
      </c>
      <c r="AF194" s="158">
        <f>AF189+AF192+AF193</f>
        <v/>
      </c>
      <c r="AG194" s="158">
        <f>AG189+AG192+AG193</f>
        <v/>
      </c>
      <c r="AH194" s="158">
        <f>AH189+AH192+AH193</f>
        <v/>
      </c>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f>F490+F497+F504+F511+E197</f>
        <v/>
      </c>
      <c r="G197" s="154">
        <f>G490+G497+G504+G511+F197</f>
        <v/>
      </c>
      <c r="H197" s="154">
        <f>H490+H497+H504+H511+G197</f>
        <v/>
      </c>
      <c r="I197" s="154">
        <f>I490+I497+I504+I511+H197</f>
        <v/>
      </c>
      <c r="J197" s="154">
        <f>J490+J497+J504+J511+I197</f>
        <v/>
      </c>
      <c r="K197" s="154">
        <f>K490+K497+K504+K511+J197</f>
        <v/>
      </c>
      <c r="L197" s="154">
        <f>L490+L497+L504+L511+K197</f>
        <v/>
      </c>
      <c r="M197" s="154">
        <f>M490+M497+M504+M511+L197</f>
        <v/>
      </c>
      <c r="N197" s="154">
        <f>N490+N497+N504+N511+M197</f>
        <v/>
      </c>
      <c r="O197" s="154">
        <f>O490+O497+O504+O511+N197</f>
        <v/>
      </c>
      <c r="P197" s="154">
        <f>P490+P497+P504+P511+O197</f>
        <v/>
      </c>
      <c r="Q197" s="154">
        <f>Q490+Q497+Q504+Q511+P197</f>
        <v/>
      </c>
      <c r="R197" s="229">
        <f>Q197</f>
        <v/>
      </c>
      <c r="S197" s="154">
        <f>S490+S497+S504+S511+R197</f>
        <v/>
      </c>
      <c r="T197" s="154">
        <f>T490+T497+T504+T511+S197</f>
        <v/>
      </c>
      <c r="U197" s="154">
        <f>U490+U497+U504+U511+T197</f>
        <v/>
      </c>
      <c r="V197" s="154">
        <f>V490+V497+V504+V511+U197</f>
        <v/>
      </c>
      <c r="W197" s="154">
        <f>W490+W497+W504+W511+V197</f>
        <v/>
      </c>
      <c r="X197" s="154">
        <f>X490+X497+X504+X511+W197</f>
        <v/>
      </c>
      <c r="Y197" s="154">
        <f>Y490+Y497+Y504+Y511+X197</f>
        <v/>
      </c>
      <c r="Z197" s="154">
        <f>Z490+Z497+Z504+Z511+Y197</f>
        <v/>
      </c>
      <c r="AA197" s="154">
        <f>AA490+AA497+AA504+AA511+Z197</f>
        <v/>
      </c>
      <c r="AB197" s="154">
        <f>AB490+AB497+AB504+AB511+AA197</f>
        <v/>
      </c>
      <c r="AC197" s="154">
        <f>AC490+AC497+AC504+AC511+AB197</f>
        <v/>
      </c>
      <c r="AD197" s="154">
        <f>AD490+AD497+AD504+AD511+AC197</f>
        <v/>
      </c>
      <c r="AE197" s="229">
        <f>AD197</f>
        <v/>
      </c>
      <c r="AF197" s="229">
        <f>AF490+AF497+AF504+AF511+AE197</f>
        <v/>
      </c>
      <c r="AG197" s="229">
        <f>AG490+AG497+AG504+AG511+AF197</f>
        <v/>
      </c>
      <c r="AH197" s="229">
        <f>AH490+AH497+AH504+AH511+AG197</f>
        <v/>
      </c>
    </row>
    <row r="198" ht="8.25" customHeight="1" s="277">
      <c r="A198" s="224" t="n"/>
      <c r="B198" s="225" t="inlineStr">
        <is>
          <t>Computer Software</t>
        </is>
      </c>
      <c r="C198" s="154" t="n"/>
      <c r="D198" s="154" t="n"/>
      <c r="E198" s="154" t="n"/>
      <c r="F198" s="154">
        <f>F491+F498+F505+F512+E198</f>
        <v/>
      </c>
      <c r="G198" s="154">
        <f>G491+G498+G505+G512+F198</f>
        <v/>
      </c>
      <c r="H198" s="154">
        <f>H491+H498+H505+H512+G198</f>
        <v/>
      </c>
      <c r="I198" s="154">
        <f>I491+I498+I505+I512+H198</f>
        <v/>
      </c>
      <c r="J198" s="154">
        <f>J491+J498+J505+J512+I198</f>
        <v/>
      </c>
      <c r="K198" s="154">
        <f>K491+K498+K505+K512+J198</f>
        <v/>
      </c>
      <c r="L198" s="154">
        <f>L491+L498+L505+L512+K198</f>
        <v/>
      </c>
      <c r="M198" s="154">
        <f>M491+M498+M505+M512+L198</f>
        <v/>
      </c>
      <c r="N198" s="154">
        <f>N491+N498+N505+N512+M198</f>
        <v/>
      </c>
      <c r="O198" s="154">
        <f>O491+O498+O505+O512+N198</f>
        <v/>
      </c>
      <c r="P198" s="154">
        <f>P491+P498+P505+P512+O198</f>
        <v/>
      </c>
      <c r="Q198" s="154">
        <f>Q491+Q498+Q505+Q512+P198</f>
        <v/>
      </c>
      <c r="R198" s="229">
        <f>Q198</f>
        <v/>
      </c>
      <c r="S198" s="154">
        <f>S491+S498+S505+S512+R198</f>
        <v/>
      </c>
      <c r="T198" s="154">
        <f>T491+T498+T505+T512+S198</f>
        <v/>
      </c>
      <c r="U198" s="154">
        <f>U491+U498+U505+U512+T198</f>
        <v/>
      </c>
      <c r="V198" s="154">
        <f>V491+V498+V505+V512+U198</f>
        <v/>
      </c>
      <c r="W198" s="154">
        <f>W491+W498+W505+W512+V198</f>
        <v/>
      </c>
      <c r="X198" s="154">
        <f>X491+X498+X505+X512+W198</f>
        <v/>
      </c>
      <c r="Y198" s="154">
        <f>Y491+Y498+Y505+Y512+X198</f>
        <v/>
      </c>
      <c r="Z198" s="154">
        <f>Z491+Z498+Z505+Z512+Y198</f>
        <v/>
      </c>
      <c r="AA198" s="154">
        <f>AA491+AA498+AA505+AA512+Z198</f>
        <v/>
      </c>
      <c r="AB198" s="154">
        <f>AB491+AB498+AB505+AB512+AA198</f>
        <v/>
      </c>
      <c r="AC198" s="154">
        <f>AC491+AC498+AC505+AC512+AB198</f>
        <v/>
      </c>
      <c r="AD198" s="154">
        <f>AD491+AD498+AD505+AD512+AC198</f>
        <v/>
      </c>
      <c r="AE198" s="229">
        <f>AD198</f>
        <v/>
      </c>
      <c r="AF198" s="229">
        <f>AF491+AF498+AF505+AF512+AE198</f>
        <v/>
      </c>
      <c r="AG198" s="229">
        <f>AG491+AG498+AG505+AG512+AF198</f>
        <v/>
      </c>
      <c r="AH198" s="229">
        <f>AH491+AH498+AH505+AH512+AG198</f>
        <v/>
      </c>
    </row>
    <row r="199" ht="8.25" customHeight="1" s="277">
      <c r="A199" s="224" t="n"/>
      <c r="B199" s="225" t="inlineStr">
        <is>
          <t>Furniture &amp; Fixtures</t>
        </is>
      </c>
      <c r="C199" s="154" t="n"/>
      <c r="D199" s="154" t="n"/>
      <c r="E199" s="154" t="n"/>
      <c r="F199" s="154">
        <f>F492+F499+F506+F513+E199</f>
        <v/>
      </c>
      <c r="G199" s="154">
        <f>G492+G499+G506+G513+F199</f>
        <v/>
      </c>
      <c r="H199" s="154">
        <f>H492+H499+H506+H513+G199</f>
        <v/>
      </c>
      <c r="I199" s="154">
        <f>I492+I499+I506+I513+H199</f>
        <v/>
      </c>
      <c r="J199" s="154">
        <f>J492+J499+J506+J513+I199</f>
        <v/>
      </c>
      <c r="K199" s="154">
        <f>K492+K499+K506+K513+J199</f>
        <v/>
      </c>
      <c r="L199" s="154">
        <f>L492+L499+L506+L513+K199</f>
        <v/>
      </c>
      <c r="M199" s="154">
        <f>M492+M499+M506+M513+L199</f>
        <v/>
      </c>
      <c r="N199" s="154">
        <f>N492+N499+N506+N513+M199</f>
        <v/>
      </c>
      <c r="O199" s="154">
        <f>O492+O499+O506+O513+N199</f>
        <v/>
      </c>
      <c r="P199" s="154">
        <f>P492+P499+P506+P513+O199</f>
        <v/>
      </c>
      <c r="Q199" s="154">
        <f>Q492+Q499+Q506+Q513+P199</f>
        <v/>
      </c>
      <c r="R199" s="229">
        <f>Q199</f>
        <v/>
      </c>
      <c r="S199" s="154">
        <f>S492+S499+S506+S513+R199</f>
        <v/>
      </c>
      <c r="T199" s="154">
        <f>T492+T499+T506+T513+S199</f>
        <v/>
      </c>
      <c r="U199" s="154">
        <f>U492+U499+U506+U513+T199</f>
        <v/>
      </c>
      <c r="V199" s="154">
        <f>V492+V499+V506+V513+U199</f>
        <v/>
      </c>
      <c r="W199" s="154">
        <f>W492+W499+W506+W513+V199</f>
        <v/>
      </c>
      <c r="X199" s="154">
        <f>X492+X499+X506+X513+W199</f>
        <v/>
      </c>
      <c r="Y199" s="154">
        <f>Y492+Y499+Y506+Y513+X199</f>
        <v/>
      </c>
      <c r="Z199" s="154">
        <f>Z492+Z499+Z506+Z513+Y199</f>
        <v/>
      </c>
      <c r="AA199" s="154">
        <f>AA492+AA499+AA506+AA513+Z199</f>
        <v/>
      </c>
      <c r="AB199" s="154">
        <f>AB492+AB499+AB506+AB513+AA199</f>
        <v/>
      </c>
      <c r="AC199" s="154">
        <f>AC492+AC499+AC506+AC513+AB199</f>
        <v/>
      </c>
      <c r="AD199" s="154">
        <f>AD492+AD499+AD506+AD513+AC199</f>
        <v/>
      </c>
      <c r="AE199" s="229">
        <f>AD199</f>
        <v/>
      </c>
      <c r="AF199" s="229">
        <f>AF492+AF499+AF506+AF513+AE199</f>
        <v/>
      </c>
      <c r="AG199" s="229">
        <f>AG492+AG499+AG506+AG513+AF199</f>
        <v/>
      </c>
      <c r="AH199" s="229">
        <f>AH492+AH499+AH506+AH513+AG199</f>
        <v/>
      </c>
    </row>
    <row r="200" ht="8.25" customHeight="1" s="277">
      <c r="A200" s="139" t="inlineStr">
        <is>
          <t>Total Gross Fixed Assets</t>
        </is>
      </c>
      <c r="B200" s="156" t="n"/>
      <c r="C200" s="228" t="n"/>
      <c r="D200" s="228" t="n"/>
      <c r="E200" s="185" t="n">
        <v>0</v>
      </c>
      <c r="F200" s="228">
        <f>SUM(F197:F199)</f>
        <v/>
      </c>
      <c r="G200" s="228">
        <f>SUM(G197:G199)</f>
        <v/>
      </c>
      <c r="H200" s="228">
        <f>SUM(H197:H199)</f>
        <v/>
      </c>
      <c r="I200" s="228">
        <f>SUM(I197:I199)</f>
        <v/>
      </c>
      <c r="J200" s="228">
        <f>SUM(J197:J199)</f>
        <v/>
      </c>
      <c r="K200" s="228">
        <f>SUM(K197:K199)</f>
        <v/>
      </c>
      <c r="L200" s="228">
        <f>SUM(L197:L199)</f>
        <v/>
      </c>
      <c r="M200" s="228">
        <f>SUM(M197:M199)</f>
        <v/>
      </c>
      <c r="N200" s="228">
        <f>SUM(N197:N199)</f>
        <v/>
      </c>
      <c r="O200" s="228">
        <f>SUM(O197:O199)</f>
        <v/>
      </c>
      <c r="P200" s="228">
        <f>SUM(P197:P199)</f>
        <v/>
      </c>
      <c r="Q200" s="228">
        <f>SUM(Q197:Q199)</f>
        <v/>
      </c>
      <c r="R200" s="158">
        <f>Q200</f>
        <v/>
      </c>
      <c r="S200" s="228">
        <f>SUM(S197:S199)</f>
        <v/>
      </c>
      <c r="T200" s="228">
        <f>SUM(T197:T199)</f>
        <v/>
      </c>
      <c r="U200" s="228">
        <f>SUM(U197:U199)</f>
        <v/>
      </c>
      <c r="V200" s="228">
        <f>SUM(V197:V199)</f>
        <v/>
      </c>
      <c r="W200" s="228">
        <f>SUM(W197:W199)</f>
        <v/>
      </c>
      <c r="X200" s="228">
        <f>SUM(X197:X199)</f>
        <v/>
      </c>
      <c r="Y200" s="228">
        <f>SUM(Y197:Y199)</f>
        <v/>
      </c>
      <c r="Z200" s="228">
        <f>SUM(Z197:Z199)</f>
        <v/>
      </c>
      <c r="AA200" s="228">
        <f>SUM(AA197:AA199)</f>
        <v/>
      </c>
      <c r="AB200" s="228">
        <f>SUM(AB197:AB199)</f>
        <v/>
      </c>
      <c r="AC200" s="228">
        <f>SUM(AC197:AC199)</f>
        <v/>
      </c>
      <c r="AD200" s="228">
        <f>SUM(AD197:AD199)</f>
        <v/>
      </c>
      <c r="AE200" s="158">
        <f>AD200</f>
        <v/>
      </c>
      <c r="AF200" s="158">
        <f>SUM(AF197:AF199)</f>
        <v/>
      </c>
      <c r="AG200" s="158">
        <f>SUM(AG197:AG199)</f>
        <v/>
      </c>
      <c r="AH200" s="158">
        <f>SUM(AH197:AH199)</f>
        <v/>
      </c>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f>B197</f>
        <v/>
      </c>
      <c r="C203" s="154" t="n"/>
      <c r="D203" s="154" t="n"/>
      <c r="E203" s="154" t="n"/>
      <c r="F203" s="154">
        <f>F526+F532+F538+F544+E203</f>
        <v/>
      </c>
      <c r="G203" s="154">
        <f>G526+G532+G538+G544+F203</f>
        <v/>
      </c>
      <c r="H203" s="154">
        <f>H526+H532+H538+H544+G203</f>
        <v/>
      </c>
      <c r="I203" s="154">
        <f>I526+I532+I538+I544+H203</f>
        <v/>
      </c>
      <c r="J203" s="154">
        <f>J526+J532+J538+J544+I203</f>
        <v/>
      </c>
      <c r="K203" s="154">
        <f>K526+K532+K538+K544+J203</f>
        <v/>
      </c>
      <c r="L203" s="154">
        <f>L526+L532+L538+L544+K203</f>
        <v/>
      </c>
      <c r="M203" s="154">
        <f>M526+M532+M538+M544+L203</f>
        <v/>
      </c>
      <c r="N203" s="154">
        <f>N526+N532+N538+N544+M203</f>
        <v/>
      </c>
      <c r="O203" s="154">
        <f>O526+O532+O538+O544+N203</f>
        <v/>
      </c>
      <c r="P203" s="154">
        <f>P526+P532+P538+P544+O203</f>
        <v/>
      </c>
      <c r="Q203" s="154">
        <f>Q526+Q532+Q538+Q544+P203</f>
        <v/>
      </c>
      <c r="R203" s="229">
        <f>Q203</f>
        <v/>
      </c>
      <c r="S203" s="154">
        <f>S526+S532+S538+S544+R203</f>
        <v/>
      </c>
      <c r="T203" s="154">
        <f>T526+T532+T538+T544+S203</f>
        <v/>
      </c>
      <c r="U203" s="154">
        <f>U526+U532+U538+U544+T203</f>
        <v/>
      </c>
      <c r="V203" s="154">
        <f>V526+V532+V538+V544+U203</f>
        <v/>
      </c>
      <c r="W203" s="154">
        <f>W526+W532+W538+W544+V203</f>
        <v/>
      </c>
      <c r="X203" s="154">
        <f>X526+X532+X538+X544+W203</f>
        <v/>
      </c>
      <c r="Y203" s="154">
        <f>Y526+Y532+Y538+Y544+X203</f>
        <v/>
      </c>
      <c r="Z203" s="154">
        <f>Z526+Z532+Z538+Z544+Y203</f>
        <v/>
      </c>
      <c r="AA203" s="154">
        <f>AA526+AA532+AA538+AA544+Z203</f>
        <v/>
      </c>
      <c r="AB203" s="154">
        <f>AB526+AB532+AB538+AB544+AA203</f>
        <v/>
      </c>
      <c r="AC203" s="154">
        <f>AC526+AC532+AC538+AC544+AB203</f>
        <v/>
      </c>
      <c r="AD203" s="154">
        <f>AD526+AD532+AD538+AD544+AC203</f>
        <v/>
      </c>
      <c r="AE203" s="229">
        <f>AD203</f>
        <v/>
      </c>
      <c r="AF203" s="229">
        <f>AF526+AF532+AF538+AF544+AE203</f>
        <v/>
      </c>
      <c r="AG203" s="229">
        <f>AG526+AG532+AG538+AG544+AF203</f>
        <v/>
      </c>
      <c r="AH203" s="229">
        <f>AH526+AH532+AH538+AH544+AG203</f>
        <v/>
      </c>
    </row>
    <row r="204" ht="8.25" customHeight="1" s="277">
      <c r="B204" s="225">
        <f>B198</f>
        <v/>
      </c>
      <c r="C204" s="154" t="n"/>
      <c r="D204" s="154" t="n"/>
      <c r="E204" s="154" t="n"/>
      <c r="F204" s="154">
        <f>F527+F533+F539+F545+E204</f>
        <v/>
      </c>
      <c r="G204" s="154">
        <f>G527+G533+G539+G545+F204</f>
        <v/>
      </c>
      <c r="H204" s="154">
        <f>H527+H533+H539+H545+G204</f>
        <v/>
      </c>
      <c r="I204" s="154">
        <f>I527+I533+I539+I545+H204</f>
        <v/>
      </c>
      <c r="J204" s="154">
        <f>J527+J533+J539+J545+I204</f>
        <v/>
      </c>
      <c r="K204" s="154">
        <f>K527+K533+K539+K545+J204</f>
        <v/>
      </c>
      <c r="L204" s="154">
        <f>L527+L533+L539+L545+K204</f>
        <v/>
      </c>
      <c r="M204" s="154">
        <f>M527+M533+M539+M545+L204</f>
        <v/>
      </c>
      <c r="N204" s="154">
        <f>N527+N533+N539+N545+M204</f>
        <v/>
      </c>
      <c r="O204" s="154">
        <f>O527+O533+O539+O545+N204</f>
        <v/>
      </c>
      <c r="P204" s="154">
        <f>P527+P533+P539+P545+O204</f>
        <v/>
      </c>
      <c r="Q204" s="154">
        <f>Q527+Q533+Q539+Q545+P204</f>
        <v/>
      </c>
      <c r="R204" s="229">
        <f>Q204</f>
        <v/>
      </c>
      <c r="S204" s="154">
        <f>S527+S533+S539+S545+R204</f>
        <v/>
      </c>
      <c r="T204" s="154">
        <f>T527+T533+T539+T545+S204</f>
        <v/>
      </c>
      <c r="U204" s="154">
        <f>U527+U533+U539+U545+T204</f>
        <v/>
      </c>
      <c r="V204" s="154">
        <f>V527+V533+V539+V545+U204</f>
        <v/>
      </c>
      <c r="W204" s="154">
        <f>W527+W533+W539+W545+V204</f>
        <v/>
      </c>
      <c r="X204" s="154">
        <f>X527+X533+X539+X545+W204</f>
        <v/>
      </c>
      <c r="Y204" s="154">
        <f>Y527+Y533+Y539+Y545+X204</f>
        <v/>
      </c>
      <c r="Z204" s="154">
        <f>Z527+Z533+Z539+Z545+Y204</f>
        <v/>
      </c>
      <c r="AA204" s="154">
        <f>AA527+AA533+AA539+AA545+Z204</f>
        <v/>
      </c>
      <c r="AB204" s="154">
        <f>AB527+AB533+AB539+AB545+AA204</f>
        <v/>
      </c>
      <c r="AC204" s="154">
        <f>AC527+AC533+AC539+AC545+AB204</f>
        <v/>
      </c>
      <c r="AD204" s="154">
        <f>AD527+AD533+AD539+AD545+AC204</f>
        <v/>
      </c>
      <c r="AE204" s="229">
        <f>AD204</f>
        <v/>
      </c>
      <c r="AF204" s="229">
        <f>AF527+AF533+AF539+AF545+AE204</f>
        <v/>
      </c>
      <c r="AG204" s="229">
        <f>AG527+AG533+AG539+AG545+AF204</f>
        <v/>
      </c>
      <c r="AH204" s="229">
        <f>AH527+AH533+AH539+AH545+AG204</f>
        <v/>
      </c>
    </row>
    <row r="205" ht="8.25" customHeight="1" s="277">
      <c r="A205" s="224" t="n"/>
      <c r="B205" s="225">
        <f>B199</f>
        <v/>
      </c>
      <c r="C205" s="154" t="n"/>
      <c r="D205" s="154" t="n"/>
      <c r="E205" s="154" t="n"/>
      <c r="F205" s="154">
        <f>F528+F534+F540+F546+E205</f>
        <v/>
      </c>
      <c r="G205" s="154">
        <f>G528+G534+G540+G546+F205</f>
        <v/>
      </c>
      <c r="H205" s="154">
        <f>H528+H534+H540+H546+G205</f>
        <v/>
      </c>
      <c r="I205" s="154">
        <f>I528+I534+I540+I546+H205</f>
        <v/>
      </c>
      <c r="J205" s="154">
        <f>J528+J534+J540+J546+I205</f>
        <v/>
      </c>
      <c r="K205" s="154">
        <f>K528+K534+K540+K546+J205</f>
        <v/>
      </c>
      <c r="L205" s="154">
        <f>L528+L534+L540+L546+K205</f>
        <v/>
      </c>
      <c r="M205" s="154">
        <f>M528+M534+M540+M546+L205</f>
        <v/>
      </c>
      <c r="N205" s="154">
        <f>N528+N534+N540+N546+M205</f>
        <v/>
      </c>
      <c r="O205" s="154">
        <f>O528+O534+O540+O546+N205</f>
        <v/>
      </c>
      <c r="P205" s="154">
        <f>P528+P534+P540+P546+O205</f>
        <v/>
      </c>
      <c r="Q205" s="154">
        <f>Q528+Q534+Q540+Q546+P205</f>
        <v/>
      </c>
      <c r="R205" s="229">
        <f>Q205</f>
        <v/>
      </c>
      <c r="S205" s="154">
        <f>S528+S534+S540+S546+R205</f>
        <v/>
      </c>
      <c r="T205" s="154">
        <f>T528+T534+T540+T546+S205</f>
        <v/>
      </c>
      <c r="U205" s="154">
        <f>U528+U534+U540+U546+T205</f>
        <v/>
      </c>
      <c r="V205" s="154">
        <f>V528+V534+V540+V546+U205</f>
        <v/>
      </c>
      <c r="W205" s="154">
        <f>W528+W534+W540+W546+V205</f>
        <v/>
      </c>
      <c r="X205" s="154">
        <f>X528+X534+X540+X546+W205</f>
        <v/>
      </c>
      <c r="Y205" s="154">
        <f>Y528+Y534+Y540+Y546+X205</f>
        <v/>
      </c>
      <c r="Z205" s="154">
        <f>Z528+Z534+Z540+Z546+Y205</f>
        <v/>
      </c>
      <c r="AA205" s="154">
        <f>AA528+AA534+AA540+AA546+Z205</f>
        <v/>
      </c>
      <c r="AB205" s="154">
        <f>AB528+AB534+AB540+AB546+AA205</f>
        <v/>
      </c>
      <c r="AC205" s="154">
        <f>AC528+AC534+AC540+AC546+AB205</f>
        <v/>
      </c>
      <c r="AD205" s="154">
        <f>AD528+AD534+AD540+AD546+AC205</f>
        <v/>
      </c>
      <c r="AE205" s="229">
        <f>AD205</f>
        <v/>
      </c>
      <c r="AF205" s="229">
        <f>AF528+AF534+AF540+AF546+AE205</f>
        <v/>
      </c>
      <c r="AG205" s="229">
        <f>AG528+AG534+AG540+AG546+AF205</f>
        <v/>
      </c>
      <c r="AH205" s="229">
        <f>AH528+AH534+AH540+AH546+AG205</f>
        <v/>
      </c>
    </row>
    <row r="206" ht="8.25" customFormat="1" customHeight="1" s="154">
      <c r="A206" s="139" t="inlineStr">
        <is>
          <t>Total Accum Deprec</t>
        </is>
      </c>
      <c r="B206" s="156" t="n"/>
      <c r="C206" s="228" t="n"/>
      <c r="D206" s="228" t="n"/>
      <c r="E206" s="185" t="n">
        <v>0</v>
      </c>
      <c r="F206" s="228">
        <f>SUM(F203:F205)</f>
        <v/>
      </c>
      <c r="G206" s="228">
        <f>SUM(G203:G205)</f>
        <v/>
      </c>
      <c r="H206" s="228">
        <f>SUM(H203:H205)</f>
        <v/>
      </c>
      <c r="I206" s="228">
        <f>SUM(I203:I205)</f>
        <v/>
      </c>
      <c r="J206" s="228">
        <f>SUM(J203:J205)</f>
        <v/>
      </c>
      <c r="K206" s="228">
        <f>SUM(K203:K205)</f>
        <v/>
      </c>
      <c r="L206" s="228">
        <f>SUM(L203:L205)</f>
        <v/>
      </c>
      <c r="M206" s="228">
        <f>SUM(M203:M205)</f>
        <v/>
      </c>
      <c r="N206" s="228">
        <f>SUM(N203:N205)</f>
        <v/>
      </c>
      <c r="O206" s="228">
        <f>SUM(O203:O205)</f>
        <v/>
      </c>
      <c r="P206" s="228">
        <f>SUM(P203:P205)</f>
        <v/>
      </c>
      <c r="Q206" s="228">
        <f>SUM(Q203:Q205)</f>
        <v/>
      </c>
      <c r="R206" s="158">
        <f>Q206</f>
        <v/>
      </c>
      <c r="S206" s="228">
        <f>SUM(S203:S205)</f>
        <v/>
      </c>
      <c r="T206" s="228">
        <f>SUM(T203:T205)</f>
        <v/>
      </c>
      <c r="U206" s="228">
        <f>SUM(U203:U205)</f>
        <v/>
      </c>
      <c r="V206" s="228">
        <f>SUM(V203:V205)</f>
        <v/>
      </c>
      <c r="W206" s="228">
        <f>SUM(W203:W205)</f>
        <v/>
      </c>
      <c r="X206" s="228">
        <f>SUM(X203:X205)</f>
        <v/>
      </c>
      <c r="Y206" s="228">
        <f>SUM(Y203:Y205)</f>
        <v/>
      </c>
      <c r="Z206" s="228">
        <f>SUM(Z203:Z205)</f>
        <v/>
      </c>
      <c r="AA206" s="228">
        <f>SUM(AA203:AA205)</f>
        <v/>
      </c>
      <c r="AB206" s="228">
        <f>SUM(AB203:AB205)</f>
        <v/>
      </c>
      <c r="AC206" s="228">
        <f>SUM(AC203:AC205)</f>
        <v/>
      </c>
      <c r="AD206" s="228">
        <f>SUM(AD203:AD205)</f>
        <v/>
      </c>
      <c r="AE206" s="158">
        <f>AD206</f>
        <v/>
      </c>
      <c r="AF206" s="158">
        <f>SUM(AF203:AF205)</f>
        <v/>
      </c>
      <c r="AG206" s="158">
        <f>SUM(AG203:AG205)</f>
        <v/>
      </c>
      <c r="AH206" s="158">
        <f>SUM(AH203:AH205)</f>
        <v/>
      </c>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f>E200-E206</f>
        <v/>
      </c>
      <c r="F208" s="154">
        <f>F200-F206</f>
        <v/>
      </c>
      <c r="G208" s="154">
        <f>G200-G206</f>
        <v/>
      </c>
      <c r="H208" s="154">
        <f>H200-H206</f>
        <v/>
      </c>
      <c r="I208" s="154">
        <f>I200-I206</f>
        <v/>
      </c>
      <c r="J208" s="154">
        <f>J200-J206</f>
        <v/>
      </c>
      <c r="K208" s="154">
        <f>K200-K206</f>
        <v/>
      </c>
      <c r="L208" s="154">
        <f>L200-L206</f>
        <v/>
      </c>
      <c r="M208" s="154">
        <f>M200-M206</f>
        <v/>
      </c>
      <c r="N208" s="154">
        <f>N200-N206</f>
        <v/>
      </c>
      <c r="O208" s="154">
        <f>O200-O206</f>
        <v/>
      </c>
      <c r="P208" s="154">
        <f>P200-P206</f>
        <v/>
      </c>
      <c r="Q208" s="154">
        <f>Q200-Q206</f>
        <v/>
      </c>
      <c r="R208" s="229">
        <f>Q208</f>
        <v/>
      </c>
      <c r="S208" s="154">
        <f>S200-S206</f>
        <v/>
      </c>
      <c r="T208" s="154">
        <f>T200-T206</f>
        <v/>
      </c>
      <c r="U208" s="154">
        <f>U200-U206</f>
        <v/>
      </c>
      <c r="V208" s="154">
        <f>V200-V206</f>
        <v/>
      </c>
      <c r="W208" s="154">
        <f>W200-W206</f>
        <v/>
      </c>
      <c r="X208" s="154">
        <f>X200-X206</f>
        <v/>
      </c>
      <c r="Y208" s="154">
        <f>Y200-Y206</f>
        <v/>
      </c>
      <c r="Z208" s="154">
        <f>Z200-Z206</f>
        <v/>
      </c>
      <c r="AA208" s="154">
        <f>AA200-AA206</f>
        <v/>
      </c>
      <c r="AB208" s="154">
        <f>AB200-AB206</f>
        <v/>
      </c>
      <c r="AC208" s="154">
        <f>AC200-AC206</f>
        <v/>
      </c>
      <c r="AD208" s="154">
        <f>AD200-AD206</f>
        <v/>
      </c>
      <c r="AE208" s="229">
        <f>AD208</f>
        <v/>
      </c>
      <c r="AF208" s="229">
        <f>AF200-AF206</f>
        <v/>
      </c>
      <c r="AG208" s="229">
        <f>AG200-AG206</f>
        <v/>
      </c>
      <c r="AH208" s="229">
        <f>AH200-AH206</f>
        <v/>
      </c>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f>E194+E208</f>
        <v/>
      </c>
      <c r="F210" s="228">
        <f>F194+F208</f>
        <v/>
      </c>
      <c r="G210" s="228">
        <f>G194+G208</f>
        <v/>
      </c>
      <c r="H210" s="228">
        <f>H194+H208</f>
        <v/>
      </c>
      <c r="I210" s="228">
        <f>I194+I208</f>
        <v/>
      </c>
      <c r="J210" s="228">
        <f>J194+J208</f>
        <v/>
      </c>
      <c r="K210" s="228">
        <f>K194+K208</f>
        <v/>
      </c>
      <c r="L210" s="228">
        <f>L194+L208</f>
        <v/>
      </c>
      <c r="M210" s="228">
        <f>M194+M208</f>
        <v/>
      </c>
      <c r="N210" s="228">
        <f>N194+N208</f>
        <v/>
      </c>
      <c r="O210" s="228">
        <f>O194+O208</f>
        <v/>
      </c>
      <c r="P210" s="228">
        <f>P194+P208</f>
        <v/>
      </c>
      <c r="Q210" s="228">
        <f>Q194+Q208</f>
        <v/>
      </c>
      <c r="R210" s="158">
        <f>Q210</f>
        <v/>
      </c>
      <c r="S210" s="228">
        <f>S194+S208</f>
        <v/>
      </c>
      <c r="T210" s="228">
        <f>T194+T208</f>
        <v/>
      </c>
      <c r="U210" s="228">
        <f>U194+U208</f>
        <v/>
      </c>
      <c r="V210" s="228">
        <f>V194+V208</f>
        <v/>
      </c>
      <c r="W210" s="228">
        <f>W194+W208</f>
        <v/>
      </c>
      <c r="X210" s="228">
        <f>X194+X208</f>
        <v/>
      </c>
      <c r="Y210" s="228">
        <f>Y194+Y208</f>
        <v/>
      </c>
      <c r="Z210" s="228">
        <f>Z194+Z208</f>
        <v/>
      </c>
      <c r="AA210" s="228">
        <f>AA194+AA208</f>
        <v/>
      </c>
      <c r="AB210" s="228">
        <f>AB194+AB208</f>
        <v/>
      </c>
      <c r="AC210" s="228">
        <f>AC194+AC208</f>
        <v/>
      </c>
      <c r="AD210" s="228">
        <f>AD194+AD208</f>
        <v/>
      </c>
      <c r="AE210" s="158">
        <f>AD210</f>
        <v/>
      </c>
      <c r="AF210" s="158">
        <f>AF194+AF208</f>
        <v/>
      </c>
      <c r="AG210" s="158">
        <f>AG194+AG208</f>
        <v/>
      </c>
      <c r="AH210" s="158">
        <f>AH194+AH208</f>
        <v/>
      </c>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f>"Accounts Payable ("&amp;$C$215&amp;" days)"</f>
        <v/>
      </c>
      <c r="C215" s="344">
        <f>Assumptions!I59</f>
        <v/>
      </c>
      <c r="D215" s="154" t="n"/>
      <c r="E215" s="183" t="n">
        <v>0</v>
      </c>
      <c r="F215" s="154">
        <f>F588+F112+F113+F114+F115+F126+F127+F128+F138+F140+F149+F150+F151+F153+F156+F157+F565+F566+F567</f>
        <v/>
      </c>
      <c r="G215" s="154">
        <f>G588+G112+G113+G114+G115+G126+G127+G128+G138+G140+G149+G150+G151+G153+G156+G157+G565+G566+G567</f>
        <v/>
      </c>
      <c r="H215" s="154">
        <f>H588+H112+H113+H114+H115+H126+H127+H128+H138+H140+H149+H150+H151+H153+H156+H157+H565+H566+H567</f>
        <v/>
      </c>
      <c r="I215" s="154">
        <f>I588+I112+I113+I114+I115+I126+I127+I128+I138+I140+I149+I150+I151+I153+I156+I157+I565+I566+I567</f>
        <v/>
      </c>
      <c r="J215" s="154">
        <f>J588+J112+J113+J114+J115+J126+J127+J128+J138+J140+J149+J150+J151+J153+J156+J157+J565+J566+J567</f>
        <v/>
      </c>
      <c r="K215" s="154">
        <f>K588+K112+K113+K114+K115+K126+K127+K128+K138+K140+K149+K150+K151+K153+K156+K157+K565+K566+K567</f>
        <v/>
      </c>
      <c r="L215" s="154">
        <f>L588+L112+L113+L114+L115+L126+L127+L128+L138+L140+L149+L150+L151+L153+L156+L157+L565+L566+L567</f>
        <v/>
      </c>
      <c r="M215" s="154">
        <f>M588+M112+M113+M114+M115+M126+M127+M128+M138+M140+M149+M150+M151+M153+M156+M157+M565+M566+M567</f>
        <v/>
      </c>
      <c r="N215" s="154">
        <f>N588+N112+N113+N114+N115+N126+N127+N128+N138+N140+N149+N150+N151+N153+N156+N157+N565+N566+N567</f>
        <v/>
      </c>
      <c r="O215" s="154">
        <f>O588+O112+O113+O114+O115+O126+O127+O128+O138+O140+O149+O150+O151+O153+O156+O157+O565+O566+O567</f>
        <v/>
      </c>
      <c r="P215" s="154">
        <f>P588+P112+P113+P114+P115+P126+P127+P128+P138+P140+P149+P150+P151+P153+P156+P157+P565+P566+P567</f>
        <v/>
      </c>
      <c r="Q215" s="154">
        <f>Q588+Q112+Q113+Q114+Q115+Q126+Q127+Q128+Q138+Q140+Q149+Q150+Q151+Q153+Q156+Q157+Q565+Q566+Q567</f>
        <v/>
      </c>
      <c r="R215" s="229">
        <f>Q215</f>
        <v/>
      </c>
      <c r="S215" s="154">
        <f>S588+S112+S113+S114+S115+S126+S127+S128+S138+S140+S149+S150+S151+S153+S156+S157+S565+S566+S567</f>
        <v/>
      </c>
      <c r="T215" s="154">
        <f>T588+T112+T113+T114+T115+T126+T127+T128+T138+T140+T149+T150+T151+T153+T156+T157+T565+T566+T567</f>
        <v/>
      </c>
      <c r="U215" s="154">
        <f>U588+U112+U113+U114+U115+U126+U127+U128+U138+U140+U149+U150+U151+U153+U156+U157+U565+U566+U567</f>
        <v/>
      </c>
      <c r="V215" s="154">
        <f>V588+V112+V113+V114+V115+V126+V127+V128+V138+V140+V149+V150+V151+V153+V156+V157+V565+V566+V567</f>
        <v/>
      </c>
      <c r="W215" s="154">
        <f>W588+W112+W113+W114+W115+W126+W127+W128+W138+W140+W149+W150+W151+W153+W156+W157+W565+W566+W567</f>
        <v/>
      </c>
      <c r="X215" s="154">
        <f>X588+X112+X113+X114+X115+X126+X127+X128+X138+X140+X149+X150+X151+X153+X156+X157+X565+X566+X567</f>
        <v/>
      </c>
      <c r="Y215" s="154">
        <f>Y588+Y112+Y113+Y114+Y115+Y126+Y127+Y128+Y138+Y140+Y149+Y150+Y151+Y153+Y156+Y157+Y565+Y566+Y567</f>
        <v/>
      </c>
      <c r="Z215" s="154">
        <f>Z588+Z112+Z113+Z114+Z115+Z126+Z127+Z128+Z138+Z140+Z149+Z150+Z151+Z153+Z156+Z157+Z565+Z566+Z567</f>
        <v/>
      </c>
      <c r="AA215" s="154">
        <f>AA588+AA112+AA113+AA114+AA115+AA126+AA127+AA128+AA138+AA140+AA149+AA150+AA151+AA153+AA156+AA157+AA565+AA566+AA567</f>
        <v/>
      </c>
      <c r="AB215" s="154">
        <f>AB588+AB112+AB113+AB114+AB115+AB126+AB127+AB128+AB138+AB140+AB149+AB150+AB151+AB153+AB156+AB157+AB565+AB566+AB567</f>
        <v/>
      </c>
      <c r="AC215" s="154">
        <f>AC588+AC112+AC113+AC114+AC115+AC126+AC127+AC128+AC138+AC140+AC149+AC150+AC151+AC153+AC156+AC157+AC565+AC566+AC567</f>
        <v/>
      </c>
      <c r="AD215" s="154">
        <f>AD588+AD112+AD113+AD114+AD115+AD126+AD127+AD128+AD138+AD140+AD149+AD150+AD151+AD153+AD156+AD157+AD565+AD566+AD567</f>
        <v/>
      </c>
      <c r="AE215" s="229">
        <f>AD215</f>
        <v/>
      </c>
      <c r="AF215" s="229">
        <f>(AF588+AF112+AF113+AF114+AF115+AF126+AF127+AF128+AF138+AF140+AF149+AF150+AF151+AF153+AF156+AF157+AF565+AF566+AF567)/12</f>
        <v/>
      </c>
      <c r="AG215" s="229">
        <f>(AG588+AG112+AG113+AG114+AG115+AG126+AG127+AG128+AG138+AG140+AG149+AG150+AG151+AG153+AG156+AG157+AG565+AG566+AG567)/12</f>
        <v/>
      </c>
      <c r="AH215" s="229">
        <f>(AH588+AH112+AH113+AH114+AH115+AH126+AH127+AH128+AH138+AH140+AH149+AH150+AH151+AH153+AH156+AH157+AH565+AH566+AH567)/12</f>
        <v/>
      </c>
    </row>
    <row r="216" ht="8.25" customHeight="1" s="277">
      <c r="A216" s="224" t="n"/>
      <c r="B216" s="225">
        <f>"Salaries Payable ("&amp;$C$216&amp;" days)"</f>
        <v/>
      </c>
      <c r="C216" s="344">
        <f>Assumptions!I60</f>
        <v/>
      </c>
      <c r="D216" s="154" t="n"/>
      <c r="E216" s="183" t="n">
        <v>0</v>
      </c>
      <c r="F216" s="154">
        <f>$C$216/30*F480</f>
        <v/>
      </c>
      <c r="G216" s="154">
        <f>$C$216/30*G480</f>
        <v/>
      </c>
      <c r="H216" s="154">
        <f>$C$216/30*H480</f>
        <v/>
      </c>
      <c r="I216" s="154">
        <f>$C$216/30*I480</f>
        <v/>
      </c>
      <c r="J216" s="154">
        <f>$C$216/30*J480</f>
        <v/>
      </c>
      <c r="K216" s="154">
        <f>$C$216/30*K480</f>
        <v/>
      </c>
      <c r="L216" s="154">
        <f>$C$216/30*L480</f>
        <v/>
      </c>
      <c r="M216" s="154">
        <f>$C$216/30*M480</f>
        <v/>
      </c>
      <c r="N216" s="154">
        <f>$C$216/30*N480</f>
        <v/>
      </c>
      <c r="O216" s="154">
        <f>$C$216/30*O480</f>
        <v/>
      </c>
      <c r="P216" s="154">
        <f>$C$216/30*P480</f>
        <v/>
      </c>
      <c r="Q216" s="154">
        <f>$C$216/30*Q480</f>
        <v/>
      </c>
      <c r="R216" s="229">
        <f>Q216</f>
        <v/>
      </c>
      <c r="S216" s="154">
        <f>$C$216/30*S480</f>
        <v/>
      </c>
      <c r="T216" s="154">
        <f>$C$216/30*T480</f>
        <v/>
      </c>
      <c r="U216" s="154">
        <f>$C$216/30*U480</f>
        <v/>
      </c>
      <c r="V216" s="154">
        <f>$C$216/30*V480</f>
        <v/>
      </c>
      <c r="W216" s="154">
        <f>$C$216/30*W480</f>
        <v/>
      </c>
      <c r="X216" s="154">
        <f>$C$216/30*X480</f>
        <v/>
      </c>
      <c r="Y216" s="154">
        <f>$C$216/30*Y480</f>
        <v/>
      </c>
      <c r="Z216" s="154">
        <f>$C$216/30*Z480</f>
        <v/>
      </c>
      <c r="AA216" s="154">
        <f>$C$216/30*AA480</f>
        <v/>
      </c>
      <c r="AB216" s="154">
        <f>$C$216/30*AB480</f>
        <v/>
      </c>
      <c r="AC216" s="154">
        <f>$C$216/30*AC480</f>
        <v/>
      </c>
      <c r="AD216" s="154">
        <f>$C$216/30*AD480</f>
        <v/>
      </c>
      <c r="AE216" s="229">
        <f>AD216</f>
        <v/>
      </c>
      <c r="AF216" s="229">
        <f>$C$216/30*AF480/12</f>
        <v/>
      </c>
      <c r="AG216" s="229">
        <f>$C$216/30*AG480/12</f>
        <v/>
      </c>
      <c r="AH216" s="229">
        <f>$C$216/30*AH480/12</f>
        <v/>
      </c>
    </row>
    <row r="217" ht="8.25" customHeight="1" s="277">
      <c r="A217" s="224" t="n"/>
      <c r="B217" s="225">
        <f>"Taxes Payable ("&amp;$C$217&amp;" days)"</f>
        <v/>
      </c>
      <c r="C217" s="344">
        <f>Assumptions!I61</f>
        <v/>
      </c>
      <c r="D217" s="154" t="n"/>
      <c r="E217" s="183" t="n">
        <v>0</v>
      </c>
      <c r="F217" s="154">
        <f>F176</f>
        <v/>
      </c>
      <c r="G217" s="154">
        <f>F217+G176</f>
        <v/>
      </c>
      <c r="H217" s="154">
        <f>G217+H176</f>
        <v/>
      </c>
      <c r="I217" s="154">
        <f>I176</f>
        <v/>
      </c>
      <c r="J217" s="154">
        <f>I217+J176</f>
        <v/>
      </c>
      <c r="K217" s="154">
        <f>J217+K176</f>
        <v/>
      </c>
      <c r="L217" s="154">
        <f>L176</f>
        <v/>
      </c>
      <c r="M217" s="154">
        <f>L217+M176</f>
        <v/>
      </c>
      <c r="N217" s="154">
        <f>M217+N176</f>
        <v/>
      </c>
      <c r="O217" s="154">
        <f>O176</f>
        <v/>
      </c>
      <c r="P217" s="154">
        <f>O217+P176</f>
        <v/>
      </c>
      <c r="Q217" s="154">
        <f>P217+Q176</f>
        <v/>
      </c>
      <c r="R217" s="229">
        <f>Q217</f>
        <v/>
      </c>
      <c r="S217" s="154">
        <f>S176</f>
        <v/>
      </c>
      <c r="T217" s="154">
        <f>S217+T176</f>
        <v/>
      </c>
      <c r="U217" s="154">
        <f>T217+U176</f>
        <v/>
      </c>
      <c r="V217" s="154">
        <f>V176</f>
        <v/>
      </c>
      <c r="W217" s="154">
        <f>V217+W176</f>
        <v/>
      </c>
      <c r="X217" s="154">
        <f>W217+X176</f>
        <v/>
      </c>
      <c r="Y217" s="154">
        <f>Y176</f>
        <v/>
      </c>
      <c r="Z217" s="154">
        <f>Y217+Z176</f>
        <v/>
      </c>
      <c r="AA217" s="154">
        <f>Z217+AA176</f>
        <v/>
      </c>
      <c r="AB217" s="154">
        <f>AB176</f>
        <v/>
      </c>
      <c r="AC217" s="154">
        <f>AB217+AC176</f>
        <v/>
      </c>
      <c r="AD217" s="154">
        <f>AC217+AD176</f>
        <v/>
      </c>
      <c r="AE217" s="229">
        <f>AD217</f>
        <v/>
      </c>
      <c r="AF217" s="229">
        <f>AF176/4</f>
        <v/>
      </c>
      <c r="AG217" s="229">
        <f>AG176/4</f>
        <v/>
      </c>
      <c r="AH217" s="229">
        <f>AH176/4</f>
        <v/>
      </c>
    </row>
    <row r="218" ht="8.25" customHeight="1" s="277">
      <c r="A218" s="224" t="n"/>
      <c r="B218" s="225">
        <f>"Line of Credit ("&amp;$C$218*100&amp;"% of net A/R)"</f>
        <v/>
      </c>
      <c r="C218" s="345">
        <f>Assumptions!I63</f>
        <v/>
      </c>
      <c r="D218" s="346">
        <f>Assumptions!I64</f>
        <v/>
      </c>
      <c r="E218" s="183" t="n">
        <v>0</v>
      </c>
      <c r="F218" s="154">
        <f>IF(F192*$C$218&lt;=$D$218,F192*$C$218,$D$218)</f>
        <v/>
      </c>
      <c r="G218" s="154">
        <f>IF(G192*$C$218&lt;=$D$218,G192*$C$218,$D$218)</f>
        <v/>
      </c>
      <c r="H218" s="154">
        <f>IF(H192*$C$218&lt;=$D$218,H192*$C$218,$D$218)</f>
        <v/>
      </c>
      <c r="I218" s="154">
        <f>IF(I192*$C$218&lt;=$D$218,I192*$C$218,$D$218)</f>
        <v/>
      </c>
      <c r="J218" s="154">
        <f>IF(J192*$C$218&lt;=$D$218,J192*$C$218,$D$218)</f>
        <v/>
      </c>
      <c r="K218" s="154">
        <f>IF(K192*$C$218&lt;=$D$218,K192*$C$218,$D$218)</f>
        <v/>
      </c>
      <c r="L218" s="154">
        <f>IF(L192*$C$218&lt;=$D$218,L192*$C$218,$D$218)</f>
        <v/>
      </c>
      <c r="M218" s="154">
        <f>IF(M192*$C$218&lt;=$D$218,M192*$C$218,$D$218)</f>
        <v/>
      </c>
      <c r="N218" s="154">
        <f>IF(N192*$C$218&lt;=$D$218,N192*$C$218,$D$218)</f>
        <v/>
      </c>
      <c r="O218" s="154">
        <f>IF(O192*$C$218&lt;=$D$218,O192*$C$218,$D$218)</f>
        <v/>
      </c>
      <c r="P218" s="154">
        <f>IF(P192*$C$218&lt;=$D$218,P192*$C$218,$D$218)</f>
        <v/>
      </c>
      <c r="Q218" s="154">
        <f>IF(Q192*$C$218&lt;=$D$218,Q192*$C$218,$D$218)</f>
        <v/>
      </c>
      <c r="R218" s="229">
        <f>Q218</f>
        <v/>
      </c>
      <c r="S218" s="154">
        <f>IF(S192*$C$218&lt;=$D$218,S192*$C$218,$D$218)</f>
        <v/>
      </c>
      <c r="T218" s="154">
        <f>IF(T192*$C$218&lt;=$D$218,T192*$C$218,$D$218)</f>
        <v/>
      </c>
      <c r="U218" s="154">
        <f>IF(U192*$C$218&lt;=$D$218,U192*$C$218,$D$218)</f>
        <v/>
      </c>
      <c r="V218" s="154">
        <f>IF(V192*$C$218&lt;=$D$218,V192*$C$218,$D$218)</f>
        <v/>
      </c>
      <c r="W218" s="154">
        <f>IF(W192*$C$218&lt;=$D$218,W192*$C$218,$D$218)</f>
        <v/>
      </c>
      <c r="X218" s="154">
        <f>IF(X192*$C$218&lt;=$D$218,X192*$C$218,$D$218)</f>
        <v/>
      </c>
      <c r="Y218" s="154">
        <f>IF(Y192*$C$218&lt;=$D$218,Y192*$C$218,$D$218)</f>
        <v/>
      </c>
      <c r="Z218" s="154">
        <f>IF(Z192*$C$218&lt;=$D$218,Z192*$C$218,$D$218)</f>
        <v/>
      </c>
      <c r="AA218" s="154">
        <f>IF(AA192*$C$218&lt;=$D$218,AA192*$C$218,$D$218)</f>
        <v/>
      </c>
      <c r="AB218" s="154">
        <f>IF(AB192*$C$218&lt;=$D$218,AB192*$C$218,$D$218)</f>
        <v/>
      </c>
      <c r="AC218" s="154">
        <f>IF(AC192*$C$218&lt;=$D$218,AC192*$C$218,$D$218)</f>
        <v/>
      </c>
      <c r="AD218" s="154">
        <f>IF(AD192*$C$218&lt;=$D$218,AD192*$C$218,$D$218)</f>
        <v/>
      </c>
      <c r="AE218" s="229">
        <f>AD218</f>
        <v/>
      </c>
      <c r="AF218" s="229">
        <f>IF(AF192*$C$218&lt;=$D$218,AF192*$C$218,$D$218)</f>
        <v/>
      </c>
      <c r="AG218" s="229">
        <f>IF(AG192*$C$218&lt;=$D$218,AG192*$C$218,$D$218)</f>
        <v/>
      </c>
      <c r="AH218" s="229">
        <f>IF(AH192*$C$218&lt;=$D$218,AH192*$C$218,$D$218)</f>
        <v/>
      </c>
    </row>
    <row r="219" ht="8.25" customFormat="1" customHeight="1" s="154">
      <c r="A219" s="224" t="n"/>
      <c r="B219" s="225" t="inlineStr">
        <is>
          <t>Current Portion of Capital Equipment Lease</t>
        </is>
      </c>
      <c r="C219" s="154" t="n"/>
      <c r="D219" s="154" t="n"/>
      <c r="E219" s="183" t="n">
        <v>0</v>
      </c>
      <c r="F219" s="154">
        <f>E219+(F630-F636)*1/($C$224)</f>
        <v/>
      </c>
      <c r="G219" s="154">
        <f>F219+(G630-G636)*1/($C$224)</f>
        <v/>
      </c>
      <c r="H219" s="154">
        <f>G219+(H630-H636)*1/($C$224)</f>
        <v/>
      </c>
      <c r="I219" s="154">
        <f>H219+(I630-I636)*1/($C$224)</f>
        <v/>
      </c>
      <c r="J219" s="154">
        <f>I219+(J630-J636)*1/($C$224)</f>
        <v/>
      </c>
      <c r="K219" s="154">
        <f>J219+(K630-K636)*1/($C$224)</f>
        <v/>
      </c>
      <c r="L219" s="154">
        <f>K219+(L630-L636)*1/($C$224)</f>
        <v/>
      </c>
      <c r="M219" s="154">
        <f>L219+(M630-M636)*1/($C$224)</f>
        <v/>
      </c>
      <c r="N219" s="154">
        <f>M219+(N630-N636)*1/($C$224)</f>
        <v/>
      </c>
      <c r="O219" s="154">
        <f>N219+(O630-O636)*1/($C$224)</f>
        <v/>
      </c>
      <c r="P219" s="154">
        <f>O219+(P630-P636)*1/($C$224)</f>
        <v/>
      </c>
      <c r="Q219" s="154">
        <f>P219+(Q630-Q636)*1/($C$224)</f>
        <v/>
      </c>
      <c r="R219" s="229">
        <f>Q219</f>
        <v/>
      </c>
      <c r="S219" s="154">
        <f>R219+(S630-S636)*1/($C$224)</f>
        <v/>
      </c>
      <c r="T219" s="154">
        <f>S219+(T630-T636)*1/($C$224)</f>
        <v/>
      </c>
      <c r="U219" s="154">
        <f>T219+(U630-U636)*1/($C$224)</f>
        <v/>
      </c>
      <c r="V219" s="154">
        <f>U219+(V630-V636)*1/($C$224)</f>
        <v/>
      </c>
      <c r="W219" s="154">
        <f>V219+(W630-W636)*1/($C$224)</f>
        <v/>
      </c>
      <c r="X219" s="154">
        <f>W219+(X630-X636)*1/($C$224)</f>
        <v/>
      </c>
      <c r="Y219" s="154">
        <f>X219+(Y630-Y636)*1/($C$224)</f>
        <v/>
      </c>
      <c r="Z219" s="154">
        <f>Y219+(Z630-Z636)*1/($C$224)</f>
        <v/>
      </c>
      <c r="AA219" s="154">
        <f>Z219+(AA630-AA636)*1/($C$224)</f>
        <v/>
      </c>
      <c r="AB219" s="154">
        <f>AA219+(AB630-AB636)*1/($C$224)</f>
        <v/>
      </c>
      <c r="AC219" s="154">
        <f>AB219+(AC630-AC636)*1/($C$224)</f>
        <v/>
      </c>
      <c r="AD219" s="154">
        <f>AC219+(AD630-AD636)*1/($C$224)</f>
        <v/>
      </c>
      <c r="AE219" s="229">
        <f>AD219</f>
        <v/>
      </c>
      <c r="AF219" s="229">
        <f>AE219+(AF630-AF636)*1/($C$224)</f>
        <v/>
      </c>
      <c r="AG219" s="229">
        <f>AF219+(AG630-AG636)*1/($C$224)</f>
        <v/>
      </c>
      <c r="AH219" s="229">
        <f>AG219+(AH630-AH636)*1/($C$224)</f>
        <v/>
      </c>
    </row>
    <row r="220" ht="8.25" customFormat="1" customHeight="1" s="154">
      <c r="A220" s="224" t="n"/>
      <c r="B220" s="225" t="inlineStr">
        <is>
          <t>Current Portion of Long Term Debt</t>
        </is>
      </c>
      <c r="C220" s="154" t="n"/>
      <c r="D220" s="154" t="n"/>
      <c r="E220" s="183" t="n">
        <v>0</v>
      </c>
      <c r="F220" s="154">
        <f>E220+(F631-F637)*1/($C$225)</f>
        <v/>
      </c>
      <c r="G220" s="154">
        <f>F220+(G631-G637)*1/($C$225)</f>
        <v/>
      </c>
      <c r="H220" s="154">
        <f>G220+(H631-H637)*1/($C$225)</f>
        <v/>
      </c>
      <c r="I220" s="154">
        <f>H220+(I631-I637)*1/($C$225)</f>
        <v/>
      </c>
      <c r="J220" s="154">
        <f>I220+(J631-J637)*1/($C$225)</f>
        <v/>
      </c>
      <c r="K220" s="154">
        <f>J220+(K631-K637)*1/($C$225)</f>
        <v/>
      </c>
      <c r="L220" s="154">
        <f>K220+(L631-L637)*1/($C$225)</f>
        <v/>
      </c>
      <c r="M220" s="154">
        <f>L220+(M631-M637)*1/($C$225)</f>
        <v/>
      </c>
      <c r="N220" s="154">
        <f>M220+(N631-N637)*1/($C$225)</f>
        <v/>
      </c>
      <c r="O220" s="154">
        <f>N220+(O631-O637)*1/($C$225)</f>
        <v/>
      </c>
      <c r="P220" s="154">
        <f>O220+(P631-P637)*1/($C$225)</f>
        <v/>
      </c>
      <c r="Q220" s="154">
        <f>P220+(Q631-Q637)*1/($C$225)</f>
        <v/>
      </c>
      <c r="R220" s="229">
        <f>Q220</f>
        <v/>
      </c>
      <c r="S220" s="154">
        <f>R220+(S631-S637)*1/($C$225)</f>
        <v/>
      </c>
      <c r="T220" s="154">
        <f>S220+(T631-T637)*1/($C$225)</f>
        <v/>
      </c>
      <c r="U220" s="154">
        <f>T220+(U631-U637)*1/($C$225)</f>
        <v/>
      </c>
      <c r="V220" s="154">
        <f>U220+(V631-V637)*1/($C$225)</f>
        <v/>
      </c>
      <c r="W220" s="154">
        <f>V220+(W631-W637)*1/($C$225)</f>
        <v/>
      </c>
      <c r="X220" s="154">
        <f>W220+(X631-X637)*1/($C$225)</f>
        <v/>
      </c>
      <c r="Y220" s="154">
        <f>X220+(Y631-Y637)*1/($C$225)</f>
        <v/>
      </c>
      <c r="Z220" s="154">
        <f>Y220+(Z631-Z637)*1/($C$225)</f>
        <v/>
      </c>
      <c r="AA220" s="154">
        <f>Z220+(AA631-AA637)*1/($C$225)</f>
        <v/>
      </c>
      <c r="AB220" s="154">
        <f>AA220+(AB631-AB637)*1/($C$225)</f>
        <v/>
      </c>
      <c r="AC220" s="154">
        <f>AB220+(AC631-AC637)*1/($C$225)</f>
        <v/>
      </c>
      <c r="AD220" s="154">
        <f>AC220+(AD631-AD637)*1/($C$225)</f>
        <v/>
      </c>
      <c r="AE220" s="229">
        <f>AD220</f>
        <v/>
      </c>
      <c r="AF220" s="229">
        <f>AE220+(AF631-AF637)*1/($C$225)</f>
        <v/>
      </c>
      <c r="AG220" s="229">
        <f>AF220+(AG631-AG637)*1/($C$225)</f>
        <v/>
      </c>
      <c r="AH220" s="229">
        <f>AG220+(AH631-AH637)*1/($C$225)</f>
        <v/>
      </c>
    </row>
    <row r="221" ht="8.25" customHeight="1" s="277">
      <c r="A221" s="139" t="inlineStr">
        <is>
          <t>Total ST Liabs</t>
        </is>
      </c>
      <c r="B221" s="156" t="n"/>
      <c r="C221" s="228" t="n"/>
      <c r="D221" s="228" t="n"/>
      <c r="E221" s="228">
        <f>SUM(E215:E220)</f>
        <v/>
      </c>
      <c r="F221" s="228">
        <f>SUM(F215:F220)</f>
        <v/>
      </c>
      <c r="G221" s="228">
        <f>SUM(G215:G220)</f>
        <v/>
      </c>
      <c r="H221" s="228">
        <f>SUM(H215:H220)</f>
        <v/>
      </c>
      <c r="I221" s="228">
        <f>SUM(I215:I220)</f>
        <v/>
      </c>
      <c r="J221" s="228">
        <f>SUM(J215:J220)</f>
        <v/>
      </c>
      <c r="K221" s="228">
        <f>SUM(K215:K220)</f>
        <v/>
      </c>
      <c r="L221" s="228">
        <f>SUM(L215:L220)</f>
        <v/>
      </c>
      <c r="M221" s="228">
        <f>SUM(M215:M220)</f>
        <v/>
      </c>
      <c r="N221" s="228">
        <f>SUM(N215:N220)</f>
        <v/>
      </c>
      <c r="O221" s="228">
        <f>SUM(O215:O220)</f>
        <v/>
      </c>
      <c r="P221" s="228">
        <f>SUM(P215:P220)</f>
        <v/>
      </c>
      <c r="Q221" s="228">
        <f>SUM(Q215:Q220)</f>
        <v/>
      </c>
      <c r="R221" s="158">
        <f>Q221</f>
        <v/>
      </c>
      <c r="S221" s="228">
        <f>SUM(S215:S220)</f>
        <v/>
      </c>
      <c r="T221" s="228">
        <f>SUM(T215:T220)</f>
        <v/>
      </c>
      <c r="U221" s="228">
        <f>SUM(U215:U220)</f>
        <v/>
      </c>
      <c r="V221" s="228">
        <f>SUM(V215:V220)</f>
        <v/>
      </c>
      <c r="W221" s="228">
        <f>SUM(W215:W220)</f>
        <v/>
      </c>
      <c r="X221" s="228">
        <f>SUM(X215:X220)</f>
        <v/>
      </c>
      <c r="Y221" s="228">
        <f>SUM(Y215:Y220)</f>
        <v/>
      </c>
      <c r="Z221" s="228">
        <f>SUM(Z215:Z220)</f>
        <v/>
      </c>
      <c r="AA221" s="228">
        <f>SUM(AA215:AA220)</f>
        <v/>
      </c>
      <c r="AB221" s="228">
        <f>SUM(AB215:AB220)</f>
        <v/>
      </c>
      <c r="AC221" s="228">
        <f>SUM(AC215:AC220)</f>
        <v/>
      </c>
      <c r="AD221" s="228">
        <f>SUM(AD215:AD220)</f>
        <v/>
      </c>
      <c r="AE221" s="158">
        <f>AD221</f>
        <v/>
      </c>
      <c r="AF221" s="158">
        <f>SUM(AF215:AF220)</f>
        <v/>
      </c>
      <c r="AG221" s="158">
        <f>SUM(AG215:AG220)</f>
        <v/>
      </c>
      <c r="AH221" s="158">
        <f>SUM(AH215:AH220)</f>
        <v/>
      </c>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f>"Capital Equipment Lease ("&amp;$C$224&amp;" years)"</f>
        <v/>
      </c>
      <c r="C224" s="347">
        <f>Assumptions!I65</f>
        <v/>
      </c>
      <c r="D224" s="154" t="n"/>
      <c r="E224" s="183" t="n">
        <v>0</v>
      </c>
      <c r="F224" s="154">
        <f>E224+(F630-F636)*($C$224-1)/($C$224)</f>
        <v/>
      </c>
      <c r="G224" s="154">
        <f>F224+(G630-G636)*($C$224-1)/($C$224)</f>
        <v/>
      </c>
      <c r="H224" s="154">
        <f>G224+(H630-H636)*($C$224-1)/($C$224)</f>
        <v/>
      </c>
      <c r="I224" s="154">
        <f>H224+(I630-I636)*($C$224-1)/($C$224)</f>
        <v/>
      </c>
      <c r="J224" s="154">
        <f>I224+(J630-J636)*($C$224-1)/($C$224)</f>
        <v/>
      </c>
      <c r="K224" s="154">
        <f>J224+(K630-K636)*($C$224-1)/($C$224)</f>
        <v/>
      </c>
      <c r="L224" s="154">
        <f>K224+(L630-L636)*($C$224-1)/($C$224)</f>
        <v/>
      </c>
      <c r="M224" s="154">
        <f>L224+(M630-M636)*($C$224-1)/($C$224)</f>
        <v/>
      </c>
      <c r="N224" s="154">
        <f>M224+(N630-N636)*($C$224-1)/($C$224)</f>
        <v/>
      </c>
      <c r="O224" s="154">
        <f>N224+(O630-O636)*($C$224-1)/($C$224)</f>
        <v/>
      </c>
      <c r="P224" s="154">
        <f>O224+(P630-P636)*($C$224-1)/($C$224)</f>
        <v/>
      </c>
      <c r="Q224" s="154">
        <f>P224+(Q630-Q636)*($C$224-1)/($C$224)</f>
        <v/>
      </c>
      <c r="R224" s="229">
        <f>Q224</f>
        <v/>
      </c>
      <c r="S224" s="154">
        <f>R224+(S630-S636)*($C$224-1)/($C$224)</f>
        <v/>
      </c>
      <c r="T224" s="154">
        <f>S224+(T630-T636)*($C$224-1)/($C$224)</f>
        <v/>
      </c>
      <c r="U224" s="154">
        <f>T224+(U630-U636)*($C$224-1)/($C$224)</f>
        <v/>
      </c>
      <c r="V224" s="154">
        <f>U224+(V630-V636)*($C$224-1)/($C$224)</f>
        <v/>
      </c>
      <c r="W224" s="154">
        <f>V224+(W630-W636)*($C$224-1)/($C$224)</f>
        <v/>
      </c>
      <c r="X224" s="154">
        <f>W224+(X630-X636)*($C$224-1)/($C$224)</f>
        <v/>
      </c>
      <c r="Y224" s="154">
        <f>X224+(Y630-Y636)*($C$224-1)/($C$224)</f>
        <v/>
      </c>
      <c r="Z224" s="154">
        <f>Y224+(Z630-Z636)*($C$224-1)/($C$224)</f>
        <v/>
      </c>
      <c r="AA224" s="154">
        <f>Z224+(AA630-AA636)*($C$224-1)/($C$224)</f>
        <v/>
      </c>
      <c r="AB224" s="154">
        <f>AA224+(AB630-AB636)*($C$224-1)/($C$224)</f>
        <v/>
      </c>
      <c r="AC224" s="154">
        <f>AB224+(AC630-AC636)*($C$224-1)/($C$224)</f>
        <v/>
      </c>
      <c r="AD224" s="154">
        <f>AC224+(AD630-AD636)*($C$224-1)/($C$224)</f>
        <v/>
      </c>
      <c r="AE224" s="229">
        <f>AD224</f>
        <v/>
      </c>
      <c r="AF224" s="229">
        <f>AE224+(AF630-AF636)*($C$224-1)/($C$224)</f>
        <v/>
      </c>
      <c r="AG224" s="229">
        <f>AF224+(AG630-AG636)*($C$224-1)/($C$224)</f>
        <v/>
      </c>
      <c r="AH224" s="229">
        <f>AG224+(AH630-AH636)*($C$224-1)/($C$224)</f>
        <v/>
      </c>
    </row>
    <row r="225" ht="8.25" customFormat="1" customHeight="1" s="154">
      <c r="A225" s="224" t="n"/>
      <c r="B225" s="225">
        <f>"Long Term Debt ("&amp;$C$225&amp;" years)"</f>
        <v/>
      </c>
      <c r="C225" s="347">
        <f>Assumptions!I66</f>
        <v/>
      </c>
      <c r="D225" s="154" t="n"/>
      <c r="E225" s="183" t="n">
        <v>0</v>
      </c>
      <c r="F225" s="154">
        <f>E225+(F631-F637)*($C$225-1)/($C$225)</f>
        <v/>
      </c>
      <c r="G225" s="154">
        <f>F225+(G631-G637)*($C$225-1)/($C$225)</f>
        <v/>
      </c>
      <c r="H225" s="154">
        <f>G225+(H631-H637)*($C$225-1)/($C$225)</f>
        <v/>
      </c>
      <c r="I225" s="154">
        <f>H225+(I631-I637)*($C$225-1)/($C$225)</f>
        <v/>
      </c>
      <c r="J225" s="154">
        <f>I225+(J631-J637)*($C$225-1)/($C$225)</f>
        <v/>
      </c>
      <c r="K225" s="154">
        <f>J225+(K631-K637)*($C$225-1)/($C$225)</f>
        <v/>
      </c>
      <c r="L225" s="154">
        <f>K225+(L631-L637)*($C$225-1)/($C$225)</f>
        <v/>
      </c>
      <c r="M225" s="154">
        <f>L225+(M631-M637)*($C$225-1)/($C$225)</f>
        <v/>
      </c>
      <c r="N225" s="154">
        <f>M225+(N631-N637)*($C$225-1)/($C$225)</f>
        <v/>
      </c>
      <c r="O225" s="154">
        <f>N225+(O631-O637)*($C$225-1)/($C$225)</f>
        <v/>
      </c>
      <c r="P225" s="154">
        <f>O225+(P631-P637)*($C$225-1)/($C$225)</f>
        <v/>
      </c>
      <c r="Q225" s="154">
        <f>P225+(Q631-Q637)*($C$225-1)/($C$225)</f>
        <v/>
      </c>
      <c r="R225" s="229">
        <f>Q225</f>
        <v/>
      </c>
      <c r="S225" s="154">
        <f>R225+(S631-S637)*($C$225-1)/($C$225)</f>
        <v/>
      </c>
      <c r="T225" s="154">
        <f>S225+(T631-T637)*($C$225-1)/($C$225)</f>
        <v/>
      </c>
      <c r="U225" s="154">
        <f>T225+(U631-U637)*($C$225-1)/($C$225)</f>
        <v/>
      </c>
      <c r="V225" s="154">
        <f>U225+(V631-V637)*($C$225-1)/($C$225)</f>
        <v/>
      </c>
      <c r="W225" s="154">
        <f>V225+(W631-W637)*($C$225-1)/($C$225)</f>
        <v/>
      </c>
      <c r="X225" s="154">
        <f>W225+(X631-X637)*($C$225-1)/($C$225)</f>
        <v/>
      </c>
      <c r="Y225" s="154">
        <f>X225+(Y631-Y637)*($C$225-1)/($C$225)</f>
        <v/>
      </c>
      <c r="Z225" s="154">
        <f>Y225+(Z631-Z637)*($C$225-1)/($C$225)</f>
        <v/>
      </c>
      <c r="AA225" s="154">
        <f>Z225+(AA631-AA637)*($C$225-1)/($C$225)</f>
        <v/>
      </c>
      <c r="AB225" s="154">
        <f>AA225+(AB631-AB637)*($C$225-1)/($C$225)</f>
        <v/>
      </c>
      <c r="AC225" s="154">
        <f>AB225+(AC631-AC637)*($C$225-1)/($C$225)</f>
        <v/>
      </c>
      <c r="AD225" s="154">
        <f>AC225+(AD631-AD637)*($C$225-1)/($C$225)</f>
        <v/>
      </c>
      <c r="AE225" s="229">
        <f>AD225</f>
        <v/>
      </c>
      <c r="AF225" s="229">
        <f>AE225+(AF631-AF637)*($C$225-1)/($C$225)</f>
        <v/>
      </c>
      <c r="AG225" s="229">
        <f>AF225+(AG631-AG637)*($C$225-1)/($C$225)</f>
        <v/>
      </c>
      <c r="AH225" s="229">
        <f>AG225+(AH631-AH637)*($C$225-1)/($C$225)</f>
        <v/>
      </c>
    </row>
    <row r="226" ht="8.25" customHeight="1" s="277">
      <c r="A226" s="139" t="inlineStr">
        <is>
          <t>Total LT Liabs</t>
        </is>
      </c>
      <c r="B226" s="156" t="n"/>
      <c r="C226" s="228" t="n"/>
      <c r="D226" s="228" t="n"/>
      <c r="E226" s="228">
        <f>SUM(E224:E225)</f>
        <v/>
      </c>
      <c r="F226" s="228">
        <f>SUM(F224:F225)</f>
        <v/>
      </c>
      <c r="G226" s="228">
        <f>SUM(G224:G225)</f>
        <v/>
      </c>
      <c r="H226" s="228">
        <f>SUM(H224:H225)</f>
        <v/>
      </c>
      <c r="I226" s="228">
        <f>SUM(I224:I225)</f>
        <v/>
      </c>
      <c r="J226" s="228">
        <f>SUM(J224:J225)</f>
        <v/>
      </c>
      <c r="K226" s="228">
        <f>SUM(K224:K225)</f>
        <v/>
      </c>
      <c r="L226" s="228">
        <f>SUM(L224:L225)</f>
        <v/>
      </c>
      <c r="M226" s="228">
        <f>SUM(M224:M225)</f>
        <v/>
      </c>
      <c r="N226" s="228">
        <f>SUM(N224:N225)</f>
        <v/>
      </c>
      <c r="O226" s="228">
        <f>SUM(O224:O225)</f>
        <v/>
      </c>
      <c r="P226" s="228">
        <f>SUM(P224:P225)</f>
        <v/>
      </c>
      <c r="Q226" s="228">
        <f>SUM(Q224:Q225)</f>
        <v/>
      </c>
      <c r="R226" s="158">
        <f>Q226</f>
        <v/>
      </c>
      <c r="S226" s="228">
        <f>SUM(S224:S225)</f>
        <v/>
      </c>
      <c r="T226" s="228">
        <f>SUM(T224:T225)</f>
        <v/>
      </c>
      <c r="U226" s="228">
        <f>SUM(U224:U225)</f>
        <v/>
      </c>
      <c r="V226" s="228">
        <f>SUM(V224:V225)</f>
        <v/>
      </c>
      <c r="W226" s="228">
        <f>SUM(W224:W225)</f>
        <v/>
      </c>
      <c r="X226" s="228">
        <f>SUM(X224:X225)</f>
        <v/>
      </c>
      <c r="Y226" s="228">
        <f>SUM(Y224:Y225)</f>
        <v/>
      </c>
      <c r="Z226" s="228">
        <f>SUM(Z224:Z225)</f>
        <v/>
      </c>
      <c r="AA226" s="228">
        <f>SUM(AA224:AA225)</f>
        <v/>
      </c>
      <c r="AB226" s="228">
        <f>SUM(AB224:AB225)</f>
        <v/>
      </c>
      <c r="AC226" s="228">
        <f>SUM(AC224:AC225)</f>
        <v/>
      </c>
      <c r="AD226" s="228">
        <f>SUM(AD224:AD225)</f>
        <v/>
      </c>
      <c r="AE226" s="158">
        <f>AD226</f>
        <v/>
      </c>
      <c r="AF226" s="158">
        <f>SUM(AF224:AF225)</f>
        <v/>
      </c>
      <c r="AG226" s="158">
        <f>SUM(AG224:AG225)</f>
        <v/>
      </c>
      <c r="AH226" s="158">
        <f>SUM(AH224:AH225)</f>
        <v/>
      </c>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f>E221+E226</f>
        <v/>
      </c>
      <c r="F228" s="228">
        <f>F221+F226</f>
        <v/>
      </c>
      <c r="G228" s="228">
        <f>G221+G226</f>
        <v/>
      </c>
      <c r="H228" s="228">
        <f>H221+H226</f>
        <v/>
      </c>
      <c r="I228" s="228">
        <f>I221+I226</f>
        <v/>
      </c>
      <c r="J228" s="228">
        <f>J221+J226</f>
        <v/>
      </c>
      <c r="K228" s="228">
        <f>K221+K226</f>
        <v/>
      </c>
      <c r="L228" s="228">
        <f>L221+L226</f>
        <v/>
      </c>
      <c r="M228" s="228">
        <f>M221+M226</f>
        <v/>
      </c>
      <c r="N228" s="228">
        <f>N221+N226</f>
        <v/>
      </c>
      <c r="O228" s="228">
        <f>O221+O226</f>
        <v/>
      </c>
      <c r="P228" s="228">
        <f>P221+P226</f>
        <v/>
      </c>
      <c r="Q228" s="228">
        <f>Q221+Q226</f>
        <v/>
      </c>
      <c r="R228" s="158">
        <f>Q228</f>
        <v/>
      </c>
      <c r="S228" s="228">
        <f>S221+S226</f>
        <v/>
      </c>
      <c r="T228" s="228">
        <f>T221+T226</f>
        <v/>
      </c>
      <c r="U228" s="228">
        <f>U221+U226</f>
        <v/>
      </c>
      <c r="V228" s="228">
        <f>V221+V226</f>
        <v/>
      </c>
      <c r="W228" s="228">
        <f>W221+W226</f>
        <v/>
      </c>
      <c r="X228" s="228">
        <f>X221+X226</f>
        <v/>
      </c>
      <c r="Y228" s="228">
        <f>Y221+Y226</f>
        <v/>
      </c>
      <c r="Z228" s="228">
        <f>Z221+Z226</f>
        <v/>
      </c>
      <c r="AA228" s="228">
        <f>AA221+AA226</f>
        <v/>
      </c>
      <c r="AB228" s="228">
        <f>AB221+AB226</f>
        <v/>
      </c>
      <c r="AC228" s="228">
        <f>AC221+AC226</f>
        <v/>
      </c>
      <c r="AD228" s="228">
        <f>AD221+AD226</f>
        <v/>
      </c>
      <c r="AE228" s="158">
        <f>AD228</f>
        <v/>
      </c>
      <c r="AF228" s="158">
        <f>AF221+AF226</f>
        <v/>
      </c>
      <c r="AG228" s="158">
        <f>AG221+AG226</f>
        <v/>
      </c>
      <c r="AH228" s="158">
        <f>AH221+AH226</f>
        <v/>
      </c>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f>E231+F644-F649</f>
        <v/>
      </c>
      <c r="G231" s="154">
        <f>F231+G644-G649</f>
        <v/>
      </c>
      <c r="H231" s="154">
        <f>G231+H644-H649</f>
        <v/>
      </c>
      <c r="I231" s="154">
        <f>H231+I644-I649</f>
        <v/>
      </c>
      <c r="J231" s="154">
        <f>I231+J644-J649</f>
        <v/>
      </c>
      <c r="K231" s="154">
        <f>J231+K644-K649</f>
        <v/>
      </c>
      <c r="L231" s="154">
        <f>K231+L644-L649</f>
        <v/>
      </c>
      <c r="M231" s="154">
        <f>L231+M644-M649</f>
        <v/>
      </c>
      <c r="N231" s="154">
        <f>M231+N644-N649</f>
        <v/>
      </c>
      <c r="O231" s="154">
        <f>N231+O644-O649</f>
        <v/>
      </c>
      <c r="P231" s="154">
        <f>O231+P644-P649</f>
        <v/>
      </c>
      <c r="Q231" s="154">
        <f>P231+Q644-Q649</f>
        <v/>
      </c>
      <c r="R231" s="229">
        <f>Q231</f>
        <v/>
      </c>
      <c r="S231" s="154">
        <f>R231+S644-S649</f>
        <v/>
      </c>
      <c r="T231" s="154">
        <f>S231+T644-T649</f>
        <v/>
      </c>
      <c r="U231" s="154">
        <f>T231+U644-U649</f>
        <v/>
      </c>
      <c r="V231" s="154">
        <f>U231+V644-V649</f>
        <v/>
      </c>
      <c r="W231" s="154">
        <f>V231+W644-W649</f>
        <v/>
      </c>
      <c r="X231" s="154">
        <f>W231+X644-X649</f>
        <v/>
      </c>
      <c r="Y231" s="154">
        <f>X231+Y644-Y649</f>
        <v/>
      </c>
      <c r="Z231" s="154">
        <f>Y231+Z644-Z649</f>
        <v/>
      </c>
      <c r="AA231" s="154">
        <f>Z231+AA644-AA649</f>
        <v/>
      </c>
      <c r="AB231" s="154">
        <f>AA231+AB644-AB649</f>
        <v/>
      </c>
      <c r="AC231" s="154">
        <f>AB231+AC644-AC649</f>
        <v/>
      </c>
      <c r="AD231" s="154">
        <f>AC231+AD644-AD649</f>
        <v/>
      </c>
      <c r="AE231" s="229">
        <f>AD231</f>
        <v/>
      </c>
      <c r="AF231" s="229">
        <f>AE231+AF644-AF649</f>
        <v/>
      </c>
      <c r="AG231" s="229">
        <f>AF231+AG644-AG649</f>
        <v/>
      </c>
      <c r="AH231" s="229">
        <f>AG231+AH644-AH649</f>
        <v/>
      </c>
    </row>
    <row r="232" ht="8.25" customHeight="1" s="277">
      <c r="A232" s="224" t="n"/>
      <c r="B232" s="225" t="inlineStr">
        <is>
          <t>Common Stock</t>
        </is>
      </c>
      <c r="C232" s="154" t="n"/>
      <c r="D232" s="154" t="n"/>
      <c r="E232" s="183" t="n">
        <v>0</v>
      </c>
      <c r="F232" s="154">
        <f>E232+F645-F650</f>
        <v/>
      </c>
      <c r="G232" s="154">
        <f>F232+G645-G650</f>
        <v/>
      </c>
      <c r="H232" s="154">
        <f>G232+H645-H650</f>
        <v/>
      </c>
      <c r="I232" s="154">
        <f>H232+I645-I650</f>
        <v/>
      </c>
      <c r="J232" s="154">
        <f>I232+J645-J650</f>
        <v/>
      </c>
      <c r="K232" s="154">
        <f>J232+K645-K650</f>
        <v/>
      </c>
      <c r="L232" s="154">
        <f>K232+L645-L650</f>
        <v/>
      </c>
      <c r="M232" s="154">
        <f>L232+M645-M650</f>
        <v/>
      </c>
      <c r="N232" s="154">
        <f>M232+N645-N650</f>
        <v/>
      </c>
      <c r="O232" s="154">
        <f>N232+O645-O650</f>
        <v/>
      </c>
      <c r="P232" s="154">
        <f>O232+P645-P650</f>
        <v/>
      </c>
      <c r="Q232" s="154">
        <f>P232+Q645-Q650</f>
        <v/>
      </c>
      <c r="R232" s="229">
        <f>Q232</f>
        <v/>
      </c>
      <c r="S232" s="154">
        <f>R232+S645-S650</f>
        <v/>
      </c>
      <c r="T232" s="154">
        <f>S232+T645-T650</f>
        <v/>
      </c>
      <c r="U232" s="154">
        <f>T232+U645-U650</f>
        <v/>
      </c>
      <c r="V232" s="154">
        <f>U232+V645-V650</f>
        <v/>
      </c>
      <c r="W232" s="154">
        <f>V232+W645-W650</f>
        <v/>
      </c>
      <c r="X232" s="154">
        <f>W232+X645-X650</f>
        <v/>
      </c>
      <c r="Y232" s="154">
        <f>X232+Y645-Y650</f>
        <v/>
      </c>
      <c r="Z232" s="154">
        <f>Y232+Z645-Z650</f>
        <v/>
      </c>
      <c r="AA232" s="154">
        <f>Z232+AA645-AA650</f>
        <v/>
      </c>
      <c r="AB232" s="154">
        <f>AA232+AB645-AB650</f>
        <v/>
      </c>
      <c r="AC232" s="154">
        <f>AB232+AC645-AC650</f>
        <v/>
      </c>
      <c r="AD232" s="154">
        <f>AC232+AD645-AD650</f>
        <v/>
      </c>
      <c r="AE232" s="229">
        <f>AD232</f>
        <v/>
      </c>
      <c r="AF232" s="229">
        <f>AE232+AF645-AF650</f>
        <v/>
      </c>
      <c r="AG232" s="229">
        <f>AF232+AG645-AG650</f>
        <v/>
      </c>
      <c r="AH232" s="229">
        <f>AG232+AH645-AH650</f>
        <v/>
      </c>
    </row>
    <row r="233" ht="8.25" customHeight="1" s="277">
      <c r="A233" s="224" t="n"/>
      <c r="B233" s="225" t="inlineStr">
        <is>
          <t>Retained Earnings</t>
        </is>
      </c>
      <c r="C233" s="154" t="n"/>
      <c r="D233" s="154" t="n"/>
      <c r="E233" s="154">
        <f>E210-E228-SUM(E231:E232)</f>
        <v/>
      </c>
      <c r="F233" s="154">
        <f>F178+E233</f>
        <v/>
      </c>
      <c r="G233" s="154">
        <f>G178+F233</f>
        <v/>
      </c>
      <c r="H233" s="154">
        <f>H178+G233</f>
        <v/>
      </c>
      <c r="I233" s="154">
        <f>I178+H233</f>
        <v/>
      </c>
      <c r="J233" s="154">
        <f>J178+I233</f>
        <v/>
      </c>
      <c r="K233" s="154">
        <f>K178+J233</f>
        <v/>
      </c>
      <c r="L233" s="154">
        <f>L178+K233</f>
        <v/>
      </c>
      <c r="M233" s="154">
        <f>M178+L233</f>
        <v/>
      </c>
      <c r="N233" s="154">
        <f>N178+M233</f>
        <v/>
      </c>
      <c r="O233" s="154">
        <f>O178+N233</f>
        <v/>
      </c>
      <c r="P233" s="154">
        <f>P178+O233</f>
        <v/>
      </c>
      <c r="Q233" s="154">
        <f>Q178+P233</f>
        <v/>
      </c>
      <c r="R233" s="229">
        <f>Q233</f>
        <v/>
      </c>
      <c r="S233" s="154">
        <f>S178+Q233</f>
        <v/>
      </c>
      <c r="T233" s="154">
        <f>T178+S233</f>
        <v/>
      </c>
      <c r="U233" s="154">
        <f>U178+T233</f>
        <v/>
      </c>
      <c r="V233" s="154">
        <f>V178+U233</f>
        <v/>
      </c>
      <c r="W233" s="154">
        <f>W178+V233</f>
        <v/>
      </c>
      <c r="X233" s="154">
        <f>X178+W233</f>
        <v/>
      </c>
      <c r="Y233" s="154">
        <f>Y178+X233</f>
        <v/>
      </c>
      <c r="Z233" s="154">
        <f>Z178+Y233</f>
        <v/>
      </c>
      <c r="AA233" s="154">
        <f>AA178+Z233</f>
        <v/>
      </c>
      <c r="AB233" s="154">
        <f>AB178+AA233</f>
        <v/>
      </c>
      <c r="AC233" s="154">
        <f>AC178+AB233</f>
        <v/>
      </c>
      <c r="AD233" s="154">
        <f>AD178+AC233</f>
        <v/>
      </c>
      <c r="AE233" s="229">
        <f>AD233</f>
        <v/>
      </c>
      <c r="AF233" s="229">
        <f>AF178+AE233</f>
        <v/>
      </c>
      <c r="AG233" s="229">
        <f>AG178+AF233</f>
        <v/>
      </c>
      <c r="AH233" s="229">
        <f>AH178+AG233</f>
        <v/>
      </c>
    </row>
    <row r="234" ht="8.25" customHeight="1" s="277">
      <c r="A234" s="139" t="inlineStr">
        <is>
          <t>Total Equity</t>
        </is>
      </c>
      <c r="B234" s="156" t="n"/>
      <c r="C234" s="228" t="n"/>
      <c r="D234" s="228" t="n"/>
      <c r="E234" s="228">
        <f>SUM(E231:E233)</f>
        <v/>
      </c>
      <c r="F234" s="228">
        <f>SUM(F231:F233)</f>
        <v/>
      </c>
      <c r="G234" s="228">
        <f>SUM(G231:G233)</f>
        <v/>
      </c>
      <c r="H234" s="228">
        <f>SUM(H231:H233)</f>
        <v/>
      </c>
      <c r="I234" s="228">
        <f>SUM(I231:I233)</f>
        <v/>
      </c>
      <c r="J234" s="228">
        <f>SUM(J231:J233)</f>
        <v/>
      </c>
      <c r="K234" s="228">
        <f>SUM(K231:K233)</f>
        <v/>
      </c>
      <c r="L234" s="228">
        <f>SUM(L231:L233)</f>
        <v/>
      </c>
      <c r="M234" s="228">
        <f>SUM(M231:M233)</f>
        <v/>
      </c>
      <c r="N234" s="228">
        <f>SUM(N231:N233)</f>
        <v/>
      </c>
      <c r="O234" s="228">
        <f>SUM(O231:O233)</f>
        <v/>
      </c>
      <c r="P234" s="228">
        <f>SUM(P231:P233)</f>
        <v/>
      </c>
      <c r="Q234" s="228">
        <f>SUM(Q231:Q233)</f>
        <v/>
      </c>
      <c r="R234" s="158">
        <f>Q234</f>
        <v/>
      </c>
      <c r="S234" s="228">
        <f>SUM(S231:S233)</f>
        <v/>
      </c>
      <c r="T234" s="228">
        <f>SUM(T231:T233)</f>
        <v/>
      </c>
      <c r="U234" s="228">
        <f>SUM(U231:U233)</f>
        <v/>
      </c>
      <c r="V234" s="228">
        <f>SUM(V231:V233)</f>
        <v/>
      </c>
      <c r="W234" s="228">
        <f>SUM(W231:W233)</f>
        <v/>
      </c>
      <c r="X234" s="228">
        <f>SUM(X231:X233)</f>
        <v/>
      </c>
      <c r="Y234" s="228">
        <f>SUM(Y231:Y233)</f>
        <v/>
      </c>
      <c r="Z234" s="228">
        <f>SUM(Z231:Z233)</f>
        <v/>
      </c>
      <c r="AA234" s="228">
        <f>SUM(AA231:AA233)</f>
        <v/>
      </c>
      <c r="AB234" s="228">
        <f>SUM(AB231:AB233)</f>
        <v/>
      </c>
      <c r="AC234" s="228">
        <f>SUM(AC231:AC233)</f>
        <v/>
      </c>
      <c r="AD234" s="228">
        <f>SUM(AD231:AD233)</f>
        <v/>
      </c>
      <c r="AE234" s="158">
        <f>AD234</f>
        <v/>
      </c>
      <c r="AF234" s="158">
        <f>SUM(AF231:AF233)</f>
        <v/>
      </c>
      <c r="AG234" s="158">
        <f>SUM(AG231:AG233)</f>
        <v/>
      </c>
      <c r="AH234" s="158">
        <f>SUM(AH231:AH233)</f>
        <v/>
      </c>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f>E234+E228</f>
        <v/>
      </c>
      <c r="F236" s="228">
        <f>F234+F228</f>
        <v/>
      </c>
      <c r="G236" s="228">
        <f>G234+G228</f>
        <v/>
      </c>
      <c r="H236" s="228">
        <f>H234+H228</f>
        <v/>
      </c>
      <c r="I236" s="228">
        <f>I234+I228</f>
        <v/>
      </c>
      <c r="J236" s="228">
        <f>J234+J228</f>
        <v/>
      </c>
      <c r="K236" s="228">
        <f>K234+K228</f>
        <v/>
      </c>
      <c r="L236" s="228">
        <f>L234+L228</f>
        <v/>
      </c>
      <c r="M236" s="228">
        <f>M234+M228</f>
        <v/>
      </c>
      <c r="N236" s="228">
        <f>N234+N228</f>
        <v/>
      </c>
      <c r="O236" s="228">
        <f>O234+O228</f>
        <v/>
      </c>
      <c r="P236" s="228">
        <f>P234+P228</f>
        <v/>
      </c>
      <c r="Q236" s="228">
        <f>Q234+Q228</f>
        <v/>
      </c>
      <c r="R236" s="158">
        <f>Q236</f>
        <v/>
      </c>
      <c r="S236" s="228">
        <f>S234+S228</f>
        <v/>
      </c>
      <c r="T236" s="228">
        <f>T234+T228</f>
        <v/>
      </c>
      <c r="U236" s="228">
        <f>U234+U228</f>
        <v/>
      </c>
      <c r="V236" s="228">
        <f>V234+V228</f>
        <v/>
      </c>
      <c r="W236" s="228">
        <f>W234+W228</f>
        <v/>
      </c>
      <c r="X236" s="228">
        <f>X234+X228</f>
        <v/>
      </c>
      <c r="Y236" s="228">
        <f>Y234+Y228</f>
        <v/>
      </c>
      <c r="Z236" s="228">
        <f>Z234+Z228</f>
        <v/>
      </c>
      <c r="AA236" s="228">
        <f>AA234+AA228</f>
        <v/>
      </c>
      <c r="AB236" s="228">
        <f>AB234+AB228</f>
        <v/>
      </c>
      <c r="AC236" s="228">
        <f>AC234+AC228</f>
        <v/>
      </c>
      <c r="AD236" s="228">
        <f>AD234+AD228</f>
        <v/>
      </c>
      <c r="AE236" s="158">
        <f>AD236</f>
        <v/>
      </c>
      <c r="AF236" s="158">
        <f>AF234+AF228</f>
        <v/>
      </c>
      <c r="AG236" s="158">
        <f>AG234+AG228</f>
        <v/>
      </c>
      <c r="AH236" s="158">
        <f>AH234+AH228</f>
        <v/>
      </c>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f>$B$89</f>
        <v/>
      </c>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f>NOW()</f>
        <v/>
      </c>
      <c r="C240" s="228" t="n"/>
      <c r="D240" s="228" t="n"/>
      <c r="E240" s="228" t="n"/>
      <c r="F240" s="142">
        <f>F$7</f>
        <v/>
      </c>
      <c r="G240" s="142">
        <f>G$7</f>
        <v/>
      </c>
      <c r="H240" s="142">
        <f>H$7</f>
        <v/>
      </c>
      <c r="I240" s="142">
        <f>I$7</f>
        <v/>
      </c>
      <c r="J240" s="142">
        <f>J$7</f>
        <v/>
      </c>
      <c r="K240" s="142">
        <f>K$7</f>
        <v/>
      </c>
      <c r="L240" s="142">
        <f>L$7</f>
        <v/>
      </c>
      <c r="M240" s="142">
        <f>M$7</f>
        <v/>
      </c>
      <c r="N240" s="142">
        <f>N$7</f>
        <v/>
      </c>
      <c r="O240" s="142">
        <f>O$7</f>
        <v/>
      </c>
      <c r="P240" s="142">
        <f>P$7</f>
        <v/>
      </c>
      <c r="Q240" s="142">
        <f>Q$7</f>
        <v/>
      </c>
      <c r="R240" s="143" t="inlineStr">
        <is>
          <t>Total</t>
        </is>
      </c>
      <c r="S240" s="142">
        <f>S$7</f>
        <v/>
      </c>
      <c r="T240" s="142">
        <f>T$7</f>
        <v/>
      </c>
      <c r="U240" s="142">
        <f>U$7</f>
        <v/>
      </c>
      <c r="V240" s="142">
        <f>V$7</f>
        <v/>
      </c>
      <c r="W240" s="142">
        <f>W$7</f>
        <v/>
      </c>
      <c r="X240" s="142">
        <f>X$7</f>
        <v/>
      </c>
      <c r="Y240" s="142">
        <f>Y$7</f>
        <v/>
      </c>
      <c r="Z240" s="142">
        <f>Z$7</f>
        <v/>
      </c>
      <c r="AA240" s="142">
        <f>AA$7</f>
        <v/>
      </c>
      <c r="AB240" s="142">
        <f>AB$7</f>
        <v/>
      </c>
      <c r="AC240" s="142">
        <f>AC$7</f>
        <v/>
      </c>
      <c r="AD240" s="142">
        <f>AD$7</f>
        <v/>
      </c>
      <c r="AE240" s="143" t="inlineStr">
        <is>
          <t>Total</t>
        </is>
      </c>
      <c r="AF240" s="143">
        <f>AF$7</f>
        <v/>
      </c>
      <c r="AG240" s="143">
        <f>AG$7</f>
        <v/>
      </c>
      <c r="AH240" s="143">
        <f>AH$7</f>
        <v/>
      </c>
    </row>
    <row r="241" ht="8.25" customHeight="1" s="277">
      <c r="A241" s="328" t="n"/>
      <c r="B241" s="329">
        <f>NOW()</f>
        <v/>
      </c>
      <c r="C241" s="330" t="n"/>
      <c r="D241" s="330" t="n"/>
      <c r="E241" s="330" t="n"/>
      <c r="F241" s="324">
        <f>F$1</f>
        <v/>
      </c>
      <c r="G241" s="324">
        <f>G$1</f>
        <v/>
      </c>
      <c r="H241" s="324">
        <f>H$1</f>
        <v/>
      </c>
      <c r="I241" s="324">
        <f>I$1</f>
        <v/>
      </c>
      <c r="J241" s="324">
        <f>J$1</f>
        <v/>
      </c>
      <c r="K241" s="324">
        <f>K$1</f>
        <v/>
      </c>
      <c r="L241" s="324">
        <f>L$1</f>
        <v/>
      </c>
      <c r="M241" s="324">
        <f>M$1</f>
        <v/>
      </c>
      <c r="N241" s="324">
        <f>N$1</f>
        <v/>
      </c>
      <c r="O241" s="324">
        <f>O$1</f>
        <v/>
      </c>
      <c r="P241" s="324">
        <f>P$1</f>
        <v/>
      </c>
      <c r="Q241" s="324">
        <f>Q$1</f>
        <v/>
      </c>
      <c r="R241" s="325">
        <f>R$1</f>
        <v/>
      </c>
      <c r="S241" s="324">
        <f>S$1</f>
        <v/>
      </c>
      <c r="T241" s="324">
        <f>T$1</f>
        <v/>
      </c>
      <c r="U241" s="324">
        <f>U$1</f>
        <v/>
      </c>
      <c r="V241" s="324">
        <f>V$1</f>
        <v/>
      </c>
      <c r="W241" s="324">
        <f>W$1</f>
        <v/>
      </c>
      <c r="X241" s="324">
        <f>X$1</f>
        <v/>
      </c>
      <c r="Y241" s="324">
        <f>Y$1</f>
        <v/>
      </c>
      <c r="Z241" s="324">
        <f>Z$1</f>
        <v/>
      </c>
      <c r="AA241" s="324">
        <f>AA$1</f>
        <v/>
      </c>
      <c r="AB241" s="324">
        <f>AB$1</f>
        <v/>
      </c>
      <c r="AC241" s="324">
        <f>AC$1</f>
        <v/>
      </c>
      <c r="AD241" s="324">
        <f>AD$1</f>
        <v/>
      </c>
      <c r="AE241" s="325">
        <f>AE$1</f>
        <v/>
      </c>
      <c r="AF241" s="325">
        <f>AF$1</f>
        <v/>
      </c>
      <c r="AG241" s="325">
        <f>AG$1</f>
        <v/>
      </c>
      <c r="AH241" s="325">
        <f>AH$1</f>
        <v/>
      </c>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f>F244</f>
        <v/>
      </c>
      <c r="H244" s="171">
        <f>G244</f>
        <v/>
      </c>
      <c r="I244" s="171">
        <f>H244</f>
        <v/>
      </c>
      <c r="J244" s="171">
        <f>I244</f>
        <v/>
      </c>
      <c r="K244" s="171">
        <f>J244</f>
        <v/>
      </c>
      <c r="L244" s="171">
        <f>K244</f>
        <v/>
      </c>
      <c r="M244" s="171">
        <f>L244</f>
        <v/>
      </c>
      <c r="N244" s="171">
        <f>M244</f>
        <v/>
      </c>
      <c r="O244" s="171">
        <f>N244</f>
        <v/>
      </c>
      <c r="P244" s="171">
        <f>O244</f>
        <v/>
      </c>
      <c r="Q244" s="171">
        <f>P244</f>
        <v/>
      </c>
      <c r="R244" s="172">
        <f>SUM(F244:Q244)</f>
        <v/>
      </c>
      <c r="S244" s="171">
        <f>Q244</f>
        <v/>
      </c>
      <c r="T244" s="171">
        <f>S244</f>
        <v/>
      </c>
      <c r="U244" s="171">
        <f>T244</f>
        <v/>
      </c>
      <c r="V244" s="171">
        <f>U244</f>
        <v/>
      </c>
      <c r="W244" s="171">
        <f>V244</f>
        <v/>
      </c>
      <c r="X244" s="171">
        <f>W244</f>
        <v/>
      </c>
      <c r="Y244" s="171">
        <f>X244</f>
        <v/>
      </c>
      <c r="Z244" s="171">
        <f>Y244</f>
        <v/>
      </c>
      <c r="AA244" s="171">
        <f>Z244</f>
        <v/>
      </c>
      <c r="AB244" s="171">
        <f>AA244</f>
        <v/>
      </c>
      <c r="AC244" s="171">
        <f>AB244</f>
        <v/>
      </c>
      <c r="AD244" s="171">
        <f>AC244</f>
        <v/>
      </c>
      <c r="AE244" s="172">
        <f>SUM(S244:AD244)</f>
        <v/>
      </c>
      <c r="AF244" s="172">
        <f>AE244</f>
        <v/>
      </c>
      <c r="AG244" s="172">
        <f>AF244</f>
        <v/>
      </c>
      <c r="AH244" s="172">
        <f>AG244</f>
        <v/>
      </c>
    </row>
    <row r="245" ht="8.25" customHeight="1" s="277">
      <c r="A245" s="224" t="n"/>
      <c r="B245" s="191" t="inlineStr">
        <is>
          <t>s.k.u. 2</t>
        </is>
      </c>
      <c r="C245" s="154" t="n"/>
      <c r="D245" s="154" t="n"/>
      <c r="E245" s="154" t="n"/>
      <c r="F245" s="171" t="n">
        <v>0</v>
      </c>
      <c r="G245" s="171">
        <f>F245</f>
        <v/>
      </c>
      <c r="H245" s="171">
        <f>G245</f>
        <v/>
      </c>
      <c r="I245" s="171">
        <f>H245</f>
        <v/>
      </c>
      <c r="J245" s="171">
        <f>I245</f>
        <v/>
      </c>
      <c r="K245" s="171">
        <f>J245</f>
        <v/>
      </c>
      <c r="L245" s="171">
        <f>K245</f>
        <v/>
      </c>
      <c r="M245" s="171">
        <f>L245</f>
        <v/>
      </c>
      <c r="N245" s="171">
        <f>M245</f>
        <v/>
      </c>
      <c r="O245" s="171">
        <f>N245</f>
        <v/>
      </c>
      <c r="P245" s="171">
        <f>O245</f>
        <v/>
      </c>
      <c r="Q245" s="171">
        <f>P245</f>
        <v/>
      </c>
      <c r="R245" s="172">
        <f>SUM(F245:Q245)</f>
        <v/>
      </c>
      <c r="S245" s="171">
        <f>Q245</f>
        <v/>
      </c>
      <c r="T245" s="171">
        <f>S245</f>
        <v/>
      </c>
      <c r="U245" s="171">
        <f>T245</f>
        <v/>
      </c>
      <c r="V245" s="171">
        <f>U245</f>
        <v/>
      </c>
      <c r="W245" s="171">
        <f>V245</f>
        <v/>
      </c>
      <c r="X245" s="171">
        <f>W245</f>
        <v/>
      </c>
      <c r="Y245" s="171">
        <f>X245</f>
        <v/>
      </c>
      <c r="Z245" s="171">
        <f>Y245</f>
        <v/>
      </c>
      <c r="AA245" s="171">
        <f>Z245</f>
        <v/>
      </c>
      <c r="AB245" s="171">
        <f>AA245</f>
        <v/>
      </c>
      <c r="AC245" s="171">
        <f>AB245</f>
        <v/>
      </c>
      <c r="AD245" s="171">
        <f>AC245</f>
        <v/>
      </c>
      <c r="AE245" s="172">
        <f>SUM(S245:AD245)</f>
        <v/>
      </c>
      <c r="AF245" s="172">
        <f>AE245</f>
        <v/>
      </c>
      <c r="AG245" s="172">
        <f>AF245</f>
        <v/>
      </c>
      <c r="AH245" s="172">
        <f>AG245</f>
        <v/>
      </c>
    </row>
    <row r="246" ht="8.25" customHeight="1" s="277">
      <c r="A246" s="139" t="inlineStr">
        <is>
          <t>Total Units</t>
        </is>
      </c>
      <c r="B246" s="156" t="n"/>
      <c r="C246" s="228" t="n"/>
      <c r="D246" s="228" t="n"/>
      <c r="E246" s="228" t="n"/>
      <c r="F246" s="228">
        <f>SUM(F244:F245)</f>
        <v/>
      </c>
      <c r="G246" s="228">
        <f>SUM(G244:G245)</f>
        <v/>
      </c>
      <c r="H246" s="228">
        <f>SUM(H244:H245)</f>
        <v/>
      </c>
      <c r="I246" s="228">
        <f>SUM(I244:I245)</f>
        <v/>
      </c>
      <c r="J246" s="228">
        <f>SUM(J244:J245)</f>
        <v/>
      </c>
      <c r="K246" s="228">
        <f>SUM(K244:K245)</f>
        <v/>
      </c>
      <c r="L246" s="228">
        <f>SUM(L244:L245)</f>
        <v/>
      </c>
      <c r="M246" s="228">
        <f>SUM(M244:M245)</f>
        <v/>
      </c>
      <c r="N246" s="228">
        <f>SUM(N244:N245)</f>
        <v/>
      </c>
      <c r="O246" s="228">
        <f>SUM(O244:O245)</f>
        <v/>
      </c>
      <c r="P246" s="228">
        <f>SUM(P244:P245)</f>
        <v/>
      </c>
      <c r="Q246" s="228">
        <f>SUM(Q244:Q245)</f>
        <v/>
      </c>
      <c r="R246" s="158">
        <f>SUM(F246:Q246)</f>
        <v/>
      </c>
      <c r="S246" s="228">
        <f>SUM(S244:S245)</f>
        <v/>
      </c>
      <c r="T246" s="228">
        <f>SUM(T244:T245)</f>
        <v/>
      </c>
      <c r="U246" s="228">
        <f>SUM(U244:U245)</f>
        <v/>
      </c>
      <c r="V246" s="228">
        <f>SUM(V244:V245)</f>
        <v/>
      </c>
      <c r="W246" s="228">
        <f>SUM(W244:W245)</f>
        <v/>
      </c>
      <c r="X246" s="228">
        <f>SUM(X244:X245)</f>
        <v/>
      </c>
      <c r="Y246" s="228">
        <f>SUM(Y244:Y245)</f>
        <v/>
      </c>
      <c r="Z246" s="228">
        <f>SUM(Z244:Z245)</f>
        <v/>
      </c>
      <c r="AA246" s="228">
        <f>SUM(AA244:AA245)</f>
        <v/>
      </c>
      <c r="AB246" s="228">
        <f>SUM(AB244:AB245)</f>
        <v/>
      </c>
      <c r="AC246" s="228">
        <f>SUM(AC244:AC245)</f>
        <v/>
      </c>
      <c r="AD246" s="228">
        <f>SUM(AD244:AD245)</f>
        <v/>
      </c>
      <c r="AE246" s="158">
        <f>SUM(S246:AD246)</f>
        <v/>
      </c>
      <c r="AF246" s="158">
        <f>SUM(AF244:AF245)</f>
        <v/>
      </c>
      <c r="AG246" s="158">
        <f>SUM(AG244:AG245)</f>
        <v/>
      </c>
      <c r="AH246" s="158">
        <f>SUM(AH244:AH245)</f>
        <v/>
      </c>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f>B244</f>
        <v/>
      </c>
      <c r="C249" s="348" t="n"/>
      <c r="D249" s="348" t="n"/>
      <c r="E249" s="348" t="n"/>
      <c r="F249" s="351" t="n">
        <v>1</v>
      </c>
      <c r="G249" s="351">
        <f>F249</f>
        <v/>
      </c>
      <c r="H249" s="351">
        <f>G249</f>
        <v/>
      </c>
      <c r="I249" s="351">
        <f>H249</f>
        <v/>
      </c>
      <c r="J249" s="351">
        <f>I249</f>
        <v/>
      </c>
      <c r="K249" s="351">
        <f>J249</f>
        <v/>
      </c>
      <c r="L249" s="351">
        <f>K249</f>
        <v/>
      </c>
      <c r="M249" s="351">
        <f>L249</f>
        <v/>
      </c>
      <c r="N249" s="351">
        <f>M249</f>
        <v/>
      </c>
      <c r="O249" s="351">
        <f>N249</f>
        <v/>
      </c>
      <c r="P249" s="351">
        <f>O249</f>
        <v/>
      </c>
      <c r="Q249" s="351">
        <f>P249</f>
        <v/>
      </c>
      <c r="R249" s="352">
        <f>Q249</f>
        <v/>
      </c>
      <c r="S249" s="351">
        <f>R249</f>
        <v/>
      </c>
      <c r="T249" s="351">
        <f>S249</f>
        <v/>
      </c>
      <c r="U249" s="351">
        <f>T249</f>
        <v/>
      </c>
      <c r="V249" s="351">
        <f>U249</f>
        <v/>
      </c>
      <c r="W249" s="351">
        <f>V249</f>
        <v/>
      </c>
      <c r="X249" s="351">
        <f>W249</f>
        <v/>
      </c>
      <c r="Y249" s="351">
        <f>X249</f>
        <v/>
      </c>
      <c r="Z249" s="351">
        <f>Y249</f>
        <v/>
      </c>
      <c r="AA249" s="351">
        <f>Z249</f>
        <v/>
      </c>
      <c r="AB249" s="351">
        <f>AA249</f>
        <v/>
      </c>
      <c r="AC249" s="351">
        <f>AB249</f>
        <v/>
      </c>
      <c r="AD249" s="351">
        <f>AC249</f>
        <v/>
      </c>
      <c r="AE249" s="352">
        <f>AD249</f>
        <v/>
      </c>
      <c r="AF249" s="352">
        <f>AE249</f>
        <v/>
      </c>
      <c r="AG249" s="352">
        <f>AF249</f>
        <v/>
      </c>
      <c r="AH249" s="352">
        <f>AG249</f>
        <v/>
      </c>
    </row>
    <row r="250" ht="8.25" customFormat="1" customHeight="1" s="348">
      <c r="A250" s="349" t="n"/>
      <c r="B250" s="350">
        <f>B245</f>
        <v/>
      </c>
      <c r="C250" s="348" t="n"/>
      <c r="D250" s="348" t="n"/>
      <c r="E250" s="348" t="n"/>
      <c r="F250" s="351" t="n">
        <v>0</v>
      </c>
      <c r="G250" s="351">
        <f>F250</f>
        <v/>
      </c>
      <c r="H250" s="351">
        <f>G250</f>
        <v/>
      </c>
      <c r="I250" s="351">
        <f>H250</f>
        <v/>
      </c>
      <c r="J250" s="351">
        <f>I250</f>
        <v/>
      </c>
      <c r="K250" s="351">
        <f>J250</f>
        <v/>
      </c>
      <c r="L250" s="351">
        <f>K250</f>
        <v/>
      </c>
      <c r="M250" s="351">
        <f>L250</f>
        <v/>
      </c>
      <c r="N250" s="351">
        <f>M250</f>
        <v/>
      </c>
      <c r="O250" s="351">
        <f>N250</f>
        <v/>
      </c>
      <c r="P250" s="351">
        <f>O250</f>
        <v/>
      </c>
      <c r="Q250" s="351">
        <f>P250</f>
        <v/>
      </c>
      <c r="R250" s="352">
        <f>Q250</f>
        <v/>
      </c>
      <c r="S250" s="351">
        <f>R250</f>
        <v/>
      </c>
      <c r="T250" s="351">
        <f>S250</f>
        <v/>
      </c>
      <c r="U250" s="351">
        <f>T250</f>
        <v/>
      </c>
      <c r="V250" s="351">
        <f>U250</f>
        <v/>
      </c>
      <c r="W250" s="351">
        <f>V250</f>
        <v/>
      </c>
      <c r="X250" s="351">
        <f>W250</f>
        <v/>
      </c>
      <c r="Y250" s="351">
        <f>X250</f>
        <v/>
      </c>
      <c r="Z250" s="351">
        <f>Y250</f>
        <v/>
      </c>
      <c r="AA250" s="351">
        <f>Z250</f>
        <v/>
      </c>
      <c r="AB250" s="351">
        <f>AA250</f>
        <v/>
      </c>
      <c r="AC250" s="351">
        <f>AB250</f>
        <v/>
      </c>
      <c r="AD250" s="351">
        <f>AC250</f>
        <v/>
      </c>
      <c r="AE250" s="352">
        <f>AD250</f>
        <v/>
      </c>
      <c r="AF250" s="352">
        <f>AE250</f>
        <v/>
      </c>
      <c r="AG250" s="352">
        <f>AF250</f>
        <v/>
      </c>
      <c r="AH250" s="352">
        <f>AG250</f>
        <v/>
      </c>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f>B244</f>
        <v/>
      </c>
      <c r="C253" s="154" t="n"/>
      <c r="D253" s="154" t="n"/>
      <c r="E253" s="154" t="n"/>
      <c r="F253" s="154">
        <f>F244*F249</f>
        <v/>
      </c>
      <c r="G253" s="154">
        <f>G244*G249</f>
        <v/>
      </c>
      <c r="H253" s="154">
        <f>H244*H249</f>
        <v/>
      </c>
      <c r="I253" s="154">
        <f>I244*I249</f>
        <v/>
      </c>
      <c r="J253" s="154">
        <f>J244*J249</f>
        <v/>
      </c>
      <c r="K253" s="154">
        <f>K244*K249</f>
        <v/>
      </c>
      <c r="L253" s="154">
        <f>L244*L249</f>
        <v/>
      </c>
      <c r="M253" s="154">
        <f>M244*M249</f>
        <v/>
      </c>
      <c r="N253" s="154">
        <f>N244*N249</f>
        <v/>
      </c>
      <c r="O253" s="154">
        <f>O244*O249</f>
        <v/>
      </c>
      <c r="P253" s="154">
        <f>P244*P249</f>
        <v/>
      </c>
      <c r="Q253" s="154">
        <f>Q244*Q249</f>
        <v/>
      </c>
      <c r="R253" s="229">
        <f>SUM(F253:Q253)</f>
        <v/>
      </c>
      <c r="S253" s="154">
        <f>S244*S249</f>
        <v/>
      </c>
      <c r="T253" s="154">
        <f>T244*T249</f>
        <v/>
      </c>
      <c r="U253" s="154">
        <f>U244*U249</f>
        <v/>
      </c>
      <c r="V253" s="154">
        <f>V244*V249</f>
        <v/>
      </c>
      <c r="W253" s="154">
        <f>W244*W249</f>
        <v/>
      </c>
      <c r="X253" s="154">
        <f>X244*X249</f>
        <v/>
      </c>
      <c r="Y253" s="154">
        <f>Y244*Y249</f>
        <v/>
      </c>
      <c r="Z253" s="154">
        <f>Z244*Z249</f>
        <v/>
      </c>
      <c r="AA253" s="154">
        <f>AA244*AA249</f>
        <v/>
      </c>
      <c r="AB253" s="154">
        <f>AB244*AB249</f>
        <v/>
      </c>
      <c r="AC253" s="154">
        <f>AC244*AC249</f>
        <v/>
      </c>
      <c r="AD253" s="154">
        <f>AD244*AD249</f>
        <v/>
      </c>
      <c r="AE253" s="229">
        <f>SUM(S253:AD253)</f>
        <v/>
      </c>
      <c r="AF253" s="229">
        <f>AF244*AF249</f>
        <v/>
      </c>
      <c r="AG253" s="229">
        <f>AG244*AG249</f>
        <v/>
      </c>
      <c r="AH253" s="229">
        <f>AH244*AH249</f>
        <v/>
      </c>
    </row>
    <row r="254" ht="8.25" customHeight="1" s="277">
      <c r="A254" s="224" t="n"/>
      <c r="B254" s="225">
        <f>B245</f>
        <v/>
      </c>
      <c r="C254" s="154" t="n"/>
      <c r="D254" s="154" t="n"/>
      <c r="E254" s="154" t="n"/>
      <c r="F254" s="154">
        <f>F245*F250</f>
        <v/>
      </c>
      <c r="G254" s="154">
        <f>G245*G250</f>
        <v/>
      </c>
      <c r="H254" s="154">
        <f>H245*H250</f>
        <v/>
      </c>
      <c r="I254" s="154">
        <f>I245*I250</f>
        <v/>
      </c>
      <c r="J254" s="154">
        <f>J245*J250</f>
        <v/>
      </c>
      <c r="K254" s="154">
        <f>K245*K250</f>
        <v/>
      </c>
      <c r="L254" s="154">
        <f>L245*L250</f>
        <v/>
      </c>
      <c r="M254" s="154">
        <f>M245*M250</f>
        <v/>
      </c>
      <c r="N254" s="154">
        <f>N245*N250</f>
        <v/>
      </c>
      <c r="O254" s="154">
        <f>O245*O250</f>
        <v/>
      </c>
      <c r="P254" s="154">
        <f>P245*P250</f>
        <v/>
      </c>
      <c r="Q254" s="154">
        <f>Q245*Q250</f>
        <v/>
      </c>
      <c r="R254" s="229">
        <f>SUM(F254:Q254)</f>
        <v/>
      </c>
      <c r="S254" s="154">
        <f>S245*S250</f>
        <v/>
      </c>
      <c r="T254" s="154">
        <f>T245*T250</f>
        <v/>
      </c>
      <c r="U254" s="154">
        <f>U245*U250</f>
        <v/>
      </c>
      <c r="V254" s="154">
        <f>V245*V250</f>
        <v/>
      </c>
      <c r="W254" s="154">
        <f>W245*W250</f>
        <v/>
      </c>
      <c r="X254" s="154">
        <f>X245*X250</f>
        <v/>
      </c>
      <c r="Y254" s="154">
        <f>Y245*Y250</f>
        <v/>
      </c>
      <c r="Z254" s="154">
        <f>Z245*Z250</f>
        <v/>
      </c>
      <c r="AA254" s="154">
        <f>AA245*AA250</f>
        <v/>
      </c>
      <c r="AB254" s="154">
        <f>AB245*AB250</f>
        <v/>
      </c>
      <c r="AC254" s="154">
        <f>AC245*AC250</f>
        <v/>
      </c>
      <c r="AD254" s="154">
        <f>AD245*AD250</f>
        <v/>
      </c>
      <c r="AE254" s="229">
        <f>SUM(S254:AD254)</f>
        <v/>
      </c>
      <c r="AF254" s="229">
        <f>AF245*AF250</f>
        <v/>
      </c>
      <c r="AG254" s="229">
        <f>AG245*AG250</f>
        <v/>
      </c>
      <c r="AH254" s="229">
        <f>AH245*AH250</f>
        <v/>
      </c>
    </row>
    <row r="255" ht="8.25" customHeight="1" s="277">
      <c r="A255" s="139" t="inlineStr">
        <is>
          <t>Total Revenue</t>
        </is>
      </c>
      <c r="B255" s="156" t="n"/>
      <c r="C255" s="228" t="n"/>
      <c r="D255" s="228" t="n"/>
      <c r="E255" s="228" t="n"/>
      <c r="F255" s="228">
        <f>SUM(F253:F254)</f>
        <v/>
      </c>
      <c r="G255" s="228">
        <f>SUM(G253:G254)</f>
        <v/>
      </c>
      <c r="H255" s="228">
        <f>SUM(H253:H254)</f>
        <v/>
      </c>
      <c r="I255" s="228">
        <f>SUM(I253:I254)</f>
        <v/>
      </c>
      <c r="J255" s="228">
        <f>SUM(J253:J254)</f>
        <v/>
      </c>
      <c r="K255" s="228">
        <f>SUM(K253:K254)</f>
        <v/>
      </c>
      <c r="L255" s="228">
        <f>SUM(L253:L254)</f>
        <v/>
      </c>
      <c r="M255" s="228">
        <f>SUM(M253:M254)</f>
        <v/>
      </c>
      <c r="N255" s="228">
        <f>SUM(N253:N254)</f>
        <v/>
      </c>
      <c r="O255" s="228">
        <f>SUM(O253:O254)</f>
        <v/>
      </c>
      <c r="P255" s="228">
        <f>SUM(P253:P254)</f>
        <v/>
      </c>
      <c r="Q255" s="228">
        <f>SUM(Q253:Q254)</f>
        <v/>
      </c>
      <c r="R255" s="158">
        <f>SUM(F255:Q255)</f>
        <v/>
      </c>
      <c r="S255" s="228">
        <f>SUM(S253:S254)</f>
        <v/>
      </c>
      <c r="T255" s="228">
        <f>SUM(T253:T254)</f>
        <v/>
      </c>
      <c r="U255" s="228">
        <f>SUM(U253:U254)</f>
        <v/>
      </c>
      <c r="V255" s="228">
        <f>SUM(V253:V254)</f>
        <v/>
      </c>
      <c r="W255" s="228">
        <f>SUM(W253:W254)</f>
        <v/>
      </c>
      <c r="X255" s="228">
        <f>SUM(X253:X254)</f>
        <v/>
      </c>
      <c r="Y255" s="228">
        <f>SUM(Y253:Y254)</f>
        <v/>
      </c>
      <c r="Z255" s="228">
        <f>SUM(Z253:Z254)</f>
        <v/>
      </c>
      <c r="AA255" s="228">
        <f>SUM(AA253:AA254)</f>
        <v/>
      </c>
      <c r="AB255" s="228">
        <f>SUM(AB253:AB254)</f>
        <v/>
      </c>
      <c r="AC255" s="228">
        <f>SUM(AC253:AC254)</f>
        <v/>
      </c>
      <c r="AD255" s="228">
        <f>SUM(AD253:AD254)</f>
        <v/>
      </c>
      <c r="AE255" s="158">
        <f>SUM(S255:AD255)</f>
        <v/>
      </c>
      <c r="AF255" s="158">
        <f>SUM(AF253:AF254)</f>
        <v/>
      </c>
      <c r="AG255" s="158">
        <f>SUM(AG253:AG254)</f>
        <v/>
      </c>
      <c r="AH255" s="158">
        <f>SUM(AH253:AH254)</f>
        <v/>
      </c>
    </row>
    <row r="256" ht="8.25" customHeight="1" s="277">
      <c r="A256" s="354" t="n"/>
      <c r="B256" s="355" t="inlineStr">
        <is>
          <t>Proportion of Total Revenues</t>
        </is>
      </c>
      <c r="C256" s="356" t="n"/>
      <c r="D256" s="356" t="n"/>
      <c r="E256" s="356" t="n"/>
      <c r="F256" s="356">
        <f>IF(F$93&gt;0,+F255/F$93,0)</f>
        <v/>
      </c>
      <c r="G256" s="356">
        <f>IF(G$93&gt;0,+G255/G$93,0)</f>
        <v/>
      </c>
      <c r="H256" s="356">
        <f>IF(H$93&gt;0,+H255/H$93,0)</f>
        <v/>
      </c>
      <c r="I256" s="356">
        <f>IF(I$93&gt;0,+I255/I$93,0)</f>
        <v/>
      </c>
      <c r="J256" s="356">
        <f>IF(J$93&gt;0,+J255/J$93,0)</f>
        <v/>
      </c>
      <c r="K256" s="356">
        <f>IF(K$93&gt;0,+K255/K$93,0)</f>
        <v/>
      </c>
      <c r="L256" s="356">
        <f>IF(L$93&gt;0,+L255/L$93,0)</f>
        <v/>
      </c>
      <c r="M256" s="356">
        <f>IF(M$93&gt;0,+M255/M$93,0)</f>
        <v/>
      </c>
      <c r="N256" s="356">
        <f>IF(N$93&gt;0,+N255/N$93,0)</f>
        <v/>
      </c>
      <c r="O256" s="356">
        <f>IF(O$93&gt;0,+O255/O$93,0)</f>
        <v/>
      </c>
      <c r="P256" s="356">
        <f>IF(P$93&gt;0,+P255/P$93,0)</f>
        <v/>
      </c>
      <c r="Q256" s="356">
        <f>IF(Q$93&gt;0,+Q255/Q$93,0)</f>
        <v/>
      </c>
      <c r="R256" s="357">
        <f>IF(R$93&gt;0,+R255/R$93,0)</f>
        <v/>
      </c>
      <c r="S256" s="356">
        <f>IF(S$93&gt;0,+S255/S$93,0)</f>
        <v/>
      </c>
      <c r="T256" s="356">
        <f>IF(T$93&gt;0,+T255/T$93,0)</f>
        <v/>
      </c>
      <c r="U256" s="356">
        <f>IF(U$93&gt;0,+U255/U$93,0)</f>
        <v/>
      </c>
      <c r="V256" s="356">
        <f>IF(V$93&gt;0,+V255/V$93,0)</f>
        <v/>
      </c>
      <c r="W256" s="356">
        <f>IF(W$93&gt;0,+W255/W$93,0)</f>
        <v/>
      </c>
      <c r="X256" s="356">
        <f>IF(X$93&gt;0,+X255/X$93,0)</f>
        <v/>
      </c>
      <c r="Y256" s="356">
        <f>IF(Y$93&gt;0,+Y255/Y$93,0)</f>
        <v/>
      </c>
      <c r="Z256" s="356">
        <f>IF(Z$93&gt;0,+Z255/Z$93,0)</f>
        <v/>
      </c>
      <c r="AA256" s="356">
        <f>IF(AA$93&gt;0,+AA255/AA$93,0)</f>
        <v/>
      </c>
      <c r="AB256" s="356">
        <f>IF(AB$93&gt;0,+AB255/AB$93,0)</f>
        <v/>
      </c>
      <c r="AC256" s="356">
        <f>IF(AC$93&gt;0,+AC255/AC$93,0)</f>
        <v/>
      </c>
      <c r="AD256" s="356">
        <f>IF(AD$93&gt;0,+AD255/AD$93,0)</f>
        <v/>
      </c>
      <c r="AE256" s="357">
        <f>IF(AE$93&gt;0,+AE255/AE$93,0)</f>
        <v/>
      </c>
      <c r="AF256" s="357">
        <f>IF(AF$93&gt;0,+AF255/AF$93,0)</f>
        <v/>
      </c>
      <c r="AG256" s="357">
        <f>IF(AG$93&gt;0,+AG255/AG$93,0)</f>
        <v/>
      </c>
      <c r="AH256" s="357">
        <f>IF(AH$93&gt;0,+AH255/AH$93,0)</f>
        <v/>
      </c>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f>B244</f>
        <v/>
      </c>
      <c r="C261" s="348" t="n"/>
      <c r="D261" s="348" t="n"/>
      <c r="E261" s="348" t="n"/>
      <c r="F261" s="351" t="n">
        <v>0</v>
      </c>
      <c r="G261" s="351">
        <f>F261</f>
        <v/>
      </c>
      <c r="H261" s="351">
        <f>G261</f>
        <v/>
      </c>
      <c r="I261" s="351">
        <f>H261</f>
        <v/>
      </c>
      <c r="J261" s="351">
        <f>I261</f>
        <v/>
      </c>
      <c r="K261" s="351">
        <f>J261</f>
        <v/>
      </c>
      <c r="L261" s="351">
        <f>K261</f>
        <v/>
      </c>
      <c r="M261" s="351">
        <f>L261</f>
        <v/>
      </c>
      <c r="N261" s="351">
        <f>M261</f>
        <v/>
      </c>
      <c r="O261" s="351">
        <f>N261</f>
        <v/>
      </c>
      <c r="P261" s="351">
        <f>O261</f>
        <v/>
      </c>
      <c r="Q261" s="351">
        <f>P261</f>
        <v/>
      </c>
      <c r="R261" s="352">
        <f>Q261</f>
        <v/>
      </c>
      <c r="S261" s="351">
        <f>R261</f>
        <v/>
      </c>
      <c r="T261" s="351">
        <f>S261</f>
        <v/>
      </c>
      <c r="U261" s="351">
        <f>T261</f>
        <v/>
      </c>
      <c r="V261" s="351">
        <f>U261</f>
        <v/>
      </c>
      <c r="W261" s="351">
        <f>V261</f>
        <v/>
      </c>
      <c r="X261" s="351">
        <f>W261</f>
        <v/>
      </c>
      <c r="Y261" s="351">
        <f>X261</f>
        <v/>
      </c>
      <c r="Z261" s="351">
        <f>Y261</f>
        <v/>
      </c>
      <c r="AA261" s="351">
        <f>Z261</f>
        <v/>
      </c>
      <c r="AB261" s="351">
        <f>AA261</f>
        <v/>
      </c>
      <c r="AC261" s="351">
        <f>AB261</f>
        <v/>
      </c>
      <c r="AD261" s="351">
        <f>AC261</f>
        <v/>
      </c>
      <c r="AE261" s="352">
        <f>AD261</f>
        <v/>
      </c>
      <c r="AF261" s="352">
        <f>AE261</f>
        <v/>
      </c>
      <c r="AG261" s="352">
        <f>AF261</f>
        <v/>
      </c>
      <c r="AH261" s="352">
        <f>AG261</f>
        <v/>
      </c>
    </row>
    <row r="262" ht="8.25" customFormat="1" customHeight="1" s="348">
      <c r="A262" s="349" t="n"/>
      <c r="B262" s="350">
        <f>B245</f>
        <v/>
      </c>
      <c r="C262" s="348" t="n"/>
      <c r="D262" s="348" t="n"/>
      <c r="E262" s="348" t="n"/>
      <c r="F262" s="351" t="n">
        <v>0</v>
      </c>
      <c r="G262" s="351">
        <f>F262</f>
        <v/>
      </c>
      <c r="H262" s="351">
        <f>G262</f>
        <v/>
      </c>
      <c r="I262" s="351">
        <f>H262</f>
        <v/>
      </c>
      <c r="J262" s="351">
        <f>I262</f>
        <v/>
      </c>
      <c r="K262" s="351">
        <f>J262</f>
        <v/>
      </c>
      <c r="L262" s="351">
        <f>K262</f>
        <v/>
      </c>
      <c r="M262" s="351">
        <f>L262</f>
        <v/>
      </c>
      <c r="N262" s="351">
        <f>M262</f>
        <v/>
      </c>
      <c r="O262" s="351">
        <f>N262</f>
        <v/>
      </c>
      <c r="P262" s="351">
        <f>O262</f>
        <v/>
      </c>
      <c r="Q262" s="351">
        <f>P262</f>
        <v/>
      </c>
      <c r="R262" s="352">
        <f>Q262</f>
        <v/>
      </c>
      <c r="S262" s="351">
        <f>R262</f>
        <v/>
      </c>
      <c r="T262" s="351">
        <f>S262</f>
        <v/>
      </c>
      <c r="U262" s="351">
        <f>T262</f>
        <v/>
      </c>
      <c r="V262" s="351">
        <f>U262</f>
        <v/>
      </c>
      <c r="W262" s="351">
        <f>V262</f>
        <v/>
      </c>
      <c r="X262" s="351">
        <f>W262</f>
        <v/>
      </c>
      <c r="Y262" s="351">
        <f>X262</f>
        <v/>
      </c>
      <c r="Z262" s="351">
        <f>Y262</f>
        <v/>
      </c>
      <c r="AA262" s="351">
        <f>Z262</f>
        <v/>
      </c>
      <c r="AB262" s="351">
        <f>AA262</f>
        <v/>
      </c>
      <c r="AC262" s="351">
        <f>AB262</f>
        <v/>
      </c>
      <c r="AD262" s="351">
        <f>AC262</f>
        <v/>
      </c>
      <c r="AE262" s="352">
        <f>AD262</f>
        <v/>
      </c>
      <c r="AF262" s="352">
        <f>AE262</f>
        <v/>
      </c>
      <c r="AG262" s="352">
        <f>AF262</f>
        <v/>
      </c>
      <c r="AH262" s="352">
        <f>AG262</f>
        <v/>
      </c>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f>B244</f>
        <v/>
      </c>
      <c r="C265" s="154" t="n"/>
      <c r="D265" s="154" t="n"/>
      <c r="E265" s="154" t="n"/>
      <c r="F265" s="154">
        <f>F261*F244</f>
        <v/>
      </c>
      <c r="G265" s="154">
        <f>G261*G244</f>
        <v/>
      </c>
      <c r="H265" s="154">
        <f>H261*H244</f>
        <v/>
      </c>
      <c r="I265" s="154">
        <f>I261*I244</f>
        <v/>
      </c>
      <c r="J265" s="154">
        <f>J261*J244</f>
        <v/>
      </c>
      <c r="K265" s="154">
        <f>K261*K244</f>
        <v/>
      </c>
      <c r="L265" s="154">
        <f>L261*L244</f>
        <v/>
      </c>
      <c r="M265" s="154">
        <f>M261*M244</f>
        <v/>
      </c>
      <c r="N265" s="154">
        <f>N261*N244</f>
        <v/>
      </c>
      <c r="O265" s="154">
        <f>O261*O244</f>
        <v/>
      </c>
      <c r="P265" s="154">
        <f>P261*P244</f>
        <v/>
      </c>
      <c r="Q265" s="154">
        <f>Q261*Q244</f>
        <v/>
      </c>
      <c r="R265" s="229">
        <f>SUM(F265:Q265)</f>
        <v/>
      </c>
      <c r="S265" s="154">
        <f>S261*S244</f>
        <v/>
      </c>
      <c r="T265" s="154">
        <f>T261*T244</f>
        <v/>
      </c>
      <c r="U265" s="154">
        <f>U261*U244</f>
        <v/>
      </c>
      <c r="V265" s="154">
        <f>V261*V244</f>
        <v/>
      </c>
      <c r="W265" s="154">
        <f>W261*W244</f>
        <v/>
      </c>
      <c r="X265" s="154">
        <f>X261*X244</f>
        <v/>
      </c>
      <c r="Y265" s="154">
        <f>Y261*Y244</f>
        <v/>
      </c>
      <c r="Z265" s="154">
        <f>Z261*Z244</f>
        <v/>
      </c>
      <c r="AA265" s="154">
        <f>AA261*AA244</f>
        <v/>
      </c>
      <c r="AB265" s="154">
        <f>AB261*AB244</f>
        <v/>
      </c>
      <c r="AC265" s="154">
        <f>AC261*AC244</f>
        <v/>
      </c>
      <c r="AD265" s="154">
        <f>AD261*AD244</f>
        <v/>
      </c>
      <c r="AE265" s="229">
        <f>SUM(S265:AD265)</f>
        <v/>
      </c>
      <c r="AF265" s="229">
        <f>AF261*AF244</f>
        <v/>
      </c>
      <c r="AG265" s="229">
        <f>AG261*AG244</f>
        <v/>
      </c>
      <c r="AH265" s="229">
        <f>AH261*AH244</f>
        <v/>
      </c>
    </row>
    <row r="266" ht="8.25" customHeight="1" s="277">
      <c r="A266" s="224" t="n"/>
      <c r="B266" s="225">
        <f>B245</f>
        <v/>
      </c>
      <c r="C266" s="154" t="n"/>
      <c r="D266" s="154" t="n"/>
      <c r="E266" s="154" t="n"/>
      <c r="F266" s="154">
        <f>F262*F245</f>
        <v/>
      </c>
      <c r="G266" s="154">
        <f>G262*G245</f>
        <v/>
      </c>
      <c r="H266" s="154">
        <f>H262*H245</f>
        <v/>
      </c>
      <c r="I266" s="154">
        <f>I262*I245</f>
        <v/>
      </c>
      <c r="J266" s="154">
        <f>J262*J245</f>
        <v/>
      </c>
      <c r="K266" s="154">
        <f>K262*K245</f>
        <v/>
      </c>
      <c r="L266" s="154">
        <f>L262*L245</f>
        <v/>
      </c>
      <c r="M266" s="154">
        <f>M262*M245</f>
        <v/>
      </c>
      <c r="N266" s="154">
        <f>N262*N245</f>
        <v/>
      </c>
      <c r="O266" s="154">
        <f>O262*O245</f>
        <v/>
      </c>
      <c r="P266" s="154">
        <f>P262*P245</f>
        <v/>
      </c>
      <c r="Q266" s="154">
        <f>Q262*Q245</f>
        <v/>
      </c>
      <c r="R266" s="229">
        <f>SUM(F266:Q266)</f>
        <v/>
      </c>
      <c r="S266" s="154">
        <f>S262*S245</f>
        <v/>
      </c>
      <c r="T266" s="154">
        <f>T262*T245</f>
        <v/>
      </c>
      <c r="U266" s="154">
        <f>U262*U245</f>
        <v/>
      </c>
      <c r="V266" s="154">
        <f>V262*V245</f>
        <v/>
      </c>
      <c r="W266" s="154">
        <f>W262*W245</f>
        <v/>
      </c>
      <c r="X266" s="154">
        <f>X262*X245</f>
        <v/>
      </c>
      <c r="Y266" s="154">
        <f>Y262*Y245</f>
        <v/>
      </c>
      <c r="Z266" s="154">
        <f>Z262*Z245</f>
        <v/>
      </c>
      <c r="AA266" s="154">
        <f>AA262*AA245</f>
        <v/>
      </c>
      <c r="AB266" s="154">
        <f>AB262*AB245</f>
        <v/>
      </c>
      <c r="AC266" s="154">
        <f>AC262*AC245</f>
        <v/>
      </c>
      <c r="AD266" s="154">
        <f>AD262*AD245</f>
        <v/>
      </c>
      <c r="AE266" s="229">
        <f>SUM(S266:AD266)</f>
        <v/>
      </c>
      <c r="AF266" s="229">
        <f>AF262*AF245</f>
        <v/>
      </c>
      <c r="AG266" s="229">
        <f>AG262*AG245</f>
        <v/>
      </c>
      <c r="AH266" s="229">
        <f>AH262*AH245</f>
        <v/>
      </c>
    </row>
    <row r="267" ht="8.25" customHeight="1" s="277">
      <c r="A267" s="139" t="inlineStr">
        <is>
          <t>Total Direct Materials</t>
        </is>
      </c>
      <c r="B267" s="156" t="n"/>
      <c r="C267" s="228" t="n"/>
      <c r="D267" s="228" t="n"/>
      <c r="E267" s="228" t="n"/>
      <c r="F267" s="228">
        <f>SUM(F265:F266)</f>
        <v/>
      </c>
      <c r="G267" s="228">
        <f>SUM(G265:G266)</f>
        <v/>
      </c>
      <c r="H267" s="228">
        <f>SUM(H265:H266)</f>
        <v/>
      </c>
      <c r="I267" s="228">
        <f>SUM(I265:I266)</f>
        <v/>
      </c>
      <c r="J267" s="228">
        <f>SUM(J265:J266)</f>
        <v/>
      </c>
      <c r="K267" s="228">
        <f>SUM(K265:K266)</f>
        <v/>
      </c>
      <c r="L267" s="228">
        <f>SUM(L265:L266)</f>
        <v/>
      </c>
      <c r="M267" s="228">
        <f>SUM(M265:M266)</f>
        <v/>
      </c>
      <c r="N267" s="228">
        <f>SUM(N265:N266)</f>
        <v/>
      </c>
      <c r="O267" s="228">
        <f>SUM(O265:O266)</f>
        <v/>
      </c>
      <c r="P267" s="228">
        <f>SUM(P265:P266)</f>
        <v/>
      </c>
      <c r="Q267" s="228">
        <f>SUM(Q265:Q266)</f>
        <v/>
      </c>
      <c r="R267" s="158">
        <f>SUM(F267:Q267)</f>
        <v/>
      </c>
      <c r="S267" s="228">
        <f>SUM(S265:S266)</f>
        <v/>
      </c>
      <c r="T267" s="228">
        <f>SUM(T265:T266)</f>
        <v/>
      </c>
      <c r="U267" s="228">
        <f>SUM(U265:U266)</f>
        <v/>
      </c>
      <c r="V267" s="228">
        <f>SUM(V265:V266)</f>
        <v/>
      </c>
      <c r="W267" s="228">
        <f>SUM(W265:W266)</f>
        <v/>
      </c>
      <c r="X267" s="228">
        <f>SUM(X265:X266)</f>
        <v/>
      </c>
      <c r="Y267" s="228">
        <f>SUM(Y265:Y266)</f>
        <v/>
      </c>
      <c r="Z267" s="228">
        <f>SUM(Z265:Z266)</f>
        <v/>
      </c>
      <c r="AA267" s="228">
        <f>SUM(AA265:AA266)</f>
        <v/>
      </c>
      <c r="AB267" s="228">
        <f>SUM(AB265:AB266)</f>
        <v/>
      </c>
      <c r="AC267" s="228">
        <f>SUM(AC265:AC266)</f>
        <v/>
      </c>
      <c r="AD267" s="228">
        <f>SUM(AD265:AD266)</f>
        <v/>
      </c>
      <c r="AE267" s="158">
        <f>SUM(S267:AD267)</f>
        <v/>
      </c>
      <c r="AF267" s="158">
        <f>SUM(AF265:AF266)</f>
        <v/>
      </c>
      <c r="AG267" s="158">
        <f>SUM(AG265:AG266)</f>
        <v/>
      </c>
      <c r="AH267" s="158">
        <f>SUM(AH265:AH266)</f>
        <v/>
      </c>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f>"Returns ("&amp;$C269*100&amp;"% of product revenue)"</f>
        <v/>
      </c>
      <c r="B269" s="225" t="n"/>
      <c r="C269" s="340">
        <f>Assumptions!I49</f>
        <v/>
      </c>
      <c r="D269" s="154" t="n"/>
      <c r="E269" s="154" t="n"/>
      <c r="F269" s="154">
        <f>$C269*F255</f>
        <v/>
      </c>
      <c r="G269" s="154">
        <f>$C269*G255</f>
        <v/>
      </c>
      <c r="H269" s="154">
        <f>$C269*H255</f>
        <v/>
      </c>
      <c r="I269" s="154">
        <f>$C269*I255</f>
        <v/>
      </c>
      <c r="J269" s="154">
        <f>$C269*J255</f>
        <v/>
      </c>
      <c r="K269" s="154">
        <f>$C269*K255</f>
        <v/>
      </c>
      <c r="L269" s="154">
        <f>$C269*L255</f>
        <v/>
      </c>
      <c r="M269" s="154">
        <f>$C269*M255</f>
        <v/>
      </c>
      <c r="N269" s="154">
        <f>$C269*N255</f>
        <v/>
      </c>
      <c r="O269" s="154">
        <f>$C269*O255</f>
        <v/>
      </c>
      <c r="P269" s="154">
        <f>$C269*P255</f>
        <v/>
      </c>
      <c r="Q269" s="154">
        <f>$C269*Q255</f>
        <v/>
      </c>
      <c r="R269" s="229">
        <f>SUM(F269:Q269)</f>
        <v/>
      </c>
      <c r="S269" s="154">
        <f>$C269*S255</f>
        <v/>
      </c>
      <c r="T269" s="154">
        <f>$C269*T255</f>
        <v/>
      </c>
      <c r="U269" s="154">
        <f>$C269*U255</f>
        <v/>
      </c>
      <c r="V269" s="154">
        <f>$C269*V255</f>
        <v/>
      </c>
      <c r="W269" s="154">
        <f>$C269*W255</f>
        <v/>
      </c>
      <c r="X269" s="154">
        <f>$C269*X255</f>
        <v/>
      </c>
      <c r="Y269" s="154">
        <f>$C269*Y255</f>
        <v/>
      </c>
      <c r="Z269" s="154">
        <f>$C269*Z255</f>
        <v/>
      </c>
      <c r="AA269" s="154">
        <f>$C269*AA255</f>
        <v/>
      </c>
      <c r="AB269" s="154">
        <f>$C269*AB255</f>
        <v/>
      </c>
      <c r="AC269" s="154">
        <f>$C269*AC255</f>
        <v/>
      </c>
      <c r="AD269" s="154">
        <f>$C269*AD255</f>
        <v/>
      </c>
      <c r="AE269" s="229">
        <f>SUM(S269:AD269)</f>
        <v/>
      </c>
      <c r="AF269" s="229">
        <f>$C269*AF255</f>
        <v/>
      </c>
      <c r="AG269" s="229">
        <f>$C269*AG255</f>
        <v/>
      </c>
      <c r="AH269" s="229">
        <f>$C269*AH255</f>
        <v/>
      </c>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f>F267+F269</f>
        <v/>
      </c>
      <c r="G271" s="228">
        <f>G267+G269</f>
        <v/>
      </c>
      <c r="H271" s="228">
        <f>H267+H269</f>
        <v/>
      </c>
      <c r="I271" s="228">
        <f>I267+I269</f>
        <v/>
      </c>
      <c r="J271" s="228">
        <f>J267+J269</f>
        <v/>
      </c>
      <c r="K271" s="228">
        <f>K267+K269</f>
        <v/>
      </c>
      <c r="L271" s="228">
        <f>L267+L269</f>
        <v/>
      </c>
      <c r="M271" s="228">
        <f>M267+M269</f>
        <v/>
      </c>
      <c r="N271" s="228">
        <f>N267+N269</f>
        <v/>
      </c>
      <c r="O271" s="228">
        <f>O267+O269</f>
        <v/>
      </c>
      <c r="P271" s="228">
        <f>P267+P269</f>
        <v/>
      </c>
      <c r="Q271" s="228">
        <f>Q267+Q269</f>
        <v/>
      </c>
      <c r="R271" s="158">
        <f>SUM(F271:Q271)</f>
        <v/>
      </c>
      <c r="S271" s="228">
        <f>S267+S269</f>
        <v/>
      </c>
      <c r="T271" s="228">
        <f>T267+T269</f>
        <v/>
      </c>
      <c r="U271" s="228">
        <f>U267+U269</f>
        <v/>
      </c>
      <c r="V271" s="228">
        <f>V267+V269</f>
        <v/>
      </c>
      <c r="W271" s="228">
        <f>W267+W269</f>
        <v/>
      </c>
      <c r="X271" s="228">
        <f>X267+X269</f>
        <v/>
      </c>
      <c r="Y271" s="228">
        <f>Y267+Y269</f>
        <v/>
      </c>
      <c r="Z271" s="228">
        <f>Z267+Z269</f>
        <v/>
      </c>
      <c r="AA271" s="228">
        <f>AA267+AA269</f>
        <v/>
      </c>
      <c r="AB271" s="228">
        <f>AB267+AB269</f>
        <v/>
      </c>
      <c r="AC271" s="228">
        <f>AC267+AC269</f>
        <v/>
      </c>
      <c r="AD271" s="228">
        <f>AD267+AD269</f>
        <v/>
      </c>
      <c r="AE271" s="158">
        <f>SUM(S271:AD271)</f>
        <v/>
      </c>
      <c r="AF271" s="158">
        <f>AF267+AF269</f>
        <v/>
      </c>
      <c r="AG271" s="158">
        <f>AG267+AG269</f>
        <v/>
      </c>
      <c r="AH271" s="158">
        <f>AH267+AH269</f>
        <v/>
      </c>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f>F255-F271</f>
        <v/>
      </c>
      <c r="G273" s="228">
        <f>G255-G271</f>
        <v/>
      </c>
      <c r="H273" s="228">
        <f>H255-H271</f>
        <v/>
      </c>
      <c r="I273" s="228">
        <f>I255-I271</f>
        <v/>
      </c>
      <c r="J273" s="228">
        <f>J255-J271</f>
        <v/>
      </c>
      <c r="K273" s="228">
        <f>K255-K271</f>
        <v/>
      </c>
      <c r="L273" s="228">
        <f>L255-L271</f>
        <v/>
      </c>
      <c r="M273" s="228">
        <f>M255-M271</f>
        <v/>
      </c>
      <c r="N273" s="228">
        <f>N255-N271</f>
        <v/>
      </c>
      <c r="O273" s="228">
        <f>O255-O271</f>
        <v/>
      </c>
      <c r="P273" s="228">
        <f>P255-P271</f>
        <v/>
      </c>
      <c r="Q273" s="228">
        <f>Q255-Q271</f>
        <v/>
      </c>
      <c r="R273" s="158">
        <f>SUM(F273:Q273)</f>
        <v/>
      </c>
      <c r="S273" s="228">
        <f>S255-S271</f>
        <v/>
      </c>
      <c r="T273" s="228">
        <f>T255-T271</f>
        <v/>
      </c>
      <c r="U273" s="228">
        <f>U255-U271</f>
        <v/>
      </c>
      <c r="V273" s="228">
        <f>V255-V271</f>
        <v/>
      </c>
      <c r="W273" s="228">
        <f>W255-W271</f>
        <v/>
      </c>
      <c r="X273" s="228">
        <f>X255-X271</f>
        <v/>
      </c>
      <c r="Y273" s="228">
        <f>Y255-Y271</f>
        <v/>
      </c>
      <c r="Z273" s="228">
        <f>Z255-Z271</f>
        <v/>
      </c>
      <c r="AA273" s="228">
        <f>AA255-AA271</f>
        <v/>
      </c>
      <c r="AB273" s="228">
        <f>AB255-AB271</f>
        <v/>
      </c>
      <c r="AC273" s="228">
        <f>AC255-AC271</f>
        <v/>
      </c>
      <c r="AD273" s="228">
        <f>AD255-AD271</f>
        <v/>
      </c>
      <c r="AE273" s="158">
        <f>SUM(S273:AD273)</f>
        <v/>
      </c>
      <c r="AF273" s="158">
        <f>AF255-AF271</f>
        <v/>
      </c>
      <c r="AG273" s="158">
        <f>AG255-AG271</f>
        <v/>
      </c>
      <c r="AH273" s="158">
        <f>AH255-AH271</f>
        <v/>
      </c>
    </row>
    <row r="274" ht="8.25" customHeight="1" s="277">
      <c r="A274" s="354" t="inlineStr">
        <is>
          <t>Gross Margin % of Sales</t>
        </is>
      </c>
      <c r="B274" s="355" t="n"/>
      <c r="C274" s="356" t="n"/>
      <c r="D274" s="356" t="n"/>
      <c r="E274" s="356" t="n"/>
      <c r="F274" s="356">
        <f>IF(F255&gt;0,+F273/F255,0)</f>
        <v/>
      </c>
      <c r="G274" s="356">
        <f>IF(G255&gt;0,+G273/G255,0)</f>
        <v/>
      </c>
      <c r="H274" s="356">
        <f>IF(H255&gt;0,+H273/H255,0)</f>
        <v/>
      </c>
      <c r="I274" s="356">
        <f>IF(I255&gt;0,+I273/I255,0)</f>
        <v/>
      </c>
      <c r="J274" s="356">
        <f>IF(J255&gt;0,+J273/J255,0)</f>
        <v/>
      </c>
      <c r="K274" s="356">
        <f>IF(K255&gt;0,+K273/K255,0)</f>
        <v/>
      </c>
      <c r="L274" s="356">
        <f>IF(L255&gt;0,+L273/L255,0)</f>
        <v/>
      </c>
      <c r="M274" s="356">
        <f>IF(M255&gt;0,+M273/M255,0)</f>
        <v/>
      </c>
      <c r="N274" s="356">
        <f>IF(N255&gt;0,+N273/N255,0)</f>
        <v/>
      </c>
      <c r="O274" s="356">
        <f>IF(O255&gt;0,+O273/O255,0)</f>
        <v/>
      </c>
      <c r="P274" s="356">
        <f>IF(P255&gt;0,+P273/P255,0)</f>
        <v/>
      </c>
      <c r="Q274" s="356">
        <f>IF(Q255&gt;0,+Q273/Q255,0)</f>
        <v/>
      </c>
      <c r="R274" s="357">
        <f>IF(R255&gt;0,+R273/R255,0)</f>
        <v/>
      </c>
      <c r="S274" s="356">
        <f>IF(S255&gt;0,+S273/S255,0)</f>
        <v/>
      </c>
      <c r="T274" s="356">
        <f>IF(T255&gt;0,+T273/T255,0)</f>
        <v/>
      </c>
      <c r="U274" s="356">
        <f>IF(U255&gt;0,+U273/U255,0)</f>
        <v/>
      </c>
      <c r="V274" s="356">
        <f>IF(V255&gt;0,+V273/V255,0)</f>
        <v/>
      </c>
      <c r="W274" s="356">
        <f>IF(W255&gt;0,+W273/W255,0)</f>
        <v/>
      </c>
      <c r="X274" s="356">
        <f>IF(X255&gt;0,+X273/X255,0)</f>
        <v/>
      </c>
      <c r="Y274" s="356">
        <f>IF(Y255&gt;0,+Y273/Y255,0)</f>
        <v/>
      </c>
      <c r="Z274" s="356">
        <f>IF(Z255&gt;0,+Z273/Z255,0)</f>
        <v/>
      </c>
      <c r="AA274" s="356">
        <f>IF(AA255&gt;0,+AA273/AA255,0)</f>
        <v/>
      </c>
      <c r="AB274" s="356">
        <f>IF(AB255&gt;0,+AB273/AB255,0)</f>
        <v/>
      </c>
      <c r="AC274" s="356">
        <f>IF(AC255&gt;0,+AC273/AC255,0)</f>
        <v/>
      </c>
      <c r="AD274" s="356">
        <f>IF(AD255&gt;0,+AD273/AD255,0)</f>
        <v/>
      </c>
      <c r="AE274" s="357">
        <f>IF(AE255&gt;0,+AE273/AE255,0)</f>
        <v/>
      </c>
      <c r="AF274" s="357">
        <f>IF(AF255&gt;0,+AF273/AF255,0)</f>
        <v/>
      </c>
      <c r="AG274" s="357">
        <f>IF(AG255&gt;0,+AG273/AG255,0)</f>
        <v/>
      </c>
      <c r="AH274" s="357">
        <f>IF(AH255&gt;0,+AH273/AH255,0)</f>
        <v/>
      </c>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f>$B$90</f>
        <v/>
      </c>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f>NOW()</f>
        <v/>
      </c>
      <c r="C279" s="228" t="n"/>
      <c r="D279" s="228" t="n"/>
      <c r="E279" s="228" t="n"/>
      <c r="F279" s="142">
        <f>F$7</f>
        <v/>
      </c>
      <c r="G279" s="142">
        <f>G$7</f>
        <v/>
      </c>
      <c r="H279" s="142">
        <f>H$7</f>
        <v/>
      </c>
      <c r="I279" s="142">
        <f>I$7</f>
        <v/>
      </c>
      <c r="J279" s="142">
        <f>J$7</f>
        <v/>
      </c>
      <c r="K279" s="142">
        <f>K$7</f>
        <v/>
      </c>
      <c r="L279" s="142">
        <f>L$7</f>
        <v/>
      </c>
      <c r="M279" s="142">
        <f>M$7</f>
        <v/>
      </c>
      <c r="N279" s="142">
        <f>N$7</f>
        <v/>
      </c>
      <c r="O279" s="142">
        <f>O$7</f>
        <v/>
      </c>
      <c r="P279" s="142">
        <f>P$7</f>
        <v/>
      </c>
      <c r="Q279" s="142">
        <f>Q$7</f>
        <v/>
      </c>
      <c r="R279" s="143" t="inlineStr">
        <is>
          <t>Total</t>
        </is>
      </c>
      <c r="S279" s="142">
        <f>S$7</f>
        <v/>
      </c>
      <c r="T279" s="142">
        <f>T$7</f>
        <v/>
      </c>
      <c r="U279" s="142">
        <f>U$7</f>
        <v/>
      </c>
      <c r="V279" s="142">
        <f>V$7</f>
        <v/>
      </c>
      <c r="W279" s="142">
        <f>W$7</f>
        <v/>
      </c>
      <c r="X279" s="142">
        <f>X$7</f>
        <v/>
      </c>
      <c r="Y279" s="142">
        <f>Y$7</f>
        <v/>
      </c>
      <c r="Z279" s="142">
        <f>Z$7</f>
        <v/>
      </c>
      <c r="AA279" s="142">
        <f>AA$7</f>
        <v/>
      </c>
      <c r="AB279" s="142">
        <f>AB$7</f>
        <v/>
      </c>
      <c r="AC279" s="142">
        <f>AC$7</f>
        <v/>
      </c>
      <c r="AD279" s="142">
        <f>AD$7</f>
        <v/>
      </c>
      <c r="AE279" s="143" t="inlineStr">
        <is>
          <t>Total</t>
        </is>
      </c>
      <c r="AF279" s="143">
        <f>AF$7</f>
        <v/>
      </c>
      <c r="AG279" s="143">
        <f>AG$7</f>
        <v/>
      </c>
      <c r="AH279" s="143">
        <f>AH$7</f>
        <v/>
      </c>
    </row>
    <row r="280" ht="8.25" customHeight="1" s="277">
      <c r="A280" s="328" t="n"/>
      <c r="B280" s="329">
        <f>NOW()</f>
        <v/>
      </c>
      <c r="C280" s="330" t="n"/>
      <c r="D280" s="330" t="n"/>
      <c r="E280" s="330" t="n"/>
      <c r="F280" s="324">
        <f>F$1</f>
        <v/>
      </c>
      <c r="G280" s="324">
        <f>G$1</f>
        <v/>
      </c>
      <c r="H280" s="324">
        <f>H$1</f>
        <v/>
      </c>
      <c r="I280" s="324">
        <f>I$1</f>
        <v/>
      </c>
      <c r="J280" s="324">
        <f>J$1</f>
        <v/>
      </c>
      <c r="K280" s="324">
        <f>K$1</f>
        <v/>
      </c>
      <c r="L280" s="324">
        <f>L$1</f>
        <v/>
      </c>
      <c r="M280" s="324">
        <f>M$1</f>
        <v/>
      </c>
      <c r="N280" s="324">
        <f>N$1</f>
        <v/>
      </c>
      <c r="O280" s="324">
        <f>O$1</f>
        <v/>
      </c>
      <c r="P280" s="324">
        <f>P$1</f>
        <v/>
      </c>
      <c r="Q280" s="324">
        <f>Q$1</f>
        <v/>
      </c>
      <c r="R280" s="325">
        <f>R$1</f>
        <v/>
      </c>
      <c r="S280" s="324">
        <f>S$1</f>
        <v/>
      </c>
      <c r="T280" s="324">
        <f>T$1</f>
        <v/>
      </c>
      <c r="U280" s="324">
        <f>U$1</f>
        <v/>
      </c>
      <c r="V280" s="324">
        <f>V$1</f>
        <v/>
      </c>
      <c r="W280" s="324">
        <f>W$1</f>
        <v/>
      </c>
      <c r="X280" s="324">
        <f>X$1</f>
        <v/>
      </c>
      <c r="Y280" s="324">
        <f>Y$1</f>
        <v/>
      </c>
      <c r="Z280" s="324">
        <f>Z$1</f>
        <v/>
      </c>
      <c r="AA280" s="324">
        <f>AA$1</f>
        <v/>
      </c>
      <c r="AB280" s="324">
        <f>AB$1</f>
        <v/>
      </c>
      <c r="AC280" s="324">
        <f>AC$1</f>
        <v/>
      </c>
      <c r="AD280" s="324">
        <f>AD$1</f>
        <v/>
      </c>
      <c r="AE280" s="325">
        <f>AE$1</f>
        <v/>
      </c>
      <c r="AF280" s="325">
        <f>AF$1</f>
        <v/>
      </c>
      <c r="AG280" s="325">
        <f>AG$1</f>
        <v/>
      </c>
      <c r="AH280" s="325">
        <f>AH$1</f>
        <v/>
      </c>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f>F283</f>
        <v/>
      </c>
      <c r="H283" s="171">
        <f>G283</f>
        <v/>
      </c>
      <c r="I283" s="171">
        <f>H283</f>
        <v/>
      </c>
      <c r="J283" s="171">
        <f>I283</f>
        <v/>
      </c>
      <c r="K283" s="171">
        <f>J283</f>
        <v/>
      </c>
      <c r="L283" s="171">
        <f>K283</f>
        <v/>
      </c>
      <c r="M283" s="171">
        <f>L283</f>
        <v/>
      </c>
      <c r="N283" s="171">
        <f>M283</f>
        <v/>
      </c>
      <c r="O283" s="171">
        <f>N283</f>
        <v/>
      </c>
      <c r="P283" s="171">
        <f>O283</f>
        <v/>
      </c>
      <c r="Q283" s="171">
        <f>P283</f>
        <v/>
      </c>
      <c r="R283" s="172">
        <f>SUM(F283:Q283)</f>
        <v/>
      </c>
      <c r="S283" s="171">
        <f>Q283</f>
        <v/>
      </c>
      <c r="T283" s="171">
        <f>S283</f>
        <v/>
      </c>
      <c r="U283" s="171">
        <f>T283</f>
        <v/>
      </c>
      <c r="V283" s="171">
        <f>U283</f>
        <v/>
      </c>
      <c r="W283" s="171">
        <f>V283</f>
        <v/>
      </c>
      <c r="X283" s="171">
        <f>W283</f>
        <v/>
      </c>
      <c r="Y283" s="171">
        <f>X283</f>
        <v/>
      </c>
      <c r="Z283" s="171">
        <f>Y283</f>
        <v/>
      </c>
      <c r="AA283" s="171">
        <f>Z283</f>
        <v/>
      </c>
      <c r="AB283" s="171">
        <f>AA283</f>
        <v/>
      </c>
      <c r="AC283" s="171">
        <f>AB283</f>
        <v/>
      </c>
      <c r="AD283" s="171">
        <f>AC283</f>
        <v/>
      </c>
      <c r="AE283" s="172">
        <f>SUM(S283:AD283)</f>
        <v/>
      </c>
      <c r="AF283" s="172">
        <f>AE283</f>
        <v/>
      </c>
      <c r="AG283" s="172">
        <f>AF283</f>
        <v/>
      </c>
      <c r="AH283" s="172">
        <f>AG283</f>
        <v/>
      </c>
    </row>
    <row r="284" ht="8.25" customHeight="1" s="277">
      <c r="A284" s="224" t="n"/>
      <c r="B284" s="191" t="inlineStr">
        <is>
          <t>s.k.u. 2</t>
        </is>
      </c>
      <c r="C284" s="154" t="n"/>
      <c r="D284" s="154" t="n"/>
      <c r="E284" s="154" t="n"/>
      <c r="F284" s="171" t="n">
        <v>0</v>
      </c>
      <c r="G284" s="171">
        <f>F284</f>
        <v/>
      </c>
      <c r="H284" s="171">
        <f>G284</f>
        <v/>
      </c>
      <c r="I284" s="171">
        <f>H284</f>
        <v/>
      </c>
      <c r="J284" s="171">
        <f>I284</f>
        <v/>
      </c>
      <c r="K284" s="171">
        <f>J284</f>
        <v/>
      </c>
      <c r="L284" s="171">
        <f>K284</f>
        <v/>
      </c>
      <c r="M284" s="171">
        <f>L284</f>
        <v/>
      </c>
      <c r="N284" s="171">
        <f>M284</f>
        <v/>
      </c>
      <c r="O284" s="171">
        <f>N284</f>
        <v/>
      </c>
      <c r="P284" s="171">
        <f>O284</f>
        <v/>
      </c>
      <c r="Q284" s="171">
        <f>P284</f>
        <v/>
      </c>
      <c r="R284" s="172">
        <f>SUM(F284:Q284)</f>
        <v/>
      </c>
      <c r="S284" s="171">
        <f>Q284</f>
        <v/>
      </c>
      <c r="T284" s="171">
        <f>S284</f>
        <v/>
      </c>
      <c r="U284" s="171">
        <f>T284</f>
        <v/>
      </c>
      <c r="V284" s="171">
        <f>U284</f>
        <v/>
      </c>
      <c r="W284" s="171">
        <f>V284</f>
        <v/>
      </c>
      <c r="X284" s="171">
        <f>W284</f>
        <v/>
      </c>
      <c r="Y284" s="171">
        <f>X284</f>
        <v/>
      </c>
      <c r="Z284" s="171">
        <f>Y284</f>
        <v/>
      </c>
      <c r="AA284" s="171">
        <f>Z284</f>
        <v/>
      </c>
      <c r="AB284" s="171">
        <f>AA284</f>
        <v/>
      </c>
      <c r="AC284" s="171">
        <f>AB284</f>
        <v/>
      </c>
      <c r="AD284" s="171">
        <f>AC284</f>
        <v/>
      </c>
      <c r="AE284" s="172">
        <f>SUM(S284:AD284)</f>
        <v/>
      </c>
      <c r="AF284" s="172">
        <f>AE284</f>
        <v/>
      </c>
      <c r="AG284" s="172">
        <f>AF284</f>
        <v/>
      </c>
      <c r="AH284" s="172">
        <f>AG284</f>
        <v/>
      </c>
    </row>
    <row r="285" ht="8.25" customHeight="1" s="277">
      <c r="A285" s="139" t="inlineStr">
        <is>
          <t>Total Units</t>
        </is>
      </c>
      <c r="B285" s="156" t="n"/>
      <c r="C285" s="228" t="n"/>
      <c r="D285" s="228" t="n"/>
      <c r="E285" s="228" t="n"/>
      <c r="F285" s="228">
        <f>SUM(F283:F284)</f>
        <v/>
      </c>
      <c r="G285" s="228">
        <f>SUM(G283:G284)</f>
        <v/>
      </c>
      <c r="H285" s="228">
        <f>SUM(H283:H284)</f>
        <v/>
      </c>
      <c r="I285" s="228">
        <f>SUM(I283:I284)</f>
        <v/>
      </c>
      <c r="J285" s="228">
        <f>SUM(J283:J284)</f>
        <v/>
      </c>
      <c r="K285" s="228">
        <f>SUM(K283:K284)</f>
        <v/>
      </c>
      <c r="L285" s="228">
        <f>SUM(L283:L284)</f>
        <v/>
      </c>
      <c r="M285" s="228">
        <f>SUM(M283:M284)</f>
        <v/>
      </c>
      <c r="N285" s="228">
        <f>SUM(N283:N284)</f>
        <v/>
      </c>
      <c r="O285" s="228">
        <f>SUM(O283:O284)</f>
        <v/>
      </c>
      <c r="P285" s="228">
        <f>SUM(P283:P284)</f>
        <v/>
      </c>
      <c r="Q285" s="228">
        <f>SUM(Q283:Q284)</f>
        <v/>
      </c>
      <c r="R285" s="158">
        <f>SUM(F285:Q285)</f>
        <v/>
      </c>
      <c r="S285" s="228">
        <f>SUM(S283:S284)</f>
        <v/>
      </c>
      <c r="T285" s="228">
        <f>SUM(T283:T284)</f>
        <v/>
      </c>
      <c r="U285" s="228">
        <f>SUM(U283:U284)</f>
        <v/>
      </c>
      <c r="V285" s="228">
        <f>SUM(V283:V284)</f>
        <v/>
      </c>
      <c r="W285" s="228">
        <f>SUM(W283:W284)</f>
        <v/>
      </c>
      <c r="X285" s="228">
        <f>SUM(X283:X284)</f>
        <v/>
      </c>
      <c r="Y285" s="228">
        <f>SUM(Y283:Y284)</f>
        <v/>
      </c>
      <c r="Z285" s="228">
        <f>SUM(Z283:Z284)</f>
        <v/>
      </c>
      <c r="AA285" s="228">
        <f>SUM(AA283:AA284)</f>
        <v/>
      </c>
      <c r="AB285" s="228">
        <f>SUM(AB283:AB284)</f>
        <v/>
      </c>
      <c r="AC285" s="228">
        <f>SUM(AC283:AC284)</f>
        <v/>
      </c>
      <c r="AD285" s="228">
        <f>SUM(AD283:AD284)</f>
        <v/>
      </c>
      <c r="AE285" s="158">
        <f>SUM(S285:AD285)</f>
        <v/>
      </c>
      <c r="AF285" s="158">
        <f>SUM(AF283:AF284)</f>
        <v/>
      </c>
      <c r="AG285" s="158">
        <f>SUM(AG283:AG284)</f>
        <v/>
      </c>
      <c r="AH285" s="158">
        <f>SUM(AH283:AH284)</f>
        <v/>
      </c>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f>B283</f>
        <v/>
      </c>
      <c r="C288" s="348" t="n"/>
      <c r="D288" s="348" t="n"/>
      <c r="E288" s="348" t="n"/>
      <c r="F288" s="351" t="n">
        <v>0</v>
      </c>
      <c r="G288" s="351">
        <f>F288</f>
        <v/>
      </c>
      <c r="H288" s="351">
        <f>G288</f>
        <v/>
      </c>
      <c r="I288" s="351">
        <f>H288</f>
        <v/>
      </c>
      <c r="J288" s="351">
        <f>I288</f>
        <v/>
      </c>
      <c r="K288" s="351">
        <f>J288</f>
        <v/>
      </c>
      <c r="L288" s="351">
        <f>K288</f>
        <v/>
      </c>
      <c r="M288" s="351">
        <f>L288</f>
        <v/>
      </c>
      <c r="N288" s="351">
        <f>M288</f>
        <v/>
      </c>
      <c r="O288" s="351">
        <f>N288</f>
        <v/>
      </c>
      <c r="P288" s="351">
        <f>O288</f>
        <v/>
      </c>
      <c r="Q288" s="351">
        <f>P288</f>
        <v/>
      </c>
      <c r="R288" s="352">
        <f>Q288</f>
        <v/>
      </c>
      <c r="S288" s="351">
        <f>R288</f>
        <v/>
      </c>
      <c r="T288" s="351">
        <f>S288</f>
        <v/>
      </c>
      <c r="U288" s="351">
        <f>T288</f>
        <v/>
      </c>
      <c r="V288" s="351">
        <f>U288</f>
        <v/>
      </c>
      <c r="W288" s="351">
        <f>V288</f>
        <v/>
      </c>
      <c r="X288" s="351">
        <f>W288</f>
        <v/>
      </c>
      <c r="Y288" s="351">
        <f>X288</f>
        <v/>
      </c>
      <c r="Z288" s="351">
        <f>Y288</f>
        <v/>
      </c>
      <c r="AA288" s="351">
        <f>Z288</f>
        <v/>
      </c>
      <c r="AB288" s="351">
        <f>AA288</f>
        <v/>
      </c>
      <c r="AC288" s="351">
        <f>AB288</f>
        <v/>
      </c>
      <c r="AD288" s="351">
        <f>AC288</f>
        <v/>
      </c>
      <c r="AE288" s="352">
        <f>AD288</f>
        <v/>
      </c>
      <c r="AF288" s="352">
        <f>AE288</f>
        <v/>
      </c>
      <c r="AG288" s="352">
        <f>AF288</f>
        <v/>
      </c>
      <c r="AH288" s="352">
        <f>AG288</f>
        <v/>
      </c>
    </row>
    <row r="289" ht="8.25" customFormat="1" customHeight="1" s="348">
      <c r="A289" s="349" t="n"/>
      <c r="B289" s="350">
        <f>B284</f>
        <v/>
      </c>
      <c r="C289" s="348" t="n"/>
      <c r="D289" s="348" t="n"/>
      <c r="E289" s="348" t="n"/>
      <c r="F289" s="351" t="n">
        <v>0</v>
      </c>
      <c r="G289" s="351">
        <f>F289</f>
        <v/>
      </c>
      <c r="H289" s="351">
        <f>G289</f>
        <v/>
      </c>
      <c r="I289" s="351">
        <f>H289</f>
        <v/>
      </c>
      <c r="J289" s="351">
        <f>I289</f>
        <v/>
      </c>
      <c r="K289" s="351">
        <f>J289</f>
        <v/>
      </c>
      <c r="L289" s="351">
        <f>K289</f>
        <v/>
      </c>
      <c r="M289" s="351">
        <f>L289</f>
        <v/>
      </c>
      <c r="N289" s="351">
        <f>M289</f>
        <v/>
      </c>
      <c r="O289" s="351">
        <f>N289</f>
        <v/>
      </c>
      <c r="P289" s="351">
        <f>O289</f>
        <v/>
      </c>
      <c r="Q289" s="351">
        <f>P289</f>
        <v/>
      </c>
      <c r="R289" s="352">
        <f>Q289</f>
        <v/>
      </c>
      <c r="S289" s="351">
        <f>R289</f>
        <v/>
      </c>
      <c r="T289" s="351">
        <f>S289</f>
        <v/>
      </c>
      <c r="U289" s="351">
        <f>T289</f>
        <v/>
      </c>
      <c r="V289" s="351">
        <f>U289</f>
        <v/>
      </c>
      <c r="W289" s="351">
        <f>V289</f>
        <v/>
      </c>
      <c r="X289" s="351">
        <f>W289</f>
        <v/>
      </c>
      <c r="Y289" s="351">
        <f>X289</f>
        <v/>
      </c>
      <c r="Z289" s="351">
        <f>Y289</f>
        <v/>
      </c>
      <c r="AA289" s="351">
        <f>Z289</f>
        <v/>
      </c>
      <c r="AB289" s="351">
        <f>AA289</f>
        <v/>
      </c>
      <c r="AC289" s="351">
        <f>AB289</f>
        <v/>
      </c>
      <c r="AD289" s="351">
        <f>AC289</f>
        <v/>
      </c>
      <c r="AE289" s="352">
        <f>AD289</f>
        <v/>
      </c>
      <c r="AF289" s="352">
        <f>AE289</f>
        <v/>
      </c>
      <c r="AG289" s="352">
        <f>AF289</f>
        <v/>
      </c>
      <c r="AH289" s="352">
        <f>AG289</f>
        <v/>
      </c>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f>B283</f>
        <v/>
      </c>
      <c r="C292" s="154" t="n"/>
      <c r="D292" s="154" t="n"/>
      <c r="E292" s="154" t="n"/>
      <c r="F292" s="154">
        <f>F283*F288</f>
        <v/>
      </c>
      <c r="G292" s="154">
        <f>G283*G288</f>
        <v/>
      </c>
      <c r="H292" s="154">
        <f>H283*H288</f>
        <v/>
      </c>
      <c r="I292" s="154">
        <f>I283*I288</f>
        <v/>
      </c>
      <c r="J292" s="154">
        <f>J283*J288</f>
        <v/>
      </c>
      <c r="K292" s="154">
        <f>K283*K288</f>
        <v/>
      </c>
      <c r="L292" s="154">
        <f>L283*L288</f>
        <v/>
      </c>
      <c r="M292" s="154">
        <f>M283*M288</f>
        <v/>
      </c>
      <c r="N292" s="154">
        <f>N283*N288</f>
        <v/>
      </c>
      <c r="O292" s="154">
        <f>O283*O288</f>
        <v/>
      </c>
      <c r="P292" s="154">
        <f>P283*P288</f>
        <v/>
      </c>
      <c r="Q292" s="154">
        <f>Q283*Q288</f>
        <v/>
      </c>
      <c r="R292" s="229">
        <f>SUM(F292:Q292)</f>
        <v/>
      </c>
      <c r="S292" s="154">
        <f>S283*S288</f>
        <v/>
      </c>
      <c r="T292" s="154">
        <f>T283*T288</f>
        <v/>
      </c>
      <c r="U292" s="154">
        <f>U283*U288</f>
        <v/>
      </c>
      <c r="V292" s="154">
        <f>V283*V288</f>
        <v/>
      </c>
      <c r="W292" s="154">
        <f>W283*W288</f>
        <v/>
      </c>
      <c r="X292" s="154">
        <f>X283*X288</f>
        <v/>
      </c>
      <c r="Y292" s="154">
        <f>Y283*Y288</f>
        <v/>
      </c>
      <c r="Z292" s="154">
        <f>Z283*Z288</f>
        <v/>
      </c>
      <c r="AA292" s="154">
        <f>AA283*AA288</f>
        <v/>
      </c>
      <c r="AB292" s="154">
        <f>AB283*AB288</f>
        <v/>
      </c>
      <c r="AC292" s="154">
        <f>AC283*AC288</f>
        <v/>
      </c>
      <c r="AD292" s="154">
        <f>AD283*AD288</f>
        <v/>
      </c>
      <c r="AE292" s="229">
        <f>SUM(S292:AD292)</f>
        <v/>
      </c>
      <c r="AF292" s="229">
        <f>AF283*AF288</f>
        <v/>
      </c>
      <c r="AG292" s="229">
        <f>AG283*AG288</f>
        <v/>
      </c>
      <c r="AH292" s="229">
        <f>AH283*AH288</f>
        <v/>
      </c>
    </row>
    <row r="293" ht="8.25" customHeight="1" s="277">
      <c r="A293" s="224" t="n"/>
      <c r="B293" s="225">
        <f>B284</f>
        <v/>
      </c>
      <c r="C293" s="154" t="n"/>
      <c r="D293" s="154" t="n"/>
      <c r="E293" s="154" t="n"/>
      <c r="F293" s="154">
        <f>F284*F289</f>
        <v/>
      </c>
      <c r="G293" s="154">
        <f>G284*G289</f>
        <v/>
      </c>
      <c r="H293" s="154">
        <f>H284*H289</f>
        <v/>
      </c>
      <c r="I293" s="154">
        <f>I284*I289</f>
        <v/>
      </c>
      <c r="J293" s="154">
        <f>J284*J289</f>
        <v/>
      </c>
      <c r="K293" s="154">
        <f>K284*K289</f>
        <v/>
      </c>
      <c r="L293" s="154">
        <f>L284*L289</f>
        <v/>
      </c>
      <c r="M293" s="154">
        <f>M284*M289</f>
        <v/>
      </c>
      <c r="N293" s="154">
        <f>N284*N289</f>
        <v/>
      </c>
      <c r="O293" s="154">
        <f>O284*O289</f>
        <v/>
      </c>
      <c r="P293" s="154">
        <f>P284*P289</f>
        <v/>
      </c>
      <c r="Q293" s="154">
        <f>Q284*Q289</f>
        <v/>
      </c>
      <c r="R293" s="229">
        <f>SUM(F293:Q293)</f>
        <v/>
      </c>
      <c r="S293" s="154">
        <f>S284*S289</f>
        <v/>
      </c>
      <c r="T293" s="154">
        <f>T284*T289</f>
        <v/>
      </c>
      <c r="U293" s="154">
        <f>U284*U289</f>
        <v/>
      </c>
      <c r="V293" s="154">
        <f>V284*V289</f>
        <v/>
      </c>
      <c r="W293" s="154">
        <f>W284*W289</f>
        <v/>
      </c>
      <c r="X293" s="154">
        <f>X284*X289</f>
        <v/>
      </c>
      <c r="Y293" s="154">
        <f>Y284*Y289</f>
        <v/>
      </c>
      <c r="Z293" s="154">
        <f>Z284*Z289</f>
        <v/>
      </c>
      <c r="AA293" s="154">
        <f>AA284*AA289</f>
        <v/>
      </c>
      <c r="AB293" s="154">
        <f>AB284*AB289</f>
        <v/>
      </c>
      <c r="AC293" s="154">
        <f>AC284*AC289</f>
        <v/>
      </c>
      <c r="AD293" s="154">
        <f>AD284*AD289</f>
        <v/>
      </c>
      <c r="AE293" s="229">
        <f>SUM(S293:AD293)</f>
        <v/>
      </c>
      <c r="AF293" s="229">
        <f>AF284*AF289</f>
        <v/>
      </c>
      <c r="AG293" s="229">
        <f>AG284*AG289</f>
        <v/>
      </c>
      <c r="AH293" s="229">
        <f>AH284*AH289</f>
        <v/>
      </c>
    </row>
    <row r="294" ht="8.25" customHeight="1" s="277">
      <c r="A294" s="139" t="inlineStr">
        <is>
          <t>Total Revenue</t>
        </is>
      </c>
      <c r="B294" s="156" t="n"/>
      <c r="C294" s="228" t="n"/>
      <c r="D294" s="228" t="n"/>
      <c r="E294" s="228" t="n"/>
      <c r="F294" s="228">
        <f>SUM(F292:F293)</f>
        <v/>
      </c>
      <c r="G294" s="228">
        <f>SUM(G292:G293)</f>
        <v/>
      </c>
      <c r="H294" s="228">
        <f>SUM(H292:H293)</f>
        <v/>
      </c>
      <c r="I294" s="228">
        <f>SUM(I292:I293)</f>
        <v/>
      </c>
      <c r="J294" s="228">
        <f>SUM(J292:J293)</f>
        <v/>
      </c>
      <c r="K294" s="228">
        <f>SUM(K292:K293)</f>
        <v/>
      </c>
      <c r="L294" s="228">
        <f>SUM(L292:L293)</f>
        <v/>
      </c>
      <c r="M294" s="228">
        <f>SUM(M292:M293)</f>
        <v/>
      </c>
      <c r="N294" s="228">
        <f>SUM(N292:N293)</f>
        <v/>
      </c>
      <c r="O294" s="228">
        <f>SUM(O292:O293)</f>
        <v/>
      </c>
      <c r="P294" s="228">
        <f>SUM(P292:P293)</f>
        <v/>
      </c>
      <c r="Q294" s="228">
        <f>SUM(Q292:Q293)</f>
        <v/>
      </c>
      <c r="R294" s="158">
        <f>SUM(F294:Q294)</f>
        <v/>
      </c>
      <c r="S294" s="228">
        <f>SUM(S292:S293)</f>
        <v/>
      </c>
      <c r="T294" s="228">
        <f>SUM(T292:T293)</f>
        <v/>
      </c>
      <c r="U294" s="228">
        <f>SUM(U292:U293)</f>
        <v/>
      </c>
      <c r="V294" s="228">
        <f>SUM(V292:V293)</f>
        <v/>
      </c>
      <c r="W294" s="228">
        <f>SUM(W292:W293)</f>
        <v/>
      </c>
      <c r="X294" s="228">
        <f>SUM(X292:X293)</f>
        <v/>
      </c>
      <c r="Y294" s="228">
        <f>SUM(Y292:Y293)</f>
        <v/>
      </c>
      <c r="Z294" s="228">
        <f>SUM(Z292:Z293)</f>
        <v/>
      </c>
      <c r="AA294" s="228">
        <f>SUM(AA292:AA293)</f>
        <v/>
      </c>
      <c r="AB294" s="228">
        <f>SUM(AB292:AB293)</f>
        <v/>
      </c>
      <c r="AC294" s="228">
        <f>SUM(AC292:AC293)</f>
        <v/>
      </c>
      <c r="AD294" s="228">
        <f>SUM(AD292:AD293)</f>
        <v/>
      </c>
      <c r="AE294" s="158">
        <f>SUM(S294:AD294)</f>
        <v/>
      </c>
      <c r="AF294" s="158">
        <f>SUM(AF292:AF293)</f>
        <v/>
      </c>
      <c r="AG294" s="158">
        <f>SUM(AG292:AG293)</f>
        <v/>
      </c>
      <c r="AH294" s="158">
        <f>SUM(AH292:AH293)</f>
        <v/>
      </c>
    </row>
    <row r="295" ht="8.25" customHeight="1" s="277">
      <c r="A295" s="354" t="n"/>
      <c r="B295" s="355" t="inlineStr">
        <is>
          <t>Proportion of Total Revenues</t>
        </is>
      </c>
      <c r="C295" s="356" t="n"/>
      <c r="D295" s="356" t="n"/>
      <c r="E295" s="356" t="n"/>
      <c r="F295" s="356">
        <f>IF(F$93&gt;0,+F294/F$93,0)</f>
        <v/>
      </c>
      <c r="G295" s="356">
        <f>IF(G$93&gt;0,+G294/G$93,0)</f>
        <v/>
      </c>
      <c r="H295" s="356">
        <f>IF(H$93&gt;0,+H294/H$93,0)</f>
        <v/>
      </c>
      <c r="I295" s="356">
        <f>IF(I$93&gt;0,+I294/I$93,0)</f>
        <v/>
      </c>
      <c r="J295" s="356">
        <f>IF(J$93&gt;0,+J294/J$93,0)</f>
        <v/>
      </c>
      <c r="K295" s="356">
        <f>IF(K$93&gt;0,+K294/K$93,0)</f>
        <v/>
      </c>
      <c r="L295" s="356">
        <f>IF(L$93&gt;0,+L294/L$93,0)</f>
        <v/>
      </c>
      <c r="M295" s="356">
        <f>IF(M$93&gt;0,+M294/M$93,0)</f>
        <v/>
      </c>
      <c r="N295" s="356">
        <f>IF(N$93&gt;0,+N294/N$93,0)</f>
        <v/>
      </c>
      <c r="O295" s="356">
        <f>IF(O$93&gt;0,+O294/O$93,0)</f>
        <v/>
      </c>
      <c r="P295" s="356">
        <f>IF(P$93&gt;0,+P294/P$93,0)</f>
        <v/>
      </c>
      <c r="Q295" s="356">
        <f>IF(Q$93&gt;0,+Q294/Q$93,0)</f>
        <v/>
      </c>
      <c r="R295" s="357">
        <f>IF(R$93&gt;0,+R294/R$93,0)</f>
        <v/>
      </c>
      <c r="S295" s="356">
        <f>IF(S$93&gt;0,+S294/S$93,0)</f>
        <v/>
      </c>
      <c r="T295" s="356">
        <f>IF(T$93&gt;0,+T294/T$93,0)</f>
        <v/>
      </c>
      <c r="U295" s="356">
        <f>IF(U$93&gt;0,+U294/U$93,0)</f>
        <v/>
      </c>
      <c r="V295" s="356">
        <f>IF(V$93&gt;0,+V294/V$93,0)</f>
        <v/>
      </c>
      <c r="W295" s="356">
        <f>IF(W$93&gt;0,+W294/W$93,0)</f>
        <v/>
      </c>
      <c r="X295" s="356">
        <f>IF(X$93&gt;0,+X294/X$93,0)</f>
        <v/>
      </c>
      <c r="Y295" s="356">
        <f>IF(Y$93&gt;0,+Y294/Y$93,0)</f>
        <v/>
      </c>
      <c r="Z295" s="356">
        <f>IF(Z$93&gt;0,+Z294/Z$93,0)</f>
        <v/>
      </c>
      <c r="AA295" s="356">
        <f>IF(AA$93&gt;0,+AA294/AA$93,0)</f>
        <v/>
      </c>
      <c r="AB295" s="356">
        <f>IF(AB$93&gt;0,+AB294/AB$93,0)</f>
        <v/>
      </c>
      <c r="AC295" s="356">
        <f>IF(AC$93&gt;0,+AC294/AC$93,0)</f>
        <v/>
      </c>
      <c r="AD295" s="356">
        <f>IF(AD$93&gt;0,+AD294/AD$93,0)</f>
        <v/>
      </c>
      <c r="AE295" s="357">
        <f>IF(AE$93&gt;0,+AE294/AE$93,0)</f>
        <v/>
      </c>
      <c r="AF295" s="357">
        <f>IF(AF$93&gt;0,+AF294/AF$93,0)</f>
        <v/>
      </c>
      <c r="AG295" s="357">
        <f>IF(AG$93&gt;0,+AG294/AG$93,0)</f>
        <v/>
      </c>
      <c r="AH295" s="357">
        <f>IF(AH$93&gt;0,+AH294/AH$93,0)</f>
        <v/>
      </c>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f>B283</f>
        <v/>
      </c>
      <c r="C300" s="348" t="n"/>
      <c r="D300" s="348" t="n"/>
      <c r="E300" s="348" t="n"/>
      <c r="F300" s="351" t="n">
        <v>0</v>
      </c>
      <c r="G300" s="351">
        <f>F300</f>
        <v/>
      </c>
      <c r="H300" s="351">
        <f>G300</f>
        <v/>
      </c>
      <c r="I300" s="351">
        <f>H300</f>
        <v/>
      </c>
      <c r="J300" s="351">
        <f>I300</f>
        <v/>
      </c>
      <c r="K300" s="351">
        <f>J300</f>
        <v/>
      </c>
      <c r="L300" s="351">
        <f>K300</f>
        <v/>
      </c>
      <c r="M300" s="351">
        <f>L300</f>
        <v/>
      </c>
      <c r="N300" s="351">
        <f>M300</f>
        <v/>
      </c>
      <c r="O300" s="351">
        <f>N300</f>
        <v/>
      </c>
      <c r="P300" s="351">
        <f>O300</f>
        <v/>
      </c>
      <c r="Q300" s="351">
        <f>P300</f>
        <v/>
      </c>
      <c r="R300" s="352">
        <f>Q300</f>
        <v/>
      </c>
      <c r="S300" s="351">
        <f>R300</f>
        <v/>
      </c>
      <c r="T300" s="351">
        <f>S300</f>
        <v/>
      </c>
      <c r="U300" s="351">
        <f>T300</f>
        <v/>
      </c>
      <c r="V300" s="351">
        <f>U300</f>
        <v/>
      </c>
      <c r="W300" s="351">
        <f>V300</f>
        <v/>
      </c>
      <c r="X300" s="351">
        <f>W300</f>
        <v/>
      </c>
      <c r="Y300" s="351">
        <f>X300</f>
        <v/>
      </c>
      <c r="Z300" s="351">
        <f>Y300</f>
        <v/>
      </c>
      <c r="AA300" s="351">
        <f>Z300</f>
        <v/>
      </c>
      <c r="AB300" s="351">
        <f>AA300</f>
        <v/>
      </c>
      <c r="AC300" s="351">
        <f>AB300</f>
        <v/>
      </c>
      <c r="AD300" s="351">
        <f>AC300</f>
        <v/>
      </c>
      <c r="AE300" s="352">
        <f>AD300</f>
        <v/>
      </c>
      <c r="AF300" s="352">
        <f>AE300</f>
        <v/>
      </c>
      <c r="AG300" s="352">
        <f>AF300</f>
        <v/>
      </c>
      <c r="AH300" s="352">
        <f>AG300</f>
        <v/>
      </c>
    </row>
    <row r="301" ht="8.25" customFormat="1" customHeight="1" s="348">
      <c r="A301" s="349" t="n"/>
      <c r="B301" s="350">
        <f>B284</f>
        <v/>
      </c>
      <c r="C301" s="348" t="n"/>
      <c r="D301" s="348" t="n"/>
      <c r="E301" s="348" t="n"/>
      <c r="F301" s="351" t="n">
        <v>0</v>
      </c>
      <c r="G301" s="351">
        <f>F301</f>
        <v/>
      </c>
      <c r="H301" s="351">
        <f>G301</f>
        <v/>
      </c>
      <c r="I301" s="351">
        <f>H301</f>
        <v/>
      </c>
      <c r="J301" s="351">
        <f>I301</f>
        <v/>
      </c>
      <c r="K301" s="351">
        <f>J301</f>
        <v/>
      </c>
      <c r="L301" s="351">
        <f>K301</f>
        <v/>
      </c>
      <c r="M301" s="351">
        <f>L301</f>
        <v/>
      </c>
      <c r="N301" s="351">
        <f>M301</f>
        <v/>
      </c>
      <c r="O301" s="351">
        <f>N301</f>
        <v/>
      </c>
      <c r="P301" s="351">
        <f>O301</f>
        <v/>
      </c>
      <c r="Q301" s="351">
        <f>P301</f>
        <v/>
      </c>
      <c r="R301" s="352">
        <f>Q301</f>
        <v/>
      </c>
      <c r="S301" s="351">
        <f>R301</f>
        <v/>
      </c>
      <c r="T301" s="351">
        <f>S301</f>
        <v/>
      </c>
      <c r="U301" s="351">
        <f>T301</f>
        <v/>
      </c>
      <c r="V301" s="351">
        <f>U301</f>
        <v/>
      </c>
      <c r="W301" s="351">
        <f>V301</f>
        <v/>
      </c>
      <c r="X301" s="351">
        <f>W301</f>
        <v/>
      </c>
      <c r="Y301" s="351">
        <f>X301</f>
        <v/>
      </c>
      <c r="Z301" s="351">
        <f>Y301</f>
        <v/>
      </c>
      <c r="AA301" s="351">
        <f>Z301</f>
        <v/>
      </c>
      <c r="AB301" s="351">
        <f>AA301</f>
        <v/>
      </c>
      <c r="AC301" s="351">
        <f>AB301</f>
        <v/>
      </c>
      <c r="AD301" s="351">
        <f>AC301</f>
        <v/>
      </c>
      <c r="AE301" s="352">
        <f>AD301</f>
        <v/>
      </c>
      <c r="AF301" s="352">
        <f>AE301</f>
        <v/>
      </c>
      <c r="AG301" s="352">
        <f>AF301</f>
        <v/>
      </c>
      <c r="AH301" s="352">
        <f>AG301</f>
        <v/>
      </c>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f>B283</f>
        <v/>
      </c>
      <c r="C304" s="154" t="n"/>
      <c r="D304" s="154" t="n"/>
      <c r="E304" s="154" t="n"/>
      <c r="F304" s="154">
        <f>F300*F283</f>
        <v/>
      </c>
      <c r="G304" s="154">
        <f>G300*G283</f>
        <v/>
      </c>
      <c r="H304" s="154">
        <f>H300*H283</f>
        <v/>
      </c>
      <c r="I304" s="154">
        <f>I300*I283</f>
        <v/>
      </c>
      <c r="J304" s="154">
        <f>J300*J283</f>
        <v/>
      </c>
      <c r="K304" s="154">
        <f>K300*K283</f>
        <v/>
      </c>
      <c r="L304" s="154">
        <f>L300*L283</f>
        <v/>
      </c>
      <c r="M304" s="154">
        <f>M300*M283</f>
        <v/>
      </c>
      <c r="N304" s="154">
        <f>N300*N283</f>
        <v/>
      </c>
      <c r="O304" s="154">
        <f>O300*O283</f>
        <v/>
      </c>
      <c r="P304" s="154">
        <f>P300*P283</f>
        <v/>
      </c>
      <c r="Q304" s="154">
        <f>Q300*Q283</f>
        <v/>
      </c>
      <c r="R304" s="229">
        <f>SUM(F304:Q304)</f>
        <v/>
      </c>
      <c r="S304" s="154">
        <f>S300*S283</f>
        <v/>
      </c>
      <c r="T304" s="154">
        <f>T300*T283</f>
        <v/>
      </c>
      <c r="U304" s="154">
        <f>U300*U283</f>
        <v/>
      </c>
      <c r="V304" s="154">
        <f>V300*V283</f>
        <v/>
      </c>
      <c r="W304" s="154">
        <f>W300*W283</f>
        <v/>
      </c>
      <c r="X304" s="154">
        <f>X300*X283</f>
        <v/>
      </c>
      <c r="Y304" s="154">
        <f>Y300*Y283</f>
        <v/>
      </c>
      <c r="Z304" s="154">
        <f>Z300*Z283</f>
        <v/>
      </c>
      <c r="AA304" s="154">
        <f>AA300*AA283</f>
        <v/>
      </c>
      <c r="AB304" s="154">
        <f>AB300*AB283</f>
        <v/>
      </c>
      <c r="AC304" s="154">
        <f>AC300*AC283</f>
        <v/>
      </c>
      <c r="AD304" s="154">
        <f>AD300*AD283</f>
        <v/>
      </c>
      <c r="AE304" s="229">
        <f>SUM(S304:AD304)</f>
        <v/>
      </c>
      <c r="AF304" s="229">
        <f>AF300*AF283</f>
        <v/>
      </c>
      <c r="AG304" s="229">
        <f>AG300*AG283</f>
        <v/>
      </c>
      <c r="AH304" s="229">
        <f>AH300*AH283</f>
        <v/>
      </c>
    </row>
    <row r="305" ht="8.25" customHeight="1" s="277">
      <c r="A305" s="224" t="n"/>
      <c r="B305" s="225">
        <f>B284</f>
        <v/>
      </c>
      <c r="C305" s="154" t="n"/>
      <c r="D305" s="154" t="n"/>
      <c r="E305" s="154" t="n"/>
      <c r="F305" s="154">
        <f>F301*F284</f>
        <v/>
      </c>
      <c r="G305" s="154">
        <f>G301*G284</f>
        <v/>
      </c>
      <c r="H305" s="154">
        <f>H301*H284</f>
        <v/>
      </c>
      <c r="I305" s="154">
        <f>I301*I284</f>
        <v/>
      </c>
      <c r="J305" s="154">
        <f>J301*J284</f>
        <v/>
      </c>
      <c r="K305" s="154">
        <f>K301*K284</f>
        <v/>
      </c>
      <c r="L305" s="154">
        <f>L301*L284</f>
        <v/>
      </c>
      <c r="M305" s="154">
        <f>M301*M284</f>
        <v/>
      </c>
      <c r="N305" s="154">
        <f>N301*N284</f>
        <v/>
      </c>
      <c r="O305" s="154">
        <f>O301*O284</f>
        <v/>
      </c>
      <c r="P305" s="154">
        <f>P301*P284</f>
        <v/>
      </c>
      <c r="Q305" s="154">
        <f>Q301*Q284</f>
        <v/>
      </c>
      <c r="R305" s="229">
        <f>SUM(F305:Q305)</f>
        <v/>
      </c>
      <c r="S305" s="154">
        <f>S301*S284</f>
        <v/>
      </c>
      <c r="T305" s="154">
        <f>T301*T284</f>
        <v/>
      </c>
      <c r="U305" s="154">
        <f>U301*U284</f>
        <v/>
      </c>
      <c r="V305" s="154">
        <f>V301*V284</f>
        <v/>
      </c>
      <c r="W305" s="154">
        <f>W301*W284</f>
        <v/>
      </c>
      <c r="X305" s="154">
        <f>X301*X284</f>
        <v/>
      </c>
      <c r="Y305" s="154">
        <f>Y301*Y284</f>
        <v/>
      </c>
      <c r="Z305" s="154">
        <f>Z301*Z284</f>
        <v/>
      </c>
      <c r="AA305" s="154">
        <f>AA301*AA284</f>
        <v/>
      </c>
      <c r="AB305" s="154">
        <f>AB301*AB284</f>
        <v/>
      </c>
      <c r="AC305" s="154">
        <f>AC301*AC284</f>
        <v/>
      </c>
      <c r="AD305" s="154">
        <f>AD301*AD284</f>
        <v/>
      </c>
      <c r="AE305" s="229">
        <f>SUM(S305:AD305)</f>
        <v/>
      </c>
      <c r="AF305" s="229">
        <f>AF301*AF284</f>
        <v/>
      </c>
      <c r="AG305" s="229">
        <f>AG301*AG284</f>
        <v/>
      </c>
      <c r="AH305" s="229">
        <f>AH301*AH284</f>
        <v/>
      </c>
    </row>
    <row r="306" ht="8.25" customHeight="1" s="277">
      <c r="A306" s="139" t="inlineStr">
        <is>
          <t>Total Direct Materials</t>
        </is>
      </c>
      <c r="B306" s="156" t="n"/>
      <c r="C306" s="228" t="n"/>
      <c r="D306" s="228" t="n"/>
      <c r="E306" s="228" t="n"/>
      <c r="F306" s="228">
        <f>SUM(F304:F305)</f>
        <v/>
      </c>
      <c r="G306" s="228">
        <f>SUM(G304:G305)</f>
        <v/>
      </c>
      <c r="H306" s="228">
        <f>SUM(H304:H305)</f>
        <v/>
      </c>
      <c r="I306" s="228">
        <f>SUM(I304:I305)</f>
        <v/>
      </c>
      <c r="J306" s="228">
        <f>SUM(J304:J305)</f>
        <v/>
      </c>
      <c r="K306" s="228">
        <f>SUM(K304:K305)</f>
        <v/>
      </c>
      <c r="L306" s="228">
        <f>SUM(L304:L305)</f>
        <v/>
      </c>
      <c r="M306" s="228">
        <f>SUM(M304:M305)</f>
        <v/>
      </c>
      <c r="N306" s="228">
        <f>SUM(N304:N305)</f>
        <v/>
      </c>
      <c r="O306" s="228">
        <f>SUM(O304:O305)</f>
        <v/>
      </c>
      <c r="P306" s="228">
        <f>SUM(P304:P305)</f>
        <v/>
      </c>
      <c r="Q306" s="228">
        <f>SUM(Q304:Q305)</f>
        <v/>
      </c>
      <c r="R306" s="158">
        <f>SUM(F306:Q306)</f>
        <v/>
      </c>
      <c r="S306" s="228">
        <f>SUM(S304:S305)</f>
        <v/>
      </c>
      <c r="T306" s="228">
        <f>SUM(T304:T305)</f>
        <v/>
      </c>
      <c r="U306" s="228">
        <f>SUM(U304:U305)</f>
        <v/>
      </c>
      <c r="V306" s="228">
        <f>SUM(V304:V305)</f>
        <v/>
      </c>
      <c r="W306" s="228">
        <f>SUM(W304:W305)</f>
        <v/>
      </c>
      <c r="X306" s="228">
        <f>SUM(X304:X305)</f>
        <v/>
      </c>
      <c r="Y306" s="228">
        <f>SUM(Y304:Y305)</f>
        <v/>
      </c>
      <c r="Z306" s="228">
        <f>SUM(Z304:Z305)</f>
        <v/>
      </c>
      <c r="AA306" s="228">
        <f>SUM(AA304:AA305)</f>
        <v/>
      </c>
      <c r="AB306" s="228">
        <f>SUM(AB304:AB305)</f>
        <v/>
      </c>
      <c r="AC306" s="228">
        <f>SUM(AC304:AC305)</f>
        <v/>
      </c>
      <c r="AD306" s="228">
        <f>SUM(AD304:AD305)</f>
        <v/>
      </c>
      <c r="AE306" s="158">
        <f>SUM(S306:AD306)</f>
        <v/>
      </c>
      <c r="AF306" s="158">
        <f>SUM(AF304:AF305)</f>
        <v/>
      </c>
      <c r="AG306" s="158">
        <f>SUM(AG304:AG305)</f>
        <v/>
      </c>
      <c r="AH306" s="158">
        <f>SUM(AH304:AH305)</f>
        <v/>
      </c>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f>"Returns ("&amp;$C308*100&amp;"% of product revenue)"</f>
        <v/>
      </c>
      <c r="B308" s="225" t="n"/>
      <c r="C308" s="340">
        <f>Assumptions!I50</f>
        <v/>
      </c>
      <c r="D308" s="154" t="n"/>
      <c r="E308" s="154" t="n"/>
      <c r="F308" s="154">
        <f>$C308*F294</f>
        <v/>
      </c>
      <c r="G308" s="154">
        <f>$C308*G294</f>
        <v/>
      </c>
      <c r="H308" s="154">
        <f>$C308*H294</f>
        <v/>
      </c>
      <c r="I308" s="154">
        <f>$C308*I294</f>
        <v/>
      </c>
      <c r="J308" s="154">
        <f>$C308*J294</f>
        <v/>
      </c>
      <c r="K308" s="154">
        <f>$C308*K294</f>
        <v/>
      </c>
      <c r="L308" s="154">
        <f>$C308*L294</f>
        <v/>
      </c>
      <c r="M308" s="154">
        <f>$C308*M294</f>
        <v/>
      </c>
      <c r="N308" s="154">
        <f>$C308*N294</f>
        <v/>
      </c>
      <c r="O308" s="154">
        <f>$C308*O294</f>
        <v/>
      </c>
      <c r="P308" s="154">
        <f>$C308*P294</f>
        <v/>
      </c>
      <c r="Q308" s="154">
        <f>$C308*Q294</f>
        <v/>
      </c>
      <c r="R308" s="229">
        <f>SUM(F308:Q308)</f>
        <v/>
      </c>
      <c r="S308" s="154">
        <f>$C308*S294</f>
        <v/>
      </c>
      <c r="T308" s="154">
        <f>$C308*T294</f>
        <v/>
      </c>
      <c r="U308" s="154">
        <f>$C308*U294</f>
        <v/>
      </c>
      <c r="V308" s="154">
        <f>$C308*V294</f>
        <v/>
      </c>
      <c r="W308" s="154">
        <f>$C308*W294</f>
        <v/>
      </c>
      <c r="X308" s="154">
        <f>$C308*X294</f>
        <v/>
      </c>
      <c r="Y308" s="154">
        <f>$C308*Y294</f>
        <v/>
      </c>
      <c r="Z308" s="154">
        <f>$C308*Z294</f>
        <v/>
      </c>
      <c r="AA308" s="154">
        <f>$C308*AA294</f>
        <v/>
      </c>
      <c r="AB308" s="154">
        <f>$C308*AB294</f>
        <v/>
      </c>
      <c r="AC308" s="154">
        <f>$C308*AC294</f>
        <v/>
      </c>
      <c r="AD308" s="154">
        <f>$C308*AD294</f>
        <v/>
      </c>
      <c r="AE308" s="229">
        <f>SUM(S308:AD308)</f>
        <v/>
      </c>
      <c r="AF308" s="229">
        <f>$C308*AF294</f>
        <v/>
      </c>
      <c r="AG308" s="229">
        <f>$C308*AG294</f>
        <v/>
      </c>
      <c r="AH308" s="229">
        <f>$C308*AH294</f>
        <v/>
      </c>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f>F306+F308</f>
        <v/>
      </c>
      <c r="G310" s="228">
        <f>G306+G308</f>
        <v/>
      </c>
      <c r="H310" s="228">
        <f>H306+H308</f>
        <v/>
      </c>
      <c r="I310" s="228">
        <f>I306+I308</f>
        <v/>
      </c>
      <c r="J310" s="228">
        <f>J306+J308</f>
        <v/>
      </c>
      <c r="K310" s="228">
        <f>K306+K308</f>
        <v/>
      </c>
      <c r="L310" s="228">
        <f>L306+L308</f>
        <v/>
      </c>
      <c r="M310" s="228">
        <f>M306+M308</f>
        <v/>
      </c>
      <c r="N310" s="228">
        <f>N306+N308</f>
        <v/>
      </c>
      <c r="O310" s="228">
        <f>O306+O308</f>
        <v/>
      </c>
      <c r="P310" s="228">
        <f>P306+P308</f>
        <v/>
      </c>
      <c r="Q310" s="228">
        <f>Q306+Q308</f>
        <v/>
      </c>
      <c r="R310" s="158">
        <f>SUM(F310:Q310)</f>
        <v/>
      </c>
      <c r="S310" s="228">
        <f>S306+S308</f>
        <v/>
      </c>
      <c r="T310" s="228">
        <f>T306+T308</f>
        <v/>
      </c>
      <c r="U310" s="228">
        <f>U306+U308</f>
        <v/>
      </c>
      <c r="V310" s="228">
        <f>V306+V308</f>
        <v/>
      </c>
      <c r="W310" s="228">
        <f>W306+W308</f>
        <v/>
      </c>
      <c r="X310" s="228">
        <f>X306+X308</f>
        <v/>
      </c>
      <c r="Y310" s="228">
        <f>Y306+Y308</f>
        <v/>
      </c>
      <c r="Z310" s="228">
        <f>Z306+Z308</f>
        <v/>
      </c>
      <c r="AA310" s="228">
        <f>AA306+AA308</f>
        <v/>
      </c>
      <c r="AB310" s="228">
        <f>AB306+AB308</f>
        <v/>
      </c>
      <c r="AC310" s="228">
        <f>AC306+AC308</f>
        <v/>
      </c>
      <c r="AD310" s="228">
        <f>AD306+AD308</f>
        <v/>
      </c>
      <c r="AE310" s="158">
        <f>SUM(S310:AD310)</f>
        <v/>
      </c>
      <c r="AF310" s="158">
        <f>AF306+AF308</f>
        <v/>
      </c>
      <c r="AG310" s="158">
        <f>AG306+AG308</f>
        <v/>
      </c>
      <c r="AH310" s="158">
        <f>AH306+AH308</f>
        <v/>
      </c>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f>F294-F310</f>
        <v/>
      </c>
      <c r="G312" s="228">
        <f>G294-G310</f>
        <v/>
      </c>
      <c r="H312" s="228">
        <f>H294-H310</f>
        <v/>
      </c>
      <c r="I312" s="228">
        <f>I294-I310</f>
        <v/>
      </c>
      <c r="J312" s="228">
        <f>J294-J310</f>
        <v/>
      </c>
      <c r="K312" s="228">
        <f>K294-K310</f>
        <v/>
      </c>
      <c r="L312" s="228">
        <f>L294-L310</f>
        <v/>
      </c>
      <c r="M312" s="228">
        <f>M294-M310</f>
        <v/>
      </c>
      <c r="N312" s="228">
        <f>N294-N310</f>
        <v/>
      </c>
      <c r="O312" s="228">
        <f>O294-O310</f>
        <v/>
      </c>
      <c r="P312" s="228">
        <f>P294-P310</f>
        <v/>
      </c>
      <c r="Q312" s="228">
        <f>Q294-Q310</f>
        <v/>
      </c>
      <c r="R312" s="158">
        <f>SUM(F312:Q312)</f>
        <v/>
      </c>
      <c r="S312" s="228">
        <f>S294-S310</f>
        <v/>
      </c>
      <c r="T312" s="228">
        <f>T294-T310</f>
        <v/>
      </c>
      <c r="U312" s="228">
        <f>U294-U310</f>
        <v/>
      </c>
      <c r="V312" s="228">
        <f>V294-V310</f>
        <v/>
      </c>
      <c r="W312" s="228">
        <f>W294-W310</f>
        <v/>
      </c>
      <c r="X312" s="228">
        <f>X294-X310</f>
        <v/>
      </c>
      <c r="Y312" s="228">
        <f>Y294-Y310</f>
        <v/>
      </c>
      <c r="Z312" s="228">
        <f>Z294-Z310</f>
        <v/>
      </c>
      <c r="AA312" s="228">
        <f>AA294-AA310</f>
        <v/>
      </c>
      <c r="AB312" s="228">
        <f>AB294-AB310</f>
        <v/>
      </c>
      <c r="AC312" s="228">
        <f>AC294-AC310</f>
        <v/>
      </c>
      <c r="AD312" s="228">
        <f>AD294-AD310</f>
        <v/>
      </c>
      <c r="AE312" s="158">
        <f>SUM(S312:AD312)</f>
        <v/>
      </c>
      <c r="AF312" s="158">
        <f>AF294-AF310</f>
        <v/>
      </c>
      <c r="AG312" s="158">
        <f>AG294-AG310</f>
        <v/>
      </c>
      <c r="AH312" s="158">
        <f>AH294-AH310</f>
        <v/>
      </c>
    </row>
    <row r="313" ht="8.25" customHeight="1" s="277">
      <c r="A313" s="354" t="inlineStr">
        <is>
          <t>Gross Margin % of Sales</t>
        </is>
      </c>
      <c r="B313" s="355" t="n"/>
      <c r="C313" s="356" t="n"/>
      <c r="D313" s="356" t="n"/>
      <c r="E313" s="356" t="n"/>
      <c r="F313" s="356">
        <f>IF(F294&gt;0,+F312/F294,0)</f>
        <v/>
      </c>
      <c r="G313" s="356">
        <f>IF(G294&gt;0,+G312/G294,0)</f>
        <v/>
      </c>
      <c r="H313" s="356">
        <f>IF(H294&gt;0,+H312/H294,0)</f>
        <v/>
      </c>
      <c r="I313" s="356">
        <f>IF(I294&gt;0,+I312/I294,0)</f>
        <v/>
      </c>
      <c r="J313" s="356">
        <f>IF(J294&gt;0,+J312/J294,0)</f>
        <v/>
      </c>
      <c r="K313" s="356">
        <f>IF(K294&gt;0,+K312/K294,0)</f>
        <v/>
      </c>
      <c r="L313" s="356">
        <f>IF(L294&gt;0,+L312/L294,0)</f>
        <v/>
      </c>
      <c r="M313" s="356">
        <f>IF(M294&gt;0,+M312/M294,0)</f>
        <v/>
      </c>
      <c r="N313" s="356">
        <f>IF(N294&gt;0,+N312/N294,0)</f>
        <v/>
      </c>
      <c r="O313" s="356">
        <f>IF(O294&gt;0,+O312/O294,0)</f>
        <v/>
      </c>
      <c r="P313" s="356">
        <f>IF(P294&gt;0,+P312/P294,0)</f>
        <v/>
      </c>
      <c r="Q313" s="356">
        <f>IF(Q294&gt;0,+Q312/Q294,0)</f>
        <v/>
      </c>
      <c r="R313" s="357">
        <f>IF(R294&gt;0,+R312/R294,0)</f>
        <v/>
      </c>
      <c r="S313" s="356">
        <f>IF(S294&gt;0,+S312/S294,0)</f>
        <v/>
      </c>
      <c r="T313" s="356">
        <f>IF(T294&gt;0,+T312/T294,0)</f>
        <v/>
      </c>
      <c r="U313" s="356">
        <f>IF(U294&gt;0,+U312/U294,0)</f>
        <v/>
      </c>
      <c r="V313" s="356">
        <f>IF(V294&gt;0,+V312/V294,0)</f>
        <v/>
      </c>
      <c r="W313" s="356">
        <f>IF(W294&gt;0,+W312/W294,0)</f>
        <v/>
      </c>
      <c r="X313" s="356">
        <f>IF(X294&gt;0,+X312/X294,0)</f>
        <v/>
      </c>
      <c r="Y313" s="356">
        <f>IF(Y294&gt;0,+Y312/Y294,0)</f>
        <v/>
      </c>
      <c r="Z313" s="356">
        <f>IF(Z294&gt;0,+Z312/Z294,0)</f>
        <v/>
      </c>
      <c r="AA313" s="356">
        <f>IF(AA294&gt;0,+AA312/AA294,0)</f>
        <v/>
      </c>
      <c r="AB313" s="356">
        <f>IF(AB294&gt;0,+AB312/AB294,0)</f>
        <v/>
      </c>
      <c r="AC313" s="356">
        <f>IF(AC294&gt;0,+AC312/AC294,0)</f>
        <v/>
      </c>
      <c r="AD313" s="356">
        <f>IF(AD294&gt;0,+AD312/AD294,0)</f>
        <v/>
      </c>
      <c r="AE313" s="357">
        <f>IF(AE294&gt;0,+AE312/AE294,0)</f>
        <v/>
      </c>
      <c r="AF313" s="357">
        <f>IF(AF294&gt;0,+AF312/AF294,0)</f>
        <v/>
      </c>
      <c r="AG313" s="357">
        <f>IF(AG294&gt;0,+AG312/AG294,0)</f>
        <v/>
      </c>
      <c r="AH313" s="357">
        <f>IF(AH294&gt;0,+AH312/AH294,0)</f>
        <v/>
      </c>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f>$B$91</f>
        <v/>
      </c>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f>NOW()</f>
        <v/>
      </c>
      <c r="C318" s="228" t="n"/>
      <c r="D318" s="228" t="n"/>
      <c r="E318" s="228" t="n"/>
      <c r="F318" s="142">
        <f>F$7</f>
        <v/>
      </c>
      <c r="G318" s="142">
        <f>G$7</f>
        <v/>
      </c>
      <c r="H318" s="142">
        <f>H$7</f>
        <v/>
      </c>
      <c r="I318" s="142">
        <f>I$7</f>
        <v/>
      </c>
      <c r="J318" s="142">
        <f>J$7</f>
        <v/>
      </c>
      <c r="K318" s="142">
        <f>K$7</f>
        <v/>
      </c>
      <c r="L318" s="142">
        <f>L$7</f>
        <v/>
      </c>
      <c r="M318" s="142">
        <f>M$7</f>
        <v/>
      </c>
      <c r="N318" s="142">
        <f>N$7</f>
        <v/>
      </c>
      <c r="O318" s="142">
        <f>O$7</f>
        <v/>
      </c>
      <c r="P318" s="142">
        <f>P$7</f>
        <v/>
      </c>
      <c r="Q318" s="142">
        <f>Q$7</f>
        <v/>
      </c>
      <c r="R318" s="143" t="inlineStr">
        <is>
          <t>Total</t>
        </is>
      </c>
      <c r="S318" s="142">
        <f>S$7</f>
        <v/>
      </c>
      <c r="T318" s="142">
        <f>T$7</f>
        <v/>
      </c>
      <c r="U318" s="142">
        <f>U$7</f>
        <v/>
      </c>
      <c r="V318" s="142">
        <f>V$7</f>
        <v/>
      </c>
      <c r="W318" s="142">
        <f>W$7</f>
        <v/>
      </c>
      <c r="X318" s="142">
        <f>X$7</f>
        <v/>
      </c>
      <c r="Y318" s="142">
        <f>Y$7</f>
        <v/>
      </c>
      <c r="Z318" s="142">
        <f>Z$7</f>
        <v/>
      </c>
      <c r="AA318" s="142">
        <f>AA$7</f>
        <v/>
      </c>
      <c r="AB318" s="142">
        <f>AB$7</f>
        <v/>
      </c>
      <c r="AC318" s="142">
        <f>AC$7</f>
        <v/>
      </c>
      <c r="AD318" s="142">
        <f>AD$7</f>
        <v/>
      </c>
      <c r="AE318" s="143" t="inlineStr">
        <is>
          <t>Total</t>
        </is>
      </c>
      <c r="AF318" s="143">
        <f>AF$7</f>
        <v/>
      </c>
      <c r="AG318" s="143">
        <f>AG$7</f>
        <v/>
      </c>
      <c r="AH318" s="143">
        <f>AH$7</f>
        <v/>
      </c>
    </row>
    <row r="319" ht="8.25" customHeight="1" s="277">
      <c r="A319" s="328" t="n"/>
      <c r="B319" s="329">
        <f>NOW()</f>
        <v/>
      </c>
      <c r="C319" s="330" t="n"/>
      <c r="D319" s="330" t="n"/>
      <c r="E319" s="330" t="n"/>
      <c r="F319" s="324">
        <f>F$1</f>
        <v/>
      </c>
      <c r="G319" s="324">
        <f>G$1</f>
        <v/>
      </c>
      <c r="H319" s="324">
        <f>H$1</f>
        <v/>
      </c>
      <c r="I319" s="324">
        <f>I$1</f>
        <v/>
      </c>
      <c r="J319" s="324">
        <f>J$1</f>
        <v/>
      </c>
      <c r="K319" s="324">
        <f>K$1</f>
        <v/>
      </c>
      <c r="L319" s="324">
        <f>L$1</f>
        <v/>
      </c>
      <c r="M319" s="324">
        <f>M$1</f>
        <v/>
      </c>
      <c r="N319" s="324">
        <f>N$1</f>
        <v/>
      </c>
      <c r="O319" s="324">
        <f>O$1</f>
        <v/>
      </c>
      <c r="P319" s="324">
        <f>P$1</f>
        <v/>
      </c>
      <c r="Q319" s="324">
        <f>Q$1</f>
        <v/>
      </c>
      <c r="R319" s="325">
        <f>R$1</f>
        <v/>
      </c>
      <c r="S319" s="324">
        <f>S$1</f>
        <v/>
      </c>
      <c r="T319" s="324">
        <f>T$1</f>
        <v/>
      </c>
      <c r="U319" s="324">
        <f>U$1</f>
        <v/>
      </c>
      <c r="V319" s="324">
        <f>V$1</f>
        <v/>
      </c>
      <c r="W319" s="324">
        <f>W$1</f>
        <v/>
      </c>
      <c r="X319" s="324">
        <f>X$1</f>
        <v/>
      </c>
      <c r="Y319" s="324">
        <f>Y$1</f>
        <v/>
      </c>
      <c r="Z319" s="324">
        <f>Z$1</f>
        <v/>
      </c>
      <c r="AA319" s="324">
        <f>AA$1</f>
        <v/>
      </c>
      <c r="AB319" s="324">
        <f>AB$1</f>
        <v/>
      </c>
      <c r="AC319" s="324">
        <f>AC$1</f>
        <v/>
      </c>
      <c r="AD319" s="324">
        <f>AD$1</f>
        <v/>
      </c>
      <c r="AE319" s="325">
        <f>AE$1</f>
        <v/>
      </c>
      <c r="AF319" s="325">
        <f>AF$1</f>
        <v/>
      </c>
      <c r="AG319" s="325">
        <f>AG$1</f>
        <v/>
      </c>
      <c r="AH319" s="325">
        <f>AH$1</f>
        <v/>
      </c>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f>F322</f>
        <v/>
      </c>
      <c r="H322" s="171">
        <f>G322</f>
        <v/>
      </c>
      <c r="I322" s="171">
        <f>H322</f>
        <v/>
      </c>
      <c r="J322" s="171">
        <f>I322</f>
        <v/>
      </c>
      <c r="K322" s="171">
        <f>J322</f>
        <v/>
      </c>
      <c r="L322" s="171">
        <f>K322</f>
        <v/>
      </c>
      <c r="M322" s="171">
        <f>L322</f>
        <v/>
      </c>
      <c r="N322" s="171">
        <f>M322</f>
        <v/>
      </c>
      <c r="O322" s="171">
        <f>N322</f>
        <v/>
      </c>
      <c r="P322" s="171">
        <f>O322</f>
        <v/>
      </c>
      <c r="Q322" s="171">
        <f>P322</f>
        <v/>
      </c>
      <c r="R322" s="172">
        <f>SUM(F322:Q322)</f>
        <v/>
      </c>
      <c r="S322" s="171">
        <f>Q322</f>
        <v/>
      </c>
      <c r="T322" s="171">
        <f>S322</f>
        <v/>
      </c>
      <c r="U322" s="171">
        <f>T322</f>
        <v/>
      </c>
      <c r="V322" s="171">
        <f>U322</f>
        <v/>
      </c>
      <c r="W322" s="171">
        <f>V322</f>
        <v/>
      </c>
      <c r="X322" s="171">
        <f>W322</f>
        <v/>
      </c>
      <c r="Y322" s="171">
        <f>X322</f>
        <v/>
      </c>
      <c r="Z322" s="171">
        <f>Y322</f>
        <v/>
      </c>
      <c r="AA322" s="171">
        <f>Z322</f>
        <v/>
      </c>
      <c r="AB322" s="171">
        <f>AA322</f>
        <v/>
      </c>
      <c r="AC322" s="171">
        <f>AB322</f>
        <v/>
      </c>
      <c r="AD322" s="171">
        <f>AC322</f>
        <v/>
      </c>
      <c r="AE322" s="172">
        <f>SUM(S322:AD322)</f>
        <v/>
      </c>
      <c r="AF322" s="172">
        <f>AE322</f>
        <v/>
      </c>
      <c r="AG322" s="172">
        <f>AF322</f>
        <v/>
      </c>
      <c r="AH322" s="172">
        <f>AG322</f>
        <v/>
      </c>
    </row>
    <row r="323" ht="8.25" customHeight="1" s="277">
      <c r="A323" s="224" t="n"/>
      <c r="B323" s="191" t="inlineStr">
        <is>
          <t>s.k.u. 2</t>
        </is>
      </c>
      <c r="C323" s="154" t="n"/>
      <c r="D323" s="154" t="n"/>
      <c r="E323" s="154" t="n"/>
      <c r="F323" s="171" t="n">
        <v>0</v>
      </c>
      <c r="G323" s="171">
        <f>F323</f>
        <v/>
      </c>
      <c r="H323" s="171">
        <f>G323</f>
        <v/>
      </c>
      <c r="I323" s="171">
        <f>H323</f>
        <v/>
      </c>
      <c r="J323" s="171">
        <f>I323</f>
        <v/>
      </c>
      <c r="K323" s="171">
        <f>J323</f>
        <v/>
      </c>
      <c r="L323" s="171">
        <f>K323</f>
        <v/>
      </c>
      <c r="M323" s="171">
        <f>L323</f>
        <v/>
      </c>
      <c r="N323" s="171">
        <f>M323</f>
        <v/>
      </c>
      <c r="O323" s="171">
        <f>N323</f>
        <v/>
      </c>
      <c r="P323" s="171">
        <f>O323</f>
        <v/>
      </c>
      <c r="Q323" s="171">
        <f>P323</f>
        <v/>
      </c>
      <c r="R323" s="172">
        <f>SUM(F323:Q323)</f>
        <v/>
      </c>
      <c r="S323" s="171">
        <f>Q323</f>
        <v/>
      </c>
      <c r="T323" s="171">
        <f>S323</f>
        <v/>
      </c>
      <c r="U323" s="171">
        <f>T323</f>
        <v/>
      </c>
      <c r="V323" s="171">
        <f>U323</f>
        <v/>
      </c>
      <c r="W323" s="171">
        <f>V323</f>
        <v/>
      </c>
      <c r="X323" s="171">
        <f>W323</f>
        <v/>
      </c>
      <c r="Y323" s="171">
        <f>X323</f>
        <v/>
      </c>
      <c r="Z323" s="171">
        <f>Y323</f>
        <v/>
      </c>
      <c r="AA323" s="171">
        <f>Z323</f>
        <v/>
      </c>
      <c r="AB323" s="171">
        <f>AA323</f>
        <v/>
      </c>
      <c r="AC323" s="171">
        <f>AB323</f>
        <v/>
      </c>
      <c r="AD323" s="171">
        <f>AC323</f>
        <v/>
      </c>
      <c r="AE323" s="172">
        <f>SUM(S323:AD323)</f>
        <v/>
      </c>
      <c r="AF323" s="172">
        <f>AE323</f>
        <v/>
      </c>
      <c r="AG323" s="172">
        <f>AF323</f>
        <v/>
      </c>
      <c r="AH323" s="172">
        <f>AG323</f>
        <v/>
      </c>
    </row>
    <row r="324" ht="8.25" customHeight="1" s="277">
      <c r="A324" s="139" t="inlineStr">
        <is>
          <t>Total Units</t>
        </is>
      </c>
      <c r="B324" s="156" t="n"/>
      <c r="C324" s="228" t="n"/>
      <c r="D324" s="228" t="n"/>
      <c r="E324" s="228" t="n"/>
      <c r="F324" s="228">
        <f>SUM(F322:F323)</f>
        <v/>
      </c>
      <c r="G324" s="228">
        <f>SUM(G322:G323)</f>
        <v/>
      </c>
      <c r="H324" s="228">
        <f>SUM(H322:H323)</f>
        <v/>
      </c>
      <c r="I324" s="228">
        <f>SUM(I322:I323)</f>
        <v/>
      </c>
      <c r="J324" s="228">
        <f>SUM(J322:J323)</f>
        <v/>
      </c>
      <c r="K324" s="228">
        <f>SUM(K322:K323)</f>
        <v/>
      </c>
      <c r="L324" s="228">
        <f>SUM(L322:L323)</f>
        <v/>
      </c>
      <c r="M324" s="228">
        <f>SUM(M322:M323)</f>
        <v/>
      </c>
      <c r="N324" s="228">
        <f>SUM(N322:N323)</f>
        <v/>
      </c>
      <c r="O324" s="228">
        <f>SUM(O322:O323)</f>
        <v/>
      </c>
      <c r="P324" s="228">
        <f>SUM(P322:P323)</f>
        <v/>
      </c>
      <c r="Q324" s="228">
        <f>SUM(Q322:Q323)</f>
        <v/>
      </c>
      <c r="R324" s="158">
        <f>SUM(F324:Q324)</f>
        <v/>
      </c>
      <c r="S324" s="228">
        <f>SUM(S322:S323)</f>
        <v/>
      </c>
      <c r="T324" s="228">
        <f>SUM(T322:T323)</f>
        <v/>
      </c>
      <c r="U324" s="228">
        <f>SUM(U322:U323)</f>
        <v/>
      </c>
      <c r="V324" s="228">
        <f>SUM(V322:V323)</f>
        <v/>
      </c>
      <c r="W324" s="228">
        <f>SUM(W322:W323)</f>
        <v/>
      </c>
      <c r="X324" s="228">
        <f>SUM(X322:X323)</f>
        <v/>
      </c>
      <c r="Y324" s="228">
        <f>SUM(Y322:Y323)</f>
        <v/>
      </c>
      <c r="Z324" s="228">
        <f>SUM(Z322:Z323)</f>
        <v/>
      </c>
      <c r="AA324" s="228">
        <f>SUM(AA322:AA323)</f>
        <v/>
      </c>
      <c r="AB324" s="228">
        <f>SUM(AB322:AB323)</f>
        <v/>
      </c>
      <c r="AC324" s="228">
        <f>SUM(AC322:AC323)</f>
        <v/>
      </c>
      <c r="AD324" s="228">
        <f>SUM(AD322:AD323)</f>
        <v/>
      </c>
      <c r="AE324" s="158">
        <f>SUM(S324:AD324)</f>
        <v/>
      </c>
      <c r="AF324" s="158">
        <f>SUM(AF322:AF323)</f>
        <v/>
      </c>
      <c r="AG324" s="158">
        <f>SUM(AG322:AG323)</f>
        <v/>
      </c>
      <c r="AH324" s="158">
        <f>SUM(AH322:AH323)</f>
        <v/>
      </c>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f>B322</f>
        <v/>
      </c>
      <c r="C327" s="348" t="n"/>
      <c r="D327" s="348" t="n"/>
      <c r="E327" s="348" t="n"/>
      <c r="F327" s="351" t="n">
        <v>0</v>
      </c>
      <c r="G327" s="351">
        <f>F327</f>
        <v/>
      </c>
      <c r="H327" s="351">
        <f>G327</f>
        <v/>
      </c>
      <c r="I327" s="351">
        <f>H327</f>
        <v/>
      </c>
      <c r="J327" s="351">
        <f>I327</f>
        <v/>
      </c>
      <c r="K327" s="351">
        <f>J327</f>
        <v/>
      </c>
      <c r="L327" s="351">
        <f>K327</f>
        <v/>
      </c>
      <c r="M327" s="351">
        <f>L327</f>
        <v/>
      </c>
      <c r="N327" s="351">
        <f>M327</f>
        <v/>
      </c>
      <c r="O327" s="351">
        <f>N327</f>
        <v/>
      </c>
      <c r="P327" s="351">
        <f>O327</f>
        <v/>
      </c>
      <c r="Q327" s="351">
        <f>P327</f>
        <v/>
      </c>
      <c r="R327" s="352">
        <f>Q327</f>
        <v/>
      </c>
      <c r="S327" s="351">
        <f>R327</f>
        <v/>
      </c>
      <c r="T327" s="351">
        <f>S327</f>
        <v/>
      </c>
      <c r="U327" s="351">
        <f>T327</f>
        <v/>
      </c>
      <c r="V327" s="351">
        <f>U327</f>
        <v/>
      </c>
      <c r="W327" s="351">
        <f>V327</f>
        <v/>
      </c>
      <c r="X327" s="351">
        <f>W327</f>
        <v/>
      </c>
      <c r="Y327" s="351">
        <f>X327</f>
        <v/>
      </c>
      <c r="Z327" s="351">
        <f>Y327</f>
        <v/>
      </c>
      <c r="AA327" s="351">
        <f>Z327</f>
        <v/>
      </c>
      <c r="AB327" s="351">
        <f>AA327</f>
        <v/>
      </c>
      <c r="AC327" s="351">
        <f>AB327</f>
        <v/>
      </c>
      <c r="AD327" s="351">
        <f>AC327</f>
        <v/>
      </c>
      <c r="AE327" s="352">
        <f>AD327</f>
        <v/>
      </c>
      <c r="AF327" s="352">
        <f>AE327</f>
        <v/>
      </c>
      <c r="AG327" s="352">
        <f>AF327</f>
        <v/>
      </c>
      <c r="AH327" s="352">
        <f>AG327</f>
        <v/>
      </c>
    </row>
    <row r="328" ht="8.25" customFormat="1" customHeight="1" s="348">
      <c r="A328" s="349" t="n"/>
      <c r="B328" s="350">
        <f>B323</f>
        <v/>
      </c>
      <c r="C328" s="348" t="n"/>
      <c r="D328" s="348" t="n"/>
      <c r="E328" s="348" t="n"/>
      <c r="F328" s="351" t="n">
        <v>0</v>
      </c>
      <c r="G328" s="351">
        <f>F328</f>
        <v/>
      </c>
      <c r="H328" s="351">
        <f>G328</f>
        <v/>
      </c>
      <c r="I328" s="351">
        <f>H328</f>
        <v/>
      </c>
      <c r="J328" s="351">
        <f>I328</f>
        <v/>
      </c>
      <c r="K328" s="351">
        <f>J328</f>
        <v/>
      </c>
      <c r="L328" s="351">
        <f>K328</f>
        <v/>
      </c>
      <c r="M328" s="351">
        <f>L328</f>
        <v/>
      </c>
      <c r="N328" s="351">
        <f>M328</f>
        <v/>
      </c>
      <c r="O328" s="351">
        <f>N328</f>
        <v/>
      </c>
      <c r="P328" s="351">
        <f>O328</f>
        <v/>
      </c>
      <c r="Q328" s="351">
        <f>P328</f>
        <v/>
      </c>
      <c r="R328" s="352">
        <f>Q328</f>
        <v/>
      </c>
      <c r="S328" s="351">
        <f>R328</f>
        <v/>
      </c>
      <c r="T328" s="351">
        <f>S328</f>
        <v/>
      </c>
      <c r="U328" s="351">
        <f>T328</f>
        <v/>
      </c>
      <c r="V328" s="351">
        <f>U328</f>
        <v/>
      </c>
      <c r="W328" s="351">
        <f>V328</f>
        <v/>
      </c>
      <c r="X328" s="351">
        <f>W328</f>
        <v/>
      </c>
      <c r="Y328" s="351">
        <f>X328</f>
        <v/>
      </c>
      <c r="Z328" s="351">
        <f>Y328</f>
        <v/>
      </c>
      <c r="AA328" s="351">
        <f>Z328</f>
        <v/>
      </c>
      <c r="AB328" s="351">
        <f>AA328</f>
        <v/>
      </c>
      <c r="AC328" s="351">
        <f>AB328</f>
        <v/>
      </c>
      <c r="AD328" s="351">
        <f>AC328</f>
        <v/>
      </c>
      <c r="AE328" s="352">
        <f>AD328</f>
        <v/>
      </c>
      <c r="AF328" s="352">
        <f>AE328</f>
        <v/>
      </c>
      <c r="AG328" s="352">
        <f>AF328</f>
        <v/>
      </c>
      <c r="AH328" s="352">
        <f>AG328</f>
        <v/>
      </c>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f>B322</f>
        <v/>
      </c>
      <c r="C331" s="154" t="n"/>
      <c r="D331" s="154" t="n"/>
      <c r="E331" s="154" t="n"/>
      <c r="F331" s="154">
        <f>F322*F327</f>
        <v/>
      </c>
      <c r="G331" s="154">
        <f>G322*G327</f>
        <v/>
      </c>
      <c r="H331" s="154">
        <f>H322*H327</f>
        <v/>
      </c>
      <c r="I331" s="154">
        <f>I322*I327</f>
        <v/>
      </c>
      <c r="J331" s="154">
        <f>J322*J327</f>
        <v/>
      </c>
      <c r="K331" s="154">
        <f>K322*K327</f>
        <v/>
      </c>
      <c r="L331" s="154">
        <f>L322*L327</f>
        <v/>
      </c>
      <c r="M331" s="154">
        <f>M322*M327</f>
        <v/>
      </c>
      <c r="N331" s="154">
        <f>N322*N327</f>
        <v/>
      </c>
      <c r="O331" s="154">
        <f>O322*O327</f>
        <v/>
      </c>
      <c r="P331" s="154">
        <f>P322*P327</f>
        <v/>
      </c>
      <c r="Q331" s="154">
        <f>Q322*Q327</f>
        <v/>
      </c>
      <c r="R331" s="229">
        <f>SUM(F331:Q331)</f>
        <v/>
      </c>
      <c r="S331" s="154">
        <f>S322*S327</f>
        <v/>
      </c>
      <c r="T331" s="154">
        <f>T322*T327</f>
        <v/>
      </c>
      <c r="U331" s="154">
        <f>U322*U327</f>
        <v/>
      </c>
      <c r="V331" s="154">
        <f>V322*V327</f>
        <v/>
      </c>
      <c r="W331" s="154">
        <f>W322*W327</f>
        <v/>
      </c>
      <c r="X331" s="154">
        <f>X322*X327</f>
        <v/>
      </c>
      <c r="Y331" s="154">
        <f>Y322*Y327</f>
        <v/>
      </c>
      <c r="Z331" s="154">
        <f>Z322*Z327</f>
        <v/>
      </c>
      <c r="AA331" s="154">
        <f>AA322*AA327</f>
        <v/>
      </c>
      <c r="AB331" s="154">
        <f>AB322*AB327</f>
        <v/>
      </c>
      <c r="AC331" s="154">
        <f>AC322*AC327</f>
        <v/>
      </c>
      <c r="AD331" s="154">
        <f>AD322*AD327</f>
        <v/>
      </c>
      <c r="AE331" s="229">
        <f>SUM(S331:AD331)</f>
        <v/>
      </c>
      <c r="AF331" s="229">
        <f>AF322*AF327</f>
        <v/>
      </c>
      <c r="AG331" s="229">
        <f>AG322*AG327</f>
        <v/>
      </c>
      <c r="AH331" s="229">
        <f>AH322*AH327</f>
        <v/>
      </c>
    </row>
    <row r="332" ht="8.25" customHeight="1" s="277">
      <c r="A332" s="224" t="n"/>
      <c r="B332" s="225">
        <f>B323</f>
        <v/>
      </c>
      <c r="C332" s="154" t="n"/>
      <c r="D332" s="154" t="n"/>
      <c r="E332" s="154" t="n"/>
      <c r="F332" s="154">
        <f>F323*F328</f>
        <v/>
      </c>
      <c r="G332" s="154">
        <f>G323*G328</f>
        <v/>
      </c>
      <c r="H332" s="154">
        <f>H323*H328</f>
        <v/>
      </c>
      <c r="I332" s="154">
        <f>I323*I328</f>
        <v/>
      </c>
      <c r="J332" s="154">
        <f>J323*J328</f>
        <v/>
      </c>
      <c r="K332" s="154">
        <f>K323*K328</f>
        <v/>
      </c>
      <c r="L332" s="154">
        <f>L323*L328</f>
        <v/>
      </c>
      <c r="M332" s="154">
        <f>M323*M328</f>
        <v/>
      </c>
      <c r="N332" s="154">
        <f>N323*N328</f>
        <v/>
      </c>
      <c r="O332" s="154">
        <f>O323*O328</f>
        <v/>
      </c>
      <c r="P332" s="154">
        <f>P323*P328</f>
        <v/>
      </c>
      <c r="Q332" s="154">
        <f>Q323*Q328</f>
        <v/>
      </c>
      <c r="R332" s="229">
        <f>SUM(F332:Q332)</f>
        <v/>
      </c>
      <c r="S332" s="154">
        <f>S323*S328</f>
        <v/>
      </c>
      <c r="T332" s="154">
        <f>T323*T328</f>
        <v/>
      </c>
      <c r="U332" s="154">
        <f>U323*U328</f>
        <v/>
      </c>
      <c r="V332" s="154">
        <f>V323*V328</f>
        <v/>
      </c>
      <c r="W332" s="154">
        <f>W323*W328</f>
        <v/>
      </c>
      <c r="X332" s="154">
        <f>X323*X328</f>
        <v/>
      </c>
      <c r="Y332" s="154">
        <f>Y323*Y328</f>
        <v/>
      </c>
      <c r="Z332" s="154">
        <f>Z323*Z328</f>
        <v/>
      </c>
      <c r="AA332" s="154">
        <f>AA323*AA328</f>
        <v/>
      </c>
      <c r="AB332" s="154">
        <f>AB323*AB328</f>
        <v/>
      </c>
      <c r="AC332" s="154">
        <f>AC323*AC328</f>
        <v/>
      </c>
      <c r="AD332" s="154">
        <f>AD323*AD328</f>
        <v/>
      </c>
      <c r="AE332" s="229">
        <f>SUM(S332:AD332)</f>
        <v/>
      </c>
      <c r="AF332" s="229">
        <f>AF323*AF328</f>
        <v/>
      </c>
      <c r="AG332" s="229">
        <f>AG323*AG328</f>
        <v/>
      </c>
      <c r="AH332" s="229">
        <f>AH323*AH328</f>
        <v/>
      </c>
    </row>
    <row r="333" ht="8.25" customHeight="1" s="277">
      <c r="A333" s="139" t="inlineStr">
        <is>
          <t>Total Revenue</t>
        </is>
      </c>
      <c r="B333" s="156" t="n"/>
      <c r="C333" s="228" t="n"/>
      <c r="D333" s="228" t="n"/>
      <c r="E333" s="228" t="n"/>
      <c r="F333" s="228">
        <f>SUM(F331:F332)</f>
        <v/>
      </c>
      <c r="G333" s="228">
        <f>SUM(G331:G332)</f>
        <v/>
      </c>
      <c r="H333" s="228">
        <f>SUM(H331:H332)</f>
        <v/>
      </c>
      <c r="I333" s="228">
        <f>SUM(I331:I332)</f>
        <v/>
      </c>
      <c r="J333" s="228">
        <f>SUM(J331:J332)</f>
        <v/>
      </c>
      <c r="K333" s="228">
        <f>SUM(K331:K332)</f>
        <v/>
      </c>
      <c r="L333" s="228">
        <f>SUM(L331:L332)</f>
        <v/>
      </c>
      <c r="M333" s="228">
        <f>SUM(M331:M332)</f>
        <v/>
      </c>
      <c r="N333" s="228">
        <f>SUM(N331:N332)</f>
        <v/>
      </c>
      <c r="O333" s="228">
        <f>SUM(O331:O332)</f>
        <v/>
      </c>
      <c r="P333" s="228">
        <f>SUM(P331:P332)</f>
        <v/>
      </c>
      <c r="Q333" s="228">
        <f>SUM(Q331:Q332)</f>
        <v/>
      </c>
      <c r="R333" s="158">
        <f>SUM(F333:Q333)</f>
        <v/>
      </c>
      <c r="S333" s="228">
        <f>SUM(S331:S332)</f>
        <v/>
      </c>
      <c r="T333" s="228">
        <f>SUM(T331:T332)</f>
        <v/>
      </c>
      <c r="U333" s="228">
        <f>SUM(U331:U332)</f>
        <v/>
      </c>
      <c r="V333" s="228">
        <f>SUM(V331:V332)</f>
        <v/>
      </c>
      <c r="W333" s="228">
        <f>SUM(W331:W332)</f>
        <v/>
      </c>
      <c r="X333" s="228">
        <f>SUM(X331:X332)</f>
        <v/>
      </c>
      <c r="Y333" s="228">
        <f>SUM(Y331:Y332)</f>
        <v/>
      </c>
      <c r="Z333" s="228">
        <f>SUM(Z331:Z332)</f>
        <v/>
      </c>
      <c r="AA333" s="228">
        <f>SUM(AA331:AA332)</f>
        <v/>
      </c>
      <c r="AB333" s="228">
        <f>SUM(AB331:AB332)</f>
        <v/>
      </c>
      <c r="AC333" s="228">
        <f>SUM(AC331:AC332)</f>
        <v/>
      </c>
      <c r="AD333" s="228">
        <f>SUM(AD331:AD332)</f>
        <v/>
      </c>
      <c r="AE333" s="158">
        <f>SUM(S333:AD333)</f>
        <v/>
      </c>
      <c r="AF333" s="158">
        <f>SUM(AF331:AF332)</f>
        <v/>
      </c>
      <c r="AG333" s="158">
        <f>SUM(AG331:AG332)</f>
        <v/>
      </c>
      <c r="AH333" s="158">
        <f>SUM(AH331:AH332)</f>
        <v/>
      </c>
    </row>
    <row r="334" ht="8.25" customHeight="1" s="277">
      <c r="A334" s="354" t="n"/>
      <c r="B334" s="355" t="inlineStr">
        <is>
          <t>Proportion of Total Revenues</t>
        </is>
      </c>
      <c r="C334" s="356" t="n"/>
      <c r="D334" s="356" t="n"/>
      <c r="E334" s="356" t="n"/>
      <c r="F334" s="356">
        <f>IF(F$93&gt;0,+F333/F$93,0)</f>
        <v/>
      </c>
      <c r="G334" s="356">
        <f>IF(G$93&gt;0,+G333/G$93,0)</f>
        <v/>
      </c>
      <c r="H334" s="356">
        <f>IF(H$93&gt;0,+H333/H$93,0)</f>
        <v/>
      </c>
      <c r="I334" s="356">
        <f>IF(I$93&gt;0,+I333/I$93,0)</f>
        <v/>
      </c>
      <c r="J334" s="356">
        <f>IF(J$93&gt;0,+J333/J$93,0)</f>
        <v/>
      </c>
      <c r="K334" s="356">
        <f>IF(K$93&gt;0,+K333/K$93,0)</f>
        <v/>
      </c>
      <c r="L334" s="356">
        <f>IF(L$93&gt;0,+L333/L$93,0)</f>
        <v/>
      </c>
      <c r="M334" s="356">
        <f>IF(M$93&gt;0,+M333/M$93,0)</f>
        <v/>
      </c>
      <c r="N334" s="356">
        <f>IF(N$93&gt;0,+N333/N$93,0)</f>
        <v/>
      </c>
      <c r="O334" s="356">
        <f>IF(O$93&gt;0,+O333/O$93,0)</f>
        <v/>
      </c>
      <c r="P334" s="356">
        <f>IF(P$93&gt;0,+P333/P$93,0)</f>
        <v/>
      </c>
      <c r="Q334" s="356">
        <f>IF(Q$93&gt;0,+Q333/Q$93,0)</f>
        <v/>
      </c>
      <c r="R334" s="357">
        <f>IF(R$93&gt;0,+R333/R$93,0)</f>
        <v/>
      </c>
      <c r="S334" s="356">
        <f>IF(S$93&gt;0,+S333/S$93,0)</f>
        <v/>
      </c>
      <c r="T334" s="356">
        <f>IF(T$93&gt;0,+T333/T$93,0)</f>
        <v/>
      </c>
      <c r="U334" s="356">
        <f>IF(U$93&gt;0,+U333/U$93,0)</f>
        <v/>
      </c>
      <c r="V334" s="356">
        <f>IF(V$93&gt;0,+V333/V$93,0)</f>
        <v/>
      </c>
      <c r="W334" s="356">
        <f>IF(W$93&gt;0,+W333/W$93,0)</f>
        <v/>
      </c>
      <c r="X334" s="356">
        <f>IF(X$93&gt;0,+X333/X$93,0)</f>
        <v/>
      </c>
      <c r="Y334" s="356">
        <f>IF(Y$93&gt;0,+Y333/Y$93,0)</f>
        <v/>
      </c>
      <c r="Z334" s="356">
        <f>IF(Z$93&gt;0,+Z333/Z$93,0)</f>
        <v/>
      </c>
      <c r="AA334" s="356">
        <f>IF(AA$93&gt;0,+AA333/AA$93,0)</f>
        <v/>
      </c>
      <c r="AB334" s="356">
        <f>IF(AB$93&gt;0,+AB333/AB$93,0)</f>
        <v/>
      </c>
      <c r="AC334" s="356">
        <f>IF(AC$93&gt;0,+AC333/AC$93,0)</f>
        <v/>
      </c>
      <c r="AD334" s="356">
        <f>IF(AD$93&gt;0,+AD333/AD$93,0)</f>
        <v/>
      </c>
      <c r="AE334" s="357">
        <f>IF(AE$93&gt;0,+AE333/AE$93,0)</f>
        <v/>
      </c>
      <c r="AF334" s="357">
        <f>IF(AF$93&gt;0,+AF333/AF$93,0)</f>
        <v/>
      </c>
      <c r="AG334" s="357">
        <f>IF(AG$93&gt;0,+AG333/AG$93,0)</f>
        <v/>
      </c>
      <c r="AH334" s="357">
        <f>IF(AH$93&gt;0,+AH333/AH$93,0)</f>
        <v/>
      </c>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f>B322</f>
        <v/>
      </c>
      <c r="C339" s="348" t="n"/>
      <c r="D339" s="348" t="n"/>
      <c r="E339" s="348" t="n"/>
      <c r="F339" s="351" t="n">
        <v>0</v>
      </c>
      <c r="G339" s="351">
        <f>F339</f>
        <v/>
      </c>
      <c r="H339" s="351">
        <f>G339</f>
        <v/>
      </c>
      <c r="I339" s="351">
        <f>H339</f>
        <v/>
      </c>
      <c r="J339" s="351">
        <f>I339</f>
        <v/>
      </c>
      <c r="K339" s="351">
        <f>J339</f>
        <v/>
      </c>
      <c r="L339" s="351">
        <f>K339</f>
        <v/>
      </c>
      <c r="M339" s="351">
        <f>L339</f>
        <v/>
      </c>
      <c r="N339" s="351">
        <f>M339</f>
        <v/>
      </c>
      <c r="O339" s="351">
        <f>N339</f>
        <v/>
      </c>
      <c r="P339" s="351">
        <f>O339</f>
        <v/>
      </c>
      <c r="Q339" s="351">
        <f>P339</f>
        <v/>
      </c>
      <c r="R339" s="352">
        <f>Q339</f>
        <v/>
      </c>
      <c r="S339" s="351">
        <f>R339</f>
        <v/>
      </c>
      <c r="T339" s="351">
        <f>S339</f>
        <v/>
      </c>
      <c r="U339" s="351">
        <f>T339</f>
        <v/>
      </c>
      <c r="V339" s="351">
        <f>U339</f>
        <v/>
      </c>
      <c r="W339" s="351">
        <f>V339</f>
        <v/>
      </c>
      <c r="X339" s="351">
        <f>W339</f>
        <v/>
      </c>
      <c r="Y339" s="351">
        <f>X339</f>
        <v/>
      </c>
      <c r="Z339" s="351">
        <f>Y339</f>
        <v/>
      </c>
      <c r="AA339" s="351">
        <f>Z339</f>
        <v/>
      </c>
      <c r="AB339" s="351">
        <f>AA339</f>
        <v/>
      </c>
      <c r="AC339" s="351">
        <f>AB339</f>
        <v/>
      </c>
      <c r="AD339" s="351">
        <f>AC339</f>
        <v/>
      </c>
      <c r="AE339" s="352">
        <f>AD339</f>
        <v/>
      </c>
      <c r="AF339" s="352">
        <f>AE339</f>
        <v/>
      </c>
      <c r="AG339" s="352">
        <f>AF339</f>
        <v/>
      </c>
      <c r="AH339" s="352">
        <f>AG339</f>
        <v/>
      </c>
    </row>
    <row r="340" ht="8.25" customFormat="1" customHeight="1" s="348">
      <c r="A340" s="349" t="n"/>
      <c r="B340" s="350">
        <f>B323</f>
        <v/>
      </c>
      <c r="C340" s="348" t="n"/>
      <c r="D340" s="348" t="n"/>
      <c r="E340" s="348" t="n"/>
      <c r="F340" s="351" t="n">
        <v>0</v>
      </c>
      <c r="G340" s="351">
        <f>F340</f>
        <v/>
      </c>
      <c r="H340" s="351">
        <f>G340</f>
        <v/>
      </c>
      <c r="I340" s="351">
        <f>H340</f>
        <v/>
      </c>
      <c r="J340" s="351">
        <f>I340</f>
        <v/>
      </c>
      <c r="K340" s="351">
        <f>J340</f>
        <v/>
      </c>
      <c r="L340" s="351">
        <f>K340</f>
        <v/>
      </c>
      <c r="M340" s="351">
        <f>L340</f>
        <v/>
      </c>
      <c r="N340" s="351">
        <f>M340</f>
        <v/>
      </c>
      <c r="O340" s="351">
        <f>N340</f>
        <v/>
      </c>
      <c r="P340" s="351">
        <f>O340</f>
        <v/>
      </c>
      <c r="Q340" s="351">
        <f>P340</f>
        <v/>
      </c>
      <c r="R340" s="352">
        <f>Q340</f>
        <v/>
      </c>
      <c r="S340" s="351">
        <f>R340</f>
        <v/>
      </c>
      <c r="T340" s="351">
        <f>S340</f>
        <v/>
      </c>
      <c r="U340" s="351">
        <f>T340</f>
        <v/>
      </c>
      <c r="V340" s="351">
        <f>U340</f>
        <v/>
      </c>
      <c r="W340" s="351">
        <f>V340</f>
        <v/>
      </c>
      <c r="X340" s="351">
        <f>W340</f>
        <v/>
      </c>
      <c r="Y340" s="351">
        <f>X340</f>
        <v/>
      </c>
      <c r="Z340" s="351">
        <f>Y340</f>
        <v/>
      </c>
      <c r="AA340" s="351">
        <f>Z340</f>
        <v/>
      </c>
      <c r="AB340" s="351">
        <f>AA340</f>
        <v/>
      </c>
      <c r="AC340" s="351">
        <f>AB340</f>
        <v/>
      </c>
      <c r="AD340" s="351">
        <f>AC340</f>
        <v/>
      </c>
      <c r="AE340" s="352">
        <f>AD340</f>
        <v/>
      </c>
      <c r="AF340" s="352">
        <f>AE340</f>
        <v/>
      </c>
      <c r="AG340" s="352">
        <f>AF340</f>
        <v/>
      </c>
      <c r="AH340" s="352">
        <f>AG340</f>
        <v/>
      </c>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f>B322</f>
        <v/>
      </c>
      <c r="C343" s="154" t="n"/>
      <c r="D343" s="154" t="n"/>
      <c r="E343" s="154" t="n"/>
      <c r="F343" s="154">
        <f>F339*F322</f>
        <v/>
      </c>
      <c r="G343" s="154">
        <f>G339*G322</f>
        <v/>
      </c>
      <c r="H343" s="154">
        <f>H339*H322</f>
        <v/>
      </c>
      <c r="I343" s="154">
        <f>I339*I322</f>
        <v/>
      </c>
      <c r="J343" s="154">
        <f>J339*J322</f>
        <v/>
      </c>
      <c r="K343" s="154">
        <f>K339*K322</f>
        <v/>
      </c>
      <c r="L343" s="154">
        <f>L339*L322</f>
        <v/>
      </c>
      <c r="M343" s="154">
        <f>M339*M322</f>
        <v/>
      </c>
      <c r="N343" s="154">
        <f>N339*N322</f>
        <v/>
      </c>
      <c r="O343" s="154">
        <f>O339*O322</f>
        <v/>
      </c>
      <c r="P343" s="154">
        <f>P339*P322</f>
        <v/>
      </c>
      <c r="Q343" s="154">
        <f>Q339*Q322</f>
        <v/>
      </c>
      <c r="R343" s="229">
        <f>SUM(F343:Q343)</f>
        <v/>
      </c>
      <c r="S343" s="154">
        <f>S339*S322</f>
        <v/>
      </c>
      <c r="T343" s="154">
        <f>T339*T322</f>
        <v/>
      </c>
      <c r="U343" s="154">
        <f>U339*U322</f>
        <v/>
      </c>
      <c r="V343" s="154">
        <f>V339*V322</f>
        <v/>
      </c>
      <c r="W343" s="154">
        <f>W339*W322</f>
        <v/>
      </c>
      <c r="X343" s="154">
        <f>X339*X322</f>
        <v/>
      </c>
      <c r="Y343" s="154">
        <f>Y339*Y322</f>
        <v/>
      </c>
      <c r="Z343" s="154">
        <f>Z339*Z322</f>
        <v/>
      </c>
      <c r="AA343" s="154">
        <f>AA339*AA322</f>
        <v/>
      </c>
      <c r="AB343" s="154">
        <f>AB339*AB322</f>
        <v/>
      </c>
      <c r="AC343" s="154">
        <f>AC339*AC322</f>
        <v/>
      </c>
      <c r="AD343" s="154">
        <f>AD339*AD322</f>
        <v/>
      </c>
      <c r="AE343" s="229">
        <f>SUM(S343:AD343)</f>
        <v/>
      </c>
      <c r="AF343" s="229">
        <f>AF339*AF322</f>
        <v/>
      </c>
      <c r="AG343" s="229">
        <f>AG339*AG322</f>
        <v/>
      </c>
      <c r="AH343" s="229">
        <f>AH339*AH322</f>
        <v/>
      </c>
    </row>
    <row r="344" ht="8.25" customHeight="1" s="277">
      <c r="A344" s="224" t="n"/>
      <c r="B344" s="225">
        <f>B323</f>
        <v/>
      </c>
      <c r="C344" s="154" t="n"/>
      <c r="D344" s="154" t="n"/>
      <c r="E344" s="154" t="n"/>
      <c r="F344" s="154">
        <f>F340*F323</f>
        <v/>
      </c>
      <c r="G344" s="154">
        <f>G340*G323</f>
        <v/>
      </c>
      <c r="H344" s="154">
        <f>H340*H323</f>
        <v/>
      </c>
      <c r="I344" s="154">
        <f>I340*I323</f>
        <v/>
      </c>
      <c r="J344" s="154">
        <f>J340*J323</f>
        <v/>
      </c>
      <c r="K344" s="154">
        <f>K340*K323</f>
        <v/>
      </c>
      <c r="L344" s="154">
        <f>L340*L323</f>
        <v/>
      </c>
      <c r="M344" s="154">
        <f>M340*M323</f>
        <v/>
      </c>
      <c r="N344" s="154">
        <f>N340*N323</f>
        <v/>
      </c>
      <c r="O344" s="154">
        <f>O340*O323</f>
        <v/>
      </c>
      <c r="P344" s="154">
        <f>P340*P323</f>
        <v/>
      </c>
      <c r="Q344" s="154">
        <f>Q340*Q323</f>
        <v/>
      </c>
      <c r="R344" s="229">
        <f>SUM(F344:Q344)</f>
        <v/>
      </c>
      <c r="S344" s="154">
        <f>S340*S323</f>
        <v/>
      </c>
      <c r="T344" s="154">
        <f>T340*T323</f>
        <v/>
      </c>
      <c r="U344" s="154">
        <f>U340*U323</f>
        <v/>
      </c>
      <c r="V344" s="154">
        <f>V340*V323</f>
        <v/>
      </c>
      <c r="W344" s="154">
        <f>W340*W323</f>
        <v/>
      </c>
      <c r="X344" s="154">
        <f>X340*X323</f>
        <v/>
      </c>
      <c r="Y344" s="154">
        <f>Y340*Y323</f>
        <v/>
      </c>
      <c r="Z344" s="154">
        <f>Z340*Z323</f>
        <v/>
      </c>
      <c r="AA344" s="154">
        <f>AA340*AA323</f>
        <v/>
      </c>
      <c r="AB344" s="154">
        <f>AB340*AB323</f>
        <v/>
      </c>
      <c r="AC344" s="154">
        <f>AC340*AC323</f>
        <v/>
      </c>
      <c r="AD344" s="154">
        <f>AD340*AD323</f>
        <v/>
      </c>
      <c r="AE344" s="229">
        <f>SUM(S344:AD344)</f>
        <v/>
      </c>
      <c r="AF344" s="229">
        <f>AF340*AF323</f>
        <v/>
      </c>
      <c r="AG344" s="229">
        <f>AG340*AG323</f>
        <v/>
      </c>
      <c r="AH344" s="229">
        <f>AH340*AH323</f>
        <v/>
      </c>
    </row>
    <row r="345" ht="8.25" customHeight="1" s="277">
      <c r="A345" s="139" t="inlineStr">
        <is>
          <t>Total Direct Materials</t>
        </is>
      </c>
      <c r="B345" s="156" t="n"/>
      <c r="C345" s="228" t="n"/>
      <c r="D345" s="228" t="n"/>
      <c r="E345" s="228" t="n"/>
      <c r="F345" s="228">
        <f>SUM(F343:F344)</f>
        <v/>
      </c>
      <c r="G345" s="228">
        <f>SUM(G343:G344)</f>
        <v/>
      </c>
      <c r="H345" s="228">
        <f>SUM(H343:H344)</f>
        <v/>
      </c>
      <c r="I345" s="228">
        <f>SUM(I343:I344)</f>
        <v/>
      </c>
      <c r="J345" s="228">
        <f>SUM(J343:J344)</f>
        <v/>
      </c>
      <c r="K345" s="228">
        <f>SUM(K343:K344)</f>
        <v/>
      </c>
      <c r="L345" s="228">
        <f>SUM(L343:L344)</f>
        <v/>
      </c>
      <c r="M345" s="228">
        <f>SUM(M343:M344)</f>
        <v/>
      </c>
      <c r="N345" s="228">
        <f>SUM(N343:N344)</f>
        <v/>
      </c>
      <c r="O345" s="228">
        <f>SUM(O343:O344)</f>
        <v/>
      </c>
      <c r="P345" s="228">
        <f>SUM(P343:P344)</f>
        <v/>
      </c>
      <c r="Q345" s="228">
        <f>SUM(Q343:Q344)</f>
        <v/>
      </c>
      <c r="R345" s="158">
        <f>SUM(F345:Q345)</f>
        <v/>
      </c>
      <c r="S345" s="228">
        <f>SUM(S343:S344)</f>
        <v/>
      </c>
      <c r="T345" s="228">
        <f>SUM(T343:T344)</f>
        <v/>
      </c>
      <c r="U345" s="228">
        <f>SUM(U343:U344)</f>
        <v/>
      </c>
      <c r="V345" s="228">
        <f>SUM(V343:V344)</f>
        <v/>
      </c>
      <c r="W345" s="228">
        <f>SUM(W343:W344)</f>
        <v/>
      </c>
      <c r="X345" s="228">
        <f>SUM(X343:X344)</f>
        <v/>
      </c>
      <c r="Y345" s="228">
        <f>SUM(Y343:Y344)</f>
        <v/>
      </c>
      <c r="Z345" s="228">
        <f>SUM(Z343:Z344)</f>
        <v/>
      </c>
      <c r="AA345" s="228">
        <f>SUM(AA343:AA344)</f>
        <v/>
      </c>
      <c r="AB345" s="228">
        <f>SUM(AB343:AB344)</f>
        <v/>
      </c>
      <c r="AC345" s="228">
        <f>SUM(AC343:AC344)</f>
        <v/>
      </c>
      <c r="AD345" s="228">
        <f>SUM(AD343:AD344)</f>
        <v/>
      </c>
      <c r="AE345" s="158">
        <f>SUM(S345:AD345)</f>
        <v/>
      </c>
      <c r="AF345" s="158">
        <f>SUM(AF343:AF344)</f>
        <v/>
      </c>
      <c r="AG345" s="158">
        <f>SUM(AG343:AG344)</f>
        <v/>
      </c>
      <c r="AH345" s="158">
        <f>SUM(AH343:AH344)</f>
        <v/>
      </c>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f>"Returns ("&amp;$C347*100&amp;"% of product revenue)"</f>
        <v/>
      </c>
      <c r="B347" s="225" t="n"/>
      <c r="C347" s="340">
        <f>Assumptions!I51</f>
        <v/>
      </c>
      <c r="D347" s="154" t="n"/>
      <c r="E347" s="154" t="n"/>
      <c r="F347" s="154">
        <f>$C347*F333</f>
        <v/>
      </c>
      <c r="G347" s="154">
        <f>$C347*G333</f>
        <v/>
      </c>
      <c r="H347" s="154">
        <f>$C347*H333</f>
        <v/>
      </c>
      <c r="I347" s="154">
        <f>$C347*I333</f>
        <v/>
      </c>
      <c r="J347" s="154">
        <f>$C347*J333</f>
        <v/>
      </c>
      <c r="K347" s="154">
        <f>$C347*K333</f>
        <v/>
      </c>
      <c r="L347" s="154">
        <f>$C347*L333</f>
        <v/>
      </c>
      <c r="M347" s="154">
        <f>$C347*M333</f>
        <v/>
      </c>
      <c r="N347" s="154">
        <f>$C347*N333</f>
        <v/>
      </c>
      <c r="O347" s="154">
        <f>$C347*O333</f>
        <v/>
      </c>
      <c r="P347" s="154">
        <f>$C347*P333</f>
        <v/>
      </c>
      <c r="Q347" s="154">
        <f>$C347*Q333</f>
        <v/>
      </c>
      <c r="R347" s="229">
        <f>SUM(F347:Q347)</f>
        <v/>
      </c>
      <c r="S347" s="154">
        <f>$C347*S333</f>
        <v/>
      </c>
      <c r="T347" s="154">
        <f>$C347*T333</f>
        <v/>
      </c>
      <c r="U347" s="154">
        <f>$C347*U333</f>
        <v/>
      </c>
      <c r="V347" s="154">
        <f>$C347*V333</f>
        <v/>
      </c>
      <c r="W347" s="154">
        <f>$C347*W333</f>
        <v/>
      </c>
      <c r="X347" s="154">
        <f>$C347*X333</f>
        <v/>
      </c>
      <c r="Y347" s="154">
        <f>$C347*Y333</f>
        <v/>
      </c>
      <c r="Z347" s="154">
        <f>$C347*Z333</f>
        <v/>
      </c>
      <c r="AA347" s="154">
        <f>$C347*AA333</f>
        <v/>
      </c>
      <c r="AB347" s="154">
        <f>$C347*AB333</f>
        <v/>
      </c>
      <c r="AC347" s="154">
        <f>$C347*AC333</f>
        <v/>
      </c>
      <c r="AD347" s="154">
        <f>$C347*AD333</f>
        <v/>
      </c>
      <c r="AE347" s="229">
        <f>SUM(S347:AD347)</f>
        <v/>
      </c>
      <c r="AF347" s="229">
        <f>$C347*AF333</f>
        <v/>
      </c>
      <c r="AG347" s="229">
        <f>$C347*AG333</f>
        <v/>
      </c>
      <c r="AH347" s="229">
        <f>$C347*AH333</f>
        <v/>
      </c>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f>F345+F347</f>
        <v/>
      </c>
      <c r="G349" s="228">
        <f>G345+G347</f>
        <v/>
      </c>
      <c r="H349" s="228">
        <f>H345+H347</f>
        <v/>
      </c>
      <c r="I349" s="228">
        <f>I345+I347</f>
        <v/>
      </c>
      <c r="J349" s="228">
        <f>J345+J347</f>
        <v/>
      </c>
      <c r="K349" s="228">
        <f>K345+K347</f>
        <v/>
      </c>
      <c r="L349" s="228">
        <f>L345+L347</f>
        <v/>
      </c>
      <c r="M349" s="228">
        <f>M345+M347</f>
        <v/>
      </c>
      <c r="N349" s="228">
        <f>N345+N347</f>
        <v/>
      </c>
      <c r="O349" s="228">
        <f>O345+O347</f>
        <v/>
      </c>
      <c r="P349" s="228">
        <f>P345+P347</f>
        <v/>
      </c>
      <c r="Q349" s="228">
        <f>Q345+Q347</f>
        <v/>
      </c>
      <c r="R349" s="158">
        <f>SUM(F349:Q349)</f>
        <v/>
      </c>
      <c r="S349" s="228">
        <f>S345+S347</f>
        <v/>
      </c>
      <c r="T349" s="228">
        <f>T345+T347</f>
        <v/>
      </c>
      <c r="U349" s="228">
        <f>U345+U347</f>
        <v/>
      </c>
      <c r="V349" s="228">
        <f>V345+V347</f>
        <v/>
      </c>
      <c r="W349" s="228">
        <f>W345+W347</f>
        <v/>
      </c>
      <c r="X349" s="228">
        <f>X345+X347</f>
        <v/>
      </c>
      <c r="Y349" s="228">
        <f>Y345+Y347</f>
        <v/>
      </c>
      <c r="Z349" s="228">
        <f>Z345+Z347</f>
        <v/>
      </c>
      <c r="AA349" s="228">
        <f>AA345+AA347</f>
        <v/>
      </c>
      <c r="AB349" s="228">
        <f>AB345+AB347</f>
        <v/>
      </c>
      <c r="AC349" s="228">
        <f>AC345+AC347</f>
        <v/>
      </c>
      <c r="AD349" s="228">
        <f>AD345+AD347</f>
        <v/>
      </c>
      <c r="AE349" s="158">
        <f>SUM(S349:AD349)</f>
        <v/>
      </c>
      <c r="AF349" s="158">
        <f>AF345+AF347</f>
        <v/>
      </c>
      <c r="AG349" s="158">
        <f>AG345+AG347</f>
        <v/>
      </c>
      <c r="AH349" s="158">
        <f>AH345+AH347</f>
        <v/>
      </c>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f>F333-F349</f>
        <v/>
      </c>
      <c r="G351" s="228">
        <f>G333-G349</f>
        <v/>
      </c>
      <c r="H351" s="228">
        <f>H333-H349</f>
        <v/>
      </c>
      <c r="I351" s="228">
        <f>I333-I349</f>
        <v/>
      </c>
      <c r="J351" s="228">
        <f>J333-J349</f>
        <v/>
      </c>
      <c r="K351" s="228">
        <f>K333-K349</f>
        <v/>
      </c>
      <c r="L351" s="228">
        <f>L333-L349</f>
        <v/>
      </c>
      <c r="M351" s="228">
        <f>M333-M349</f>
        <v/>
      </c>
      <c r="N351" s="228">
        <f>N333-N349</f>
        <v/>
      </c>
      <c r="O351" s="228">
        <f>O333-O349</f>
        <v/>
      </c>
      <c r="P351" s="228">
        <f>P333-P349</f>
        <v/>
      </c>
      <c r="Q351" s="228">
        <f>Q333-Q349</f>
        <v/>
      </c>
      <c r="R351" s="158">
        <f>SUM(F351:Q351)</f>
        <v/>
      </c>
      <c r="S351" s="228">
        <f>S333-S349</f>
        <v/>
      </c>
      <c r="T351" s="228">
        <f>T333-T349</f>
        <v/>
      </c>
      <c r="U351" s="228">
        <f>U333-U349</f>
        <v/>
      </c>
      <c r="V351" s="228">
        <f>V333-V349</f>
        <v/>
      </c>
      <c r="W351" s="228">
        <f>W333-W349</f>
        <v/>
      </c>
      <c r="X351" s="228">
        <f>X333-X349</f>
        <v/>
      </c>
      <c r="Y351" s="228">
        <f>Y333-Y349</f>
        <v/>
      </c>
      <c r="Z351" s="228">
        <f>Z333-Z349</f>
        <v/>
      </c>
      <c r="AA351" s="228">
        <f>AA333-AA349</f>
        <v/>
      </c>
      <c r="AB351" s="228">
        <f>AB333-AB349</f>
        <v/>
      </c>
      <c r="AC351" s="228">
        <f>AC333-AC349</f>
        <v/>
      </c>
      <c r="AD351" s="228">
        <f>AD333-AD349</f>
        <v/>
      </c>
      <c r="AE351" s="158">
        <f>SUM(S351:AD351)</f>
        <v/>
      </c>
      <c r="AF351" s="158">
        <f>AF333-AF349</f>
        <v/>
      </c>
      <c r="AG351" s="158">
        <f>AG333-AG349</f>
        <v/>
      </c>
      <c r="AH351" s="158">
        <f>AH333-AH349</f>
        <v/>
      </c>
    </row>
    <row r="352" ht="8.25" customHeight="1" s="277">
      <c r="A352" s="354" t="inlineStr">
        <is>
          <t>Gross Margin % of Sales</t>
        </is>
      </c>
      <c r="B352" s="355" t="n"/>
      <c r="C352" s="356" t="n"/>
      <c r="D352" s="356" t="n"/>
      <c r="E352" s="356" t="n"/>
      <c r="F352" s="356">
        <f>IF(F333&gt;0,+F351/F333,0)</f>
        <v/>
      </c>
      <c r="G352" s="356">
        <f>IF(G333&gt;0,+G351/G333,0)</f>
        <v/>
      </c>
      <c r="H352" s="356">
        <f>IF(H333&gt;0,+H351/H333,0)</f>
        <v/>
      </c>
      <c r="I352" s="356">
        <f>IF(I333&gt;0,+I351/I333,0)</f>
        <v/>
      </c>
      <c r="J352" s="356">
        <f>IF(J333&gt;0,+J351/J333,0)</f>
        <v/>
      </c>
      <c r="K352" s="356">
        <f>IF(K333&gt;0,+K351/K333,0)</f>
        <v/>
      </c>
      <c r="L352" s="356">
        <f>IF(L333&gt;0,+L351/L333,0)</f>
        <v/>
      </c>
      <c r="M352" s="356">
        <f>IF(M333&gt;0,+M351/M333,0)</f>
        <v/>
      </c>
      <c r="N352" s="356">
        <f>IF(N333&gt;0,+N351/N333,0)</f>
        <v/>
      </c>
      <c r="O352" s="356">
        <f>IF(O333&gt;0,+O351/O333,0)</f>
        <v/>
      </c>
      <c r="P352" s="356">
        <f>IF(P333&gt;0,+P351/P333,0)</f>
        <v/>
      </c>
      <c r="Q352" s="356">
        <f>IF(Q333&gt;0,+Q351/Q333,0)</f>
        <v/>
      </c>
      <c r="R352" s="357">
        <f>IF(R333&gt;0,+R351/R333,0)</f>
        <v/>
      </c>
      <c r="S352" s="356">
        <f>IF(S333&gt;0,+S351/S333,0)</f>
        <v/>
      </c>
      <c r="T352" s="356">
        <f>IF(T333&gt;0,+T351/T333,0)</f>
        <v/>
      </c>
      <c r="U352" s="356">
        <f>IF(U333&gt;0,+U351/U333,0)</f>
        <v/>
      </c>
      <c r="V352" s="356">
        <f>IF(V333&gt;0,+V351/V333,0)</f>
        <v/>
      </c>
      <c r="W352" s="356">
        <f>IF(W333&gt;0,+W351/W333,0)</f>
        <v/>
      </c>
      <c r="X352" s="356">
        <f>IF(X333&gt;0,+X351/X333,0)</f>
        <v/>
      </c>
      <c r="Y352" s="356">
        <f>IF(Y333&gt;0,+Y351/Y333,0)</f>
        <v/>
      </c>
      <c r="Z352" s="356">
        <f>IF(Z333&gt;0,+Z351/Z333,0)</f>
        <v/>
      </c>
      <c r="AA352" s="356">
        <f>IF(AA333&gt;0,+AA351/AA333,0)</f>
        <v/>
      </c>
      <c r="AB352" s="356">
        <f>IF(AB333&gt;0,+AB351/AB333,0)</f>
        <v/>
      </c>
      <c r="AC352" s="356">
        <f>IF(AC333&gt;0,+AC351/AC333,0)</f>
        <v/>
      </c>
      <c r="AD352" s="356">
        <f>IF(AD333&gt;0,+AD351/AD333,0)</f>
        <v/>
      </c>
      <c r="AE352" s="357">
        <f>IF(AE333&gt;0,+AE351/AE333,0)</f>
        <v/>
      </c>
      <c r="AF352" s="357">
        <f>IF(AF333&gt;0,+AF351/AF333,0)</f>
        <v/>
      </c>
      <c r="AG352" s="357">
        <f>IF(AG333&gt;0,+AG351/AG333,0)</f>
        <v/>
      </c>
      <c r="AH352" s="357">
        <f>IF(AH333&gt;0,+AH351/AH333,0)</f>
        <v/>
      </c>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f>$B$92</f>
        <v/>
      </c>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f>NOW()</f>
        <v/>
      </c>
      <c r="C357" s="228" t="n"/>
      <c r="D357" s="228" t="n"/>
      <c r="E357" s="228" t="n"/>
      <c r="F357" s="142">
        <f>F$7</f>
        <v/>
      </c>
      <c r="G357" s="142">
        <f>G$7</f>
        <v/>
      </c>
      <c r="H357" s="142">
        <f>H$7</f>
        <v/>
      </c>
      <c r="I357" s="142">
        <f>I$7</f>
        <v/>
      </c>
      <c r="J357" s="142">
        <f>J$7</f>
        <v/>
      </c>
      <c r="K357" s="142">
        <f>K$7</f>
        <v/>
      </c>
      <c r="L357" s="142">
        <f>L$7</f>
        <v/>
      </c>
      <c r="M357" s="142">
        <f>M$7</f>
        <v/>
      </c>
      <c r="N357" s="142">
        <f>N$7</f>
        <v/>
      </c>
      <c r="O357" s="142">
        <f>O$7</f>
        <v/>
      </c>
      <c r="P357" s="142">
        <f>P$7</f>
        <v/>
      </c>
      <c r="Q357" s="142">
        <f>Q$7</f>
        <v/>
      </c>
      <c r="R357" s="143" t="inlineStr">
        <is>
          <t>Total</t>
        </is>
      </c>
      <c r="S357" s="142">
        <f>S$7</f>
        <v/>
      </c>
      <c r="T357" s="142">
        <f>T$7</f>
        <v/>
      </c>
      <c r="U357" s="142">
        <f>U$7</f>
        <v/>
      </c>
      <c r="V357" s="142">
        <f>V$7</f>
        <v/>
      </c>
      <c r="W357" s="142">
        <f>W$7</f>
        <v/>
      </c>
      <c r="X357" s="142">
        <f>X$7</f>
        <v/>
      </c>
      <c r="Y357" s="142">
        <f>Y$7</f>
        <v/>
      </c>
      <c r="Z357" s="142">
        <f>Z$7</f>
        <v/>
      </c>
      <c r="AA357" s="142">
        <f>AA$7</f>
        <v/>
      </c>
      <c r="AB357" s="142">
        <f>AB$7</f>
        <v/>
      </c>
      <c r="AC357" s="142">
        <f>AC$7</f>
        <v/>
      </c>
      <c r="AD357" s="142">
        <f>AD$7</f>
        <v/>
      </c>
      <c r="AE357" s="143" t="inlineStr">
        <is>
          <t>Total</t>
        </is>
      </c>
      <c r="AF357" s="143">
        <f>AF$7</f>
        <v/>
      </c>
      <c r="AG357" s="143">
        <f>AG$7</f>
        <v/>
      </c>
      <c r="AH357" s="143">
        <f>AH$7</f>
        <v/>
      </c>
    </row>
    <row r="358" ht="8.25" customHeight="1" s="277">
      <c r="A358" s="328" t="n"/>
      <c r="B358" s="329">
        <f>NOW()</f>
        <v/>
      </c>
      <c r="C358" s="330" t="n"/>
      <c r="D358" s="330" t="n"/>
      <c r="E358" s="330" t="n"/>
      <c r="F358" s="324">
        <f>F$1</f>
        <v/>
      </c>
      <c r="G358" s="324">
        <f>G$1</f>
        <v/>
      </c>
      <c r="H358" s="324">
        <f>H$1</f>
        <v/>
      </c>
      <c r="I358" s="324">
        <f>I$1</f>
        <v/>
      </c>
      <c r="J358" s="324">
        <f>J$1</f>
        <v/>
      </c>
      <c r="K358" s="324">
        <f>K$1</f>
        <v/>
      </c>
      <c r="L358" s="324">
        <f>L$1</f>
        <v/>
      </c>
      <c r="M358" s="324">
        <f>M$1</f>
        <v/>
      </c>
      <c r="N358" s="324">
        <f>N$1</f>
        <v/>
      </c>
      <c r="O358" s="324">
        <f>O$1</f>
        <v/>
      </c>
      <c r="P358" s="324">
        <f>P$1</f>
        <v/>
      </c>
      <c r="Q358" s="324">
        <f>Q$1</f>
        <v/>
      </c>
      <c r="R358" s="325">
        <f>R$1</f>
        <v/>
      </c>
      <c r="S358" s="324">
        <f>S$1</f>
        <v/>
      </c>
      <c r="T358" s="324">
        <f>T$1</f>
        <v/>
      </c>
      <c r="U358" s="324">
        <f>U$1</f>
        <v/>
      </c>
      <c r="V358" s="324">
        <f>V$1</f>
        <v/>
      </c>
      <c r="W358" s="324">
        <f>W$1</f>
        <v/>
      </c>
      <c r="X358" s="324">
        <f>X$1</f>
        <v/>
      </c>
      <c r="Y358" s="324">
        <f>Y$1</f>
        <v/>
      </c>
      <c r="Z358" s="324">
        <f>Z$1</f>
        <v/>
      </c>
      <c r="AA358" s="324">
        <f>AA$1</f>
        <v/>
      </c>
      <c r="AB358" s="324">
        <f>AB$1</f>
        <v/>
      </c>
      <c r="AC358" s="324">
        <f>AC$1</f>
        <v/>
      </c>
      <c r="AD358" s="324">
        <f>AD$1</f>
        <v/>
      </c>
      <c r="AE358" s="325">
        <f>AE$1</f>
        <v/>
      </c>
      <c r="AF358" s="325">
        <f>AF$1</f>
        <v/>
      </c>
      <c r="AG358" s="325">
        <f>AG$1</f>
        <v/>
      </c>
      <c r="AH358" s="325">
        <f>AH$1</f>
        <v/>
      </c>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f>G361</f>
        <v/>
      </c>
      <c r="I361" s="171">
        <f>H361</f>
        <v/>
      </c>
      <c r="J361" s="171">
        <f>I361</f>
        <v/>
      </c>
      <c r="K361" s="171">
        <f>J361</f>
        <v/>
      </c>
      <c r="L361" s="171">
        <f>K361</f>
        <v/>
      </c>
      <c r="M361" s="171">
        <f>L361</f>
        <v/>
      </c>
      <c r="N361" s="171">
        <f>M361</f>
        <v/>
      </c>
      <c r="O361" s="171">
        <f>N361</f>
        <v/>
      </c>
      <c r="P361" s="171">
        <f>O361</f>
        <v/>
      </c>
      <c r="Q361" s="171">
        <f>P361</f>
        <v/>
      </c>
      <c r="R361" s="172">
        <f>SUM(F361:Q361)</f>
        <v/>
      </c>
      <c r="S361" s="171">
        <f>Q361</f>
        <v/>
      </c>
      <c r="T361" s="171">
        <f>S361</f>
        <v/>
      </c>
      <c r="U361" s="171">
        <f>T361</f>
        <v/>
      </c>
      <c r="V361" s="171">
        <f>U361</f>
        <v/>
      </c>
      <c r="W361" s="171">
        <f>V361</f>
        <v/>
      </c>
      <c r="X361" s="171">
        <f>W361</f>
        <v/>
      </c>
      <c r="Y361" s="171">
        <f>X361</f>
        <v/>
      </c>
      <c r="Z361" s="171">
        <f>Y361</f>
        <v/>
      </c>
      <c r="AA361" s="171">
        <f>Z361</f>
        <v/>
      </c>
      <c r="AB361" s="171">
        <f>AA361</f>
        <v/>
      </c>
      <c r="AC361" s="171">
        <f>AB361</f>
        <v/>
      </c>
      <c r="AD361" s="171">
        <f>AC361</f>
        <v/>
      </c>
      <c r="AE361" s="172">
        <f>SUM(S361:AD361)</f>
        <v/>
      </c>
      <c r="AF361" s="172">
        <f>AE361</f>
        <v/>
      </c>
      <c r="AG361" s="172">
        <f>AF361</f>
        <v/>
      </c>
      <c r="AH361" s="172">
        <f>AG361</f>
        <v/>
      </c>
    </row>
    <row r="362" ht="8.25" customHeight="1" s="277">
      <c r="A362" s="224" t="n"/>
      <c r="B362" s="191" t="inlineStr">
        <is>
          <t>s.k.u. 2</t>
        </is>
      </c>
      <c r="C362" s="154" t="n"/>
      <c r="D362" s="154" t="n"/>
      <c r="E362" s="154" t="n"/>
      <c r="F362" s="171" t="n">
        <v>0</v>
      </c>
      <c r="G362" s="171">
        <f>F362</f>
        <v/>
      </c>
      <c r="H362" s="171">
        <f>G362</f>
        <v/>
      </c>
      <c r="I362" s="171">
        <f>H362</f>
        <v/>
      </c>
      <c r="J362" s="171">
        <f>I362</f>
        <v/>
      </c>
      <c r="K362" s="171">
        <f>J362</f>
        <v/>
      </c>
      <c r="L362" s="171">
        <f>K362</f>
        <v/>
      </c>
      <c r="M362" s="171">
        <f>L362</f>
        <v/>
      </c>
      <c r="N362" s="171">
        <f>M362</f>
        <v/>
      </c>
      <c r="O362" s="171">
        <f>N362</f>
        <v/>
      </c>
      <c r="P362" s="171">
        <f>O362</f>
        <v/>
      </c>
      <c r="Q362" s="171">
        <f>P362</f>
        <v/>
      </c>
      <c r="R362" s="172">
        <f>SUM(F362:Q362)</f>
        <v/>
      </c>
      <c r="S362" s="171">
        <f>Q362</f>
        <v/>
      </c>
      <c r="T362" s="171">
        <f>S362</f>
        <v/>
      </c>
      <c r="U362" s="171">
        <f>T362</f>
        <v/>
      </c>
      <c r="V362" s="171">
        <f>U362</f>
        <v/>
      </c>
      <c r="W362" s="171">
        <f>V362</f>
        <v/>
      </c>
      <c r="X362" s="171">
        <f>W362</f>
        <v/>
      </c>
      <c r="Y362" s="171">
        <f>X362</f>
        <v/>
      </c>
      <c r="Z362" s="171">
        <f>Y362</f>
        <v/>
      </c>
      <c r="AA362" s="171">
        <f>Z362</f>
        <v/>
      </c>
      <c r="AB362" s="171">
        <f>AA362</f>
        <v/>
      </c>
      <c r="AC362" s="171">
        <f>AB362</f>
        <v/>
      </c>
      <c r="AD362" s="171">
        <f>AC362</f>
        <v/>
      </c>
      <c r="AE362" s="172">
        <f>SUM(S362:AD362)</f>
        <v/>
      </c>
      <c r="AF362" s="172">
        <f>AE362</f>
        <v/>
      </c>
      <c r="AG362" s="172">
        <f>AF362</f>
        <v/>
      </c>
      <c r="AH362" s="172">
        <f>AG362</f>
        <v/>
      </c>
    </row>
    <row r="363" ht="8.25" customHeight="1" s="277">
      <c r="A363" s="139" t="inlineStr">
        <is>
          <t>Total Units</t>
        </is>
      </c>
      <c r="B363" s="156" t="n"/>
      <c r="C363" s="228" t="n"/>
      <c r="D363" s="228" t="n"/>
      <c r="E363" s="228" t="n"/>
      <c r="F363" s="228">
        <f>SUM(F361:F362)</f>
        <v/>
      </c>
      <c r="G363" s="228">
        <f>SUM(G361:G362)</f>
        <v/>
      </c>
      <c r="H363" s="228">
        <f>SUM(H361:H362)</f>
        <v/>
      </c>
      <c r="I363" s="228">
        <f>SUM(I361:I362)</f>
        <v/>
      </c>
      <c r="J363" s="228">
        <f>SUM(J361:J362)</f>
        <v/>
      </c>
      <c r="K363" s="228">
        <f>SUM(K361:K362)</f>
        <v/>
      </c>
      <c r="L363" s="228">
        <f>SUM(L361:L362)</f>
        <v/>
      </c>
      <c r="M363" s="228">
        <f>SUM(M361:M362)</f>
        <v/>
      </c>
      <c r="N363" s="228">
        <f>SUM(N361:N362)</f>
        <v/>
      </c>
      <c r="O363" s="228">
        <f>SUM(O361:O362)</f>
        <v/>
      </c>
      <c r="P363" s="228">
        <f>SUM(P361:P362)</f>
        <v/>
      </c>
      <c r="Q363" s="228">
        <f>SUM(Q361:Q362)</f>
        <v/>
      </c>
      <c r="R363" s="158">
        <f>SUM(F363:Q363)</f>
        <v/>
      </c>
      <c r="S363" s="228">
        <f>SUM(S361:S362)</f>
        <v/>
      </c>
      <c r="T363" s="228">
        <f>SUM(T361:T362)</f>
        <v/>
      </c>
      <c r="U363" s="228">
        <f>SUM(U361:U362)</f>
        <v/>
      </c>
      <c r="V363" s="228">
        <f>SUM(V361:V362)</f>
        <v/>
      </c>
      <c r="W363" s="228">
        <f>SUM(W361:W362)</f>
        <v/>
      </c>
      <c r="X363" s="228">
        <f>SUM(X361:X362)</f>
        <v/>
      </c>
      <c r="Y363" s="228">
        <f>SUM(Y361:Y362)</f>
        <v/>
      </c>
      <c r="Z363" s="228">
        <f>SUM(Z361:Z362)</f>
        <v/>
      </c>
      <c r="AA363" s="228">
        <f>SUM(AA361:AA362)</f>
        <v/>
      </c>
      <c r="AB363" s="228">
        <f>SUM(AB361:AB362)</f>
        <v/>
      </c>
      <c r="AC363" s="228">
        <f>SUM(AC361:AC362)</f>
        <v/>
      </c>
      <c r="AD363" s="228">
        <f>SUM(AD361:AD362)</f>
        <v/>
      </c>
      <c r="AE363" s="158">
        <f>SUM(S363:AD363)</f>
        <v/>
      </c>
      <c r="AF363" s="158">
        <f>SUM(AF361:AF362)</f>
        <v/>
      </c>
      <c r="AG363" s="158">
        <f>SUM(AG361:AG362)</f>
        <v/>
      </c>
      <c r="AH363" s="158">
        <f>SUM(AH361:AH362)</f>
        <v/>
      </c>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f>B361</f>
        <v/>
      </c>
      <c r="C366" s="348" t="n"/>
      <c r="D366" s="348" t="n"/>
      <c r="E366" s="348" t="n"/>
      <c r="F366" s="351" t="n">
        <v>1</v>
      </c>
      <c r="G366" s="351">
        <f>F366</f>
        <v/>
      </c>
      <c r="H366" s="351">
        <f>G366</f>
        <v/>
      </c>
      <c r="I366" s="351">
        <f>H366</f>
        <v/>
      </c>
      <c r="J366" s="351">
        <f>I366</f>
        <v/>
      </c>
      <c r="K366" s="351">
        <f>J366</f>
        <v/>
      </c>
      <c r="L366" s="351">
        <f>K366</f>
        <v/>
      </c>
      <c r="M366" s="351">
        <f>L366</f>
        <v/>
      </c>
      <c r="N366" s="351">
        <f>M366</f>
        <v/>
      </c>
      <c r="O366" s="351">
        <f>N366</f>
        <v/>
      </c>
      <c r="P366" s="351">
        <f>O366</f>
        <v/>
      </c>
      <c r="Q366" s="351">
        <f>P366</f>
        <v/>
      </c>
      <c r="R366" s="352">
        <f>Q366</f>
        <v/>
      </c>
      <c r="S366" s="351">
        <f>R366</f>
        <v/>
      </c>
      <c r="T366" s="351">
        <f>S366</f>
        <v/>
      </c>
      <c r="U366" s="351">
        <f>T366</f>
        <v/>
      </c>
      <c r="V366" s="351">
        <f>U366</f>
        <v/>
      </c>
      <c r="W366" s="351">
        <f>V366</f>
        <v/>
      </c>
      <c r="X366" s="351">
        <f>W366</f>
        <v/>
      </c>
      <c r="Y366" s="351">
        <f>X366</f>
        <v/>
      </c>
      <c r="Z366" s="351">
        <f>Y366</f>
        <v/>
      </c>
      <c r="AA366" s="351">
        <f>Z366</f>
        <v/>
      </c>
      <c r="AB366" s="351">
        <f>AA366</f>
        <v/>
      </c>
      <c r="AC366" s="351">
        <f>AB366</f>
        <v/>
      </c>
      <c r="AD366" s="351">
        <f>AC366</f>
        <v/>
      </c>
      <c r="AE366" s="352">
        <f>AD366</f>
        <v/>
      </c>
      <c r="AF366" s="352">
        <f>AE366</f>
        <v/>
      </c>
      <c r="AG366" s="352">
        <f>AF366</f>
        <v/>
      </c>
      <c r="AH366" s="352">
        <f>AG366</f>
        <v/>
      </c>
    </row>
    <row r="367" ht="8.25" customFormat="1" customHeight="1" s="348">
      <c r="A367" s="349" t="n"/>
      <c r="B367" s="350">
        <f>B362</f>
        <v/>
      </c>
      <c r="C367" s="348" t="n"/>
      <c r="D367" s="348" t="n"/>
      <c r="E367" s="348" t="n"/>
      <c r="F367" s="351" t="n">
        <v>0</v>
      </c>
      <c r="G367" s="351">
        <f>F367</f>
        <v/>
      </c>
      <c r="H367" s="351">
        <f>G367</f>
        <v/>
      </c>
      <c r="I367" s="351">
        <f>H367</f>
        <v/>
      </c>
      <c r="J367" s="351">
        <f>I367</f>
        <v/>
      </c>
      <c r="K367" s="351">
        <f>J367</f>
        <v/>
      </c>
      <c r="L367" s="351">
        <f>K367</f>
        <v/>
      </c>
      <c r="M367" s="351">
        <f>L367</f>
        <v/>
      </c>
      <c r="N367" s="351">
        <f>M367</f>
        <v/>
      </c>
      <c r="O367" s="351">
        <f>N367</f>
        <v/>
      </c>
      <c r="P367" s="351">
        <f>O367</f>
        <v/>
      </c>
      <c r="Q367" s="351">
        <f>P367</f>
        <v/>
      </c>
      <c r="R367" s="352">
        <f>Q367</f>
        <v/>
      </c>
      <c r="S367" s="351">
        <f>R367</f>
        <v/>
      </c>
      <c r="T367" s="351">
        <f>S367</f>
        <v/>
      </c>
      <c r="U367" s="351">
        <f>T367</f>
        <v/>
      </c>
      <c r="V367" s="351">
        <f>U367</f>
        <v/>
      </c>
      <c r="W367" s="351">
        <f>V367</f>
        <v/>
      </c>
      <c r="X367" s="351">
        <f>W367</f>
        <v/>
      </c>
      <c r="Y367" s="351">
        <f>X367</f>
        <v/>
      </c>
      <c r="Z367" s="351">
        <f>Y367</f>
        <v/>
      </c>
      <c r="AA367" s="351">
        <f>Z367</f>
        <v/>
      </c>
      <c r="AB367" s="351">
        <f>AA367</f>
        <v/>
      </c>
      <c r="AC367" s="351">
        <f>AB367</f>
        <v/>
      </c>
      <c r="AD367" s="351">
        <f>AC367</f>
        <v/>
      </c>
      <c r="AE367" s="352">
        <f>AD367</f>
        <v/>
      </c>
      <c r="AF367" s="352">
        <f>AE367</f>
        <v/>
      </c>
      <c r="AG367" s="352">
        <f>AF367</f>
        <v/>
      </c>
      <c r="AH367" s="352">
        <f>AG367</f>
        <v/>
      </c>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f>B361</f>
        <v/>
      </c>
      <c r="C370" s="154" t="n"/>
      <c r="D370" s="154" t="n"/>
      <c r="E370" s="154" t="n"/>
      <c r="F370" s="154">
        <f>F361*F366</f>
        <v/>
      </c>
      <c r="G370" s="154">
        <f>G361*G366</f>
        <v/>
      </c>
      <c r="H370" s="154">
        <f>H361*H366</f>
        <v/>
      </c>
      <c r="I370" s="154">
        <f>I361*I366</f>
        <v/>
      </c>
      <c r="J370" s="154">
        <f>J361*J366</f>
        <v/>
      </c>
      <c r="K370" s="154">
        <f>K361*K366</f>
        <v/>
      </c>
      <c r="L370" s="154">
        <f>L361*L366</f>
        <v/>
      </c>
      <c r="M370" s="154">
        <f>M361*M366</f>
        <v/>
      </c>
      <c r="N370" s="154">
        <f>N361*N366</f>
        <v/>
      </c>
      <c r="O370" s="154">
        <f>O361*O366</f>
        <v/>
      </c>
      <c r="P370" s="154">
        <f>P361*P366</f>
        <v/>
      </c>
      <c r="Q370" s="154">
        <f>Q361*Q366</f>
        <v/>
      </c>
      <c r="R370" s="229">
        <f>SUM(F370:Q370)</f>
        <v/>
      </c>
      <c r="S370" s="154">
        <f>S361*S366</f>
        <v/>
      </c>
      <c r="T370" s="154">
        <f>T361*T366</f>
        <v/>
      </c>
      <c r="U370" s="154">
        <f>U361*U366</f>
        <v/>
      </c>
      <c r="V370" s="154">
        <f>V361*V366</f>
        <v/>
      </c>
      <c r="W370" s="154">
        <f>W361*W366</f>
        <v/>
      </c>
      <c r="X370" s="154">
        <f>X361*X366</f>
        <v/>
      </c>
      <c r="Y370" s="154">
        <f>Y361*Y366</f>
        <v/>
      </c>
      <c r="Z370" s="154">
        <f>Z361*Z366</f>
        <v/>
      </c>
      <c r="AA370" s="154">
        <f>AA361*AA366</f>
        <v/>
      </c>
      <c r="AB370" s="154">
        <f>AB361*AB366</f>
        <v/>
      </c>
      <c r="AC370" s="154">
        <f>AC361*AC366</f>
        <v/>
      </c>
      <c r="AD370" s="154">
        <f>AD361*AD366</f>
        <v/>
      </c>
      <c r="AE370" s="229">
        <f>SUM(S370:AD370)</f>
        <v/>
      </c>
      <c r="AF370" s="229">
        <f>AF361*AF366</f>
        <v/>
      </c>
      <c r="AG370" s="229">
        <f>AG361*AG366</f>
        <v/>
      </c>
      <c r="AH370" s="229">
        <f>AH361*AH366</f>
        <v/>
      </c>
    </row>
    <row r="371" ht="8.25" customHeight="1" s="277">
      <c r="A371" s="224" t="n"/>
      <c r="B371" s="225">
        <f>B362</f>
        <v/>
      </c>
      <c r="C371" s="154" t="n"/>
      <c r="D371" s="154" t="n"/>
      <c r="E371" s="154" t="n"/>
      <c r="F371" s="154">
        <f>F362*F367</f>
        <v/>
      </c>
      <c r="G371" s="154">
        <f>G362*G367</f>
        <v/>
      </c>
      <c r="H371" s="154">
        <f>H362*H367</f>
        <v/>
      </c>
      <c r="I371" s="154">
        <f>I362*I367</f>
        <v/>
      </c>
      <c r="J371" s="154">
        <f>J362*J367</f>
        <v/>
      </c>
      <c r="K371" s="154">
        <f>K362*K367</f>
        <v/>
      </c>
      <c r="L371" s="154">
        <f>L362*L367</f>
        <v/>
      </c>
      <c r="M371" s="154">
        <f>M362*M367</f>
        <v/>
      </c>
      <c r="N371" s="154">
        <f>N362*N367</f>
        <v/>
      </c>
      <c r="O371" s="154">
        <f>O362*O367</f>
        <v/>
      </c>
      <c r="P371" s="154">
        <f>P362*P367</f>
        <v/>
      </c>
      <c r="Q371" s="154">
        <f>Q362*Q367</f>
        <v/>
      </c>
      <c r="R371" s="229">
        <f>SUM(F371:Q371)</f>
        <v/>
      </c>
      <c r="S371" s="154">
        <f>S362*S367</f>
        <v/>
      </c>
      <c r="T371" s="154">
        <f>T362*T367</f>
        <v/>
      </c>
      <c r="U371" s="154">
        <f>U362*U367</f>
        <v/>
      </c>
      <c r="V371" s="154">
        <f>V362*V367</f>
        <v/>
      </c>
      <c r="W371" s="154">
        <f>W362*W367</f>
        <v/>
      </c>
      <c r="X371" s="154">
        <f>X362*X367</f>
        <v/>
      </c>
      <c r="Y371" s="154">
        <f>Y362*Y367</f>
        <v/>
      </c>
      <c r="Z371" s="154">
        <f>Z362*Z367</f>
        <v/>
      </c>
      <c r="AA371" s="154">
        <f>AA362*AA367</f>
        <v/>
      </c>
      <c r="AB371" s="154">
        <f>AB362*AB367</f>
        <v/>
      </c>
      <c r="AC371" s="154">
        <f>AC362*AC367</f>
        <v/>
      </c>
      <c r="AD371" s="154">
        <f>AD362*AD367</f>
        <v/>
      </c>
      <c r="AE371" s="229">
        <f>SUM(S371:AD371)</f>
        <v/>
      </c>
      <c r="AF371" s="229">
        <f>AF362*AF367</f>
        <v/>
      </c>
      <c r="AG371" s="229">
        <f>AG362*AG367</f>
        <v/>
      </c>
      <c r="AH371" s="229">
        <f>AH362*AH367</f>
        <v/>
      </c>
    </row>
    <row r="372" ht="8.25" customHeight="1" s="277">
      <c r="A372" s="139" t="inlineStr">
        <is>
          <t>Total Revenue</t>
        </is>
      </c>
      <c r="B372" s="156" t="n"/>
      <c r="C372" s="228" t="n"/>
      <c r="D372" s="228" t="n"/>
      <c r="E372" s="228" t="n"/>
      <c r="F372" s="228">
        <f>SUM(F370:F371)</f>
        <v/>
      </c>
      <c r="G372" s="228">
        <f>SUM(G370:G371)</f>
        <v/>
      </c>
      <c r="H372" s="228">
        <f>SUM(H370:H371)</f>
        <v/>
      </c>
      <c r="I372" s="228">
        <f>SUM(I370:I371)</f>
        <v/>
      </c>
      <c r="J372" s="228">
        <f>SUM(J370:J371)</f>
        <v/>
      </c>
      <c r="K372" s="228">
        <f>SUM(K370:K371)</f>
        <v/>
      </c>
      <c r="L372" s="228">
        <f>SUM(L370:L371)</f>
        <v/>
      </c>
      <c r="M372" s="228">
        <f>SUM(M370:M371)</f>
        <v/>
      </c>
      <c r="N372" s="228">
        <f>SUM(N370:N371)</f>
        <v/>
      </c>
      <c r="O372" s="228">
        <f>SUM(O370:O371)</f>
        <v/>
      </c>
      <c r="P372" s="228">
        <f>SUM(P370:P371)</f>
        <v/>
      </c>
      <c r="Q372" s="228">
        <f>SUM(Q370:Q371)</f>
        <v/>
      </c>
      <c r="R372" s="158">
        <f>SUM(F372:Q372)</f>
        <v/>
      </c>
      <c r="S372" s="228">
        <f>SUM(S370:S371)</f>
        <v/>
      </c>
      <c r="T372" s="228">
        <f>SUM(T370:T371)</f>
        <v/>
      </c>
      <c r="U372" s="228">
        <f>SUM(U370:U371)</f>
        <v/>
      </c>
      <c r="V372" s="228">
        <f>SUM(V370:V371)</f>
        <v/>
      </c>
      <c r="W372" s="228">
        <f>SUM(W370:W371)</f>
        <v/>
      </c>
      <c r="X372" s="228">
        <f>SUM(X370:X371)</f>
        <v/>
      </c>
      <c r="Y372" s="228">
        <f>SUM(Y370:Y371)</f>
        <v/>
      </c>
      <c r="Z372" s="228">
        <f>SUM(Z370:Z371)</f>
        <v/>
      </c>
      <c r="AA372" s="228">
        <f>SUM(AA370:AA371)</f>
        <v/>
      </c>
      <c r="AB372" s="228">
        <f>SUM(AB370:AB371)</f>
        <v/>
      </c>
      <c r="AC372" s="228">
        <f>SUM(AC370:AC371)</f>
        <v/>
      </c>
      <c r="AD372" s="228">
        <f>SUM(AD370:AD371)</f>
        <v/>
      </c>
      <c r="AE372" s="158">
        <f>SUM(S372:AD372)</f>
        <v/>
      </c>
      <c r="AF372" s="158">
        <f>SUM(AF370:AF371)</f>
        <v/>
      </c>
      <c r="AG372" s="158">
        <f>SUM(AG370:AG371)</f>
        <v/>
      </c>
      <c r="AH372" s="158">
        <f>SUM(AH370:AH371)</f>
        <v/>
      </c>
    </row>
    <row r="373" ht="8.25" customHeight="1" s="277">
      <c r="A373" s="354" t="n"/>
      <c r="B373" s="355" t="inlineStr">
        <is>
          <t>Proportion of Total Revenues</t>
        </is>
      </c>
      <c r="C373" s="356" t="n"/>
      <c r="D373" s="356" t="n"/>
      <c r="E373" s="356" t="n"/>
      <c r="F373" s="356">
        <f>IF(F$93&gt;0,+F372/F$93,0)</f>
        <v/>
      </c>
      <c r="G373" s="356">
        <f>IF(G$93&gt;0,+G372/G$93,0)</f>
        <v/>
      </c>
      <c r="H373" s="356">
        <f>IF(H$93&gt;0,+H372/H$93,0)</f>
        <v/>
      </c>
      <c r="I373" s="356">
        <f>IF(I$93&gt;0,+I372/I$93,0)</f>
        <v/>
      </c>
      <c r="J373" s="356">
        <f>IF(J$93&gt;0,+J372/J$93,0)</f>
        <v/>
      </c>
      <c r="K373" s="356">
        <f>IF(K$93&gt;0,+K372/K$93,0)</f>
        <v/>
      </c>
      <c r="L373" s="356">
        <f>IF(L$93&gt;0,+L372/L$93,0)</f>
        <v/>
      </c>
      <c r="M373" s="356">
        <f>IF(M$93&gt;0,+M372/M$93,0)</f>
        <v/>
      </c>
      <c r="N373" s="356">
        <f>IF(N$93&gt;0,+N372/N$93,0)</f>
        <v/>
      </c>
      <c r="O373" s="356">
        <f>IF(O$93&gt;0,+O372/O$93,0)</f>
        <v/>
      </c>
      <c r="P373" s="356">
        <f>IF(P$93&gt;0,+P372/P$93,0)</f>
        <v/>
      </c>
      <c r="Q373" s="356">
        <f>IF(Q$93&gt;0,+Q372/Q$93,0)</f>
        <v/>
      </c>
      <c r="R373" s="357">
        <f>IF(R$93&gt;0,+R372/R$93,0)</f>
        <v/>
      </c>
      <c r="S373" s="356">
        <f>IF(S$93&gt;0,+S372/S$93,0)</f>
        <v/>
      </c>
      <c r="T373" s="356">
        <f>IF(T$93&gt;0,+T372/T$93,0)</f>
        <v/>
      </c>
      <c r="U373" s="356">
        <f>IF(U$93&gt;0,+U372/U$93,0)</f>
        <v/>
      </c>
      <c r="V373" s="356">
        <f>IF(V$93&gt;0,+V372/V$93,0)</f>
        <v/>
      </c>
      <c r="W373" s="356">
        <f>IF(W$93&gt;0,+W372/W$93,0)</f>
        <v/>
      </c>
      <c r="X373" s="356">
        <f>IF(X$93&gt;0,+X372/X$93,0)</f>
        <v/>
      </c>
      <c r="Y373" s="356">
        <f>IF(Y$93&gt;0,+Y372/Y$93,0)</f>
        <v/>
      </c>
      <c r="Z373" s="356">
        <f>IF(Z$93&gt;0,+Z372/Z$93,0)</f>
        <v/>
      </c>
      <c r="AA373" s="356">
        <f>IF(AA$93&gt;0,+AA372/AA$93,0)</f>
        <v/>
      </c>
      <c r="AB373" s="356">
        <f>IF(AB$93&gt;0,+AB372/AB$93,0)</f>
        <v/>
      </c>
      <c r="AC373" s="356">
        <f>IF(AC$93&gt;0,+AC372/AC$93,0)</f>
        <v/>
      </c>
      <c r="AD373" s="356">
        <f>IF(AD$93&gt;0,+AD372/AD$93,0)</f>
        <v/>
      </c>
      <c r="AE373" s="357">
        <f>IF(AE$93&gt;0,+AE372/AE$93,0)</f>
        <v/>
      </c>
      <c r="AF373" s="357">
        <f>IF(AF$93&gt;0,+AF372/AF$93,0)</f>
        <v/>
      </c>
      <c r="AG373" s="357">
        <f>IF(AG$93&gt;0,+AG372/AG$93,0)</f>
        <v/>
      </c>
      <c r="AH373" s="357">
        <f>IF(AH$93&gt;0,+AH372/AH$93,0)</f>
        <v/>
      </c>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f>B361</f>
        <v/>
      </c>
      <c r="C378" s="348" t="n"/>
      <c r="D378" s="348" t="n"/>
      <c r="E378" s="348" t="n"/>
      <c r="F378" s="351" t="n">
        <v>0</v>
      </c>
      <c r="G378" s="351">
        <f>F378</f>
        <v/>
      </c>
      <c r="H378" s="351">
        <f>G378</f>
        <v/>
      </c>
      <c r="I378" s="351">
        <f>H378</f>
        <v/>
      </c>
      <c r="J378" s="351">
        <f>I378</f>
        <v/>
      </c>
      <c r="K378" s="351">
        <f>J378</f>
        <v/>
      </c>
      <c r="L378" s="351">
        <f>K378</f>
        <v/>
      </c>
      <c r="M378" s="351">
        <f>L378</f>
        <v/>
      </c>
      <c r="N378" s="351">
        <f>M378</f>
        <v/>
      </c>
      <c r="O378" s="351">
        <f>N378</f>
        <v/>
      </c>
      <c r="P378" s="351">
        <f>O378</f>
        <v/>
      </c>
      <c r="Q378" s="351">
        <f>P378</f>
        <v/>
      </c>
      <c r="R378" s="352">
        <f>Q378</f>
        <v/>
      </c>
      <c r="S378" s="351">
        <f>R378</f>
        <v/>
      </c>
      <c r="T378" s="351">
        <f>S378</f>
        <v/>
      </c>
      <c r="U378" s="351">
        <f>T378</f>
        <v/>
      </c>
      <c r="V378" s="351">
        <f>U378</f>
        <v/>
      </c>
      <c r="W378" s="351">
        <f>V378</f>
        <v/>
      </c>
      <c r="X378" s="351">
        <f>W378</f>
        <v/>
      </c>
      <c r="Y378" s="351">
        <f>X378</f>
        <v/>
      </c>
      <c r="Z378" s="351">
        <f>Y378</f>
        <v/>
      </c>
      <c r="AA378" s="351">
        <f>Z378</f>
        <v/>
      </c>
      <c r="AB378" s="351">
        <f>AA378</f>
        <v/>
      </c>
      <c r="AC378" s="351">
        <f>AB378</f>
        <v/>
      </c>
      <c r="AD378" s="351">
        <f>AC378</f>
        <v/>
      </c>
      <c r="AE378" s="352">
        <f>AD378</f>
        <v/>
      </c>
      <c r="AF378" s="352">
        <f>AE378</f>
        <v/>
      </c>
      <c r="AG378" s="352">
        <f>AF378</f>
        <v/>
      </c>
      <c r="AH378" s="352">
        <f>AG378</f>
        <v/>
      </c>
    </row>
    <row r="379" ht="8.25" customFormat="1" customHeight="1" s="348">
      <c r="A379" s="349" t="n"/>
      <c r="B379" s="350">
        <f>B362</f>
        <v/>
      </c>
      <c r="C379" s="348" t="n"/>
      <c r="D379" s="348" t="n"/>
      <c r="E379" s="348" t="n"/>
      <c r="F379" s="351" t="n">
        <v>0</v>
      </c>
      <c r="G379" s="351">
        <f>F379</f>
        <v/>
      </c>
      <c r="H379" s="351">
        <f>G379</f>
        <v/>
      </c>
      <c r="I379" s="351">
        <f>H379</f>
        <v/>
      </c>
      <c r="J379" s="351">
        <f>I379</f>
        <v/>
      </c>
      <c r="K379" s="351">
        <f>J379</f>
        <v/>
      </c>
      <c r="L379" s="351">
        <f>K379</f>
        <v/>
      </c>
      <c r="M379" s="351">
        <f>L379</f>
        <v/>
      </c>
      <c r="N379" s="351">
        <f>M379</f>
        <v/>
      </c>
      <c r="O379" s="351">
        <f>N379</f>
        <v/>
      </c>
      <c r="P379" s="351">
        <f>O379</f>
        <v/>
      </c>
      <c r="Q379" s="351">
        <f>P379</f>
        <v/>
      </c>
      <c r="R379" s="352">
        <f>Q379</f>
        <v/>
      </c>
      <c r="S379" s="351">
        <f>R379</f>
        <v/>
      </c>
      <c r="T379" s="351">
        <f>S379</f>
        <v/>
      </c>
      <c r="U379" s="351">
        <f>T379</f>
        <v/>
      </c>
      <c r="V379" s="351">
        <f>U379</f>
        <v/>
      </c>
      <c r="W379" s="351">
        <f>V379</f>
        <v/>
      </c>
      <c r="X379" s="351">
        <f>W379</f>
        <v/>
      </c>
      <c r="Y379" s="351">
        <f>X379</f>
        <v/>
      </c>
      <c r="Z379" s="351">
        <f>Y379</f>
        <v/>
      </c>
      <c r="AA379" s="351">
        <f>Z379</f>
        <v/>
      </c>
      <c r="AB379" s="351">
        <f>AA379</f>
        <v/>
      </c>
      <c r="AC379" s="351">
        <f>AB379</f>
        <v/>
      </c>
      <c r="AD379" s="351">
        <f>AC379</f>
        <v/>
      </c>
      <c r="AE379" s="352">
        <f>AD379</f>
        <v/>
      </c>
      <c r="AF379" s="352">
        <f>AE379</f>
        <v/>
      </c>
      <c r="AG379" s="352">
        <f>AF379</f>
        <v/>
      </c>
      <c r="AH379" s="352">
        <f>AG379</f>
        <v/>
      </c>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f>B361</f>
        <v/>
      </c>
      <c r="C382" s="154" t="n"/>
      <c r="D382" s="154" t="n"/>
      <c r="E382" s="154" t="n"/>
      <c r="F382" s="154">
        <f>F378*F361</f>
        <v/>
      </c>
      <c r="G382" s="154">
        <f>G378*G361</f>
        <v/>
      </c>
      <c r="H382" s="154">
        <f>H378*H361</f>
        <v/>
      </c>
      <c r="I382" s="154">
        <f>I378*I361</f>
        <v/>
      </c>
      <c r="J382" s="154">
        <f>J378*J361</f>
        <v/>
      </c>
      <c r="K382" s="154">
        <f>K378*K361</f>
        <v/>
      </c>
      <c r="L382" s="154">
        <f>L378*L361</f>
        <v/>
      </c>
      <c r="M382" s="154">
        <f>M378*M361</f>
        <v/>
      </c>
      <c r="N382" s="154">
        <f>N378*N361</f>
        <v/>
      </c>
      <c r="O382" s="154">
        <f>O378*O361</f>
        <v/>
      </c>
      <c r="P382" s="154">
        <f>P378*P361</f>
        <v/>
      </c>
      <c r="Q382" s="154">
        <f>Q378*Q361</f>
        <v/>
      </c>
      <c r="R382" s="229">
        <f>SUM(F382:Q382)</f>
        <v/>
      </c>
      <c r="S382" s="154">
        <f>S378*S361</f>
        <v/>
      </c>
      <c r="T382" s="154">
        <f>T378*T361</f>
        <v/>
      </c>
      <c r="U382" s="154">
        <f>U378*U361</f>
        <v/>
      </c>
      <c r="V382" s="154">
        <f>V378*V361</f>
        <v/>
      </c>
      <c r="W382" s="154">
        <f>W378*W361</f>
        <v/>
      </c>
      <c r="X382" s="154">
        <f>X378*X361</f>
        <v/>
      </c>
      <c r="Y382" s="154">
        <f>Y378*Y361</f>
        <v/>
      </c>
      <c r="Z382" s="154">
        <f>Z378*Z361</f>
        <v/>
      </c>
      <c r="AA382" s="154">
        <f>AA378*AA361</f>
        <v/>
      </c>
      <c r="AB382" s="154">
        <f>AB378*AB361</f>
        <v/>
      </c>
      <c r="AC382" s="154">
        <f>AC378*AC361</f>
        <v/>
      </c>
      <c r="AD382" s="154">
        <f>AD378*AD361</f>
        <v/>
      </c>
      <c r="AE382" s="229">
        <f>SUM(S382:AD382)</f>
        <v/>
      </c>
      <c r="AF382" s="229">
        <f>AF378*AF361</f>
        <v/>
      </c>
      <c r="AG382" s="229">
        <f>AG378*AG361</f>
        <v/>
      </c>
      <c r="AH382" s="229">
        <f>AH378*AH361</f>
        <v/>
      </c>
    </row>
    <row r="383" ht="8.25" customHeight="1" s="277">
      <c r="A383" s="224" t="n"/>
      <c r="B383" s="225">
        <f>B362</f>
        <v/>
      </c>
      <c r="C383" s="154" t="n"/>
      <c r="D383" s="154" t="n"/>
      <c r="E383" s="154" t="n"/>
      <c r="F383" s="154">
        <f>F379*F362</f>
        <v/>
      </c>
      <c r="G383" s="154">
        <f>G379*G362</f>
        <v/>
      </c>
      <c r="H383" s="154">
        <f>H379*H362</f>
        <v/>
      </c>
      <c r="I383" s="154">
        <f>I379*I362</f>
        <v/>
      </c>
      <c r="J383" s="154">
        <f>J379*J362</f>
        <v/>
      </c>
      <c r="K383" s="154">
        <f>K379*K362</f>
        <v/>
      </c>
      <c r="L383" s="154">
        <f>L379*L362</f>
        <v/>
      </c>
      <c r="M383" s="154">
        <f>M379*M362</f>
        <v/>
      </c>
      <c r="N383" s="154">
        <f>N379*N362</f>
        <v/>
      </c>
      <c r="O383" s="154">
        <f>O379*O362</f>
        <v/>
      </c>
      <c r="P383" s="154">
        <f>P379*P362</f>
        <v/>
      </c>
      <c r="Q383" s="154">
        <f>Q379*Q362</f>
        <v/>
      </c>
      <c r="R383" s="229">
        <f>SUM(F383:Q383)</f>
        <v/>
      </c>
      <c r="S383" s="154">
        <f>S379*S362</f>
        <v/>
      </c>
      <c r="T383" s="154">
        <f>T379*T362</f>
        <v/>
      </c>
      <c r="U383" s="154">
        <f>U379*U362</f>
        <v/>
      </c>
      <c r="V383" s="154">
        <f>V379*V362</f>
        <v/>
      </c>
      <c r="W383" s="154">
        <f>W379*W362</f>
        <v/>
      </c>
      <c r="X383" s="154">
        <f>X379*X362</f>
        <v/>
      </c>
      <c r="Y383" s="154">
        <f>Y379*Y362</f>
        <v/>
      </c>
      <c r="Z383" s="154">
        <f>Z379*Z362</f>
        <v/>
      </c>
      <c r="AA383" s="154">
        <f>AA379*AA362</f>
        <v/>
      </c>
      <c r="AB383" s="154">
        <f>AB379*AB362</f>
        <v/>
      </c>
      <c r="AC383" s="154">
        <f>AC379*AC362</f>
        <v/>
      </c>
      <c r="AD383" s="154">
        <f>AD379*AD362</f>
        <v/>
      </c>
      <c r="AE383" s="229">
        <f>SUM(S383:AD383)</f>
        <v/>
      </c>
      <c r="AF383" s="229">
        <f>AF379*AF362</f>
        <v/>
      </c>
      <c r="AG383" s="229">
        <f>AG379*AG362</f>
        <v/>
      </c>
      <c r="AH383" s="229">
        <f>AH379*AH362</f>
        <v/>
      </c>
    </row>
    <row r="384" ht="8.25" customHeight="1" s="277">
      <c r="A384" s="139" t="inlineStr">
        <is>
          <t>Total Direct Materials</t>
        </is>
      </c>
      <c r="B384" s="156" t="n"/>
      <c r="C384" s="228" t="n"/>
      <c r="D384" s="228" t="n"/>
      <c r="E384" s="228" t="n"/>
      <c r="F384" s="228">
        <f>SUM(F382:F383)</f>
        <v/>
      </c>
      <c r="G384" s="228">
        <f>SUM(G382:G383)</f>
        <v/>
      </c>
      <c r="H384" s="228">
        <f>SUM(H382:H383)</f>
        <v/>
      </c>
      <c r="I384" s="228">
        <f>SUM(I382:I383)</f>
        <v/>
      </c>
      <c r="J384" s="228">
        <f>SUM(J382:J383)</f>
        <v/>
      </c>
      <c r="K384" s="228">
        <f>SUM(K382:K383)</f>
        <v/>
      </c>
      <c r="L384" s="228">
        <f>SUM(L382:L383)</f>
        <v/>
      </c>
      <c r="M384" s="228">
        <f>SUM(M382:M383)</f>
        <v/>
      </c>
      <c r="N384" s="228">
        <f>SUM(N382:N383)</f>
        <v/>
      </c>
      <c r="O384" s="228">
        <f>SUM(O382:O383)</f>
        <v/>
      </c>
      <c r="P384" s="228">
        <f>SUM(P382:P383)</f>
        <v/>
      </c>
      <c r="Q384" s="228">
        <f>SUM(Q382:Q383)</f>
        <v/>
      </c>
      <c r="R384" s="158">
        <f>SUM(F384:Q384)</f>
        <v/>
      </c>
      <c r="S384" s="228">
        <f>SUM(S382:S383)</f>
        <v/>
      </c>
      <c r="T384" s="228">
        <f>SUM(T382:T383)</f>
        <v/>
      </c>
      <c r="U384" s="228">
        <f>SUM(U382:U383)</f>
        <v/>
      </c>
      <c r="V384" s="228">
        <f>SUM(V382:V383)</f>
        <v/>
      </c>
      <c r="W384" s="228">
        <f>SUM(W382:W383)</f>
        <v/>
      </c>
      <c r="X384" s="228">
        <f>SUM(X382:X383)</f>
        <v/>
      </c>
      <c r="Y384" s="228">
        <f>SUM(Y382:Y383)</f>
        <v/>
      </c>
      <c r="Z384" s="228">
        <f>SUM(Z382:Z383)</f>
        <v/>
      </c>
      <c r="AA384" s="228">
        <f>SUM(AA382:AA383)</f>
        <v/>
      </c>
      <c r="AB384" s="228">
        <f>SUM(AB382:AB383)</f>
        <v/>
      </c>
      <c r="AC384" s="228">
        <f>SUM(AC382:AC383)</f>
        <v/>
      </c>
      <c r="AD384" s="228">
        <f>SUM(AD382:AD383)</f>
        <v/>
      </c>
      <c r="AE384" s="158">
        <f>SUM(S384:AD384)</f>
        <v/>
      </c>
      <c r="AF384" s="158">
        <f>SUM(AF382:AF383)</f>
        <v/>
      </c>
      <c r="AG384" s="158">
        <f>SUM(AG382:AG383)</f>
        <v/>
      </c>
      <c r="AH384" s="158">
        <f>SUM(AH382:AH383)</f>
        <v/>
      </c>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f>F$562</f>
        <v/>
      </c>
      <c r="G386" s="154">
        <f>G$562</f>
        <v/>
      </c>
      <c r="H386" s="154">
        <f>H$562</f>
        <v/>
      </c>
      <c r="I386" s="154">
        <f>I$562</f>
        <v/>
      </c>
      <c r="J386" s="154">
        <f>J$562</f>
        <v/>
      </c>
      <c r="K386" s="154">
        <f>K$562</f>
        <v/>
      </c>
      <c r="L386" s="154">
        <f>L$562</f>
        <v/>
      </c>
      <c r="M386" s="154">
        <f>M$562</f>
        <v/>
      </c>
      <c r="N386" s="154">
        <f>N$562</f>
        <v/>
      </c>
      <c r="O386" s="154">
        <f>O$562</f>
        <v/>
      </c>
      <c r="P386" s="154">
        <f>P$562</f>
        <v/>
      </c>
      <c r="Q386" s="154">
        <f>Q$562</f>
        <v/>
      </c>
      <c r="R386" s="229">
        <f>SUM(F386:Q386)</f>
        <v/>
      </c>
      <c r="S386" s="154">
        <f>S$562</f>
        <v/>
      </c>
      <c r="T386" s="154">
        <f>T$562</f>
        <v/>
      </c>
      <c r="U386" s="154">
        <f>U$562</f>
        <v/>
      </c>
      <c r="V386" s="154">
        <f>V$562</f>
        <v/>
      </c>
      <c r="W386" s="154">
        <f>W$562</f>
        <v/>
      </c>
      <c r="X386" s="154">
        <f>X$562</f>
        <v/>
      </c>
      <c r="Y386" s="154">
        <f>Y$562</f>
        <v/>
      </c>
      <c r="Z386" s="154">
        <f>Z$562</f>
        <v/>
      </c>
      <c r="AA386" s="154">
        <f>AA$562</f>
        <v/>
      </c>
      <c r="AB386" s="154">
        <f>AB$562</f>
        <v/>
      </c>
      <c r="AC386" s="154">
        <f>AC$562</f>
        <v/>
      </c>
      <c r="AD386" s="154">
        <f>AD$562</f>
        <v/>
      </c>
      <c r="AE386" s="229">
        <f>SUM(S386:AD386)</f>
        <v/>
      </c>
      <c r="AF386" s="229">
        <f>AF$562</f>
        <v/>
      </c>
      <c r="AG386" s="229">
        <f>AG$562</f>
        <v/>
      </c>
      <c r="AH386" s="229">
        <f>AH$562</f>
        <v/>
      </c>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f>F$569</f>
        <v/>
      </c>
      <c r="G388" s="154">
        <f>G$569</f>
        <v/>
      </c>
      <c r="H388" s="154">
        <f>H$569</f>
        <v/>
      </c>
      <c r="I388" s="154">
        <f>I$569</f>
        <v/>
      </c>
      <c r="J388" s="154">
        <f>J$569</f>
        <v/>
      </c>
      <c r="K388" s="154">
        <f>K$569</f>
        <v/>
      </c>
      <c r="L388" s="154">
        <f>L$569</f>
        <v/>
      </c>
      <c r="M388" s="154">
        <f>M$569</f>
        <v/>
      </c>
      <c r="N388" s="154">
        <f>N$569</f>
        <v/>
      </c>
      <c r="O388" s="154">
        <f>O$569</f>
        <v/>
      </c>
      <c r="P388" s="154">
        <f>P$569</f>
        <v/>
      </c>
      <c r="Q388" s="154">
        <f>Q$569</f>
        <v/>
      </c>
      <c r="R388" s="229">
        <f>SUM(F388:Q388)</f>
        <v/>
      </c>
      <c r="S388" s="154">
        <f>S$569</f>
        <v/>
      </c>
      <c r="T388" s="154">
        <f>T$569</f>
        <v/>
      </c>
      <c r="U388" s="154">
        <f>U$569</f>
        <v/>
      </c>
      <c r="V388" s="154">
        <f>V$569</f>
        <v/>
      </c>
      <c r="W388" s="154">
        <f>W$569</f>
        <v/>
      </c>
      <c r="X388" s="154">
        <f>X$569</f>
        <v/>
      </c>
      <c r="Y388" s="154">
        <f>Y$569</f>
        <v/>
      </c>
      <c r="Z388" s="154">
        <f>Z$569</f>
        <v/>
      </c>
      <c r="AA388" s="154">
        <f>AA$569</f>
        <v/>
      </c>
      <c r="AB388" s="154">
        <f>AB$569</f>
        <v/>
      </c>
      <c r="AC388" s="154">
        <f>AC$569</f>
        <v/>
      </c>
      <c r="AD388" s="154">
        <f>AD$569</f>
        <v/>
      </c>
      <c r="AE388" s="229">
        <f>SUM(S388:AD388)</f>
        <v/>
      </c>
      <c r="AF388" s="229">
        <f>AF$569</f>
        <v/>
      </c>
      <c r="AG388" s="229">
        <f>AG$569</f>
        <v/>
      </c>
      <c r="AH388" s="229">
        <f>AH$569</f>
        <v/>
      </c>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f>"Returns ("&amp;$C390*100&amp;"% of product revenue)"</f>
        <v/>
      </c>
      <c r="B390" s="225" t="n"/>
      <c r="C390" s="340">
        <f>Assumptions!I52</f>
        <v/>
      </c>
      <c r="D390" s="154" t="n"/>
      <c r="E390" s="154" t="n"/>
      <c r="F390" s="154">
        <f>$C390*F372</f>
        <v/>
      </c>
      <c r="G390" s="154">
        <f>$C390*G372</f>
        <v/>
      </c>
      <c r="H390" s="154">
        <f>$C390*H372</f>
        <v/>
      </c>
      <c r="I390" s="154">
        <f>$C390*I372</f>
        <v/>
      </c>
      <c r="J390" s="154">
        <f>$C390*J372</f>
        <v/>
      </c>
      <c r="K390" s="154">
        <f>$C390*K372</f>
        <v/>
      </c>
      <c r="L390" s="154">
        <f>$C390*L372</f>
        <v/>
      </c>
      <c r="M390" s="154">
        <f>$C390*M372</f>
        <v/>
      </c>
      <c r="N390" s="154">
        <f>$C390*N372</f>
        <v/>
      </c>
      <c r="O390" s="154">
        <f>$C390*O372</f>
        <v/>
      </c>
      <c r="P390" s="154">
        <f>$C390*P372</f>
        <v/>
      </c>
      <c r="Q390" s="154">
        <f>$C390*Q372</f>
        <v/>
      </c>
      <c r="R390" s="229">
        <f>SUM(F390:Q390)</f>
        <v/>
      </c>
      <c r="S390" s="154">
        <f>$C390*S372</f>
        <v/>
      </c>
      <c r="T390" s="154">
        <f>$C390*T372</f>
        <v/>
      </c>
      <c r="U390" s="154">
        <f>$C390*U372</f>
        <v/>
      </c>
      <c r="V390" s="154">
        <f>$C390*V372</f>
        <v/>
      </c>
      <c r="W390" s="154">
        <f>$C390*W372</f>
        <v/>
      </c>
      <c r="X390" s="154">
        <f>$C390*X372</f>
        <v/>
      </c>
      <c r="Y390" s="154">
        <f>$C390*Y372</f>
        <v/>
      </c>
      <c r="Z390" s="154">
        <f>$C390*Z372</f>
        <v/>
      </c>
      <c r="AA390" s="154">
        <f>$C390*AA372</f>
        <v/>
      </c>
      <c r="AB390" s="154">
        <f>$C390*AB372</f>
        <v/>
      </c>
      <c r="AC390" s="154">
        <f>$C390*AC372</f>
        <v/>
      </c>
      <c r="AD390" s="154">
        <f>$C390*AD372</f>
        <v/>
      </c>
      <c r="AE390" s="229">
        <f>SUM(S390:AD390)</f>
        <v/>
      </c>
      <c r="AF390" s="229">
        <f>$C390*AF372</f>
        <v/>
      </c>
      <c r="AG390" s="229">
        <f>$C390*AG372</f>
        <v/>
      </c>
      <c r="AH390" s="229">
        <f>$C390*AH372</f>
        <v/>
      </c>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f>F386+F384+F388+F390</f>
        <v/>
      </c>
      <c r="G392" s="228">
        <f>G386+G384+G388+G390</f>
        <v/>
      </c>
      <c r="H392" s="228">
        <f>H386+H384+H388+H390</f>
        <v/>
      </c>
      <c r="I392" s="228">
        <f>I386+I384+I388+I390</f>
        <v/>
      </c>
      <c r="J392" s="228">
        <f>J386+J384+J388+J390</f>
        <v/>
      </c>
      <c r="K392" s="228">
        <f>K386+K384+K388+K390</f>
        <v/>
      </c>
      <c r="L392" s="228">
        <f>L386+L384+L388+L390</f>
        <v/>
      </c>
      <c r="M392" s="228">
        <f>M386+M384+M388+M390</f>
        <v/>
      </c>
      <c r="N392" s="228">
        <f>N386+N384+N388+N390</f>
        <v/>
      </c>
      <c r="O392" s="228">
        <f>O386+O384+O388+O390</f>
        <v/>
      </c>
      <c r="P392" s="228">
        <f>P386+P384+P388+P390</f>
        <v/>
      </c>
      <c r="Q392" s="228">
        <f>Q386+Q384+Q388+Q390</f>
        <v/>
      </c>
      <c r="R392" s="158">
        <f>SUM(F392:Q392)</f>
        <v/>
      </c>
      <c r="S392" s="228">
        <f>S386+S384+S388+S390</f>
        <v/>
      </c>
      <c r="T392" s="228">
        <f>T386+T384+T388+T390</f>
        <v/>
      </c>
      <c r="U392" s="228">
        <f>U386+U384+U388+U390</f>
        <v/>
      </c>
      <c r="V392" s="228">
        <f>V386+V384+V388+V390</f>
        <v/>
      </c>
      <c r="W392" s="228">
        <f>W386+W384+W388+W390</f>
        <v/>
      </c>
      <c r="X392" s="228">
        <f>X386+X384+X388+X390</f>
        <v/>
      </c>
      <c r="Y392" s="228">
        <f>Y386+Y384+Y388+Y390</f>
        <v/>
      </c>
      <c r="Z392" s="228">
        <f>Z386+Z384+Z388+Z390</f>
        <v/>
      </c>
      <c r="AA392" s="228">
        <f>AA386+AA384+AA388+AA390</f>
        <v/>
      </c>
      <c r="AB392" s="228">
        <f>AB386+AB384+AB388+AB390</f>
        <v/>
      </c>
      <c r="AC392" s="228">
        <f>AC386+AC384+AC388+AC390</f>
        <v/>
      </c>
      <c r="AD392" s="228">
        <f>AD386+AD384+AD388+AD390</f>
        <v/>
      </c>
      <c r="AE392" s="158">
        <f>SUM(S392:AD392)</f>
        <v/>
      </c>
      <c r="AF392" s="158">
        <f>AF386+AF384+AF388+AF390</f>
        <v/>
      </c>
      <c r="AG392" s="158">
        <f>AG386+AG384+AG388+AG390</f>
        <v/>
      </c>
      <c r="AH392" s="158">
        <f>AH386+AH384+AH388+AH390</f>
        <v/>
      </c>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f>F372-F392</f>
        <v/>
      </c>
      <c r="G394" s="228">
        <f>G372-G392</f>
        <v/>
      </c>
      <c r="H394" s="228">
        <f>H372-H392</f>
        <v/>
      </c>
      <c r="I394" s="228">
        <f>I372-I392</f>
        <v/>
      </c>
      <c r="J394" s="228">
        <f>J372-J392</f>
        <v/>
      </c>
      <c r="K394" s="228">
        <f>K372-K392</f>
        <v/>
      </c>
      <c r="L394" s="228">
        <f>L372-L392</f>
        <v/>
      </c>
      <c r="M394" s="228">
        <f>M372-M392</f>
        <v/>
      </c>
      <c r="N394" s="228">
        <f>N372-N392</f>
        <v/>
      </c>
      <c r="O394" s="228">
        <f>O372-O392</f>
        <v/>
      </c>
      <c r="P394" s="228">
        <f>P372-P392</f>
        <v/>
      </c>
      <c r="Q394" s="228">
        <f>Q372-Q392</f>
        <v/>
      </c>
      <c r="R394" s="158">
        <f>SUM(F394:Q394)</f>
        <v/>
      </c>
      <c r="S394" s="228">
        <f>S372-S392</f>
        <v/>
      </c>
      <c r="T394" s="228">
        <f>T372-T392</f>
        <v/>
      </c>
      <c r="U394" s="228">
        <f>U372-U392</f>
        <v/>
      </c>
      <c r="V394" s="228">
        <f>V372-V392</f>
        <v/>
      </c>
      <c r="W394" s="228">
        <f>W372-W392</f>
        <v/>
      </c>
      <c r="X394" s="228">
        <f>X372-X392</f>
        <v/>
      </c>
      <c r="Y394" s="228">
        <f>Y372-Y392</f>
        <v/>
      </c>
      <c r="Z394" s="228">
        <f>Z372-Z392</f>
        <v/>
      </c>
      <c r="AA394" s="228">
        <f>AA372-AA392</f>
        <v/>
      </c>
      <c r="AB394" s="228">
        <f>AB372-AB392</f>
        <v/>
      </c>
      <c r="AC394" s="228">
        <f>AC372-AC392</f>
        <v/>
      </c>
      <c r="AD394" s="228">
        <f>AD372-AD392</f>
        <v/>
      </c>
      <c r="AE394" s="158">
        <f>SUM(S394:AD394)</f>
        <v/>
      </c>
      <c r="AF394" s="158">
        <f>AF372-AF392</f>
        <v/>
      </c>
      <c r="AG394" s="158">
        <f>AG372-AG392</f>
        <v/>
      </c>
      <c r="AH394" s="158">
        <f>AH372-AH392</f>
        <v/>
      </c>
    </row>
    <row r="395" ht="9" customHeight="1" s="277">
      <c r="A395" s="354" t="inlineStr">
        <is>
          <t>Gross Margin % of Sales</t>
        </is>
      </c>
      <c r="B395" s="355" t="n"/>
      <c r="C395" s="356" t="n"/>
      <c r="D395" s="356" t="n"/>
      <c r="E395" s="356" t="n"/>
      <c r="F395" s="356">
        <f>IF(F372&gt;0,+F394/F372,0)</f>
        <v/>
      </c>
      <c r="G395" s="356">
        <f>IF(G372&gt;0,+G394/G372,0)</f>
        <v/>
      </c>
      <c r="H395" s="356">
        <f>IF(H372&gt;0,+H394/H372,0)</f>
        <v/>
      </c>
      <c r="I395" s="356">
        <f>IF(I372&gt;0,+I394/I372,0)</f>
        <v/>
      </c>
      <c r="J395" s="356">
        <f>IF(J372&gt;0,+J394/J372,0)</f>
        <v/>
      </c>
      <c r="K395" s="356">
        <f>IF(K372&gt;0,+K394/K372,0)</f>
        <v/>
      </c>
      <c r="L395" s="356">
        <f>IF(L372&gt;0,+L394/L372,0)</f>
        <v/>
      </c>
      <c r="M395" s="356">
        <f>IF(M372&gt;0,+M394/M372,0)</f>
        <v/>
      </c>
      <c r="N395" s="356">
        <f>IF(N372&gt;0,+N394/N372,0)</f>
        <v/>
      </c>
      <c r="O395" s="356">
        <f>IF(O372&gt;0,+O394/O372,0)</f>
        <v/>
      </c>
      <c r="P395" s="356">
        <f>IF(P372&gt;0,+P394/P372,0)</f>
        <v/>
      </c>
      <c r="Q395" s="356">
        <f>IF(Q372&gt;0,+Q394/Q372,0)</f>
        <v/>
      </c>
      <c r="R395" s="357">
        <f>IF(R372&gt;0,+R394/R372,0)</f>
        <v/>
      </c>
      <c r="S395" s="356">
        <f>IF(S372&gt;0,+S394/S372,0)</f>
        <v/>
      </c>
      <c r="T395" s="356">
        <f>IF(T372&gt;0,+T394/T372,0)</f>
        <v/>
      </c>
      <c r="U395" s="356">
        <f>IF(U372&gt;0,+U394/U372,0)</f>
        <v/>
      </c>
      <c r="V395" s="356">
        <f>IF(V372&gt;0,+V394/V372,0)</f>
        <v/>
      </c>
      <c r="W395" s="356">
        <f>IF(W372&gt;0,+W394/W372,0)</f>
        <v/>
      </c>
      <c r="X395" s="356">
        <f>IF(X372&gt;0,+X394/X372,0)</f>
        <v/>
      </c>
      <c r="Y395" s="356">
        <f>IF(Y372&gt;0,+Y394/Y372,0)</f>
        <v/>
      </c>
      <c r="Z395" s="356">
        <f>IF(Z372&gt;0,+Z394/Z372,0)</f>
        <v/>
      </c>
      <c r="AA395" s="356">
        <f>IF(AA372&gt;0,+AA394/AA372,0)</f>
        <v/>
      </c>
      <c r="AB395" s="356">
        <f>IF(AB372&gt;0,+AB394/AB372,0)</f>
        <v/>
      </c>
      <c r="AC395" s="356">
        <f>IF(AC372&gt;0,+AC394/AC372,0)</f>
        <v/>
      </c>
      <c r="AD395" s="356">
        <f>IF(AD372&gt;0,+AD394/AD372,0)</f>
        <v/>
      </c>
      <c r="AE395" s="357">
        <f>IF(AE372&gt;0,+AE394/AE372,0)</f>
        <v/>
      </c>
      <c r="AF395" s="357">
        <f>IF(AF372&gt;0,+AF394/AF372,0)</f>
        <v/>
      </c>
      <c r="AG395" s="357">
        <f>IF(AG372&gt;0,+AG394/AG372,0)</f>
        <v/>
      </c>
      <c r="AH395" s="357">
        <f>IF(AH372&gt;0,+AH394/AH372,0)</f>
        <v/>
      </c>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f>$A$1</f>
        <v/>
      </c>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f>NOW()</f>
        <v/>
      </c>
      <c r="C398" s="230" t="n"/>
      <c r="D398" s="230" t="n"/>
      <c r="E398" s="230" t="inlineStr">
        <is>
          <t>Existing</t>
        </is>
      </c>
      <c r="F398" s="142">
        <f>F$7</f>
        <v/>
      </c>
      <c r="G398" s="142">
        <f>G$7</f>
        <v/>
      </c>
      <c r="H398" s="142">
        <f>H$7</f>
        <v/>
      </c>
      <c r="I398" s="142">
        <f>I$7</f>
        <v/>
      </c>
      <c r="J398" s="142">
        <f>J$7</f>
        <v/>
      </c>
      <c r="K398" s="142">
        <f>K$7</f>
        <v/>
      </c>
      <c r="L398" s="142">
        <f>L$7</f>
        <v/>
      </c>
      <c r="M398" s="142">
        <f>M$7</f>
        <v/>
      </c>
      <c r="N398" s="142">
        <f>N$7</f>
        <v/>
      </c>
      <c r="O398" s="142">
        <f>O$7</f>
        <v/>
      </c>
      <c r="P398" s="142">
        <f>P$7</f>
        <v/>
      </c>
      <c r="Q398" s="142">
        <f>Q$7</f>
        <v/>
      </c>
      <c r="R398" s="143" t="inlineStr">
        <is>
          <t>Total</t>
        </is>
      </c>
      <c r="S398" s="142">
        <f>S$7</f>
        <v/>
      </c>
      <c r="T398" s="142">
        <f>T$7</f>
        <v/>
      </c>
      <c r="U398" s="142">
        <f>U$7</f>
        <v/>
      </c>
      <c r="V398" s="142">
        <f>V$7</f>
        <v/>
      </c>
      <c r="W398" s="142">
        <f>W$7</f>
        <v/>
      </c>
      <c r="X398" s="142">
        <f>X$7</f>
        <v/>
      </c>
      <c r="Y398" s="142">
        <f>Y$7</f>
        <v/>
      </c>
      <c r="Z398" s="142">
        <f>Z$7</f>
        <v/>
      </c>
      <c r="AA398" s="142">
        <f>AA$7</f>
        <v/>
      </c>
      <c r="AB398" s="142">
        <f>AB$7</f>
        <v/>
      </c>
      <c r="AC398" s="142">
        <f>AC$7</f>
        <v/>
      </c>
      <c r="AD398" s="142">
        <f>AD$7</f>
        <v/>
      </c>
      <c r="AE398" s="143" t="inlineStr">
        <is>
          <t>Total</t>
        </is>
      </c>
      <c r="AF398" s="143">
        <f>AF$7</f>
        <v/>
      </c>
      <c r="AG398" s="143">
        <f>AG$7</f>
        <v/>
      </c>
      <c r="AH398" s="143">
        <f>AH$7</f>
        <v/>
      </c>
    </row>
    <row r="399" ht="8.25" customHeight="1" s="277">
      <c r="A399" s="328" t="n"/>
      <c r="B399" s="329">
        <f>NOW()</f>
        <v/>
      </c>
      <c r="C399" s="330" t="n"/>
      <c r="D399" s="330" t="n"/>
      <c r="E399" s="330" t="n"/>
      <c r="F399" s="324">
        <f>F$1</f>
        <v/>
      </c>
      <c r="G399" s="324">
        <f>G$1</f>
        <v/>
      </c>
      <c r="H399" s="324">
        <f>H$1</f>
        <v/>
      </c>
      <c r="I399" s="324">
        <f>I$1</f>
        <v/>
      </c>
      <c r="J399" s="324">
        <f>J$1</f>
        <v/>
      </c>
      <c r="K399" s="324">
        <f>K$1</f>
        <v/>
      </c>
      <c r="L399" s="324">
        <f>L$1</f>
        <v/>
      </c>
      <c r="M399" s="324">
        <f>M$1</f>
        <v/>
      </c>
      <c r="N399" s="324">
        <f>N$1</f>
        <v/>
      </c>
      <c r="O399" s="324">
        <f>O$1</f>
        <v/>
      </c>
      <c r="P399" s="324">
        <f>P$1</f>
        <v/>
      </c>
      <c r="Q399" s="324">
        <f>Q$1</f>
        <v/>
      </c>
      <c r="R399" s="325">
        <f>R$1</f>
        <v/>
      </c>
      <c r="S399" s="324">
        <f>S$1</f>
        <v/>
      </c>
      <c r="T399" s="324">
        <f>T$1</f>
        <v/>
      </c>
      <c r="U399" s="324">
        <f>U$1</f>
        <v/>
      </c>
      <c r="V399" s="324">
        <f>V$1</f>
        <v/>
      </c>
      <c r="W399" s="324">
        <f>W$1</f>
        <v/>
      </c>
      <c r="X399" s="324">
        <f>X$1</f>
        <v/>
      </c>
      <c r="Y399" s="324">
        <f>Y$1</f>
        <v/>
      </c>
      <c r="Z399" s="324">
        <f>Z$1</f>
        <v/>
      </c>
      <c r="AA399" s="324">
        <f>AA$1</f>
        <v/>
      </c>
      <c r="AB399" s="324">
        <f>AB$1</f>
        <v/>
      </c>
      <c r="AC399" s="324">
        <f>AC$1</f>
        <v/>
      </c>
      <c r="AD399" s="324">
        <f>AD$1</f>
        <v/>
      </c>
      <c r="AE399" s="325">
        <f>AE$1</f>
        <v/>
      </c>
      <c r="AF399" s="325">
        <f>AF$1</f>
        <v/>
      </c>
      <c r="AG399" s="325">
        <f>AG$1</f>
        <v/>
      </c>
      <c r="AH399" s="325">
        <f>AH$1</f>
        <v/>
      </c>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f>Assumptions!I14</f>
        <v/>
      </c>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f>E402</f>
        <v/>
      </c>
      <c r="G402" s="210">
        <f>F402</f>
        <v/>
      </c>
      <c r="H402" s="210">
        <f>G402</f>
        <v/>
      </c>
      <c r="I402" s="210">
        <f>H402</f>
        <v/>
      </c>
      <c r="J402" s="210">
        <f>I402</f>
        <v/>
      </c>
      <c r="K402" s="210">
        <f>J402</f>
        <v/>
      </c>
      <c r="L402" s="210">
        <f>K402</f>
        <v/>
      </c>
      <c r="M402" s="210">
        <f>L402</f>
        <v/>
      </c>
      <c r="N402" s="210">
        <f>M402</f>
        <v/>
      </c>
      <c r="O402" s="210">
        <f>N402</f>
        <v/>
      </c>
      <c r="P402" s="210">
        <f>O402</f>
        <v/>
      </c>
      <c r="Q402" s="210">
        <f>P402</f>
        <v/>
      </c>
      <c r="R402" s="172">
        <f>Q402</f>
        <v/>
      </c>
      <c r="S402" s="210">
        <f>R402</f>
        <v/>
      </c>
      <c r="T402" s="210">
        <f>S402</f>
        <v/>
      </c>
      <c r="U402" s="210">
        <f>T402</f>
        <v/>
      </c>
      <c r="V402" s="210">
        <f>U402</f>
        <v/>
      </c>
      <c r="W402" s="210">
        <f>V402</f>
        <v/>
      </c>
      <c r="X402" s="210">
        <f>W402</f>
        <v/>
      </c>
      <c r="Y402" s="210">
        <f>X402</f>
        <v/>
      </c>
      <c r="Z402" s="210">
        <f>Y402</f>
        <v/>
      </c>
      <c r="AA402" s="210">
        <f>Z402</f>
        <v/>
      </c>
      <c r="AB402" s="210">
        <f>AA402</f>
        <v/>
      </c>
      <c r="AC402" s="210">
        <f>AB402</f>
        <v/>
      </c>
      <c r="AD402" s="210">
        <f>AC402</f>
        <v/>
      </c>
      <c r="AE402" s="172">
        <f>AD402</f>
        <v/>
      </c>
      <c r="AF402" s="172">
        <f>AE402</f>
        <v/>
      </c>
      <c r="AG402" s="172">
        <f>AF402</f>
        <v/>
      </c>
      <c r="AH402" s="172">
        <f>AG402</f>
        <v/>
      </c>
    </row>
    <row r="403" ht="8.25" customHeight="1" s="277">
      <c r="A403" s="224" t="n"/>
      <c r="B403" s="206" t="inlineStr">
        <is>
          <t>Inventory</t>
        </is>
      </c>
      <c r="C403" s="154" t="n"/>
      <c r="D403" s="154" t="n"/>
      <c r="E403" s="207" t="n">
        <v>0</v>
      </c>
      <c r="F403" s="210">
        <f>E403</f>
        <v/>
      </c>
      <c r="G403" s="210">
        <f>F403</f>
        <v/>
      </c>
      <c r="H403" s="210">
        <f>G403</f>
        <v/>
      </c>
      <c r="I403" s="210">
        <f>H403</f>
        <v/>
      </c>
      <c r="J403" s="210">
        <f>I403</f>
        <v/>
      </c>
      <c r="K403" s="210">
        <f>J403</f>
        <v/>
      </c>
      <c r="L403" s="210">
        <f>K403</f>
        <v/>
      </c>
      <c r="M403" s="210">
        <f>L403</f>
        <v/>
      </c>
      <c r="N403" s="210">
        <f>M403</f>
        <v/>
      </c>
      <c r="O403" s="210">
        <f>N403</f>
        <v/>
      </c>
      <c r="P403" s="210">
        <f>O403</f>
        <v/>
      </c>
      <c r="Q403" s="210">
        <f>P403</f>
        <v/>
      </c>
      <c r="R403" s="172">
        <f>Q403</f>
        <v/>
      </c>
      <c r="S403" s="210">
        <f>R403</f>
        <v/>
      </c>
      <c r="T403" s="210">
        <f>S403</f>
        <v/>
      </c>
      <c r="U403" s="210">
        <f>T403</f>
        <v/>
      </c>
      <c r="V403" s="210">
        <f>U403</f>
        <v/>
      </c>
      <c r="W403" s="210">
        <f>V403</f>
        <v/>
      </c>
      <c r="X403" s="210">
        <f>W403</f>
        <v/>
      </c>
      <c r="Y403" s="210">
        <f>X403</f>
        <v/>
      </c>
      <c r="Z403" s="210">
        <f>Y403</f>
        <v/>
      </c>
      <c r="AA403" s="210">
        <f>Z403</f>
        <v/>
      </c>
      <c r="AB403" s="210">
        <f>AA403</f>
        <v/>
      </c>
      <c r="AC403" s="210">
        <f>AB403</f>
        <v/>
      </c>
      <c r="AD403" s="210">
        <f>AC403</f>
        <v/>
      </c>
      <c r="AE403" s="172">
        <f>AD403</f>
        <v/>
      </c>
      <c r="AF403" s="172">
        <f>AE403</f>
        <v/>
      </c>
      <c r="AG403" s="172">
        <f>AF403</f>
        <v/>
      </c>
      <c r="AH403" s="172">
        <f>AG403</f>
        <v/>
      </c>
    </row>
    <row r="404" ht="8.25" customHeight="1" s="277">
      <c r="A404" s="224" t="n"/>
      <c r="B404" s="206" t="inlineStr">
        <is>
          <t>Technical Support Mgr.</t>
        </is>
      </c>
      <c r="C404" s="154" t="n"/>
      <c r="D404" s="154" t="n"/>
      <c r="E404" s="207" t="n">
        <v>0</v>
      </c>
      <c r="F404" s="210">
        <f>E404</f>
        <v/>
      </c>
      <c r="G404" s="210">
        <f>F404</f>
        <v/>
      </c>
      <c r="H404" s="210">
        <f>G404</f>
        <v/>
      </c>
      <c r="I404" s="210">
        <f>H404</f>
        <v/>
      </c>
      <c r="J404" s="210">
        <f>I404</f>
        <v/>
      </c>
      <c r="K404" s="210">
        <f>J404</f>
        <v/>
      </c>
      <c r="L404" s="210">
        <f>K404</f>
        <v/>
      </c>
      <c r="M404" s="210">
        <f>L404</f>
        <v/>
      </c>
      <c r="N404" s="210">
        <f>M404</f>
        <v/>
      </c>
      <c r="O404" s="210">
        <f>N404</f>
        <v/>
      </c>
      <c r="P404" s="210">
        <f>O404</f>
        <v/>
      </c>
      <c r="Q404" s="210">
        <f>P404</f>
        <v/>
      </c>
      <c r="R404" s="172">
        <f>Q404</f>
        <v/>
      </c>
      <c r="S404" s="210">
        <f>R404</f>
        <v/>
      </c>
      <c r="T404" s="210">
        <f>S404</f>
        <v/>
      </c>
      <c r="U404" s="210">
        <f>T404</f>
        <v/>
      </c>
      <c r="V404" s="210">
        <f>U404</f>
        <v/>
      </c>
      <c r="W404" s="210">
        <f>V404</f>
        <v/>
      </c>
      <c r="X404" s="210">
        <f>W404</f>
        <v/>
      </c>
      <c r="Y404" s="210">
        <f>X404</f>
        <v/>
      </c>
      <c r="Z404" s="210">
        <f>Y404</f>
        <v/>
      </c>
      <c r="AA404" s="210">
        <f>Z404</f>
        <v/>
      </c>
      <c r="AB404" s="210">
        <f>AA404</f>
        <v/>
      </c>
      <c r="AC404" s="210">
        <f>AB404</f>
        <v/>
      </c>
      <c r="AD404" s="210">
        <f>AC404</f>
        <v/>
      </c>
      <c r="AE404" s="172">
        <f>AD404</f>
        <v/>
      </c>
      <c r="AF404" s="172">
        <f>AE404</f>
        <v/>
      </c>
      <c r="AG404" s="172">
        <f>AF404</f>
        <v/>
      </c>
      <c r="AH404" s="172">
        <f>AG404</f>
        <v/>
      </c>
    </row>
    <row r="405" ht="8.25" customHeight="1" s="277">
      <c r="A405" s="224" t="n"/>
      <c r="B405" s="206" t="inlineStr">
        <is>
          <t>Technical Support</t>
        </is>
      </c>
      <c r="C405" s="154" t="n"/>
      <c r="D405" s="154" t="n"/>
      <c r="E405" s="207" t="n">
        <v>0</v>
      </c>
      <c r="F405" s="210">
        <f>E405</f>
        <v/>
      </c>
      <c r="G405" s="210">
        <f>F405</f>
        <v/>
      </c>
      <c r="H405" s="210">
        <f>G405</f>
        <v/>
      </c>
      <c r="I405" s="210">
        <f>H405</f>
        <v/>
      </c>
      <c r="J405" s="210">
        <f>I405</f>
        <v/>
      </c>
      <c r="K405" s="210">
        <f>J405</f>
        <v/>
      </c>
      <c r="L405" s="210">
        <f>K405</f>
        <v/>
      </c>
      <c r="M405" s="210">
        <f>L405</f>
        <v/>
      </c>
      <c r="N405" s="210">
        <f>M405</f>
        <v/>
      </c>
      <c r="O405" s="210">
        <f>N405</f>
        <v/>
      </c>
      <c r="P405" s="210">
        <f>O405</f>
        <v/>
      </c>
      <c r="Q405" s="210">
        <f>P405</f>
        <v/>
      </c>
      <c r="R405" s="172">
        <f>Q405</f>
        <v/>
      </c>
      <c r="S405" s="210">
        <f>R405</f>
        <v/>
      </c>
      <c r="T405" s="210">
        <f>S405</f>
        <v/>
      </c>
      <c r="U405" s="210">
        <f>T405</f>
        <v/>
      </c>
      <c r="V405" s="210">
        <f>U405</f>
        <v/>
      </c>
      <c r="W405" s="210">
        <f>V405</f>
        <v/>
      </c>
      <c r="X405" s="210">
        <f>W405</f>
        <v/>
      </c>
      <c r="Y405" s="210">
        <f>X405</f>
        <v/>
      </c>
      <c r="Z405" s="210">
        <f>Y405</f>
        <v/>
      </c>
      <c r="AA405" s="210">
        <f>Z405</f>
        <v/>
      </c>
      <c r="AB405" s="210">
        <f>AA405</f>
        <v/>
      </c>
      <c r="AC405" s="210">
        <f>AB405</f>
        <v/>
      </c>
      <c r="AD405" s="210">
        <f>AC405</f>
        <v/>
      </c>
      <c r="AE405" s="172">
        <f>AD405</f>
        <v/>
      </c>
      <c r="AF405" s="172">
        <f>AE405</f>
        <v/>
      </c>
      <c r="AG405" s="172">
        <f>AF405</f>
        <v/>
      </c>
      <c r="AH405" s="172">
        <f>AG405</f>
        <v/>
      </c>
    </row>
    <row r="406" ht="8.25" customHeight="1" s="277">
      <c r="A406" s="224" t="n"/>
      <c r="B406" s="206" t="inlineStr">
        <is>
          <t>Tech. Support Assistant</t>
        </is>
      </c>
      <c r="C406" s="154" t="n"/>
      <c r="D406" s="154" t="n"/>
      <c r="E406" s="207" t="n">
        <v>0</v>
      </c>
      <c r="F406" s="210">
        <f>E406</f>
        <v/>
      </c>
      <c r="G406" s="210">
        <f>F406</f>
        <v/>
      </c>
      <c r="H406" s="210">
        <f>G406</f>
        <v/>
      </c>
      <c r="I406" s="210">
        <f>H406</f>
        <v/>
      </c>
      <c r="J406" s="210">
        <f>I406</f>
        <v/>
      </c>
      <c r="K406" s="210">
        <f>J406</f>
        <v/>
      </c>
      <c r="L406" s="210">
        <f>K406</f>
        <v/>
      </c>
      <c r="M406" s="210">
        <f>L406</f>
        <v/>
      </c>
      <c r="N406" s="210">
        <f>M406</f>
        <v/>
      </c>
      <c r="O406" s="210">
        <f>N406</f>
        <v/>
      </c>
      <c r="P406" s="210">
        <f>O406</f>
        <v/>
      </c>
      <c r="Q406" s="210">
        <f>P406</f>
        <v/>
      </c>
      <c r="R406" s="172">
        <f>Q406</f>
        <v/>
      </c>
      <c r="S406" s="210">
        <f>R406</f>
        <v/>
      </c>
      <c r="T406" s="210">
        <f>S406</f>
        <v/>
      </c>
      <c r="U406" s="210">
        <f>T406</f>
        <v/>
      </c>
      <c r="V406" s="210">
        <f>U406</f>
        <v/>
      </c>
      <c r="W406" s="210">
        <f>V406</f>
        <v/>
      </c>
      <c r="X406" s="210">
        <f>W406</f>
        <v/>
      </c>
      <c r="Y406" s="210">
        <f>X406</f>
        <v/>
      </c>
      <c r="Z406" s="210">
        <f>Y406</f>
        <v/>
      </c>
      <c r="AA406" s="210">
        <f>Z406</f>
        <v/>
      </c>
      <c r="AB406" s="210">
        <f>AA406</f>
        <v/>
      </c>
      <c r="AC406" s="210">
        <f>AB406</f>
        <v/>
      </c>
      <c r="AD406" s="210">
        <f>AC406</f>
        <v/>
      </c>
      <c r="AE406" s="172">
        <f>AD406</f>
        <v/>
      </c>
      <c r="AF406" s="172">
        <f>AE406</f>
        <v/>
      </c>
      <c r="AG406" s="172">
        <f>AF406</f>
        <v/>
      </c>
      <c r="AH406" s="172">
        <f>AG406</f>
        <v/>
      </c>
    </row>
    <row r="407" ht="8.25" customHeight="1" s="277">
      <c r="A407" s="139" t="inlineStr">
        <is>
          <t>Total Staff</t>
        </is>
      </c>
      <c r="B407" s="156" t="n"/>
      <c r="C407" s="228" t="n"/>
      <c r="D407" s="228" t="n"/>
      <c r="E407" s="228">
        <f>SUM(E402:E406)</f>
        <v/>
      </c>
      <c r="F407" s="228">
        <f>SUM(F402:F406)</f>
        <v/>
      </c>
      <c r="G407" s="228">
        <f>SUM(G402:G406)</f>
        <v/>
      </c>
      <c r="H407" s="228">
        <f>SUM(H402:H406)</f>
        <v/>
      </c>
      <c r="I407" s="228">
        <f>SUM(I402:I406)</f>
        <v/>
      </c>
      <c r="J407" s="228">
        <f>SUM(J402:J406)</f>
        <v/>
      </c>
      <c r="K407" s="228">
        <f>SUM(K402:K406)</f>
        <v/>
      </c>
      <c r="L407" s="228">
        <f>SUM(L402:L406)</f>
        <v/>
      </c>
      <c r="M407" s="228">
        <f>SUM(M402:M406)</f>
        <v/>
      </c>
      <c r="N407" s="228">
        <f>SUM(N402:N406)</f>
        <v/>
      </c>
      <c r="O407" s="228">
        <f>SUM(O402:O406)</f>
        <v/>
      </c>
      <c r="P407" s="228">
        <f>SUM(P402:P406)</f>
        <v/>
      </c>
      <c r="Q407" s="228">
        <f>SUM(Q402:Q406)</f>
        <v/>
      </c>
      <c r="R407" s="158">
        <f>Q407</f>
        <v/>
      </c>
      <c r="S407" s="228">
        <f>SUM(S402:S406)</f>
        <v/>
      </c>
      <c r="T407" s="228">
        <f>SUM(T402:T406)</f>
        <v/>
      </c>
      <c r="U407" s="228">
        <f>SUM(U402:U406)</f>
        <v/>
      </c>
      <c r="V407" s="228">
        <f>SUM(V402:V406)</f>
        <v/>
      </c>
      <c r="W407" s="228">
        <f>SUM(W402:W406)</f>
        <v/>
      </c>
      <c r="X407" s="228">
        <f>SUM(X402:X406)</f>
        <v/>
      </c>
      <c r="Y407" s="228">
        <f>SUM(Y402:Y406)</f>
        <v/>
      </c>
      <c r="Z407" s="228">
        <f>SUM(Z402:Z406)</f>
        <v/>
      </c>
      <c r="AA407" s="228">
        <f>SUM(AA402:AA406)</f>
        <v/>
      </c>
      <c r="AB407" s="228">
        <f>SUM(AB402:AB406)</f>
        <v/>
      </c>
      <c r="AC407" s="228">
        <f>SUM(AC402:AC406)</f>
        <v/>
      </c>
      <c r="AD407" s="228">
        <f>SUM(AD402:AD406)</f>
        <v/>
      </c>
      <c r="AE407" s="158">
        <f>AD407</f>
        <v/>
      </c>
      <c r="AF407" s="158">
        <f>SUM(AF402:AF406)</f>
        <v/>
      </c>
      <c r="AG407" s="158">
        <f>SUM(AG402:AG406)</f>
        <v/>
      </c>
      <c r="AH407" s="158">
        <f>SUM(AH402:AH406)</f>
        <v/>
      </c>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f>Assumptions!I15</f>
        <v/>
      </c>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f>E410</f>
        <v/>
      </c>
      <c r="G410" s="210">
        <f>F410</f>
        <v/>
      </c>
      <c r="H410" s="210">
        <f>G410</f>
        <v/>
      </c>
      <c r="I410" s="210">
        <f>H410</f>
        <v/>
      </c>
      <c r="J410" s="210">
        <f>I410</f>
        <v/>
      </c>
      <c r="K410" s="210">
        <f>J410</f>
        <v/>
      </c>
      <c r="L410" s="210">
        <f>K410</f>
        <v/>
      </c>
      <c r="M410" s="210">
        <f>L410</f>
        <v/>
      </c>
      <c r="N410" s="210">
        <f>M410</f>
        <v/>
      </c>
      <c r="O410" s="210">
        <f>N410</f>
        <v/>
      </c>
      <c r="P410" s="210">
        <f>O410</f>
        <v/>
      </c>
      <c r="Q410" s="210">
        <f>P410</f>
        <v/>
      </c>
      <c r="R410" s="172">
        <f>Q410</f>
        <v/>
      </c>
      <c r="S410" s="210">
        <f>R410</f>
        <v/>
      </c>
      <c r="T410" s="210">
        <f>S410</f>
        <v/>
      </c>
      <c r="U410" s="210">
        <f>T410</f>
        <v/>
      </c>
      <c r="V410" s="210">
        <f>U410</f>
        <v/>
      </c>
      <c r="W410" s="210">
        <f>V410</f>
        <v/>
      </c>
      <c r="X410" s="210">
        <f>W410</f>
        <v/>
      </c>
      <c r="Y410" s="210">
        <f>X410</f>
        <v/>
      </c>
      <c r="Z410" s="210">
        <f>Y410</f>
        <v/>
      </c>
      <c r="AA410" s="210">
        <f>Z410</f>
        <v/>
      </c>
      <c r="AB410" s="210">
        <f>AA410</f>
        <v/>
      </c>
      <c r="AC410" s="210">
        <f>AB410</f>
        <v/>
      </c>
      <c r="AD410" s="210">
        <f>AC410</f>
        <v/>
      </c>
      <c r="AE410" s="172">
        <f>AD410</f>
        <v/>
      </c>
      <c r="AF410" s="172">
        <f>AE410</f>
        <v/>
      </c>
      <c r="AG410" s="172">
        <f>AF410</f>
        <v/>
      </c>
      <c r="AH410" s="172">
        <f>AG410</f>
        <v/>
      </c>
    </row>
    <row r="411" ht="8.25" customHeight="1" s="277">
      <c r="A411" s="224" t="n"/>
      <c r="B411" s="209" t="inlineStr">
        <is>
          <t>System  Administration</t>
        </is>
      </c>
      <c r="C411" s="154" t="n"/>
      <c r="D411" s="154" t="n"/>
      <c r="E411" s="207" t="n">
        <v>0</v>
      </c>
      <c r="F411" s="210">
        <f>E411</f>
        <v/>
      </c>
      <c r="G411" s="210">
        <f>F411</f>
        <v/>
      </c>
      <c r="H411" s="210">
        <f>G411</f>
        <v/>
      </c>
      <c r="I411" s="210">
        <f>H411</f>
        <v/>
      </c>
      <c r="J411" s="210">
        <f>I411</f>
        <v/>
      </c>
      <c r="K411" s="210">
        <f>J411</f>
        <v/>
      </c>
      <c r="L411" s="210">
        <f>K411</f>
        <v/>
      </c>
      <c r="M411" s="210">
        <f>L411</f>
        <v/>
      </c>
      <c r="N411" s="210">
        <f>M411</f>
        <v/>
      </c>
      <c r="O411" s="210">
        <f>N411</f>
        <v/>
      </c>
      <c r="P411" s="210">
        <f>O411</f>
        <v/>
      </c>
      <c r="Q411" s="210">
        <f>P411</f>
        <v/>
      </c>
      <c r="R411" s="172">
        <f>Q411</f>
        <v/>
      </c>
      <c r="S411" s="210">
        <f>R411</f>
        <v/>
      </c>
      <c r="T411" s="210">
        <f>S411</f>
        <v/>
      </c>
      <c r="U411" s="210">
        <f>T411</f>
        <v/>
      </c>
      <c r="V411" s="210">
        <f>U411</f>
        <v/>
      </c>
      <c r="W411" s="210">
        <f>V411</f>
        <v/>
      </c>
      <c r="X411" s="210">
        <f>W411</f>
        <v/>
      </c>
      <c r="Y411" s="210">
        <f>X411</f>
        <v/>
      </c>
      <c r="Z411" s="210">
        <f>Y411</f>
        <v/>
      </c>
      <c r="AA411" s="210">
        <f>Z411</f>
        <v/>
      </c>
      <c r="AB411" s="210">
        <f>AA411</f>
        <v/>
      </c>
      <c r="AC411" s="210">
        <f>AB411</f>
        <v/>
      </c>
      <c r="AD411" s="210">
        <f>AC411</f>
        <v/>
      </c>
      <c r="AE411" s="172">
        <f>AD411</f>
        <v/>
      </c>
      <c r="AF411" s="172">
        <f>AE411</f>
        <v/>
      </c>
      <c r="AG411" s="172">
        <f>AF411</f>
        <v/>
      </c>
      <c r="AH411" s="172">
        <f>AG411</f>
        <v/>
      </c>
    </row>
    <row r="412" ht="8.25" customHeight="1" s="277">
      <c r="A412" s="224" t="n"/>
      <c r="B412" s="209" t="inlineStr">
        <is>
          <t>Project Manager</t>
        </is>
      </c>
      <c r="C412" s="154" t="n"/>
      <c r="D412" s="154" t="n"/>
      <c r="E412" s="207" t="n">
        <v>0</v>
      </c>
      <c r="F412" s="210">
        <f>E412</f>
        <v/>
      </c>
      <c r="G412" s="210">
        <f>F412</f>
        <v/>
      </c>
      <c r="H412" s="210">
        <f>G412</f>
        <v/>
      </c>
      <c r="I412" s="210">
        <f>H412</f>
        <v/>
      </c>
      <c r="J412" s="210">
        <f>I412</f>
        <v/>
      </c>
      <c r="K412" s="210">
        <f>J412</f>
        <v/>
      </c>
      <c r="L412" s="210">
        <f>K412</f>
        <v/>
      </c>
      <c r="M412" s="210">
        <f>L412</f>
        <v/>
      </c>
      <c r="N412" s="210">
        <f>M412</f>
        <v/>
      </c>
      <c r="O412" s="210">
        <f>N412</f>
        <v/>
      </c>
      <c r="P412" s="210">
        <f>O412</f>
        <v/>
      </c>
      <c r="Q412" s="210">
        <f>P412</f>
        <v/>
      </c>
      <c r="R412" s="172">
        <f>Q412</f>
        <v/>
      </c>
      <c r="S412" s="210">
        <f>R412</f>
        <v/>
      </c>
      <c r="T412" s="210">
        <f>S412</f>
        <v/>
      </c>
      <c r="U412" s="210">
        <f>T412</f>
        <v/>
      </c>
      <c r="V412" s="210">
        <f>U412</f>
        <v/>
      </c>
      <c r="W412" s="210">
        <f>V412</f>
        <v/>
      </c>
      <c r="X412" s="210">
        <f>W412</f>
        <v/>
      </c>
      <c r="Y412" s="210">
        <f>X412</f>
        <v/>
      </c>
      <c r="Z412" s="210">
        <f>Y412</f>
        <v/>
      </c>
      <c r="AA412" s="210">
        <f>Z412</f>
        <v/>
      </c>
      <c r="AB412" s="210">
        <f>AA412</f>
        <v/>
      </c>
      <c r="AC412" s="210">
        <f>AB412</f>
        <v/>
      </c>
      <c r="AD412" s="210">
        <f>AC412</f>
        <v/>
      </c>
      <c r="AE412" s="172">
        <f>AD412</f>
        <v/>
      </c>
      <c r="AF412" s="172">
        <f>AE412</f>
        <v/>
      </c>
      <c r="AG412" s="172">
        <f>AF412</f>
        <v/>
      </c>
      <c r="AH412" s="172">
        <f>AG412</f>
        <v/>
      </c>
    </row>
    <row r="413" ht="8.25" customHeight="1" s="277">
      <c r="A413" s="224" t="n"/>
      <c r="B413" s="209" t="inlineStr">
        <is>
          <t>Programming</t>
        </is>
      </c>
      <c r="C413" s="154" t="n"/>
      <c r="D413" s="154" t="n"/>
      <c r="E413" s="207" t="n">
        <v>0</v>
      </c>
      <c r="F413" s="210">
        <f>E413</f>
        <v/>
      </c>
      <c r="G413" s="210">
        <f>F413</f>
        <v/>
      </c>
      <c r="H413" s="210">
        <f>G413</f>
        <v/>
      </c>
      <c r="I413" s="210">
        <f>H413</f>
        <v/>
      </c>
      <c r="J413" s="210">
        <f>I413</f>
        <v/>
      </c>
      <c r="K413" s="210">
        <f>J413</f>
        <v/>
      </c>
      <c r="L413" s="210">
        <f>K413</f>
        <v/>
      </c>
      <c r="M413" s="210">
        <f>L413</f>
        <v/>
      </c>
      <c r="N413" s="210">
        <f>M413</f>
        <v/>
      </c>
      <c r="O413" s="210">
        <f>N413</f>
        <v/>
      </c>
      <c r="P413" s="210">
        <f>O413</f>
        <v/>
      </c>
      <c r="Q413" s="210">
        <f>P413</f>
        <v/>
      </c>
      <c r="R413" s="172">
        <f>Q413</f>
        <v/>
      </c>
      <c r="S413" s="210">
        <f>R413</f>
        <v/>
      </c>
      <c r="T413" s="210">
        <f>S413</f>
        <v/>
      </c>
      <c r="U413" s="210">
        <f>T413</f>
        <v/>
      </c>
      <c r="V413" s="210">
        <f>U413</f>
        <v/>
      </c>
      <c r="W413" s="210">
        <f>V413</f>
        <v/>
      </c>
      <c r="X413" s="210">
        <f>W413</f>
        <v/>
      </c>
      <c r="Y413" s="210">
        <f>X413</f>
        <v/>
      </c>
      <c r="Z413" s="210">
        <f>Y413</f>
        <v/>
      </c>
      <c r="AA413" s="210">
        <f>Z413</f>
        <v/>
      </c>
      <c r="AB413" s="210">
        <f>AA413</f>
        <v/>
      </c>
      <c r="AC413" s="210">
        <f>AB413</f>
        <v/>
      </c>
      <c r="AD413" s="210">
        <f>AC413</f>
        <v/>
      </c>
      <c r="AE413" s="172">
        <f>AD413</f>
        <v/>
      </c>
      <c r="AF413" s="172">
        <f>AE413</f>
        <v/>
      </c>
      <c r="AG413" s="172">
        <f>AF413</f>
        <v/>
      </c>
      <c r="AH413" s="172">
        <f>AG413</f>
        <v/>
      </c>
    </row>
    <row r="414" ht="8.25" customHeight="1" s="277">
      <c r="A414" s="224" t="n"/>
      <c r="B414" s="209" t="inlineStr">
        <is>
          <t>Quality Assurance</t>
        </is>
      </c>
      <c r="C414" s="154" t="n"/>
      <c r="D414" s="154" t="n"/>
      <c r="E414" s="207" t="n">
        <v>0</v>
      </c>
      <c r="F414" s="210">
        <f>E414</f>
        <v/>
      </c>
      <c r="G414" s="210">
        <f>F414</f>
        <v/>
      </c>
      <c r="H414" s="210">
        <f>G414</f>
        <v/>
      </c>
      <c r="I414" s="210">
        <f>H414</f>
        <v/>
      </c>
      <c r="J414" s="210">
        <f>I414</f>
        <v/>
      </c>
      <c r="K414" s="210">
        <f>J414</f>
        <v/>
      </c>
      <c r="L414" s="210">
        <f>K414</f>
        <v/>
      </c>
      <c r="M414" s="210">
        <f>L414</f>
        <v/>
      </c>
      <c r="N414" s="210">
        <f>M414</f>
        <v/>
      </c>
      <c r="O414" s="210">
        <f>N414</f>
        <v/>
      </c>
      <c r="P414" s="210">
        <f>O414</f>
        <v/>
      </c>
      <c r="Q414" s="210">
        <f>P414</f>
        <v/>
      </c>
      <c r="R414" s="172">
        <f>Q414</f>
        <v/>
      </c>
      <c r="S414" s="210">
        <f>R414</f>
        <v/>
      </c>
      <c r="T414" s="210">
        <f>S414</f>
        <v/>
      </c>
      <c r="U414" s="210">
        <f>T414</f>
        <v/>
      </c>
      <c r="V414" s="210">
        <f>U414</f>
        <v/>
      </c>
      <c r="W414" s="210">
        <f>V414</f>
        <v/>
      </c>
      <c r="X414" s="210">
        <f>W414</f>
        <v/>
      </c>
      <c r="Y414" s="210">
        <f>X414</f>
        <v/>
      </c>
      <c r="Z414" s="210">
        <f>Y414</f>
        <v/>
      </c>
      <c r="AA414" s="210">
        <f>Z414</f>
        <v/>
      </c>
      <c r="AB414" s="210">
        <f>AA414</f>
        <v/>
      </c>
      <c r="AC414" s="210">
        <f>AB414</f>
        <v/>
      </c>
      <c r="AD414" s="210">
        <f>AC414</f>
        <v/>
      </c>
      <c r="AE414" s="172">
        <f>AD414</f>
        <v/>
      </c>
      <c r="AF414" s="172">
        <f>AE414</f>
        <v/>
      </c>
      <c r="AG414" s="172">
        <f>AF414</f>
        <v/>
      </c>
      <c r="AH414" s="172">
        <f>AG414</f>
        <v/>
      </c>
    </row>
    <row r="415" ht="8.25" customHeight="1" s="277">
      <c r="A415" s="139" t="inlineStr">
        <is>
          <t>Total Staff</t>
        </is>
      </c>
      <c r="B415" s="156" t="n"/>
      <c r="C415" s="228" t="n"/>
      <c r="D415" s="228" t="n"/>
      <c r="E415" s="228">
        <f>SUM(E410:E414)</f>
        <v/>
      </c>
      <c r="F415" s="228">
        <f>SUM(F410:F414)</f>
        <v/>
      </c>
      <c r="G415" s="228">
        <f>SUM(G410:G414)</f>
        <v/>
      </c>
      <c r="H415" s="228">
        <f>SUM(H410:H414)</f>
        <v/>
      </c>
      <c r="I415" s="228">
        <f>SUM(I410:I414)</f>
        <v/>
      </c>
      <c r="J415" s="228">
        <f>SUM(J410:J414)</f>
        <v/>
      </c>
      <c r="K415" s="228">
        <f>SUM(K410:K414)</f>
        <v/>
      </c>
      <c r="L415" s="228">
        <f>SUM(L410:L414)</f>
        <v/>
      </c>
      <c r="M415" s="228">
        <f>SUM(M410:M414)</f>
        <v/>
      </c>
      <c r="N415" s="228">
        <f>SUM(N410:N414)</f>
        <v/>
      </c>
      <c r="O415" s="228">
        <f>SUM(O410:O414)</f>
        <v/>
      </c>
      <c r="P415" s="228">
        <f>SUM(P410:P414)</f>
        <v/>
      </c>
      <c r="Q415" s="228">
        <f>SUM(Q410:Q414)</f>
        <v/>
      </c>
      <c r="R415" s="158">
        <f>Q415</f>
        <v/>
      </c>
      <c r="S415" s="228">
        <f>SUM(S410:S414)</f>
        <v/>
      </c>
      <c r="T415" s="228">
        <f>SUM(T410:T414)</f>
        <v/>
      </c>
      <c r="U415" s="228">
        <f>SUM(U410:U414)</f>
        <v/>
      </c>
      <c r="V415" s="228">
        <f>SUM(V410:V414)</f>
        <v/>
      </c>
      <c r="W415" s="228">
        <f>SUM(W410:W414)</f>
        <v/>
      </c>
      <c r="X415" s="228">
        <f>SUM(X410:X414)</f>
        <v/>
      </c>
      <c r="Y415" s="228">
        <f>SUM(Y410:Y414)</f>
        <v/>
      </c>
      <c r="Z415" s="228">
        <f>SUM(Z410:Z414)</f>
        <v/>
      </c>
      <c r="AA415" s="228">
        <f>SUM(AA410:AA414)</f>
        <v/>
      </c>
      <c r="AB415" s="228">
        <f>SUM(AB410:AB414)</f>
        <v/>
      </c>
      <c r="AC415" s="228">
        <f>SUM(AC410:AC414)</f>
        <v/>
      </c>
      <c r="AD415" s="228">
        <f>SUM(AD410:AD414)</f>
        <v/>
      </c>
      <c r="AE415" s="158">
        <f>AD415</f>
        <v/>
      </c>
      <c r="AF415" s="158">
        <f>SUM(AF410:AF414)</f>
        <v/>
      </c>
      <c r="AG415" s="158">
        <f>SUM(AG410:AG414)</f>
        <v/>
      </c>
      <c r="AH415" s="158">
        <f>SUM(AH410:AH414)</f>
        <v/>
      </c>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f>Assumptions!I16</f>
        <v/>
      </c>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f>E418</f>
        <v/>
      </c>
      <c r="G418" s="210">
        <f>F418</f>
        <v/>
      </c>
      <c r="H418" s="210">
        <f>G418</f>
        <v/>
      </c>
      <c r="I418" s="210">
        <f>H418</f>
        <v/>
      </c>
      <c r="J418" s="210">
        <f>I418</f>
        <v/>
      </c>
      <c r="K418" s="210">
        <f>J418</f>
        <v/>
      </c>
      <c r="L418" s="210">
        <f>K418</f>
        <v/>
      </c>
      <c r="M418" s="210">
        <f>L418</f>
        <v/>
      </c>
      <c r="N418" s="210">
        <f>M418</f>
        <v/>
      </c>
      <c r="O418" s="210">
        <f>N418</f>
        <v/>
      </c>
      <c r="P418" s="210">
        <f>O418</f>
        <v/>
      </c>
      <c r="Q418" s="210">
        <f>P418</f>
        <v/>
      </c>
      <c r="R418" s="172">
        <f>Q418</f>
        <v/>
      </c>
      <c r="S418" s="210">
        <f>R418</f>
        <v/>
      </c>
      <c r="T418" s="210">
        <f>S418</f>
        <v/>
      </c>
      <c r="U418" s="210">
        <f>T418</f>
        <v/>
      </c>
      <c r="V418" s="210">
        <f>U418</f>
        <v/>
      </c>
      <c r="W418" s="210">
        <f>V418</f>
        <v/>
      </c>
      <c r="X418" s="210">
        <f>W418</f>
        <v/>
      </c>
      <c r="Y418" s="210">
        <f>X418</f>
        <v/>
      </c>
      <c r="Z418" s="210">
        <f>Y418</f>
        <v/>
      </c>
      <c r="AA418" s="210">
        <f>Z418</f>
        <v/>
      </c>
      <c r="AB418" s="210">
        <f>AA418</f>
        <v/>
      </c>
      <c r="AC418" s="210">
        <f>AB418</f>
        <v/>
      </c>
      <c r="AD418" s="210">
        <f>AC418</f>
        <v/>
      </c>
      <c r="AE418" s="172">
        <f>AD418</f>
        <v/>
      </c>
      <c r="AF418" s="172">
        <f>AE418</f>
        <v/>
      </c>
      <c r="AG418" s="172">
        <f>AF418</f>
        <v/>
      </c>
      <c r="AH418" s="172">
        <f>AG418</f>
        <v/>
      </c>
    </row>
    <row r="419" ht="8.25" customHeight="1" s="277">
      <c r="A419" s="224" t="n"/>
      <c r="B419" s="209" t="inlineStr">
        <is>
          <t>Mktg. Manager</t>
        </is>
      </c>
      <c r="C419" s="154" t="n"/>
      <c r="D419" s="154" t="n"/>
      <c r="E419" s="207" t="n">
        <v>0</v>
      </c>
      <c r="F419" s="210">
        <f>E419</f>
        <v/>
      </c>
      <c r="G419" s="210">
        <f>F419</f>
        <v/>
      </c>
      <c r="H419" s="210">
        <f>G419</f>
        <v/>
      </c>
      <c r="I419" s="210">
        <f>H419</f>
        <v/>
      </c>
      <c r="J419" s="210">
        <f>I419</f>
        <v/>
      </c>
      <c r="K419" s="210">
        <f>J419</f>
        <v/>
      </c>
      <c r="L419" s="210">
        <f>K419</f>
        <v/>
      </c>
      <c r="M419" s="210">
        <f>L419</f>
        <v/>
      </c>
      <c r="N419" s="210">
        <f>M419</f>
        <v/>
      </c>
      <c r="O419" s="210">
        <f>N419</f>
        <v/>
      </c>
      <c r="P419" s="210">
        <f>O419</f>
        <v/>
      </c>
      <c r="Q419" s="210">
        <f>P419</f>
        <v/>
      </c>
      <c r="R419" s="172">
        <f>Q419</f>
        <v/>
      </c>
      <c r="S419" s="210">
        <f>R419</f>
        <v/>
      </c>
      <c r="T419" s="210">
        <f>S419</f>
        <v/>
      </c>
      <c r="U419" s="210">
        <f>T419</f>
        <v/>
      </c>
      <c r="V419" s="210">
        <f>U419</f>
        <v/>
      </c>
      <c r="W419" s="210">
        <f>V419</f>
        <v/>
      </c>
      <c r="X419" s="210">
        <f>W419</f>
        <v/>
      </c>
      <c r="Y419" s="210">
        <f>X419</f>
        <v/>
      </c>
      <c r="Z419" s="210">
        <f>Y419</f>
        <v/>
      </c>
      <c r="AA419" s="210">
        <f>Z419</f>
        <v/>
      </c>
      <c r="AB419" s="210">
        <f>AA419</f>
        <v/>
      </c>
      <c r="AC419" s="210">
        <f>AB419</f>
        <v/>
      </c>
      <c r="AD419" s="210">
        <f>AC419</f>
        <v/>
      </c>
      <c r="AE419" s="172">
        <f>AD419</f>
        <v/>
      </c>
      <c r="AF419" s="172">
        <f>AE419</f>
        <v/>
      </c>
      <c r="AG419" s="172">
        <f>AF419</f>
        <v/>
      </c>
      <c r="AH419" s="172">
        <f>AG419</f>
        <v/>
      </c>
    </row>
    <row r="420" ht="8.25" customHeight="1" s="277">
      <c r="A420" s="224" t="n"/>
      <c r="B420" s="209" t="inlineStr">
        <is>
          <t>VP Sales</t>
        </is>
      </c>
      <c r="C420" s="154" t="n"/>
      <c r="D420" s="154" t="n"/>
      <c r="E420" s="207" t="n">
        <v>0</v>
      </c>
      <c r="F420" s="210">
        <f>E420</f>
        <v/>
      </c>
      <c r="G420" s="210">
        <f>F420</f>
        <v/>
      </c>
      <c r="H420" s="210">
        <f>G420</f>
        <v/>
      </c>
      <c r="I420" s="210">
        <f>H420</f>
        <v/>
      </c>
      <c r="J420" s="210">
        <f>I420</f>
        <v/>
      </c>
      <c r="K420" s="210">
        <f>J420</f>
        <v/>
      </c>
      <c r="L420" s="210">
        <f>K420</f>
        <v/>
      </c>
      <c r="M420" s="210">
        <f>L420</f>
        <v/>
      </c>
      <c r="N420" s="210">
        <f>M420</f>
        <v/>
      </c>
      <c r="O420" s="210">
        <f>N420</f>
        <v/>
      </c>
      <c r="P420" s="210">
        <f>O420</f>
        <v/>
      </c>
      <c r="Q420" s="210">
        <f>P420</f>
        <v/>
      </c>
      <c r="R420" s="172">
        <f>Q420</f>
        <v/>
      </c>
      <c r="S420" s="210">
        <f>R420</f>
        <v/>
      </c>
      <c r="T420" s="210">
        <f>S420</f>
        <v/>
      </c>
      <c r="U420" s="210">
        <f>T420</f>
        <v/>
      </c>
      <c r="V420" s="210">
        <f>U420</f>
        <v/>
      </c>
      <c r="W420" s="210">
        <f>V420</f>
        <v/>
      </c>
      <c r="X420" s="210">
        <f>W420</f>
        <v/>
      </c>
      <c r="Y420" s="210">
        <f>X420</f>
        <v/>
      </c>
      <c r="Z420" s="210">
        <f>Y420</f>
        <v/>
      </c>
      <c r="AA420" s="210">
        <f>Z420</f>
        <v/>
      </c>
      <c r="AB420" s="210">
        <f>AA420</f>
        <v/>
      </c>
      <c r="AC420" s="210">
        <f>AB420</f>
        <v/>
      </c>
      <c r="AD420" s="210">
        <f>AC420</f>
        <v/>
      </c>
      <c r="AE420" s="172">
        <f>AD420</f>
        <v/>
      </c>
      <c r="AF420" s="172">
        <f>AE420</f>
        <v/>
      </c>
      <c r="AG420" s="172">
        <f>AF420</f>
        <v/>
      </c>
      <c r="AH420" s="172">
        <f>AG420</f>
        <v/>
      </c>
    </row>
    <row r="421" ht="8.25" customHeight="1" s="277">
      <c r="A421" s="224" t="n"/>
      <c r="B421" s="209" t="inlineStr">
        <is>
          <t>Sales Representative</t>
        </is>
      </c>
      <c r="C421" s="154" t="n"/>
      <c r="D421" s="154" t="n"/>
      <c r="E421" s="207" t="n">
        <v>0</v>
      </c>
      <c r="F421" s="210">
        <f>E421</f>
        <v/>
      </c>
      <c r="G421" s="210">
        <f>F421</f>
        <v/>
      </c>
      <c r="H421" s="210">
        <f>G421</f>
        <v/>
      </c>
      <c r="I421" s="210">
        <f>H421</f>
        <v/>
      </c>
      <c r="J421" s="210">
        <f>I421</f>
        <v/>
      </c>
      <c r="K421" s="210">
        <f>J421</f>
        <v/>
      </c>
      <c r="L421" s="210">
        <f>K421</f>
        <v/>
      </c>
      <c r="M421" s="210">
        <f>L421</f>
        <v/>
      </c>
      <c r="N421" s="210">
        <f>M421</f>
        <v/>
      </c>
      <c r="O421" s="210">
        <f>N421</f>
        <v/>
      </c>
      <c r="P421" s="210">
        <f>O421</f>
        <v/>
      </c>
      <c r="Q421" s="210">
        <f>P421</f>
        <v/>
      </c>
      <c r="R421" s="172">
        <f>Q421</f>
        <v/>
      </c>
      <c r="S421" s="210">
        <f>R421</f>
        <v/>
      </c>
      <c r="T421" s="210">
        <f>S421</f>
        <v/>
      </c>
      <c r="U421" s="210">
        <f>T421</f>
        <v/>
      </c>
      <c r="V421" s="210">
        <f>U421</f>
        <v/>
      </c>
      <c r="W421" s="210">
        <f>V421</f>
        <v/>
      </c>
      <c r="X421" s="210">
        <f>W421</f>
        <v/>
      </c>
      <c r="Y421" s="210">
        <f>X421</f>
        <v/>
      </c>
      <c r="Z421" s="210">
        <f>Y421</f>
        <v/>
      </c>
      <c r="AA421" s="210">
        <f>Z421</f>
        <v/>
      </c>
      <c r="AB421" s="210">
        <f>AA421</f>
        <v/>
      </c>
      <c r="AC421" s="210">
        <f>AB421</f>
        <v/>
      </c>
      <c r="AD421" s="210">
        <f>AC421</f>
        <v/>
      </c>
      <c r="AE421" s="172">
        <f>AD421</f>
        <v/>
      </c>
      <c r="AF421" s="172">
        <f>AE421</f>
        <v/>
      </c>
      <c r="AG421" s="172">
        <f>AF421</f>
        <v/>
      </c>
      <c r="AH421" s="172">
        <f>AG421</f>
        <v/>
      </c>
    </row>
    <row r="422" ht="8.25" customHeight="1" s="277">
      <c r="A422" s="224" t="n"/>
      <c r="B422" s="209" t="inlineStr">
        <is>
          <t>Sales Engineer</t>
        </is>
      </c>
      <c r="C422" s="154" t="n"/>
      <c r="D422" s="154" t="n"/>
      <c r="E422" s="207" t="n">
        <v>0</v>
      </c>
      <c r="F422" s="210">
        <f>E422</f>
        <v/>
      </c>
      <c r="G422" s="210">
        <f>F422</f>
        <v/>
      </c>
      <c r="H422" s="210">
        <f>G422</f>
        <v/>
      </c>
      <c r="I422" s="210">
        <f>H422</f>
        <v/>
      </c>
      <c r="J422" s="210">
        <f>I422</f>
        <v/>
      </c>
      <c r="K422" s="210">
        <f>J422</f>
        <v/>
      </c>
      <c r="L422" s="210">
        <f>K422</f>
        <v/>
      </c>
      <c r="M422" s="210">
        <f>L422</f>
        <v/>
      </c>
      <c r="N422" s="210">
        <f>M422</f>
        <v/>
      </c>
      <c r="O422" s="210">
        <f>N422</f>
        <v/>
      </c>
      <c r="P422" s="210">
        <f>O422</f>
        <v/>
      </c>
      <c r="Q422" s="210">
        <f>P422</f>
        <v/>
      </c>
      <c r="R422" s="172">
        <f>Q422</f>
        <v/>
      </c>
      <c r="S422" s="210">
        <f>R422</f>
        <v/>
      </c>
      <c r="T422" s="210">
        <f>S422</f>
        <v/>
      </c>
      <c r="U422" s="210">
        <f>T422</f>
        <v/>
      </c>
      <c r="V422" s="210">
        <f>U422</f>
        <v/>
      </c>
      <c r="W422" s="210">
        <f>V422</f>
        <v/>
      </c>
      <c r="X422" s="210">
        <f>W422</f>
        <v/>
      </c>
      <c r="Y422" s="210">
        <f>X422</f>
        <v/>
      </c>
      <c r="Z422" s="210">
        <f>Y422</f>
        <v/>
      </c>
      <c r="AA422" s="210">
        <f>Z422</f>
        <v/>
      </c>
      <c r="AB422" s="210">
        <f>AA422</f>
        <v/>
      </c>
      <c r="AC422" s="210">
        <f>AB422</f>
        <v/>
      </c>
      <c r="AD422" s="210">
        <f>AC422</f>
        <v/>
      </c>
      <c r="AE422" s="172">
        <f>AD422</f>
        <v/>
      </c>
      <c r="AF422" s="172">
        <f>AE422</f>
        <v/>
      </c>
      <c r="AG422" s="172">
        <f>AF422</f>
        <v/>
      </c>
      <c r="AH422" s="172">
        <f>AG422</f>
        <v/>
      </c>
    </row>
    <row r="423" ht="8.25" customHeight="1" s="277">
      <c r="A423" s="224" t="n"/>
      <c r="B423" s="209" t="inlineStr">
        <is>
          <t>VP Business Development</t>
        </is>
      </c>
      <c r="C423" s="154" t="n"/>
      <c r="D423" s="154" t="n"/>
      <c r="E423" s="207" t="n">
        <v>0</v>
      </c>
      <c r="F423" s="210">
        <f>E423</f>
        <v/>
      </c>
      <c r="G423" s="210">
        <f>F423</f>
        <v/>
      </c>
      <c r="H423" s="210">
        <f>G423</f>
        <v/>
      </c>
      <c r="I423" s="210">
        <f>H423</f>
        <v/>
      </c>
      <c r="J423" s="210">
        <f>I423</f>
        <v/>
      </c>
      <c r="K423" s="210">
        <f>J423</f>
        <v/>
      </c>
      <c r="L423" s="210">
        <f>K423</f>
        <v/>
      </c>
      <c r="M423" s="210">
        <f>L423</f>
        <v/>
      </c>
      <c r="N423" s="210">
        <f>M423</f>
        <v/>
      </c>
      <c r="O423" s="210">
        <f>N423</f>
        <v/>
      </c>
      <c r="P423" s="210">
        <f>O423</f>
        <v/>
      </c>
      <c r="Q423" s="210">
        <f>P423</f>
        <v/>
      </c>
      <c r="R423" s="172">
        <f>Q423</f>
        <v/>
      </c>
      <c r="S423" s="210">
        <f>R423</f>
        <v/>
      </c>
      <c r="T423" s="210">
        <f>S423</f>
        <v/>
      </c>
      <c r="U423" s="210">
        <f>T423</f>
        <v/>
      </c>
      <c r="V423" s="210">
        <f>U423</f>
        <v/>
      </c>
      <c r="W423" s="210">
        <f>V423</f>
        <v/>
      </c>
      <c r="X423" s="210">
        <f>W423</f>
        <v/>
      </c>
      <c r="Y423" s="210">
        <f>X423</f>
        <v/>
      </c>
      <c r="Z423" s="210">
        <f>Y423</f>
        <v/>
      </c>
      <c r="AA423" s="210">
        <f>Z423</f>
        <v/>
      </c>
      <c r="AB423" s="210">
        <f>AA423</f>
        <v/>
      </c>
      <c r="AC423" s="210">
        <f>AB423</f>
        <v/>
      </c>
      <c r="AD423" s="210">
        <f>AC423</f>
        <v/>
      </c>
      <c r="AE423" s="172">
        <f>AD423</f>
        <v/>
      </c>
      <c r="AF423" s="172">
        <f>AE423</f>
        <v/>
      </c>
      <c r="AG423" s="172">
        <f>AF423</f>
        <v/>
      </c>
      <c r="AH423" s="172">
        <f>AG423</f>
        <v/>
      </c>
    </row>
    <row r="424" ht="8.25" customHeight="1" s="277">
      <c r="A424" s="224" t="n"/>
      <c r="B424" s="209" t="inlineStr">
        <is>
          <t>Customer Support</t>
        </is>
      </c>
      <c r="C424" s="154" t="n"/>
      <c r="D424" s="154" t="n"/>
      <c r="E424" s="207" t="n">
        <v>0</v>
      </c>
      <c r="F424" s="210">
        <f>E424</f>
        <v/>
      </c>
      <c r="G424" s="210">
        <f>F424</f>
        <v/>
      </c>
      <c r="H424" s="210">
        <f>G424</f>
        <v/>
      </c>
      <c r="I424" s="210">
        <f>H424</f>
        <v/>
      </c>
      <c r="J424" s="210">
        <f>I424</f>
        <v/>
      </c>
      <c r="K424" s="210">
        <f>J424</f>
        <v/>
      </c>
      <c r="L424" s="210">
        <f>K424</f>
        <v/>
      </c>
      <c r="M424" s="210">
        <f>L424</f>
        <v/>
      </c>
      <c r="N424" s="210">
        <f>M424</f>
        <v/>
      </c>
      <c r="O424" s="210">
        <f>N424</f>
        <v/>
      </c>
      <c r="P424" s="210">
        <f>O424</f>
        <v/>
      </c>
      <c r="Q424" s="210">
        <f>P424</f>
        <v/>
      </c>
      <c r="R424" s="172">
        <f>Q424</f>
        <v/>
      </c>
      <c r="S424" s="210">
        <f>R424</f>
        <v/>
      </c>
      <c r="T424" s="210">
        <f>S424</f>
        <v/>
      </c>
      <c r="U424" s="210">
        <f>T424</f>
        <v/>
      </c>
      <c r="V424" s="210">
        <f>U424</f>
        <v/>
      </c>
      <c r="W424" s="210">
        <f>V424</f>
        <v/>
      </c>
      <c r="X424" s="210">
        <f>W424</f>
        <v/>
      </c>
      <c r="Y424" s="210">
        <f>X424</f>
        <v/>
      </c>
      <c r="Z424" s="210">
        <f>Y424</f>
        <v/>
      </c>
      <c r="AA424" s="210">
        <f>Z424</f>
        <v/>
      </c>
      <c r="AB424" s="210">
        <f>AA424</f>
        <v/>
      </c>
      <c r="AC424" s="210">
        <f>AB424</f>
        <v/>
      </c>
      <c r="AD424" s="210">
        <f>AC424</f>
        <v/>
      </c>
      <c r="AE424" s="172">
        <f>AD424</f>
        <v/>
      </c>
      <c r="AF424" s="172">
        <f>AE424</f>
        <v/>
      </c>
      <c r="AG424" s="172">
        <f>AF424</f>
        <v/>
      </c>
      <c r="AH424" s="172">
        <f>AG424</f>
        <v/>
      </c>
    </row>
    <row r="425" ht="8.25" customHeight="1" s="277">
      <c r="A425" s="224" t="n"/>
      <c r="B425" s="209" t="inlineStr">
        <is>
          <t>Mktg. Assistant</t>
        </is>
      </c>
      <c r="C425" s="154" t="n"/>
      <c r="D425" s="154" t="n"/>
      <c r="E425" s="207" t="n">
        <v>0</v>
      </c>
      <c r="F425" s="210">
        <f>E425</f>
        <v/>
      </c>
      <c r="G425" s="210">
        <f>F425</f>
        <v/>
      </c>
      <c r="H425" s="210">
        <f>G425</f>
        <v/>
      </c>
      <c r="I425" s="210">
        <f>H425</f>
        <v/>
      </c>
      <c r="J425" s="210">
        <f>I425</f>
        <v/>
      </c>
      <c r="K425" s="210">
        <f>J425</f>
        <v/>
      </c>
      <c r="L425" s="210">
        <f>K425</f>
        <v/>
      </c>
      <c r="M425" s="210">
        <f>L425</f>
        <v/>
      </c>
      <c r="N425" s="210">
        <f>M425</f>
        <v/>
      </c>
      <c r="O425" s="210">
        <f>N425</f>
        <v/>
      </c>
      <c r="P425" s="210">
        <f>O425</f>
        <v/>
      </c>
      <c r="Q425" s="210">
        <f>P425</f>
        <v/>
      </c>
      <c r="R425" s="172">
        <f>Q425</f>
        <v/>
      </c>
      <c r="S425" s="210">
        <f>R425</f>
        <v/>
      </c>
      <c r="T425" s="210">
        <f>S425</f>
        <v/>
      </c>
      <c r="U425" s="210">
        <f>T425</f>
        <v/>
      </c>
      <c r="V425" s="210">
        <f>U425</f>
        <v/>
      </c>
      <c r="W425" s="210">
        <f>V425</f>
        <v/>
      </c>
      <c r="X425" s="210">
        <f>W425</f>
        <v/>
      </c>
      <c r="Y425" s="210">
        <f>X425</f>
        <v/>
      </c>
      <c r="Z425" s="210">
        <f>Y425</f>
        <v/>
      </c>
      <c r="AA425" s="210">
        <f>Z425</f>
        <v/>
      </c>
      <c r="AB425" s="210">
        <f>AA425</f>
        <v/>
      </c>
      <c r="AC425" s="210">
        <f>AB425</f>
        <v/>
      </c>
      <c r="AD425" s="210">
        <f>AC425</f>
        <v/>
      </c>
      <c r="AE425" s="172">
        <f>AD425</f>
        <v/>
      </c>
      <c r="AF425" s="172">
        <f>AE425</f>
        <v/>
      </c>
      <c r="AG425" s="172">
        <f>AF425</f>
        <v/>
      </c>
      <c r="AH425" s="172">
        <f>AG425</f>
        <v/>
      </c>
    </row>
    <row r="426" ht="8.25" customHeight="1" s="277">
      <c r="A426" s="139" t="inlineStr">
        <is>
          <t>Total Staff</t>
        </is>
      </c>
      <c r="B426" s="156" t="n"/>
      <c r="C426" s="228" t="n"/>
      <c r="D426" s="228" t="n"/>
      <c r="E426" s="228">
        <f>SUM(E418:E425)</f>
        <v/>
      </c>
      <c r="F426" s="228">
        <f>SUM(F418:F425)</f>
        <v/>
      </c>
      <c r="G426" s="228">
        <f>SUM(G418:G425)</f>
        <v/>
      </c>
      <c r="H426" s="228">
        <f>SUM(H418:H425)</f>
        <v/>
      </c>
      <c r="I426" s="228">
        <f>SUM(I418:I425)</f>
        <v/>
      </c>
      <c r="J426" s="228">
        <f>SUM(J418:J425)</f>
        <v/>
      </c>
      <c r="K426" s="228">
        <f>SUM(K418:K425)</f>
        <v/>
      </c>
      <c r="L426" s="228">
        <f>SUM(L418:L425)</f>
        <v/>
      </c>
      <c r="M426" s="228">
        <f>SUM(M418:M425)</f>
        <v/>
      </c>
      <c r="N426" s="228">
        <f>SUM(N418:N425)</f>
        <v/>
      </c>
      <c r="O426" s="228">
        <f>SUM(O418:O425)</f>
        <v/>
      </c>
      <c r="P426" s="228">
        <f>SUM(P418:P425)</f>
        <v/>
      </c>
      <c r="Q426" s="228">
        <f>SUM(Q418:Q425)</f>
        <v/>
      </c>
      <c r="R426" s="158">
        <f>Q426</f>
        <v/>
      </c>
      <c r="S426" s="228">
        <f>SUM(S418:S425)</f>
        <v/>
      </c>
      <c r="T426" s="228">
        <f>SUM(T418:T425)</f>
        <v/>
      </c>
      <c r="U426" s="228">
        <f>SUM(U418:U425)</f>
        <v/>
      </c>
      <c r="V426" s="228">
        <f>SUM(V418:V425)</f>
        <v/>
      </c>
      <c r="W426" s="228">
        <f>SUM(W418:W425)</f>
        <v/>
      </c>
      <c r="X426" s="228">
        <f>SUM(X418:X425)</f>
        <v/>
      </c>
      <c r="Y426" s="228">
        <f>SUM(Y418:Y425)</f>
        <v/>
      </c>
      <c r="Z426" s="228">
        <f>SUM(Z418:Z425)</f>
        <v/>
      </c>
      <c r="AA426" s="228">
        <f>SUM(AA418:AA425)</f>
        <v/>
      </c>
      <c r="AB426" s="228">
        <f>SUM(AB418:AB425)</f>
        <v/>
      </c>
      <c r="AC426" s="228">
        <f>SUM(AC418:AC425)</f>
        <v/>
      </c>
      <c r="AD426" s="228">
        <f>SUM(AD418:AD425)</f>
        <v/>
      </c>
      <c r="AE426" s="158">
        <f>AD426</f>
        <v/>
      </c>
      <c r="AF426" s="158">
        <f>SUM(AF418:AF425)</f>
        <v/>
      </c>
      <c r="AG426" s="158">
        <f>SUM(AG418:AG425)</f>
        <v/>
      </c>
      <c r="AH426" s="158">
        <f>SUM(AH418:AH425)</f>
        <v/>
      </c>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f>Assumptions!I17</f>
        <v/>
      </c>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f>E429</f>
        <v/>
      </c>
      <c r="G429" s="210">
        <f>F429</f>
        <v/>
      </c>
      <c r="H429" s="210">
        <f>G429</f>
        <v/>
      </c>
      <c r="I429" s="210">
        <f>H429</f>
        <v/>
      </c>
      <c r="J429" s="210">
        <f>I429</f>
        <v/>
      </c>
      <c r="K429" s="210">
        <f>J429</f>
        <v/>
      </c>
      <c r="L429" s="210">
        <f>K429</f>
        <v/>
      </c>
      <c r="M429" s="210">
        <f>L429</f>
        <v/>
      </c>
      <c r="N429" s="210">
        <f>M429</f>
        <v/>
      </c>
      <c r="O429" s="210">
        <f>N429</f>
        <v/>
      </c>
      <c r="P429" s="210">
        <f>O429</f>
        <v/>
      </c>
      <c r="Q429" s="210">
        <f>P429</f>
        <v/>
      </c>
      <c r="R429" s="172">
        <f>Q429</f>
        <v/>
      </c>
      <c r="S429" s="210">
        <f>R429</f>
        <v/>
      </c>
      <c r="T429" s="210">
        <f>S429</f>
        <v/>
      </c>
      <c r="U429" s="210">
        <f>T429</f>
        <v/>
      </c>
      <c r="V429" s="210">
        <f>U429</f>
        <v/>
      </c>
      <c r="W429" s="210">
        <f>V429</f>
        <v/>
      </c>
      <c r="X429" s="210">
        <f>W429</f>
        <v/>
      </c>
      <c r="Y429" s="210">
        <f>X429</f>
        <v/>
      </c>
      <c r="Z429" s="210">
        <f>Y429</f>
        <v/>
      </c>
      <c r="AA429" s="210">
        <f>Z429</f>
        <v/>
      </c>
      <c r="AB429" s="210">
        <f>AA429</f>
        <v/>
      </c>
      <c r="AC429" s="210">
        <f>AB429</f>
        <v/>
      </c>
      <c r="AD429" s="210">
        <f>AC429</f>
        <v/>
      </c>
      <c r="AE429" s="172">
        <f>AD429</f>
        <v/>
      </c>
      <c r="AF429" s="172">
        <f>AE429</f>
        <v/>
      </c>
      <c r="AG429" s="172">
        <f>AF429</f>
        <v/>
      </c>
      <c r="AH429" s="172">
        <f>AG429</f>
        <v/>
      </c>
    </row>
    <row r="430" ht="8.25" customHeight="1" s="277">
      <c r="A430" s="224" t="n"/>
      <c r="B430" s="209" t="inlineStr">
        <is>
          <t>CFO</t>
        </is>
      </c>
      <c r="C430" s="154" t="n"/>
      <c r="D430" s="154" t="n"/>
      <c r="E430" s="210" t="n">
        <v>0</v>
      </c>
      <c r="F430" s="210">
        <f>E430</f>
        <v/>
      </c>
      <c r="G430" s="210">
        <f>F430</f>
        <v/>
      </c>
      <c r="H430" s="210">
        <f>G430</f>
        <v/>
      </c>
      <c r="I430" s="210">
        <f>H430</f>
        <v/>
      </c>
      <c r="J430" s="210">
        <f>I430</f>
        <v/>
      </c>
      <c r="K430" s="210">
        <f>J430</f>
        <v/>
      </c>
      <c r="L430" s="210">
        <f>K430</f>
        <v/>
      </c>
      <c r="M430" s="210">
        <f>L430</f>
        <v/>
      </c>
      <c r="N430" s="210">
        <f>M430</f>
        <v/>
      </c>
      <c r="O430" s="210">
        <f>N430</f>
        <v/>
      </c>
      <c r="P430" s="210">
        <f>O430</f>
        <v/>
      </c>
      <c r="Q430" s="210">
        <f>P430</f>
        <v/>
      </c>
      <c r="R430" s="172">
        <f>Q430</f>
        <v/>
      </c>
      <c r="S430" s="210">
        <f>R430</f>
        <v/>
      </c>
      <c r="T430" s="210">
        <f>S430</f>
        <v/>
      </c>
      <c r="U430" s="210">
        <f>T430</f>
        <v/>
      </c>
      <c r="V430" s="210">
        <f>U430</f>
        <v/>
      </c>
      <c r="W430" s="210">
        <f>V430</f>
        <v/>
      </c>
      <c r="X430" s="210">
        <f>W430</f>
        <v/>
      </c>
      <c r="Y430" s="210">
        <f>X430</f>
        <v/>
      </c>
      <c r="Z430" s="210">
        <f>Y430</f>
        <v/>
      </c>
      <c r="AA430" s="210">
        <f>Z430</f>
        <v/>
      </c>
      <c r="AB430" s="210">
        <f>AA430</f>
        <v/>
      </c>
      <c r="AC430" s="210">
        <f>AB430</f>
        <v/>
      </c>
      <c r="AD430" s="210">
        <f>AC430</f>
        <v/>
      </c>
      <c r="AE430" s="172">
        <f>AD430</f>
        <v/>
      </c>
      <c r="AF430" s="172">
        <f>AE430</f>
        <v/>
      </c>
      <c r="AG430" s="172">
        <f>AF430</f>
        <v/>
      </c>
      <c r="AH430" s="172">
        <f>AG430</f>
        <v/>
      </c>
    </row>
    <row r="431" ht="8.25" customHeight="1" s="277">
      <c r="A431" s="224" t="n"/>
      <c r="B431" s="209" t="inlineStr">
        <is>
          <t>COO</t>
        </is>
      </c>
      <c r="C431" s="154" t="n"/>
      <c r="D431" s="154" t="n"/>
      <c r="E431" s="210" t="n">
        <v>0</v>
      </c>
      <c r="F431" s="210">
        <f>E431</f>
        <v/>
      </c>
      <c r="G431" s="210">
        <f>F431</f>
        <v/>
      </c>
      <c r="H431" s="210">
        <f>G431</f>
        <v/>
      </c>
      <c r="I431" s="210">
        <f>H431</f>
        <v/>
      </c>
      <c r="J431" s="210">
        <f>I431</f>
        <v/>
      </c>
      <c r="K431" s="210">
        <f>J431</f>
        <v/>
      </c>
      <c r="L431" s="210">
        <f>K431</f>
        <v/>
      </c>
      <c r="M431" s="210">
        <f>L431</f>
        <v/>
      </c>
      <c r="N431" s="210">
        <f>M431</f>
        <v/>
      </c>
      <c r="O431" s="210">
        <f>N431</f>
        <v/>
      </c>
      <c r="P431" s="210">
        <f>O431</f>
        <v/>
      </c>
      <c r="Q431" s="210">
        <f>P431</f>
        <v/>
      </c>
      <c r="R431" s="172">
        <f>Q431</f>
        <v/>
      </c>
      <c r="S431" s="210">
        <f>R431</f>
        <v/>
      </c>
      <c r="T431" s="210">
        <f>S431</f>
        <v/>
      </c>
      <c r="U431" s="210">
        <f>T431</f>
        <v/>
      </c>
      <c r="V431" s="210">
        <f>U431</f>
        <v/>
      </c>
      <c r="W431" s="210">
        <f>V431</f>
        <v/>
      </c>
      <c r="X431" s="210">
        <f>W431</f>
        <v/>
      </c>
      <c r="Y431" s="210">
        <f>X431</f>
        <v/>
      </c>
      <c r="Z431" s="210">
        <f>Y431</f>
        <v/>
      </c>
      <c r="AA431" s="210">
        <f>Z431</f>
        <v/>
      </c>
      <c r="AB431" s="210">
        <f>AA431</f>
        <v/>
      </c>
      <c r="AC431" s="210">
        <f>AB431</f>
        <v/>
      </c>
      <c r="AD431" s="210">
        <f>AC431</f>
        <v/>
      </c>
      <c r="AE431" s="172">
        <f>AD431</f>
        <v/>
      </c>
      <c r="AF431" s="172">
        <f>AE431</f>
        <v/>
      </c>
      <c r="AG431" s="172">
        <f>AF431</f>
        <v/>
      </c>
      <c r="AH431" s="172">
        <f>AG431</f>
        <v/>
      </c>
    </row>
    <row r="432" ht="8.25" customHeight="1" s="277">
      <c r="A432" s="224" t="n"/>
      <c r="B432" s="209" t="inlineStr">
        <is>
          <t>HR Manager</t>
        </is>
      </c>
      <c r="C432" s="154" t="n"/>
      <c r="D432" s="154" t="n"/>
      <c r="E432" s="210" t="n">
        <v>0</v>
      </c>
      <c r="F432" s="210">
        <f>E432</f>
        <v/>
      </c>
      <c r="G432" s="210">
        <f>F432</f>
        <v/>
      </c>
      <c r="H432" s="210">
        <f>G432</f>
        <v/>
      </c>
      <c r="I432" s="210">
        <f>H432</f>
        <v/>
      </c>
      <c r="J432" s="210">
        <f>I432</f>
        <v/>
      </c>
      <c r="K432" s="210">
        <f>J432</f>
        <v/>
      </c>
      <c r="L432" s="210">
        <f>K432</f>
        <v/>
      </c>
      <c r="M432" s="210">
        <f>L432</f>
        <v/>
      </c>
      <c r="N432" s="210">
        <f>M432</f>
        <v/>
      </c>
      <c r="O432" s="210">
        <f>N432</f>
        <v/>
      </c>
      <c r="P432" s="210">
        <f>O432</f>
        <v/>
      </c>
      <c r="Q432" s="210">
        <f>P432</f>
        <v/>
      </c>
      <c r="R432" s="172">
        <f>Q432</f>
        <v/>
      </c>
      <c r="S432" s="210">
        <f>R432</f>
        <v/>
      </c>
      <c r="T432" s="210">
        <f>S432</f>
        <v/>
      </c>
      <c r="U432" s="210">
        <f>T432</f>
        <v/>
      </c>
      <c r="V432" s="210">
        <f>U432</f>
        <v/>
      </c>
      <c r="W432" s="210">
        <f>V432</f>
        <v/>
      </c>
      <c r="X432" s="210">
        <f>W432</f>
        <v/>
      </c>
      <c r="Y432" s="210">
        <f>X432</f>
        <v/>
      </c>
      <c r="Z432" s="210">
        <f>Y432</f>
        <v/>
      </c>
      <c r="AA432" s="210">
        <f>Z432</f>
        <v/>
      </c>
      <c r="AB432" s="210">
        <f>AA432</f>
        <v/>
      </c>
      <c r="AC432" s="210">
        <f>AB432</f>
        <v/>
      </c>
      <c r="AD432" s="210">
        <f>AC432</f>
        <v/>
      </c>
      <c r="AE432" s="172">
        <f>AD432</f>
        <v/>
      </c>
      <c r="AF432" s="172">
        <f>AE432</f>
        <v/>
      </c>
      <c r="AG432" s="172">
        <f>AF432</f>
        <v/>
      </c>
      <c r="AH432" s="172">
        <f>AG432</f>
        <v/>
      </c>
    </row>
    <row r="433" ht="8.25" customHeight="1" s="277">
      <c r="A433" s="224" t="n"/>
      <c r="B433" s="209" t="inlineStr">
        <is>
          <t>Office Manager</t>
        </is>
      </c>
      <c r="C433" s="154" t="n"/>
      <c r="D433" s="154" t="n"/>
      <c r="E433" s="210" t="n">
        <v>0</v>
      </c>
      <c r="F433" s="210">
        <f>E433</f>
        <v/>
      </c>
      <c r="G433" s="210">
        <f>F433</f>
        <v/>
      </c>
      <c r="H433" s="210">
        <f>G433</f>
        <v/>
      </c>
      <c r="I433" s="210">
        <f>H433</f>
        <v/>
      </c>
      <c r="J433" s="210">
        <f>I433</f>
        <v/>
      </c>
      <c r="K433" s="210">
        <f>J433</f>
        <v/>
      </c>
      <c r="L433" s="210">
        <f>K433</f>
        <v/>
      </c>
      <c r="M433" s="210">
        <f>L433</f>
        <v/>
      </c>
      <c r="N433" s="210">
        <f>M433</f>
        <v/>
      </c>
      <c r="O433" s="210">
        <f>N433</f>
        <v/>
      </c>
      <c r="P433" s="210">
        <f>O433</f>
        <v/>
      </c>
      <c r="Q433" s="210">
        <f>P433</f>
        <v/>
      </c>
      <c r="R433" s="172">
        <f>Q433</f>
        <v/>
      </c>
      <c r="S433" s="210">
        <f>R433</f>
        <v/>
      </c>
      <c r="T433" s="210">
        <f>S433</f>
        <v/>
      </c>
      <c r="U433" s="210">
        <f>T433</f>
        <v/>
      </c>
      <c r="V433" s="210">
        <f>U433</f>
        <v/>
      </c>
      <c r="W433" s="210">
        <f>V433</f>
        <v/>
      </c>
      <c r="X433" s="210">
        <f>W433</f>
        <v/>
      </c>
      <c r="Y433" s="210">
        <f>X433</f>
        <v/>
      </c>
      <c r="Z433" s="210">
        <f>Y433</f>
        <v/>
      </c>
      <c r="AA433" s="210">
        <f>Z433</f>
        <v/>
      </c>
      <c r="AB433" s="210">
        <f>AA433</f>
        <v/>
      </c>
      <c r="AC433" s="210">
        <f>AB433</f>
        <v/>
      </c>
      <c r="AD433" s="210">
        <f>AC433</f>
        <v/>
      </c>
      <c r="AE433" s="172">
        <f>AD433</f>
        <v/>
      </c>
      <c r="AF433" s="172">
        <f>AE433</f>
        <v/>
      </c>
      <c r="AG433" s="172">
        <f>AF433</f>
        <v/>
      </c>
      <c r="AH433" s="172">
        <f>AG433</f>
        <v/>
      </c>
    </row>
    <row r="434" ht="8.25" customHeight="1" s="277">
      <c r="A434" s="224" t="n"/>
      <c r="B434" s="209" t="inlineStr">
        <is>
          <t>Admin. Assistant</t>
        </is>
      </c>
      <c r="C434" s="154" t="n"/>
      <c r="D434" s="154" t="n"/>
      <c r="E434" s="210" t="n">
        <v>0</v>
      </c>
      <c r="F434" s="210">
        <f>E434</f>
        <v/>
      </c>
      <c r="G434" s="210">
        <f>F434</f>
        <v/>
      </c>
      <c r="H434" s="210">
        <f>G434</f>
        <v/>
      </c>
      <c r="I434" s="210">
        <f>H434</f>
        <v/>
      </c>
      <c r="J434" s="210">
        <f>I434</f>
        <v/>
      </c>
      <c r="K434" s="210">
        <f>J434</f>
        <v/>
      </c>
      <c r="L434" s="210">
        <f>K434</f>
        <v/>
      </c>
      <c r="M434" s="210">
        <f>L434</f>
        <v/>
      </c>
      <c r="N434" s="210">
        <f>M434</f>
        <v/>
      </c>
      <c r="O434" s="210">
        <f>N434</f>
        <v/>
      </c>
      <c r="P434" s="210">
        <f>O434</f>
        <v/>
      </c>
      <c r="Q434" s="210">
        <f>P434</f>
        <v/>
      </c>
      <c r="R434" s="172">
        <f>Q434</f>
        <v/>
      </c>
      <c r="S434" s="210">
        <f>R434</f>
        <v/>
      </c>
      <c r="T434" s="210">
        <f>S434</f>
        <v/>
      </c>
      <c r="U434" s="210">
        <f>T434</f>
        <v/>
      </c>
      <c r="V434" s="210">
        <f>U434</f>
        <v/>
      </c>
      <c r="W434" s="210">
        <f>V434</f>
        <v/>
      </c>
      <c r="X434" s="210">
        <f>W434</f>
        <v/>
      </c>
      <c r="Y434" s="210">
        <f>X434</f>
        <v/>
      </c>
      <c r="Z434" s="210">
        <f>Y434</f>
        <v/>
      </c>
      <c r="AA434" s="210">
        <f>Z434</f>
        <v/>
      </c>
      <c r="AB434" s="210">
        <f>AA434</f>
        <v/>
      </c>
      <c r="AC434" s="210">
        <f>AB434</f>
        <v/>
      </c>
      <c r="AD434" s="210">
        <f>AC434</f>
        <v/>
      </c>
      <c r="AE434" s="172">
        <f>AD434</f>
        <v/>
      </c>
      <c r="AF434" s="172">
        <f>AE434</f>
        <v/>
      </c>
      <c r="AG434" s="172">
        <f>AF434</f>
        <v/>
      </c>
      <c r="AH434" s="172">
        <f>AG434</f>
        <v/>
      </c>
    </row>
    <row r="435" ht="8.25" customHeight="1" s="277">
      <c r="A435" s="139" t="inlineStr">
        <is>
          <t>Total Staff</t>
        </is>
      </c>
      <c r="B435" s="156" t="n"/>
      <c r="C435" s="228" t="n"/>
      <c r="D435" s="228" t="n"/>
      <c r="E435" s="228">
        <f>SUM(E429:E434)</f>
        <v/>
      </c>
      <c r="F435" s="228">
        <f>SUM(F429:F434)</f>
        <v/>
      </c>
      <c r="G435" s="228">
        <f>SUM(G429:G434)</f>
        <v/>
      </c>
      <c r="H435" s="228">
        <f>SUM(H429:H434)</f>
        <v/>
      </c>
      <c r="I435" s="228">
        <f>SUM(I429:I434)</f>
        <v/>
      </c>
      <c r="J435" s="228">
        <f>SUM(J429:J434)</f>
        <v/>
      </c>
      <c r="K435" s="228">
        <f>SUM(K429:K434)</f>
        <v/>
      </c>
      <c r="L435" s="228">
        <f>SUM(L429:L434)</f>
        <v/>
      </c>
      <c r="M435" s="228">
        <f>SUM(M429:M434)</f>
        <v/>
      </c>
      <c r="N435" s="228">
        <f>SUM(N429:N434)</f>
        <v/>
      </c>
      <c r="O435" s="228">
        <f>SUM(O429:O434)</f>
        <v/>
      </c>
      <c r="P435" s="228">
        <f>SUM(P429:P434)</f>
        <v/>
      </c>
      <c r="Q435" s="228">
        <f>SUM(Q429:Q434)</f>
        <v/>
      </c>
      <c r="R435" s="158">
        <f>Q435</f>
        <v/>
      </c>
      <c r="S435" s="228">
        <f>SUM(S429:S434)</f>
        <v/>
      </c>
      <c r="T435" s="228">
        <f>SUM(T429:T434)</f>
        <v/>
      </c>
      <c r="U435" s="228">
        <f>SUM(U429:U434)</f>
        <v/>
      </c>
      <c r="V435" s="228">
        <f>SUM(V429:V434)</f>
        <v/>
      </c>
      <c r="W435" s="228">
        <f>SUM(W429:W434)</f>
        <v/>
      </c>
      <c r="X435" s="228">
        <f>SUM(X429:X434)</f>
        <v/>
      </c>
      <c r="Y435" s="228">
        <f>SUM(Y429:Y434)</f>
        <v/>
      </c>
      <c r="Z435" s="228">
        <f>SUM(Z429:Z434)</f>
        <v/>
      </c>
      <c r="AA435" s="228">
        <f>SUM(AA429:AA434)</f>
        <v/>
      </c>
      <c r="AB435" s="228">
        <f>SUM(AB429:AB434)</f>
        <v/>
      </c>
      <c r="AC435" s="228">
        <f>SUM(AC429:AC434)</f>
        <v/>
      </c>
      <c r="AD435" s="228">
        <f>SUM(AD429:AD434)</f>
        <v/>
      </c>
      <c r="AE435" s="158">
        <f>AD435</f>
        <v/>
      </c>
      <c r="AF435" s="158">
        <f>SUM(AF429:AF434)</f>
        <v/>
      </c>
      <c r="AG435" s="158">
        <f>SUM(AG429:AG434)</f>
        <v/>
      </c>
      <c r="AH435" s="158">
        <f>SUM(AH429:AH434)</f>
        <v/>
      </c>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f>E407+E415+E426+E435</f>
        <v/>
      </c>
      <c r="F437" s="228">
        <f>F407+F415+F426+F435</f>
        <v/>
      </c>
      <c r="G437" s="228">
        <f>G407+G415+G426+G435</f>
        <v/>
      </c>
      <c r="H437" s="228">
        <f>H407+H415+H426+H435</f>
        <v/>
      </c>
      <c r="I437" s="228">
        <f>I407+I415+I426+I435</f>
        <v/>
      </c>
      <c r="J437" s="228">
        <f>J407+J415+J426+J435</f>
        <v/>
      </c>
      <c r="K437" s="228">
        <f>K407+K415+K426+K435</f>
        <v/>
      </c>
      <c r="L437" s="228">
        <f>L407+L415+L426+L435</f>
        <v/>
      </c>
      <c r="M437" s="228">
        <f>M407+M415+M426+M435</f>
        <v/>
      </c>
      <c r="N437" s="228">
        <f>N407+N415+N426+N435</f>
        <v/>
      </c>
      <c r="O437" s="228">
        <f>O407+O415+O426+O435</f>
        <v/>
      </c>
      <c r="P437" s="228">
        <f>P407+P415+P426+P435</f>
        <v/>
      </c>
      <c r="Q437" s="228">
        <f>Q407+Q415+Q426+Q435</f>
        <v/>
      </c>
      <c r="R437" s="158">
        <f>Q437</f>
        <v/>
      </c>
      <c r="S437" s="228">
        <f>S407+S415+S426+S435</f>
        <v/>
      </c>
      <c r="T437" s="228">
        <f>T407+T415+T426+T435</f>
        <v/>
      </c>
      <c r="U437" s="228">
        <f>U407+U415+U426+U435</f>
        <v/>
      </c>
      <c r="V437" s="228">
        <f>V407+V415+V426+V435</f>
        <v/>
      </c>
      <c r="W437" s="228">
        <f>W407+W415+W426+W435</f>
        <v/>
      </c>
      <c r="X437" s="228">
        <f>X407+X415+X426+X435</f>
        <v/>
      </c>
      <c r="Y437" s="228">
        <f>Y407+Y415+Y426+Y435</f>
        <v/>
      </c>
      <c r="Z437" s="228">
        <f>Z407+Z415+Z426+Z435</f>
        <v/>
      </c>
      <c r="AA437" s="228">
        <f>AA407+AA415+AA426+AA435</f>
        <v/>
      </c>
      <c r="AB437" s="228">
        <f>AB407+AB415+AB426+AB435</f>
        <v/>
      </c>
      <c r="AC437" s="228">
        <f>AC407+AC415+AC426+AC435</f>
        <v/>
      </c>
      <c r="AD437" s="228">
        <f>AD407+AD415+AD426+AD435</f>
        <v/>
      </c>
      <c r="AE437" s="158">
        <f>AD437</f>
        <v/>
      </c>
      <c r="AF437" s="158">
        <f>AF407+AF415+AF426+AF435</f>
        <v/>
      </c>
      <c r="AG437" s="158">
        <f>AG407+AG415+AG426+AG435</f>
        <v/>
      </c>
      <c r="AH437" s="158">
        <f>AH407+AH415+AH426+AH435</f>
        <v/>
      </c>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f>IF(R93&gt;0,+R93/R437,0)</f>
        <v/>
      </c>
      <c r="S438" s="154" t="n"/>
      <c r="T438" s="154" t="n"/>
      <c r="U438" s="154" t="n"/>
      <c r="V438" s="154" t="n"/>
      <c r="W438" s="154" t="n"/>
      <c r="X438" s="154" t="n"/>
      <c r="Y438" s="154" t="n"/>
      <c r="Z438" s="154" t="n"/>
      <c r="AA438" s="154" t="n"/>
      <c r="AB438" s="154" t="n"/>
      <c r="AC438" s="154" t="n"/>
      <c r="AD438" s="154" t="n"/>
      <c r="AE438" s="229">
        <f>IF(AE93&gt;0,+AE93/AE437,0)</f>
        <v/>
      </c>
      <c r="AF438" s="229">
        <f>IF(AF93&gt;0,+AF93/AF437,0)</f>
        <v/>
      </c>
      <c r="AG438" s="229">
        <f>IF(AG93&gt;0,+AG93/AG437,0)</f>
        <v/>
      </c>
      <c r="AH438" s="229">
        <f>IF(AH93&gt;0,+AH93/AH437,0)</f>
        <v/>
      </c>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f>$A$1</f>
        <v/>
      </c>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f>NOW()</f>
        <v/>
      </c>
      <c r="C441" s="142" t="n"/>
      <c r="D441" s="142" t="n"/>
      <c r="E441" s="142" t="n"/>
      <c r="F441" s="142">
        <f>F$7</f>
        <v/>
      </c>
      <c r="G441" s="142">
        <f>G$7</f>
        <v/>
      </c>
      <c r="H441" s="142">
        <f>H$7</f>
        <v/>
      </c>
      <c r="I441" s="142">
        <f>I$7</f>
        <v/>
      </c>
      <c r="J441" s="142">
        <f>J$7</f>
        <v/>
      </c>
      <c r="K441" s="142">
        <f>K$7</f>
        <v/>
      </c>
      <c r="L441" s="142">
        <f>L$7</f>
        <v/>
      </c>
      <c r="M441" s="142">
        <f>M$7</f>
        <v/>
      </c>
      <c r="N441" s="142">
        <f>N$7</f>
        <v/>
      </c>
      <c r="O441" s="142">
        <f>O$7</f>
        <v/>
      </c>
      <c r="P441" s="142">
        <f>P$7</f>
        <v/>
      </c>
      <c r="Q441" s="142">
        <f>Q$7</f>
        <v/>
      </c>
      <c r="R441" s="143" t="inlineStr">
        <is>
          <t>Total</t>
        </is>
      </c>
      <c r="S441" s="142">
        <f>S$7</f>
        <v/>
      </c>
      <c r="T441" s="142">
        <f>T$7</f>
        <v/>
      </c>
      <c r="U441" s="142">
        <f>U$7</f>
        <v/>
      </c>
      <c r="V441" s="142">
        <f>V$7</f>
        <v/>
      </c>
      <c r="W441" s="142">
        <f>W$7</f>
        <v/>
      </c>
      <c r="X441" s="142">
        <f>X$7</f>
        <v/>
      </c>
      <c r="Y441" s="142">
        <f>Y$7</f>
        <v/>
      </c>
      <c r="Z441" s="142">
        <f>Z$7</f>
        <v/>
      </c>
      <c r="AA441" s="142">
        <f>AA$7</f>
        <v/>
      </c>
      <c r="AB441" s="142">
        <f>AB$7</f>
        <v/>
      </c>
      <c r="AC441" s="142">
        <f>AC$7</f>
        <v/>
      </c>
      <c r="AD441" s="142">
        <f>AD$7</f>
        <v/>
      </c>
      <c r="AE441" s="143" t="inlineStr">
        <is>
          <t>Total</t>
        </is>
      </c>
      <c r="AF441" s="143">
        <f>AF$7</f>
        <v/>
      </c>
      <c r="AG441" s="143">
        <f>AG$7</f>
        <v/>
      </c>
      <c r="AH441" s="143">
        <f>AH$7</f>
        <v/>
      </c>
    </row>
    <row r="442" ht="8.25" customHeight="1" s="277">
      <c r="A442" s="328" t="n"/>
      <c r="B442" s="329">
        <f>NOW()</f>
        <v/>
      </c>
      <c r="C442" s="330" t="n"/>
      <c r="D442" s="330" t="n"/>
      <c r="E442" s="330" t="n"/>
      <c r="F442" s="324">
        <f>F$1</f>
        <v/>
      </c>
      <c r="G442" s="324">
        <f>G$1</f>
        <v/>
      </c>
      <c r="H442" s="324">
        <f>H$1</f>
        <v/>
      </c>
      <c r="I442" s="324">
        <f>I$1</f>
        <v/>
      </c>
      <c r="J442" s="324">
        <f>J$1</f>
        <v/>
      </c>
      <c r="K442" s="324">
        <f>K$1</f>
        <v/>
      </c>
      <c r="L442" s="324">
        <f>L$1</f>
        <v/>
      </c>
      <c r="M442" s="324">
        <f>M$1</f>
        <v/>
      </c>
      <c r="N442" s="324">
        <f>N$1</f>
        <v/>
      </c>
      <c r="O442" s="324">
        <f>O$1</f>
        <v/>
      </c>
      <c r="P442" s="324">
        <f>P$1</f>
        <v/>
      </c>
      <c r="Q442" s="324">
        <f>Q$1</f>
        <v/>
      </c>
      <c r="R442" s="325">
        <f>R$1</f>
        <v/>
      </c>
      <c r="S442" s="324">
        <f>S$1</f>
        <v/>
      </c>
      <c r="T442" s="324">
        <f>T$1</f>
        <v/>
      </c>
      <c r="U442" s="324">
        <f>U$1</f>
        <v/>
      </c>
      <c r="V442" s="324">
        <f>V$1</f>
        <v/>
      </c>
      <c r="W442" s="324">
        <f>W$1</f>
        <v/>
      </c>
      <c r="X442" s="324">
        <f>X$1</f>
        <v/>
      </c>
      <c r="Y442" s="324">
        <f>Y$1</f>
        <v/>
      </c>
      <c r="Z442" s="324">
        <f>Z$1</f>
        <v/>
      </c>
      <c r="AA442" s="324">
        <f>AA$1</f>
        <v/>
      </c>
      <c r="AB442" s="324">
        <f>AB$1</f>
        <v/>
      </c>
      <c r="AC442" s="324">
        <f>AC$1</f>
        <v/>
      </c>
      <c r="AD442" s="324">
        <f>AD$1</f>
        <v/>
      </c>
      <c r="AE442" s="325">
        <f>AE$1</f>
        <v/>
      </c>
      <c r="AF442" s="325">
        <f>AF$1</f>
        <v/>
      </c>
      <c r="AG442" s="325">
        <f>AG$1</f>
        <v/>
      </c>
      <c r="AH442" s="325">
        <f>AH$1</f>
        <v/>
      </c>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f>UPPER($A$401)</f>
        <v/>
      </c>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f>B402</f>
        <v/>
      </c>
      <c r="C445" s="226" t="n"/>
      <c r="D445" s="226" t="n"/>
      <c r="E445" s="358" t="n">
        <v>0</v>
      </c>
      <c r="F445" s="154">
        <f>F402*$E445/12*F$483</f>
        <v/>
      </c>
      <c r="G445" s="154">
        <f>G402*$E445/12*G$483</f>
        <v/>
      </c>
      <c r="H445" s="154">
        <f>H402*$E445/12*H$483</f>
        <v/>
      </c>
      <c r="I445" s="154">
        <f>I402*$E445/12*I$483</f>
        <v/>
      </c>
      <c r="J445" s="154">
        <f>J402*$E445/12*J$483</f>
        <v/>
      </c>
      <c r="K445" s="154">
        <f>K402*$E445/12*K$483</f>
        <v/>
      </c>
      <c r="L445" s="154">
        <f>L402*$E445/12*L$483</f>
        <v/>
      </c>
      <c r="M445" s="154">
        <f>M402*$E445/12*M$483</f>
        <v/>
      </c>
      <c r="N445" s="154">
        <f>N402*$E445/12*N$483</f>
        <v/>
      </c>
      <c r="O445" s="154">
        <f>O402*$E445/12*O$483</f>
        <v/>
      </c>
      <c r="P445" s="154">
        <f>P402*$E445/12*P$483</f>
        <v/>
      </c>
      <c r="Q445" s="154">
        <f>Q402*$E445/12*Q$483</f>
        <v/>
      </c>
      <c r="R445" s="229">
        <f>SUM(F445:Q445)</f>
        <v/>
      </c>
      <c r="S445" s="154">
        <f>S402*$E445/12*S$483</f>
        <v/>
      </c>
      <c r="T445" s="154">
        <f>T402*$E445/12*T$483</f>
        <v/>
      </c>
      <c r="U445" s="154">
        <f>U402*$E445/12*U$483</f>
        <v/>
      </c>
      <c r="V445" s="154">
        <f>V402*$E445/12*V$483</f>
        <v/>
      </c>
      <c r="W445" s="154">
        <f>W402*$E445/12*W$483</f>
        <v/>
      </c>
      <c r="X445" s="154">
        <f>X402*$E445/12*X$483</f>
        <v/>
      </c>
      <c r="Y445" s="154">
        <f>Y402*$E445/12*Y$483</f>
        <v/>
      </c>
      <c r="Z445" s="154">
        <f>Z402*$E445/12*Z$483</f>
        <v/>
      </c>
      <c r="AA445" s="154">
        <f>AA402*$E445/12*AA$483</f>
        <v/>
      </c>
      <c r="AB445" s="154">
        <f>AB402*$E445/12*AB$483</f>
        <v/>
      </c>
      <c r="AC445" s="154">
        <f>AC402*$E445/12*AC$483</f>
        <v/>
      </c>
      <c r="AD445" s="154">
        <f>AD402*$E445/12*AD$483</f>
        <v/>
      </c>
      <c r="AE445" s="229">
        <f>SUM(S445:AD445)</f>
        <v/>
      </c>
      <c r="AF445" s="229">
        <f>AF402*$E445*AF$483</f>
        <v/>
      </c>
      <c r="AG445" s="229">
        <f>AG402*$E445*AG$483</f>
        <v/>
      </c>
      <c r="AH445" s="229">
        <f>AH402*$E445*AH$483</f>
        <v/>
      </c>
    </row>
    <row r="446" ht="8.25" customHeight="1" s="277">
      <c r="A446" s="224" t="n"/>
      <c r="B446" s="225">
        <f>B403</f>
        <v/>
      </c>
      <c r="C446" s="226" t="n"/>
      <c r="D446" s="226" t="n"/>
      <c r="E446" s="358" t="n">
        <v>0</v>
      </c>
      <c r="F446" s="154">
        <f>F403*$E446/12*F$483</f>
        <v/>
      </c>
      <c r="G446" s="154">
        <f>G403*$E446/12*G$483</f>
        <v/>
      </c>
      <c r="H446" s="154">
        <f>H403*$E446/12*H$483</f>
        <v/>
      </c>
      <c r="I446" s="154">
        <f>I403*$E446/12*I$483</f>
        <v/>
      </c>
      <c r="J446" s="154">
        <f>J403*$E446/12*J$483</f>
        <v/>
      </c>
      <c r="K446" s="154">
        <f>K403*$E446/12*K$483</f>
        <v/>
      </c>
      <c r="L446" s="154">
        <f>L403*$E446/12*L$483</f>
        <v/>
      </c>
      <c r="M446" s="154">
        <f>M403*$E446/12*M$483</f>
        <v/>
      </c>
      <c r="N446" s="154">
        <f>N403*$E446/12*N$483</f>
        <v/>
      </c>
      <c r="O446" s="154">
        <f>O403*$E446/12*O$483</f>
        <v/>
      </c>
      <c r="P446" s="154">
        <f>P403*$E446/12*P$483</f>
        <v/>
      </c>
      <c r="Q446" s="154">
        <f>Q403*$E446/12*Q$483</f>
        <v/>
      </c>
      <c r="R446" s="229">
        <f>SUM(F446:Q446)</f>
        <v/>
      </c>
      <c r="S446" s="154">
        <f>S403*$E446/12*S$483</f>
        <v/>
      </c>
      <c r="T446" s="154">
        <f>T403*$E446/12*T$483</f>
        <v/>
      </c>
      <c r="U446" s="154">
        <f>U403*$E446/12*U$483</f>
        <v/>
      </c>
      <c r="V446" s="154">
        <f>V403*$E446/12*V$483</f>
        <v/>
      </c>
      <c r="W446" s="154">
        <f>W403*$E446/12*W$483</f>
        <v/>
      </c>
      <c r="X446" s="154">
        <f>X403*$E446/12*X$483</f>
        <v/>
      </c>
      <c r="Y446" s="154">
        <f>Y403*$E446/12*Y$483</f>
        <v/>
      </c>
      <c r="Z446" s="154">
        <f>Z403*$E446/12*Z$483</f>
        <v/>
      </c>
      <c r="AA446" s="154">
        <f>AA403*$E446/12*AA$483</f>
        <v/>
      </c>
      <c r="AB446" s="154">
        <f>AB403*$E446/12*AB$483</f>
        <v/>
      </c>
      <c r="AC446" s="154">
        <f>AC403*$E446/12*AC$483</f>
        <v/>
      </c>
      <c r="AD446" s="154">
        <f>AD403*$E446/12*AD$483</f>
        <v/>
      </c>
      <c r="AE446" s="229">
        <f>SUM(S446:AD446)</f>
        <v/>
      </c>
      <c r="AF446" s="229">
        <f>AF403*$E446*AF$483</f>
        <v/>
      </c>
      <c r="AG446" s="229">
        <f>AG403*$E446*AG$483</f>
        <v/>
      </c>
      <c r="AH446" s="229">
        <f>AH403*$E446*AH$483</f>
        <v/>
      </c>
    </row>
    <row r="447" ht="8.25" customHeight="1" s="277">
      <c r="A447" s="224" t="n"/>
      <c r="B447" s="225">
        <f>B404</f>
        <v/>
      </c>
      <c r="C447" s="226" t="n"/>
      <c r="D447" s="226" t="n"/>
      <c r="E447" s="358" t="n">
        <v>0</v>
      </c>
      <c r="F447" s="154">
        <f>F404*$E447/12*F$483</f>
        <v/>
      </c>
      <c r="G447" s="154">
        <f>G404*$E447/12*G$483</f>
        <v/>
      </c>
      <c r="H447" s="154">
        <f>H404*$E447/12*H$483</f>
        <v/>
      </c>
      <c r="I447" s="154">
        <f>I404*$E447/12*I$483</f>
        <v/>
      </c>
      <c r="J447" s="154">
        <f>J404*$E447/12*J$483</f>
        <v/>
      </c>
      <c r="K447" s="154">
        <f>K404*$E447/12*K$483</f>
        <v/>
      </c>
      <c r="L447" s="154">
        <f>L404*$E447/12*L$483</f>
        <v/>
      </c>
      <c r="M447" s="154">
        <f>M404*$E447/12*M$483</f>
        <v/>
      </c>
      <c r="N447" s="154">
        <f>N404*$E447/12*N$483</f>
        <v/>
      </c>
      <c r="O447" s="154">
        <f>O404*$E447/12*O$483</f>
        <v/>
      </c>
      <c r="P447" s="154">
        <f>P404*$E447/12*P$483</f>
        <v/>
      </c>
      <c r="Q447" s="154">
        <f>Q404*$E447/12*Q$483</f>
        <v/>
      </c>
      <c r="R447" s="229">
        <f>SUM(F447:Q447)</f>
        <v/>
      </c>
      <c r="S447" s="154">
        <f>S404*$E447/12*S$483</f>
        <v/>
      </c>
      <c r="T447" s="154">
        <f>T404*$E447/12*T$483</f>
        <v/>
      </c>
      <c r="U447" s="154">
        <f>U404*$E447/12*U$483</f>
        <v/>
      </c>
      <c r="V447" s="154">
        <f>V404*$E447/12*V$483</f>
        <v/>
      </c>
      <c r="W447" s="154">
        <f>W404*$E447/12*W$483</f>
        <v/>
      </c>
      <c r="X447" s="154">
        <f>X404*$E447/12*X$483</f>
        <v/>
      </c>
      <c r="Y447" s="154">
        <f>Y404*$E447/12*Y$483</f>
        <v/>
      </c>
      <c r="Z447" s="154">
        <f>Z404*$E447/12*Z$483</f>
        <v/>
      </c>
      <c r="AA447" s="154">
        <f>AA404*$E447/12*AA$483</f>
        <v/>
      </c>
      <c r="AB447" s="154">
        <f>AB404*$E447/12*AB$483</f>
        <v/>
      </c>
      <c r="AC447" s="154">
        <f>AC404*$E447/12*AC$483</f>
        <v/>
      </c>
      <c r="AD447" s="154">
        <f>AD404*$E447/12*AD$483</f>
        <v/>
      </c>
      <c r="AE447" s="229">
        <f>SUM(S447:AD447)</f>
        <v/>
      </c>
      <c r="AF447" s="229">
        <f>AF404*$E447*AF$483</f>
        <v/>
      </c>
      <c r="AG447" s="229">
        <f>AG404*$E447*AG$483</f>
        <v/>
      </c>
      <c r="AH447" s="229">
        <f>AH404*$E447*AH$483</f>
        <v/>
      </c>
    </row>
    <row r="448" ht="8.25" customHeight="1" s="277">
      <c r="A448" s="224" t="n"/>
      <c r="B448" s="225">
        <f>B405</f>
        <v/>
      </c>
      <c r="C448" s="226" t="n"/>
      <c r="D448" s="226" t="n"/>
      <c r="E448" s="358" t="n">
        <v>0</v>
      </c>
      <c r="F448" s="154">
        <f>F405*$E448/12*F$483</f>
        <v/>
      </c>
      <c r="G448" s="154">
        <f>G405*$E448/12*G$483</f>
        <v/>
      </c>
      <c r="H448" s="154">
        <f>H405*$E448/12*H$483</f>
        <v/>
      </c>
      <c r="I448" s="154">
        <f>I405*$E448/12*I$483</f>
        <v/>
      </c>
      <c r="J448" s="154">
        <f>J405*$E448/12*J$483</f>
        <v/>
      </c>
      <c r="K448" s="154">
        <f>K405*$E448/12*K$483</f>
        <v/>
      </c>
      <c r="L448" s="154">
        <f>L405*$E448/12*L$483</f>
        <v/>
      </c>
      <c r="M448" s="154">
        <f>M405*$E448/12*M$483</f>
        <v/>
      </c>
      <c r="N448" s="154">
        <f>N405*$E448/12*N$483</f>
        <v/>
      </c>
      <c r="O448" s="154">
        <f>O405*$E448/12*O$483</f>
        <v/>
      </c>
      <c r="P448" s="154">
        <f>P405*$E448/12*P$483</f>
        <v/>
      </c>
      <c r="Q448" s="154">
        <f>Q405*$E448/12*Q$483</f>
        <v/>
      </c>
      <c r="R448" s="229">
        <f>SUM(F448:Q448)</f>
        <v/>
      </c>
      <c r="S448" s="154">
        <f>S405*$E448/12*S$483</f>
        <v/>
      </c>
      <c r="T448" s="154">
        <f>T405*$E448/12*T$483</f>
        <v/>
      </c>
      <c r="U448" s="154">
        <f>U405*$E448/12*U$483</f>
        <v/>
      </c>
      <c r="V448" s="154">
        <f>V405*$E448/12*V$483</f>
        <v/>
      </c>
      <c r="W448" s="154">
        <f>W405*$E448/12*W$483</f>
        <v/>
      </c>
      <c r="X448" s="154">
        <f>X405*$E448/12*X$483</f>
        <v/>
      </c>
      <c r="Y448" s="154">
        <f>Y405*$E448/12*Y$483</f>
        <v/>
      </c>
      <c r="Z448" s="154">
        <f>Z405*$E448/12*Z$483</f>
        <v/>
      </c>
      <c r="AA448" s="154">
        <f>AA405*$E448/12*AA$483</f>
        <v/>
      </c>
      <c r="AB448" s="154">
        <f>AB405*$E448/12*AB$483</f>
        <v/>
      </c>
      <c r="AC448" s="154">
        <f>AC405*$E448/12*AC$483</f>
        <v/>
      </c>
      <c r="AD448" s="154">
        <f>AD405*$E448/12*AD$483</f>
        <v/>
      </c>
      <c r="AE448" s="229">
        <f>SUM(S448:AD448)</f>
        <v/>
      </c>
      <c r="AF448" s="229">
        <f>AF405*$E448*AF$483</f>
        <v/>
      </c>
      <c r="AG448" s="229">
        <f>AG405*$E448*AG$483</f>
        <v/>
      </c>
      <c r="AH448" s="229">
        <f>AH405*$E448*AH$483</f>
        <v/>
      </c>
    </row>
    <row r="449" ht="8.25" customHeight="1" s="277">
      <c r="A449" s="224" t="n"/>
      <c r="B449" s="225">
        <f>B406</f>
        <v/>
      </c>
      <c r="C449" s="226" t="n"/>
      <c r="D449" s="226" t="n"/>
      <c r="E449" s="358" t="n">
        <v>0</v>
      </c>
      <c r="F449" s="154">
        <f>F406*$E449/12*F$483</f>
        <v/>
      </c>
      <c r="G449" s="154">
        <f>G406*$E449/12*G$483</f>
        <v/>
      </c>
      <c r="H449" s="154">
        <f>H406*$E449/12*H$483</f>
        <v/>
      </c>
      <c r="I449" s="154">
        <f>I406*$E449/12*I$483</f>
        <v/>
      </c>
      <c r="J449" s="154">
        <f>J406*$E449/12*J$483</f>
        <v/>
      </c>
      <c r="K449" s="154">
        <f>K406*$E449/12*K$483</f>
        <v/>
      </c>
      <c r="L449" s="154">
        <f>L406*$E449/12*L$483</f>
        <v/>
      </c>
      <c r="M449" s="154">
        <f>M406*$E449/12*M$483</f>
        <v/>
      </c>
      <c r="N449" s="154">
        <f>N406*$E449/12*N$483</f>
        <v/>
      </c>
      <c r="O449" s="154">
        <f>O406*$E449/12*O$483</f>
        <v/>
      </c>
      <c r="P449" s="154">
        <f>P406*$E449/12*P$483</f>
        <v/>
      </c>
      <c r="Q449" s="154">
        <f>Q406*$E449/12*Q$483</f>
        <v/>
      </c>
      <c r="R449" s="229">
        <f>SUM(F449:Q449)</f>
        <v/>
      </c>
      <c r="S449" s="154">
        <f>S406*$E449/12*S$483</f>
        <v/>
      </c>
      <c r="T449" s="154">
        <f>T406*$E449/12*T$483</f>
        <v/>
      </c>
      <c r="U449" s="154">
        <f>U406*$E449/12*U$483</f>
        <v/>
      </c>
      <c r="V449" s="154">
        <f>V406*$E449/12*V$483</f>
        <v/>
      </c>
      <c r="W449" s="154">
        <f>W406*$E449/12*W$483</f>
        <v/>
      </c>
      <c r="X449" s="154">
        <f>X406*$E449/12*X$483</f>
        <v/>
      </c>
      <c r="Y449" s="154">
        <f>Y406*$E449/12*Y$483</f>
        <v/>
      </c>
      <c r="Z449" s="154">
        <f>Z406*$E449/12*Z$483</f>
        <v/>
      </c>
      <c r="AA449" s="154">
        <f>AA406*$E449/12*AA$483</f>
        <v/>
      </c>
      <c r="AB449" s="154">
        <f>AB406*$E449/12*AB$483</f>
        <v/>
      </c>
      <c r="AC449" s="154">
        <f>AC406*$E449/12*AC$483</f>
        <v/>
      </c>
      <c r="AD449" s="154">
        <f>AD406*$E449/12*AD$483</f>
        <v/>
      </c>
      <c r="AE449" s="229">
        <f>SUM(S449:AD449)</f>
        <v/>
      </c>
      <c r="AF449" s="229">
        <f>AF406*$E449*AF$483</f>
        <v/>
      </c>
      <c r="AG449" s="229">
        <f>AG406*$E449*AG$483</f>
        <v/>
      </c>
      <c r="AH449" s="229">
        <f>AH406*$E449*AH$483</f>
        <v/>
      </c>
    </row>
    <row r="450" ht="8.25" customHeight="1" s="277">
      <c r="A450" s="224" t="inlineStr">
        <is>
          <t>Total Salaries Paid</t>
        </is>
      </c>
      <c r="B450" s="156" t="n"/>
      <c r="C450" s="214" t="n"/>
      <c r="D450" s="214" t="n"/>
      <c r="E450" s="214" t="n"/>
      <c r="F450" s="228">
        <f>SUM(F445:F449)</f>
        <v/>
      </c>
      <c r="G450" s="228">
        <f>SUM(G445:G449)</f>
        <v/>
      </c>
      <c r="H450" s="228">
        <f>SUM(H445:H449)</f>
        <v/>
      </c>
      <c r="I450" s="228">
        <f>SUM(I445:I449)</f>
        <v/>
      </c>
      <c r="J450" s="228">
        <f>SUM(J445:J449)</f>
        <v/>
      </c>
      <c r="K450" s="228">
        <f>SUM(K445:K449)</f>
        <v/>
      </c>
      <c r="L450" s="228">
        <f>SUM(L445:L449)</f>
        <v/>
      </c>
      <c r="M450" s="228">
        <f>SUM(M445:M449)</f>
        <v/>
      </c>
      <c r="N450" s="228">
        <f>SUM(N445:N449)</f>
        <v/>
      </c>
      <c r="O450" s="228">
        <f>SUM(O445:O449)</f>
        <v/>
      </c>
      <c r="P450" s="228">
        <f>SUM(P445:P449)</f>
        <v/>
      </c>
      <c r="Q450" s="228">
        <f>SUM(Q445:Q449)</f>
        <v/>
      </c>
      <c r="R450" s="158">
        <f>SUM(F450:Q450)</f>
        <v/>
      </c>
      <c r="S450" s="228">
        <f>SUM(S445:S449)</f>
        <v/>
      </c>
      <c r="T450" s="228">
        <f>SUM(T445:T449)</f>
        <v/>
      </c>
      <c r="U450" s="228">
        <f>SUM(U445:U449)</f>
        <v/>
      </c>
      <c r="V450" s="228">
        <f>SUM(V445:V449)</f>
        <v/>
      </c>
      <c r="W450" s="228">
        <f>SUM(W445:W449)</f>
        <v/>
      </c>
      <c r="X450" s="228">
        <f>SUM(X445:X449)</f>
        <v/>
      </c>
      <c r="Y450" s="228">
        <f>SUM(Y445:Y449)</f>
        <v/>
      </c>
      <c r="Z450" s="228">
        <f>SUM(Z445:Z449)</f>
        <v/>
      </c>
      <c r="AA450" s="228">
        <f>SUM(AA445:AA449)</f>
        <v/>
      </c>
      <c r="AB450" s="228">
        <f>SUM(AB445:AB449)</f>
        <v/>
      </c>
      <c r="AC450" s="228">
        <f>SUM(AC445:AC449)</f>
        <v/>
      </c>
      <c r="AD450" s="228">
        <f>SUM(AD445:AD449)</f>
        <v/>
      </c>
      <c r="AE450" s="158">
        <f>SUM(S450:AD450)</f>
        <v/>
      </c>
      <c r="AF450" s="158">
        <f>SUM(AF445:AF449)</f>
        <v/>
      </c>
      <c r="AG450" s="158">
        <f>SUM(AG445:AG449)</f>
        <v/>
      </c>
      <c r="AH450" s="158">
        <f>SUM(AH445:AH449)</f>
        <v/>
      </c>
    </row>
    <row r="451" ht="8.25" customHeight="1" s="277">
      <c r="A451" s="224" t="n"/>
      <c r="B451" s="225" t="n"/>
      <c r="C451" s="215" t="n"/>
      <c r="D451" s="215" t="n"/>
      <c r="E451" s="215" t="n"/>
    </row>
    <row r="452" ht="8.25" customHeight="1" s="277">
      <c r="A452" s="224">
        <f>UPPER($A$409)</f>
        <v/>
      </c>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f>B410</f>
        <v/>
      </c>
      <c r="C453" s="226" t="n"/>
      <c r="D453" s="226" t="n"/>
      <c r="E453" s="358" t="n">
        <v>0</v>
      </c>
      <c r="F453" s="154">
        <f>F410*$E453/12*F$483</f>
        <v/>
      </c>
      <c r="G453" s="154">
        <f>G410*$E453/12*G$483</f>
        <v/>
      </c>
      <c r="H453" s="154">
        <f>H410*$E453/12*H$483</f>
        <v/>
      </c>
      <c r="I453" s="154">
        <f>I410*$E453/12*I$483</f>
        <v/>
      </c>
      <c r="J453" s="154">
        <f>J410*$E453/12*J$483</f>
        <v/>
      </c>
      <c r="K453" s="154">
        <f>K410*$E453/12*K$483</f>
        <v/>
      </c>
      <c r="L453" s="154">
        <f>L410*$E453/12*L$483</f>
        <v/>
      </c>
      <c r="M453" s="154">
        <f>M410*$E453/12*M$483</f>
        <v/>
      </c>
      <c r="N453" s="154">
        <f>N410*$E453/12*N$483</f>
        <v/>
      </c>
      <c r="O453" s="154">
        <f>O410*$E453/12*O$483</f>
        <v/>
      </c>
      <c r="P453" s="154">
        <f>P410*$E453/12*P$483</f>
        <v/>
      </c>
      <c r="Q453" s="154">
        <f>Q410*$E453/12*Q$483</f>
        <v/>
      </c>
      <c r="R453" s="229">
        <f>SUM(F453:Q453)</f>
        <v/>
      </c>
      <c r="S453" s="154">
        <f>S410*$E453/12*S$483</f>
        <v/>
      </c>
      <c r="T453" s="154">
        <f>T410*$E453/12*T$483</f>
        <v/>
      </c>
      <c r="U453" s="154">
        <f>U410*$E453/12*U$483</f>
        <v/>
      </c>
      <c r="V453" s="154">
        <f>V410*$E453/12*V$483</f>
        <v/>
      </c>
      <c r="W453" s="154">
        <f>W410*$E453/12*W$483</f>
        <v/>
      </c>
      <c r="X453" s="154">
        <f>X410*$E453/12*X$483</f>
        <v/>
      </c>
      <c r="Y453" s="154">
        <f>Y410*$E453/12*Y$483</f>
        <v/>
      </c>
      <c r="Z453" s="154">
        <f>Z410*$E453/12*Z$483</f>
        <v/>
      </c>
      <c r="AA453" s="154">
        <f>AA410*$E453/12*AA$483</f>
        <v/>
      </c>
      <c r="AB453" s="154">
        <f>AB410*$E453/12*AB$483</f>
        <v/>
      </c>
      <c r="AC453" s="154">
        <f>AC410*$E453/12*AC$483</f>
        <v/>
      </c>
      <c r="AD453" s="154">
        <f>AD410*$E453/12*AD$483</f>
        <v/>
      </c>
      <c r="AE453" s="229">
        <f>SUM(S453:AD453)</f>
        <v/>
      </c>
      <c r="AF453" s="229">
        <f>AF410*$E453*AF$483</f>
        <v/>
      </c>
      <c r="AG453" s="229">
        <f>AG410*$E453*AG$483</f>
        <v/>
      </c>
      <c r="AH453" s="229">
        <f>AH410*$E453*AH$483</f>
        <v/>
      </c>
    </row>
    <row r="454" ht="8.25" customHeight="1" s="277">
      <c r="A454" s="224" t="n"/>
      <c r="B454" s="225">
        <f>B411</f>
        <v/>
      </c>
      <c r="C454" s="226" t="n"/>
      <c r="D454" s="226" t="n"/>
      <c r="E454" s="358" t="n">
        <v>0</v>
      </c>
      <c r="F454" s="154">
        <f>F411*$E454/12*F$483</f>
        <v/>
      </c>
      <c r="G454" s="154">
        <f>G411*$E454/12*G$483</f>
        <v/>
      </c>
      <c r="H454" s="154">
        <f>H411*$E454/12*H$483</f>
        <v/>
      </c>
      <c r="I454" s="154">
        <f>I411*$E454/12*I$483</f>
        <v/>
      </c>
      <c r="J454" s="154">
        <f>J411*$E454/12*J$483</f>
        <v/>
      </c>
      <c r="K454" s="154">
        <f>K411*$E454/12*K$483</f>
        <v/>
      </c>
      <c r="L454" s="154">
        <f>L411*$E454/12*L$483</f>
        <v/>
      </c>
      <c r="M454" s="154">
        <f>M411*$E454/12*M$483</f>
        <v/>
      </c>
      <c r="N454" s="154">
        <f>N411*$E454/12*N$483</f>
        <v/>
      </c>
      <c r="O454" s="154">
        <f>O411*$E454/12*O$483</f>
        <v/>
      </c>
      <c r="P454" s="154">
        <f>P411*$E454/12*P$483</f>
        <v/>
      </c>
      <c r="Q454" s="154">
        <f>Q411*$E454/12*Q$483</f>
        <v/>
      </c>
      <c r="R454" s="229">
        <f>SUM(F454:Q454)</f>
        <v/>
      </c>
      <c r="S454" s="154">
        <f>S411*$E454/12*S$483</f>
        <v/>
      </c>
      <c r="T454" s="154">
        <f>T411*$E454/12*T$483</f>
        <v/>
      </c>
      <c r="U454" s="154">
        <f>U411*$E454/12*U$483</f>
        <v/>
      </c>
      <c r="V454" s="154">
        <f>V411*$E454/12*V$483</f>
        <v/>
      </c>
      <c r="W454" s="154">
        <f>W411*$E454/12*W$483</f>
        <v/>
      </c>
      <c r="X454" s="154">
        <f>X411*$E454/12*X$483</f>
        <v/>
      </c>
      <c r="Y454" s="154">
        <f>Y411*$E454/12*Y$483</f>
        <v/>
      </c>
      <c r="Z454" s="154">
        <f>Z411*$E454/12*Z$483</f>
        <v/>
      </c>
      <c r="AA454" s="154">
        <f>AA411*$E454/12*AA$483</f>
        <v/>
      </c>
      <c r="AB454" s="154">
        <f>AB411*$E454/12*AB$483</f>
        <v/>
      </c>
      <c r="AC454" s="154">
        <f>AC411*$E454/12*AC$483</f>
        <v/>
      </c>
      <c r="AD454" s="154">
        <f>AD411*$E454/12*AD$483</f>
        <v/>
      </c>
      <c r="AE454" s="229">
        <f>SUM(S454:AD454)</f>
        <v/>
      </c>
      <c r="AF454" s="229">
        <f>AF411*$E454*AF$483</f>
        <v/>
      </c>
      <c r="AG454" s="229">
        <f>AG411*$E454*AG$483</f>
        <v/>
      </c>
      <c r="AH454" s="229">
        <f>AH411*$E454*AH$483</f>
        <v/>
      </c>
    </row>
    <row r="455" ht="8.25" customHeight="1" s="277">
      <c r="A455" s="224" t="n"/>
      <c r="B455" s="225">
        <f>B412</f>
        <v/>
      </c>
      <c r="C455" s="226" t="n"/>
      <c r="D455" s="226" t="n"/>
      <c r="E455" s="358" t="n">
        <v>0</v>
      </c>
      <c r="F455" s="154">
        <f>F412*$E455/12*F$483</f>
        <v/>
      </c>
      <c r="G455" s="154">
        <f>G412*$E455/12*G$483</f>
        <v/>
      </c>
      <c r="H455" s="154">
        <f>H412*$E455/12*H$483</f>
        <v/>
      </c>
      <c r="I455" s="154">
        <f>I412*$E455/12*I$483</f>
        <v/>
      </c>
      <c r="J455" s="154">
        <f>J412*$E455/12*J$483</f>
        <v/>
      </c>
      <c r="K455" s="154">
        <f>K412*$E455/12*K$483</f>
        <v/>
      </c>
      <c r="L455" s="154">
        <f>L412*$E455/12*L$483</f>
        <v/>
      </c>
      <c r="M455" s="154">
        <f>M412*$E455/12*M$483</f>
        <v/>
      </c>
      <c r="N455" s="154">
        <f>N412*$E455/12*N$483</f>
        <v/>
      </c>
      <c r="O455" s="154">
        <f>O412*$E455/12*O$483</f>
        <v/>
      </c>
      <c r="P455" s="154">
        <f>P412*$E455/12*P$483</f>
        <v/>
      </c>
      <c r="Q455" s="154">
        <f>Q412*$E455/12*Q$483</f>
        <v/>
      </c>
      <c r="R455" s="229">
        <f>SUM(F455:Q455)</f>
        <v/>
      </c>
      <c r="S455" s="154">
        <f>S412*$E455/12*S$483</f>
        <v/>
      </c>
      <c r="T455" s="154">
        <f>T412*$E455/12*T$483</f>
        <v/>
      </c>
      <c r="U455" s="154">
        <f>U412*$E455/12*U$483</f>
        <v/>
      </c>
      <c r="V455" s="154">
        <f>V412*$E455/12*V$483</f>
        <v/>
      </c>
      <c r="W455" s="154">
        <f>W412*$E455/12*W$483</f>
        <v/>
      </c>
      <c r="X455" s="154">
        <f>X412*$E455/12*X$483</f>
        <v/>
      </c>
      <c r="Y455" s="154">
        <f>Y412*$E455/12*Y$483</f>
        <v/>
      </c>
      <c r="Z455" s="154">
        <f>Z412*$E455/12*Z$483</f>
        <v/>
      </c>
      <c r="AA455" s="154">
        <f>AA412*$E455/12*AA$483</f>
        <v/>
      </c>
      <c r="AB455" s="154">
        <f>AB412*$E455/12*AB$483</f>
        <v/>
      </c>
      <c r="AC455" s="154">
        <f>AC412*$E455/12*AC$483</f>
        <v/>
      </c>
      <c r="AD455" s="154">
        <f>AD412*$E455/12*AD$483</f>
        <v/>
      </c>
      <c r="AE455" s="229">
        <f>SUM(S455:AD455)</f>
        <v/>
      </c>
      <c r="AF455" s="229">
        <f>AF412*$E455*AF$483</f>
        <v/>
      </c>
      <c r="AG455" s="229">
        <f>AG412*$E455*AG$483</f>
        <v/>
      </c>
      <c r="AH455" s="229">
        <f>AH412*$E455*AH$483</f>
        <v/>
      </c>
    </row>
    <row r="456" ht="8.25" customHeight="1" s="277">
      <c r="A456" s="224" t="n"/>
      <c r="B456" s="225">
        <f>B413</f>
        <v/>
      </c>
      <c r="C456" s="226" t="n"/>
      <c r="D456" s="226" t="n"/>
      <c r="E456" s="358" t="n">
        <v>0</v>
      </c>
      <c r="F456" s="154">
        <f>F413*$E456/12*F$483</f>
        <v/>
      </c>
      <c r="G456" s="154">
        <f>G413*$E456/12*G$483</f>
        <v/>
      </c>
      <c r="H456" s="154">
        <f>H413*$E456/12*H$483</f>
        <v/>
      </c>
      <c r="I456" s="154">
        <f>I413*$E456/12*I$483</f>
        <v/>
      </c>
      <c r="J456" s="154">
        <f>J413*$E456/12*J$483</f>
        <v/>
      </c>
      <c r="K456" s="154">
        <f>K413*$E456/12*K$483</f>
        <v/>
      </c>
      <c r="L456" s="154">
        <f>L413*$E456/12*L$483</f>
        <v/>
      </c>
      <c r="M456" s="154">
        <f>M413*$E456/12*M$483</f>
        <v/>
      </c>
      <c r="N456" s="154">
        <f>N413*$E456/12*N$483</f>
        <v/>
      </c>
      <c r="O456" s="154">
        <f>O413*$E456/12*O$483</f>
        <v/>
      </c>
      <c r="P456" s="154">
        <f>P413*$E456/12*P$483</f>
        <v/>
      </c>
      <c r="Q456" s="154">
        <f>Q413*$E456/12*Q$483</f>
        <v/>
      </c>
      <c r="R456" s="229">
        <f>SUM(F456:Q456)</f>
        <v/>
      </c>
      <c r="S456" s="154">
        <f>S413*$E456/12*S$483</f>
        <v/>
      </c>
      <c r="T456" s="154">
        <f>T413*$E456/12*T$483</f>
        <v/>
      </c>
      <c r="U456" s="154">
        <f>U413*$E456/12*U$483</f>
        <v/>
      </c>
      <c r="V456" s="154">
        <f>V413*$E456/12*V$483</f>
        <v/>
      </c>
      <c r="W456" s="154">
        <f>W413*$E456/12*W$483</f>
        <v/>
      </c>
      <c r="X456" s="154">
        <f>X413*$E456/12*X$483</f>
        <v/>
      </c>
      <c r="Y456" s="154">
        <f>Y413*$E456/12*Y$483</f>
        <v/>
      </c>
      <c r="Z456" s="154">
        <f>Z413*$E456/12*Z$483</f>
        <v/>
      </c>
      <c r="AA456" s="154">
        <f>AA413*$E456/12*AA$483</f>
        <v/>
      </c>
      <c r="AB456" s="154">
        <f>AB413*$E456/12*AB$483</f>
        <v/>
      </c>
      <c r="AC456" s="154">
        <f>AC413*$E456/12*AC$483</f>
        <v/>
      </c>
      <c r="AD456" s="154">
        <f>AD413*$E456/12*AD$483</f>
        <v/>
      </c>
      <c r="AE456" s="229">
        <f>SUM(S456:AD456)</f>
        <v/>
      </c>
      <c r="AF456" s="229">
        <f>AF413*$E456*AF$483</f>
        <v/>
      </c>
      <c r="AG456" s="229">
        <f>AG413*$E456*AG$483</f>
        <v/>
      </c>
      <c r="AH456" s="229">
        <f>AH413*$E456*AH$483</f>
        <v/>
      </c>
    </row>
    <row r="457" ht="8.25" customHeight="1" s="277">
      <c r="A457" s="224" t="n"/>
      <c r="B457" s="225">
        <f>B414</f>
        <v/>
      </c>
      <c r="C457" s="226" t="n"/>
      <c r="D457" s="226" t="n"/>
      <c r="E457" s="358" t="n">
        <v>0</v>
      </c>
      <c r="F457" s="154">
        <f>F414*$E457/12*F$483</f>
        <v/>
      </c>
      <c r="G457" s="154">
        <f>G414*$E457/12*G$483</f>
        <v/>
      </c>
      <c r="H457" s="154">
        <f>H414*$E457/12*H$483</f>
        <v/>
      </c>
      <c r="I457" s="154">
        <f>I414*$E457/12*I$483</f>
        <v/>
      </c>
      <c r="J457" s="154">
        <f>J414*$E457/12*J$483</f>
        <v/>
      </c>
      <c r="K457" s="154">
        <f>K414*$E457/12*K$483</f>
        <v/>
      </c>
      <c r="L457" s="154">
        <f>L414*$E457/12*L$483</f>
        <v/>
      </c>
      <c r="M457" s="154">
        <f>M414*$E457/12*M$483</f>
        <v/>
      </c>
      <c r="N457" s="154">
        <f>N414*$E457/12*N$483</f>
        <v/>
      </c>
      <c r="O457" s="154">
        <f>O414*$E457/12*O$483</f>
        <v/>
      </c>
      <c r="P457" s="154">
        <f>P414*$E457/12*P$483</f>
        <v/>
      </c>
      <c r="Q457" s="154">
        <f>Q414*$E457/12*Q$483</f>
        <v/>
      </c>
      <c r="R457" s="229">
        <f>SUM(F457:Q457)</f>
        <v/>
      </c>
      <c r="S457" s="154">
        <f>S414*$E457/12*S$483</f>
        <v/>
      </c>
      <c r="T457" s="154">
        <f>T414*$E457/12*T$483</f>
        <v/>
      </c>
      <c r="U457" s="154">
        <f>U414*$E457/12*U$483</f>
        <v/>
      </c>
      <c r="V457" s="154">
        <f>V414*$E457/12*V$483</f>
        <v/>
      </c>
      <c r="W457" s="154">
        <f>W414*$E457/12*W$483</f>
        <v/>
      </c>
      <c r="X457" s="154">
        <f>X414*$E457/12*X$483</f>
        <v/>
      </c>
      <c r="Y457" s="154">
        <f>Y414*$E457/12*Y$483</f>
        <v/>
      </c>
      <c r="Z457" s="154">
        <f>Z414*$E457/12*Z$483</f>
        <v/>
      </c>
      <c r="AA457" s="154">
        <f>AA414*$E457/12*AA$483</f>
        <v/>
      </c>
      <c r="AB457" s="154">
        <f>AB414*$E457/12*AB$483</f>
        <v/>
      </c>
      <c r="AC457" s="154">
        <f>AC414*$E457/12*AC$483</f>
        <v/>
      </c>
      <c r="AD457" s="154">
        <f>AD414*$E457/12*AD$483</f>
        <v/>
      </c>
      <c r="AE457" s="229">
        <f>SUM(S457:AD457)</f>
        <v/>
      </c>
      <c r="AF457" s="229">
        <f>AF414*$E457*AF$483</f>
        <v/>
      </c>
      <c r="AG457" s="229">
        <f>AG414*$E457*AG$483</f>
        <v/>
      </c>
      <c r="AH457" s="229">
        <f>AH414*$E457*AH$483</f>
        <v/>
      </c>
    </row>
    <row r="458" ht="8.25" customHeight="1" s="277">
      <c r="A458" s="224" t="inlineStr">
        <is>
          <t>Total Salaries Paid</t>
        </is>
      </c>
      <c r="B458" s="156" t="n"/>
      <c r="C458" s="214" t="n"/>
      <c r="D458" s="214" t="n"/>
      <c r="E458" s="214" t="n"/>
      <c r="F458" s="228">
        <f>SUM(F453:F457)</f>
        <v/>
      </c>
      <c r="G458" s="228">
        <f>SUM(G453:G457)</f>
        <v/>
      </c>
      <c r="H458" s="228">
        <f>SUM(H453:H457)</f>
        <v/>
      </c>
      <c r="I458" s="228">
        <f>SUM(I453:I457)</f>
        <v/>
      </c>
      <c r="J458" s="228">
        <f>SUM(J453:J457)</f>
        <v/>
      </c>
      <c r="K458" s="228">
        <f>SUM(K453:K457)</f>
        <v/>
      </c>
      <c r="L458" s="228">
        <f>SUM(L453:L457)</f>
        <v/>
      </c>
      <c r="M458" s="228">
        <f>SUM(M453:M457)</f>
        <v/>
      </c>
      <c r="N458" s="228">
        <f>SUM(N453:N457)</f>
        <v/>
      </c>
      <c r="O458" s="228">
        <f>SUM(O453:O457)</f>
        <v/>
      </c>
      <c r="P458" s="228">
        <f>SUM(P453:P457)</f>
        <v/>
      </c>
      <c r="Q458" s="228">
        <f>SUM(Q453:Q457)</f>
        <v/>
      </c>
      <c r="R458" s="158">
        <f>SUM(F458:Q458)</f>
        <v/>
      </c>
      <c r="S458" s="228">
        <f>SUM(S453:S457)</f>
        <v/>
      </c>
      <c r="T458" s="228">
        <f>SUM(T453:T457)</f>
        <v/>
      </c>
      <c r="U458" s="228">
        <f>SUM(U453:U457)</f>
        <v/>
      </c>
      <c r="V458" s="228">
        <f>SUM(V453:V457)</f>
        <v/>
      </c>
      <c r="W458" s="228">
        <f>SUM(W453:W457)</f>
        <v/>
      </c>
      <c r="X458" s="228">
        <f>SUM(X453:X457)</f>
        <v/>
      </c>
      <c r="Y458" s="228">
        <f>SUM(Y453:Y457)</f>
        <v/>
      </c>
      <c r="Z458" s="228">
        <f>SUM(Z453:Z457)</f>
        <v/>
      </c>
      <c r="AA458" s="228">
        <f>SUM(AA453:AA457)</f>
        <v/>
      </c>
      <c r="AB458" s="228">
        <f>SUM(AB453:AB457)</f>
        <v/>
      </c>
      <c r="AC458" s="228">
        <f>SUM(AC453:AC457)</f>
        <v/>
      </c>
      <c r="AD458" s="228">
        <f>SUM(AD453:AD457)</f>
        <v/>
      </c>
      <c r="AE458" s="158">
        <f>SUM(S458:AD458)</f>
        <v/>
      </c>
      <c r="AF458" s="158">
        <f>SUM(AF453:AF457)</f>
        <v/>
      </c>
      <c r="AG458" s="158">
        <f>SUM(AG453:AG457)</f>
        <v/>
      </c>
      <c r="AH458" s="158">
        <f>SUM(AH453:AH457)</f>
        <v/>
      </c>
    </row>
    <row r="459" ht="8.25" customHeight="1" s="277">
      <c r="A459" s="224" t="n"/>
      <c r="B459" s="225" t="n"/>
      <c r="C459" s="215" t="n"/>
      <c r="D459" s="215" t="n"/>
      <c r="E459" s="215" t="n"/>
    </row>
    <row r="460" ht="8.25" customHeight="1" s="277">
      <c r="A460" s="224">
        <f>UPPER($A$417)</f>
        <v/>
      </c>
      <c r="B460" s="225" t="n"/>
      <c r="C460" s="226" t="n"/>
      <c r="D460" s="226" t="n"/>
      <c r="E460" s="226" t="inlineStr">
        <is>
          <t>Annual Salary</t>
        </is>
      </c>
    </row>
    <row r="461" ht="8.25" customHeight="1" s="277">
      <c r="A461" s="224" t="n"/>
      <c r="B461" s="225">
        <f>B418</f>
        <v/>
      </c>
      <c r="C461" s="226" t="n"/>
      <c r="D461" s="226" t="n"/>
      <c r="E461" s="358" t="n">
        <v>0</v>
      </c>
      <c r="F461" s="154">
        <f>F418*$E461/12*F$483</f>
        <v/>
      </c>
      <c r="G461" s="154">
        <f>G418*$E461/12*G$483</f>
        <v/>
      </c>
      <c r="H461" s="154">
        <f>H418*$E461/12*H$483</f>
        <v/>
      </c>
      <c r="I461" s="154">
        <f>I418*$E461/12*I$483</f>
        <v/>
      </c>
      <c r="J461" s="154">
        <f>J418*$E461/12*J$483</f>
        <v/>
      </c>
      <c r="K461" s="154">
        <f>K418*$E461/12*K$483</f>
        <v/>
      </c>
      <c r="L461" s="154">
        <f>L418*$E461/12*L$483</f>
        <v/>
      </c>
      <c r="M461" s="154">
        <f>M418*$E461/12*M$483</f>
        <v/>
      </c>
      <c r="N461" s="154">
        <f>N418*$E461/12*N$483</f>
        <v/>
      </c>
      <c r="O461" s="154">
        <f>O418*$E461/12*O$483</f>
        <v/>
      </c>
      <c r="P461" s="154">
        <f>P418*$E461/12*P$483</f>
        <v/>
      </c>
      <c r="Q461" s="154">
        <f>Q418*$E461/12*Q$483</f>
        <v/>
      </c>
      <c r="R461" s="229">
        <f>SUM(F461:Q461)</f>
        <v/>
      </c>
      <c r="S461" s="154">
        <f>S418*$E461/12*S$483</f>
        <v/>
      </c>
      <c r="T461" s="154">
        <f>T418*$E461/12*T$483</f>
        <v/>
      </c>
      <c r="U461" s="154">
        <f>U418*$E461/12*U$483</f>
        <v/>
      </c>
      <c r="V461" s="154">
        <f>V418*$E461/12*V$483</f>
        <v/>
      </c>
      <c r="W461" s="154">
        <f>W418*$E461/12*W$483</f>
        <v/>
      </c>
      <c r="X461" s="154">
        <f>X418*$E461/12*X$483</f>
        <v/>
      </c>
      <c r="Y461" s="154">
        <f>Y418*$E461/12*Y$483</f>
        <v/>
      </c>
      <c r="Z461" s="154">
        <f>Z418*$E461/12*Z$483</f>
        <v/>
      </c>
      <c r="AA461" s="154">
        <f>AA418*$E461/12*AA$483</f>
        <v/>
      </c>
      <c r="AB461" s="154">
        <f>AB418*$E461/12*AB$483</f>
        <v/>
      </c>
      <c r="AC461" s="154">
        <f>AC418*$E461/12*AC$483</f>
        <v/>
      </c>
      <c r="AD461" s="154">
        <f>AD418*$E461/12*AD$483</f>
        <v/>
      </c>
      <c r="AE461" s="229">
        <f>SUM(S461:AD461)</f>
        <v/>
      </c>
      <c r="AF461" s="229">
        <f>AF418*$E461*AF$483</f>
        <v/>
      </c>
      <c r="AG461" s="229">
        <f>AG418*$E461*AG$483</f>
        <v/>
      </c>
      <c r="AH461" s="229">
        <f>AH418*$E461*AH$483</f>
        <v/>
      </c>
    </row>
    <row r="462" ht="8.25" customHeight="1" s="277">
      <c r="A462" s="224" t="n"/>
      <c r="B462" s="225">
        <f>B419</f>
        <v/>
      </c>
      <c r="C462" s="226" t="n"/>
      <c r="D462" s="226" t="n"/>
      <c r="E462" s="358" t="n">
        <v>0</v>
      </c>
      <c r="F462" s="154">
        <f>F419*$E462/12*F$483</f>
        <v/>
      </c>
      <c r="G462" s="154">
        <f>G419*$E462/12*G$483</f>
        <v/>
      </c>
      <c r="H462" s="154">
        <f>H419*$E462/12*H$483</f>
        <v/>
      </c>
      <c r="I462" s="154">
        <f>I419*$E462/12*I$483</f>
        <v/>
      </c>
      <c r="J462" s="154">
        <f>J419*$E462/12*J$483</f>
        <v/>
      </c>
      <c r="K462" s="154">
        <f>K419*$E462/12*K$483</f>
        <v/>
      </c>
      <c r="L462" s="154">
        <f>L419*$E462/12*L$483</f>
        <v/>
      </c>
      <c r="M462" s="154">
        <f>M419*$E462/12*M$483</f>
        <v/>
      </c>
      <c r="N462" s="154">
        <f>N419*$E462/12*N$483</f>
        <v/>
      </c>
      <c r="O462" s="154">
        <f>O419*$E462/12*O$483</f>
        <v/>
      </c>
      <c r="P462" s="154">
        <f>P419*$E462/12*P$483</f>
        <v/>
      </c>
      <c r="Q462" s="154">
        <f>Q419*$E462/12*Q$483</f>
        <v/>
      </c>
      <c r="R462" s="229">
        <f>SUM(F462:Q462)</f>
        <v/>
      </c>
      <c r="S462" s="154">
        <f>S419*$E462/12*S$483</f>
        <v/>
      </c>
      <c r="T462" s="154">
        <f>T419*$E462/12*T$483</f>
        <v/>
      </c>
      <c r="U462" s="154">
        <f>U419*$E462/12*U$483</f>
        <v/>
      </c>
      <c r="V462" s="154">
        <f>V419*$E462/12*V$483</f>
        <v/>
      </c>
      <c r="W462" s="154">
        <f>W419*$E462/12*W$483</f>
        <v/>
      </c>
      <c r="X462" s="154">
        <f>X419*$E462/12*X$483</f>
        <v/>
      </c>
      <c r="Y462" s="154">
        <f>Y419*$E462/12*Y$483</f>
        <v/>
      </c>
      <c r="Z462" s="154">
        <f>Z419*$E462/12*Z$483</f>
        <v/>
      </c>
      <c r="AA462" s="154">
        <f>AA419*$E462/12*AA$483</f>
        <v/>
      </c>
      <c r="AB462" s="154">
        <f>AB419*$E462/12*AB$483</f>
        <v/>
      </c>
      <c r="AC462" s="154">
        <f>AC419*$E462/12*AC$483</f>
        <v/>
      </c>
      <c r="AD462" s="154">
        <f>AD419*$E462/12*AD$483</f>
        <v/>
      </c>
      <c r="AE462" s="229">
        <f>SUM(S462:AD462)</f>
        <v/>
      </c>
      <c r="AF462" s="229">
        <f>AF419*$E462*AF$483</f>
        <v/>
      </c>
      <c r="AG462" s="229">
        <f>AG419*$E462*AG$483</f>
        <v/>
      </c>
      <c r="AH462" s="229">
        <f>AH419*$E462*AH$483</f>
        <v/>
      </c>
    </row>
    <row r="463" ht="8.25" customHeight="1" s="277">
      <c r="A463" s="224" t="n"/>
      <c r="B463" s="225">
        <f>B420</f>
        <v/>
      </c>
      <c r="C463" s="226" t="n"/>
      <c r="D463" s="226" t="n"/>
      <c r="E463" s="358" t="n">
        <v>0</v>
      </c>
      <c r="F463" s="154">
        <f>F420*$E463/12*F$483</f>
        <v/>
      </c>
      <c r="G463" s="154">
        <f>G420*$E463/12*G$483</f>
        <v/>
      </c>
      <c r="H463" s="154">
        <f>H420*$E463/12*H$483</f>
        <v/>
      </c>
      <c r="I463" s="154">
        <f>I420*$E463/12*I$483</f>
        <v/>
      </c>
      <c r="J463" s="154">
        <f>J420*$E463/12*J$483</f>
        <v/>
      </c>
      <c r="K463" s="154">
        <f>K420*$E463/12*K$483</f>
        <v/>
      </c>
      <c r="L463" s="154">
        <f>L420*$E463/12*L$483</f>
        <v/>
      </c>
      <c r="M463" s="154">
        <f>M420*$E463/12*M$483</f>
        <v/>
      </c>
      <c r="N463" s="154">
        <f>N420*$E463/12*N$483</f>
        <v/>
      </c>
      <c r="O463" s="154">
        <f>O420*$E463/12*O$483</f>
        <v/>
      </c>
      <c r="P463" s="154">
        <f>P420*$E463/12*P$483</f>
        <v/>
      </c>
      <c r="Q463" s="154">
        <f>Q420*$E463/12*Q$483</f>
        <v/>
      </c>
      <c r="R463" s="229">
        <f>SUM(F463:Q463)</f>
        <v/>
      </c>
      <c r="S463" s="154">
        <f>S420*$E463/12*S$483</f>
        <v/>
      </c>
      <c r="T463" s="154">
        <f>T420*$E463/12*T$483</f>
        <v/>
      </c>
      <c r="U463" s="154">
        <f>U420*$E463/12*U$483</f>
        <v/>
      </c>
      <c r="V463" s="154">
        <f>V420*$E463/12*V$483</f>
        <v/>
      </c>
      <c r="W463" s="154">
        <f>W420*$E463/12*W$483</f>
        <v/>
      </c>
      <c r="X463" s="154">
        <f>X420*$E463/12*X$483</f>
        <v/>
      </c>
      <c r="Y463" s="154">
        <f>Y420*$E463/12*Y$483</f>
        <v/>
      </c>
      <c r="Z463" s="154">
        <f>Z420*$E463/12*Z$483</f>
        <v/>
      </c>
      <c r="AA463" s="154">
        <f>AA420*$E463/12*AA$483</f>
        <v/>
      </c>
      <c r="AB463" s="154">
        <f>AB420*$E463/12*AB$483</f>
        <v/>
      </c>
      <c r="AC463" s="154">
        <f>AC420*$E463/12*AC$483</f>
        <v/>
      </c>
      <c r="AD463" s="154">
        <f>AD420*$E463/12*AD$483</f>
        <v/>
      </c>
      <c r="AE463" s="229">
        <f>SUM(S463:AD463)</f>
        <v/>
      </c>
      <c r="AF463" s="229">
        <f>AF420*$E463*AF$483</f>
        <v/>
      </c>
      <c r="AG463" s="229">
        <f>AG420*$E463*AG$483</f>
        <v/>
      </c>
      <c r="AH463" s="229">
        <f>AH420*$E463*AH$483</f>
        <v/>
      </c>
    </row>
    <row r="464" ht="8.25" customHeight="1" s="277">
      <c r="A464" s="224" t="n"/>
      <c r="B464" s="225">
        <f>B421</f>
        <v/>
      </c>
      <c r="C464" s="226" t="n"/>
      <c r="D464" s="226" t="n"/>
      <c r="E464" s="358" t="n">
        <v>0</v>
      </c>
      <c r="F464" s="154">
        <f>F421*$E464/12*F$483</f>
        <v/>
      </c>
      <c r="G464" s="154">
        <f>G421*$E464/12*G$483</f>
        <v/>
      </c>
      <c r="H464" s="154">
        <f>H421*$E464/12*H$483</f>
        <v/>
      </c>
      <c r="I464" s="154">
        <f>I421*$E464/12*I$483</f>
        <v/>
      </c>
      <c r="J464" s="154">
        <f>J421*$E464/12*J$483</f>
        <v/>
      </c>
      <c r="K464" s="154">
        <f>K421*$E464/12*K$483</f>
        <v/>
      </c>
      <c r="L464" s="154">
        <f>L421*$E464/12*L$483</f>
        <v/>
      </c>
      <c r="M464" s="154">
        <f>M421*$E464/12*M$483</f>
        <v/>
      </c>
      <c r="N464" s="154">
        <f>N421*$E464/12*N$483</f>
        <v/>
      </c>
      <c r="O464" s="154">
        <f>O421*$E464/12*O$483</f>
        <v/>
      </c>
      <c r="P464" s="154">
        <f>P421*$E464/12*P$483</f>
        <v/>
      </c>
      <c r="Q464" s="154">
        <f>Q421*$E464/12*Q$483</f>
        <v/>
      </c>
      <c r="R464" s="229">
        <f>SUM(F464:Q464)</f>
        <v/>
      </c>
      <c r="S464" s="154">
        <f>S421*$E464/12*S$483</f>
        <v/>
      </c>
      <c r="T464" s="154">
        <f>T421*$E464/12*T$483</f>
        <v/>
      </c>
      <c r="U464" s="154">
        <f>U421*$E464/12*U$483</f>
        <v/>
      </c>
      <c r="V464" s="154">
        <f>V421*$E464/12*V$483</f>
        <v/>
      </c>
      <c r="W464" s="154">
        <f>W421*$E464/12*W$483</f>
        <v/>
      </c>
      <c r="X464" s="154">
        <f>X421*$E464/12*X$483</f>
        <v/>
      </c>
      <c r="Y464" s="154">
        <f>Y421*$E464/12*Y$483</f>
        <v/>
      </c>
      <c r="Z464" s="154">
        <f>Z421*$E464/12*Z$483</f>
        <v/>
      </c>
      <c r="AA464" s="154">
        <f>AA421*$E464/12*AA$483</f>
        <v/>
      </c>
      <c r="AB464" s="154">
        <f>AB421*$E464/12*AB$483</f>
        <v/>
      </c>
      <c r="AC464" s="154">
        <f>AC421*$E464/12*AC$483</f>
        <v/>
      </c>
      <c r="AD464" s="154">
        <f>AD421*$E464/12*AD$483</f>
        <v/>
      </c>
      <c r="AE464" s="229">
        <f>SUM(S464:AD464)</f>
        <v/>
      </c>
      <c r="AF464" s="229">
        <f>AF421*$E464*AF$483</f>
        <v/>
      </c>
      <c r="AG464" s="229">
        <f>AG421*$E464*AG$483</f>
        <v/>
      </c>
      <c r="AH464" s="229">
        <f>AH421*$E464*AH$483</f>
        <v/>
      </c>
    </row>
    <row r="465" ht="8.25" customHeight="1" s="277">
      <c r="A465" s="224" t="n"/>
      <c r="B465" s="225">
        <f>B422</f>
        <v/>
      </c>
      <c r="C465" s="226" t="n"/>
      <c r="D465" s="226" t="n"/>
      <c r="E465" s="358" t="n">
        <v>0</v>
      </c>
      <c r="F465" s="154">
        <f>F422*$E465/12*F$483</f>
        <v/>
      </c>
      <c r="G465" s="154">
        <f>G422*$E465/12*G$483</f>
        <v/>
      </c>
      <c r="H465" s="154">
        <f>H422*$E465/12*H$483</f>
        <v/>
      </c>
      <c r="I465" s="154">
        <f>I422*$E465/12*I$483</f>
        <v/>
      </c>
      <c r="J465" s="154">
        <f>J422*$E465/12*J$483</f>
        <v/>
      </c>
      <c r="K465" s="154">
        <f>K422*$E465/12*K$483</f>
        <v/>
      </c>
      <c r="L465" s="154">
        <f>L422*$E465/12*L$483</f>
        <v/>
      </c>
      <c r="M465" s="154">
        <f>M422*$E465/12*M$483</f>
        <v/>
      </c>
      <c r="N465" s="154">
        <f>N422*$E465/12*N$483</f>
        <v/>
      </c>
      <c r="O465" s="154">
        <f>O422*$E465/12*O$483</f>
        <v/>
      </c>
      <c r="P465" s="154">
        <f>P422*$E465/12*P$483</f>
        <v/>
      </c>
      <c r="Q465" s="154">
        <f>Q422*$E465/12*Q$483</f>
        <v/>
      </c>
      <c r="R465" s="229">
        <f>SUM(F465:Q465)</f>
        <v/>
      </c>
      <c r="S465" s="154">
        <f>S422*$E465/12*S$483</f>
        <v/>
      </c>
      <c r="T465" s="154">
        <f>T422*$E465/12*T$483</f>
        <v/>
      </c>
      <c r="U465" s="154">
        <f>U422*$E465/12*U$483</f>
        <v/>
      </c>
      <c r="V465" s="154">
        <f>V422*$E465/12*V$483</f>
        <v/>
      </c>
      <c r="W465" s="154">
        <f>W422*$E465/12*W$483</f>
        <v/>
      </c>
      <c r="X465" s="154">
        <f>X422*$E465/12*X$483</f>
        <v/>
      </c>
      <c r="Y465" s="154">
        <f>Y422*$E465/12*Y$483</f>
        <v/>
      </c>
      <c r="Z465" s="154">
        <f>Z422*$E465/12*Z$483</f>
        <v/>
      </c>
      <c r="AA465" s="154">
        <f>AA422*$E465/12*AA$483</f>
        <v/>
      </c>
      <c r="AB465" s="154">
        <f>AB422*$E465/12*AB$483</f>
        <v/>
      </c>
      <c r="AC465" s="154">
        <f>AC422*$E465/12*AC$483</f>
        <v/>
      </c>
      <c r="AD465" s="154">
        <f>AD422*$E465/12*AD$483</f>
        <v/>
      </c>
      <c r="AE465" s="229">
        <f>SUM(S465:AD465)</f>
        <v/>
      </c>
      <c r="AF465" s="229">
        <f>AF422*$E465*AF$483</f>
        <v/>
      </c>
      <c r="AG465" s="229">
        <f>AG422*$E465*AG$483</f>
        <v/>
      </c>
      <c r="AH465" s="229">
        <f>AH422*$E465*AH$483</f>
        <v/>
      </c>
    </row>
    <row r="466" ht="8.25" customHeight="1" s="277">
      <c r="A466" s="224" t="n"/>
      <c r="B466" s="225">
        <f>B423</f>
        <v/>
      </c>
      <c r="C466" s="226" t="n"/>
      <c r="D466" s="226" t="n"/>
      <c r="E466" s="358" t="n">
        <v>0</v>
      </c>
      <c r="F466" s="154">
        <f>F423*$E466/12*F$483</f>
        <v/>
      </c>
      <c r="G466" s="154">
        <f>G423*$E466/12*G$483</f>
        <v/>
      </c>
      <c r="H466" s="154">
        <f>H423*$E466/12*H$483</f>
        <v/>
      </c>
      <c r="I466" s="154">
        <f>I423*$E466/12*I$483</f>
        <v/>
      </c>
      <c r="J466" s="154">
        <f>J423*$E466/12*J$483</f>
        <v/>
      </c>
      <c r="K466" s="154">
        <f>K423*$E466/12*K$483</f>
        <v/>
      </c>
      <c r="L466" s="154">
        <f>L423*$E466/12*L$483</f>
        <v/>
      </c>
      <c r="M466" s="154">
        <f>M423*$E466/12*M$483</f>
        <v/>
      </c>
      <c r="N466" s="154">
        <f>N423*$E466/12*N$483</f>
        <v/>
      </c>
      <c r="O466" s="154">
        <f>O423*$E466/12*O$483</f>
        <v/>
      </c>
      <c r="P466" s="154">
        <f>P423*$E466/12*P$483</f>
        <v/>
      </c>
      <c r="Q466" s="154">
        <f>Q423*$E466/12*Q$483</f>
        <v/>
      </c>
      <c r="R466" s="229">
        <f>SUM(F466:Q466)</f>
        <v/>
      </c>
      <c r="S466" s="154">
        <f>S423*$E466/12*S$483</f>
        <v/>
      </c>
      <c r="T466" s="154">
        <f>T423*$E466/12*T$483</f>
        <v/>
      </c>
      <c r="U466" s="154">
        <f>U423*$E466/12*U$483</f>
        <v/>
      </c>
      <c r="V466" s="154">
        <f>V423*$E466/12*V$483</f>
        <v/>
      </c>
      <c r="W466" s="154">
        <f>W423*$E466/12*W$483</f>
        <v/>
      </c>
      <c r="X466" s="154">
        <f>X423*$E466/12*X$483</f>
        <v/>
      </c>
      <c r="Y466" s="154">
        <f>Y423*$E466/12*Y$483</f>
        <v/>
      </c>
      <c r="Z466" s="154">
        <f>Z423*$E466/12*Z$483</f>
        <v/>
      </c>
      <c r="AA466" s="154">
        <f>AA423*$E466/12*AA$483</f>
        <v/>
      </c>
      <c r="AB466" s="154">
        <f>AB423*$E466/12*AB$483</f>
        <v/>
      </c>
      <c r="AC466" s="154">
        <f>AC423*$E466/12*AC$483</f>
        <v/>
      </c>
      <c r="AD466" s="154">
        <f>AD423*$E466/12*AD$483</f>
        <v/>
      </c>
      <c r="AE466" s="229">
        <f>SUM(S466:AD466)</f>
        <v/>
      </c>
      <c r="AF466" s="229">
        <f>AF423*$E466*AF$483</f>
        <v/>
      </c>
      <c r="AG466" s="229">
        <f>AG423*$E466*AG$483</f>
        <v/>
      </c>
      <c r="AH466" s="229">
        <f>AH423*$E466*AH$483</f>
        <v/>
      </c>
    </row>
    <row r="467" ht="8.25" customHeight="1" s="277">
      <c r="A467" s="224" t="n"/>
      <c r="B467" s="225">
        <f>B424</f>
        <v/>
      </c>
      <c r="C467" s="226" t="n"/>
      <c r="D467" s="226" t="n"/>
      <c r="E467" s="358" t="n">
        <v>0</v>
      </c>
      <c r="F467" s="154">
        <f>F424*$E467/12*F$483</f>
        <v/>
      </c>
      <c r="G467" s="154">
        <f>G424*$E467/12*G$483</f>
        <v/>
      </c>
      <c r="H467" s="154">
        <f>H424*$E467/12*H$483</f>
        <v/>
      </c>
      <c r="I467" s="154">
        <f>I424*$E467/12*I$483</f>
        <v/>
      </c>
      <c r="J467" s="154">
        <f>J424*$E467/12*J$483</f>
        <v/>
      </c>
      <c r="K467" s="154">
        <f>K424*$E467/12*K$483</f>
        <v/>
      </c>
      <c r="L467" s="154">
        <f>L424*$E467/12*L$483</f>
        <v/>
      </c>
      <c r="M467" s="154">
        <f>M424*$E467/12*M$483</f>
        <v/>
      </c>
      <c r="N467" s="154">
        <f>N424*$E467/12*N$483</f>
        <v/>
      </c>
      <c r="O467" s="154">
        <f>O424*$E467/12*O$483</f>
        <v/>
      </c>
      <c r="P467" s="154">
        <f>P424*$E467/12*P$483</f>
        <v/>
      </c>
      <c r="Q467" s="154">
        <f>Q424*$E467/12*Q$483</f>
        <v/>
      </c>
      <c r="R467" s="229">
        <f>SUM(F467:Q467)</f>
        <v/>
      </c>
      <c r="S467" s="154">
        <f>S424*$E467/12*S$483</f>
        <v/>
      </c>
      <c r="T467" s="154">
        <f>T424*$E467/12*T$483</f>
        <v/>
      </c>
      <c r="U467" s="154">
        <f>U424*$E467/12*U$483</f>
        <v/>
      </c>
      <c r="V467" s="154">
        <f>V424*$E467/12*V$483</f>
        <v/>
      </c>
      <c r="W467" s="154">
        <f>W424*$E467/12*W$483</f>
        <v/>
      </c>
      <c r="X467" s="154">
        <f>X424*$E467/12*X$483</f>
        <v/>
      </c>
      <c r="Y467" s="154">
        <f>Y424*$E467/12*Y$483</f>
        <v/>
      </c>
      <c r="Z467" s="154">
        <f>Z424*$E467/12*Z$483</f>
        <v/>
      </c>
      <c r="AA467" s="154">
        <f>AA424*$E467/12*AA$483</f>
        <v/>
      </c>
      <c r="AB467" s="154">
        <f>AB424*$E467/12*AB$483</f>
        <v/>
      </c>
      <c r="AC467" s="154">
        <f>AC424*$E467/12*AC$483</f>
        <v/>
      </c>
      <c r="AD467" s="154">
        <f>AD424*$E467/12*AD$483</f>
        <v/>
      </c>
      <c r="AE467" s="229">
        <f>SUM(S467:AD467)</f>
        <v/>
      </c>
      <c r="AF467" s="229">
        <f>AF424*$E467*AF$483</f>
        <v/>
      </c>
      <c r="AG467" s="229">
        <f>AG424*$E467*AG$483</f>
        <v/>
      </c>
      <c r="AH467" s="229">
        <f>AH424*$E467*AH$483</f>
        <v/>
      </c>
    </row>
    <row r="468" ht="8.25" customHeight="1" s="277">
      <c r="A468" s="224" t="n"/>
      <c r="B468" s="225">
        <f>B425</f>
        <v/>
      </c>
      <c r="C468" s="226" t="n"/>
      <c r="D468" s="226" t="n"/>
      <c r="E468" s="358" t="n">
        <v>0</v>
      </c>
      <c r="F468" s="154">
        <f>F425*$E468/12*F$483</f>
        <v/>
      </c>
      <c r="G468" s="154">
        <f>G425*$E468/12*G$483</f>
        <v/>
      </c>
      <c r="H468" s="154">
        <f>H425*$E468/12*H$483</f>
        <v/>
      </c>
      <c r="I468" s="154">
        <f>I425*$E468/12*I$483</f>
        <v/>
      </c>
      <c r="J468" s="154">
        <f>J425*$E468/12*J$483</f>
        <v/>
      </c>
      <c r="K468" s="154">
        <f>K425*$E468/12*K$483</f>
        <v/>
      </c>
      <c r="L468" s="154">
        <f>L425*$E468/12*L$483</f>
        <v/>
      </c>
      <c r="M468" s="154">
        <f>M425*$E468/12*M$483</f>
        <v/>
      </c>
      <c r="N468" s="154">
        <f>N425*$E468/12*N$483</f>
        <v/>
      </c>
      <c r="O468" s="154">
        <f>O425*$E468/12*O$483</f>
        <v/>
      </c>
      <c r="P468" s="154">
        <f>P425*$E468/12*P$483</f>
        <v/>
      </c>
      <c r="Q468" s="154">
        <f>Q425*$E468/12*Q$483</f>
        <v/>
      </c>
      <c r="R468" s="229">
        <f>SUM(F468:Q468)</f>
        <v/>
      </c>
      <c r="S468" s="154">
        <f>S425*$E468/12*S$483</f>
        <v/>
      </c>
      <c r="T468" s="154">
        <f>T425*$E468/12*T$483</f>
        <v/>
      </c>
      <c r="U468" s="154">
        <f>U425*$E468/12*U$483</f>
        <v/>
      </c>
      <c r="V468" s="154">
        <f>V425*$E468/12*V$483</f>
        <v/>
      </c>
      <c r="W468" s="154">
        <f>W425*$E468/12*W$483</f>
        <v/>
      </c>
      <c r="X468" s="154">
        <f>X425*$E468/12*X$483</f>
        <v/>
      </c>
      <c r="Y468" s="154">
        <f>Y425*$E468/12*Y$483</f>
        <v/>
      </c>
      <c r="Z468" s="154">
        <f>Z425*$E468/12*Z$483</f>
        <v/>
      </c>
      <c r="AA468" s="154">
        <f>AA425*$E468/12*AA$483</f>
        <v/>
      </c>
      <c r="AB468" s="154">
        <f>AB425*$E468/12*AB$483</f>
        <v/>
      </c>
      <c r="AC468" s="154">
        <f>AC425*$E468/12*AC$483</f>
        <v/>
      </c>
      <c r="AD468" s="154">
        <f>AD425*$E468/12*AD$483</f>
        <v/>
      </c>
      <c r="AE468" s="229">
        <f>SUM(S468:AD468)</f>
        <v/>
      </c>
      <c r="AF468" s="229">
        <f>AF425*$E468*AF$483</f>
        <v/>
      </c>
      <c r="AG468" s="229">
        <f>AG425*$E468*AG$483</f>
        <v/>
      </c>
      <c r="AH468" s="229">
        <f>AH425*$E468*AH$483</f>
        <v/>
      </c>
    </row>
    <row r="469" ht="8.25" customHeight="1" s="277">
      <c r="A469" s="224" t="inlineStr">
        <is>
          <t>Total Salaries Paid</t>
        </is>
      </c>
      <c r="B469" s="156" t="n"/>
      <c r="C469" s="214" t="n"/>
      <c r="D469" s="214" t="n"/>
      <c r="E469" s="214" t="n"/>
      <c r="F469" s="228">
        <f>SUM(F461:F468)</f>
        <v/>
      </c>
      <c r="G469" s="228">
        <f>SUM(G461:G468)</f>
        <v/>
      </c>
      <c r="H469" s="228">
        <f>SUM(H461:H468)</f>
        <v/>
      </c>
      <c r="I469" s="228">
        <f>SUM(I461:I468)</f>
        <v/>
      </c>
      <c r="J469" s="228">
        <f>SUM(J461:J468)</f>
        <v/>
      </c>
      <c r="K469" s="228">
        <f>SUM(K461:K468)</f>
        <v/>
      </c>
      <c r="L469" s="228">
        <f>SUM(L461:L468)</f>
        <v/>
      </c>
      <c r="M469" s="228">
        <f>SUM(M461:M468)</f>
        <v/>
      </c>
      <c r="N469" s="228">
        <f>SUM(N461:N468)</f>
        <v/>
      </c>
      <c r="O469" s="228">
        <f>SUM(O461:O468)</f>
        <v/>
      </c>
      <c r="P469" s="228">
        <f>SUM(P461:P468)</f>
        <v/>
      </c>
      <c r="Q469" s="228">
        <f>SUM(Q461:Q468)</f>
        <v/>
      </c>
      <c r="R469" s="158">
        <f>SUM(F469:Q469)</f>
        <v/>
      </c>
      <c r="S469" s="228">
        <f>SUM(S461:S468)</f>
        <v/>
      </c>
      <c r="T469" s="228">
        <f>SUM(T461:T468)</f>
        <v/>
      </c>
      <c r="U469" s="228">
        <f>SUM(U461:U468)</f>
        <v/>
      </c>
      <c r="V469" s="228">
        <f>SUM(V461:V468)</f>
        <v/>
      </c>
      <c r="W469" s="228">
        <f>SUM(W461:W468)</f>
        <v/>
      </c>
      <c r="X469" s="228">
        <f>SUM(X461:X468)</f>
        <v/>
      </c>
      <c r="Y469" s="228">
        <f>SUM(Y461:Y468)</f>
        <v/>
      </c>
      <c r="Z469" s="228">
        <f>SUM(Z461:Z468)</f>
        <v/>
      </c>
      <c r="AA469" s="228">
        <f>SUM(AA461:AA468)</f>
        <v/>
      </c>
      <c r="AB469" s="228">
        <f>SUM(AB461:AB468)</f>
        <v/>
      </c>
      <c r="AC469" s="228">
        <f>SUM(AC461:AC468)</f>
        <v/>
      </c>
      <c r="AD469" s="228">
        <f>SUM(AD461:AD468)</f>
        <v/>
      </c>
      <c r="AE469" s="158">
        <f>SUM(S469:AD469)</f>
        <v/>
      </c>
      <c r="AF469" s="158">
        <f>SUM(AF461:AF468)</f>
        <v/>
      </c>
      <c r="AG469" s="158">
        <f>SUM(AG461:AG468)</f>
        <v/>
      </c>
      <c r="AH469" s="158">
        <f>SUM(AH461:AH468)</f>
        <v/>
      </c>
    </row>
    <row r="470" ht="8.25" customHeight="1" s="277">
      <c r="A470" s="224" t="n"/>
      <c r="B470" s="225" t="n"/>
      <c r="C470" s="215" t="n"/>
      <c r="D470" s="215" t="n"/>
      <c r="E470" s="215" t="n"/>
    </row>
    <row r="471" ht="8.25" customHeight="1" s="277">
      <c r="A471" s="224">
        <f>UPPER($A$428)</f>
        <v/>
      </c>
      <c r="B471" s="225" t="n"/>
      <c r="C471" s="226" t="n"/>
      <c r="D471" s="226" t="n"/>
      <c r="E471" s="226" t="inlineStr">
        <is>
          <t>Annual Salary</t>
        </is>
      </c>
    </row>
    <row r="472" ht="8.25" customHeight="1" s="277">
      <c r="A472" s="224" t="n"/>
      <c r="B472" s="225">
        <f>B429</f>
        <v/>
      </c>
      <c r="C472" s="226" t="n"/>
      <c r="D472" s="226" t="n"/>
      <c r="E472" s="358" t="n">
        <v>0</v>
      </c>
      <c r="F472" s="154">
        <f>F429*$E472/12*F$483</f>
        <v/>
      </c>
      <c r="G472" s="154">
        <f>G429*$E472/12*G$483</f>
        <v/>
      </c>
      <c r="H472" s="154">
        <f>H429*$E472/12*H$483</f>
        <v/>
      </c>
      <c r="I472" s="154">
        <f>I429*$E472/12*I$483</f>
        <v/>
      </c>
      <c r="J472" s="154">
        <f>J429*$E472/12*J$483</f>
        <v/>
      </c>
      <c r="K472" s="154">
        <f>K429*$E472/12*K$483</f>
        <v/>
      </c>
      <c r="L472" s="154">
        <f>L429*$E472/12*L$483</f>
        <v/>
      </c>
      <c r="M472" s="154">
        <f>M429*$E472/12*M$483</f>
        <v/>
      </c>
      <c r="N472" s="154">
        <f>N429*$E472/12*N$483</f>
        <v/>
      </c>
      <c r="O472" s="154">
        <f>O429*$E472/12*O$483</f>
        <v/>
      </c>
      <c r="P472" s="154">
        <f>P429*$E472/12*P$483</f>
        <v/>
      </c>
      <c r="Q472" s="154">
        <f>Q429*$E472/12*Q$483</f>
        <v/>
      </c>
      <c r="R472" s="229">
        <f>SUM(F472:Q472)</f>
        <v/>
      </c>
      <c r="S472" s="154">
        <f>S429*$E472/12*S$483</f>
        <v/>
      </c>
      <c r="T472" s="154">
        <f>T429*$E472/12*T$483</f>
        <v/>
      </c>
      <c r="U472" s="154">
        <f>U429*$E472/12*U$483</f>
        <v/>
      </c>
      <c r="V472" s="154">
        <f>V429*$E472/12*V$483</f>
        <v/>
      </c>
      <c r="W472" s="154">
        <f>W429*$E472/12*W$483</f>
        <v/>
      </c>
      <c r="X472" s="154">
        <f>X429*$E472/12*X$483</f>
        <v/>
      </c>
      <c r="Y472" s="154">
        <f>Y429*$E472/12*Y$483</f>
        <v/>
      </c>
      <c r="Z472" s="154">
        <f>Z429*$E472/12*Z$483</f>
        <v/>
      </c>
      <c r="AA472" s="154">
        <f>AA429*$E472/12*AA$483</f>
        <v/>
      </c>
      <c r="AB472" s="154">
        <f>AB429*$E472/12*AB$483</f>
        <v/>
      </c>
      <c r="AC472" s="154">
        <f>AC429*$E472/12*AC$483</f>
        <v/>
      </c>
      <c r="AD472" s="154">
        <f>AD429*$E472/12*AD$483</f>
        <v/>
      </c>
      <c r="AE472" s="229">
        <f>SUM(S472:AD472)</f>
        <v/>
      </c>
      <c r="AF472" s="229">
        <f>AF429*$E472*AF$483</f>
        <v/>
      </c>
      <c r="AG472" s="229">
        <f>AG429*$E472*AG$483</f>
        <v/>
      </c>
      <c r="AH472" s="229">
        <f>AH429*$E472*AH$483</f>
        <v/>
      </c>
    </row>
    <row r="473" ht="8.25" customHeight="1" s="277">
      <c r="A473" s="224" t="n"/>
      <c r="B473" s="225">
        <f>B430</f>
        <v/>
      </c>
      <c r="C473" s="226" t="n"/>
      <c r="D473" s="226" t="n"/>
      <c r="E473" s="358" t="n">
        <v>0</v>
      </c>
      <c r="F473" s="154">
        <f>F430*$E473/12*F$483</f>
        <v/>
      </c>
      <c r="G473" s="154">
        <f>G430*$E473/12*G$483</f>
        <v/>
      </c>
      <c r="H473" s="154">
        <f>H430*$E473/12*H$483</f>
        <v/>
      </c>
      <c r="I473" s="154">
        <f>I430*$E473/12*I$483</f>
        <v/>
      </c>
      <c r="J473" s="154">
        <f>J430*$E473/12*J$483</f>
        <v/>
      </c>
      <c r="K473" s="154">
        <f>K430*$E473/12*K$483</f>
        <v/>
      </c>
      <c r="L473" s="154">
        <f>L430*$E473/12*L$483</f>
        <v/>
      </c>
      <c r="M473" s="154">
        <f>M430*$E473/12*M$483</f>
        <v/>
      </c>
      <c r="N473" s="154">
        <f>N430*$E473/12*N$483</f>
        <v/>
      </c>
      <c r="O473" s="154">
        <f>O430*$E473/12*O$483</f>
        <v/>
      </c>
      <c r="P473" s="154">
        <f>P430*$E473/12*P$483</f>
        <v/>
      </c>
      <c r="Q473" s="154">
        <f>Q430*$E473/12*Q$483</f>
        <v/>
      </c>
      <c r="R473" s="229">
        <f>SUM(F473:Q473)</f>
        <v/>
      </c>
      <c r="S473" s="154">
        <f>S430*$E473/12*S$483</f>
        <v/>
      </c>
      <c r="T473" s="154">
        <f>T430*$E473/12*T$483</f>
        <v/>
      </c>
      <c r="U473" s="154">
        <f>U430*$E473/12*U$483</f>
        <v/>
      </c>
      <c r="V473" s="154">
        <f>V430*$E473/12*V$483</f>
        <v/>
      </c>
      <c r="W473" s="154">
        <f>W430*$E473/12*W$483</f>
        <v/>
      </c>
      <c r="X473" s="154">
        <f>X430*$E473/12*X$483</f>
        <v/>
      </c>
      <c r="Y473" s="154">
        <f>Y430*$E473/12*Y$483</f>
        <v/>
      </c>
      <c r="Z473" s="154">
        <f>Z430*$E473/12*Z$483</f>
        <v/>
      </c>
      <c r="AA473" s="154">
        <f>AA430*$E473/12*AA$483</f>
        <v/>
      </c>
      <c r="AB473" s="154">
        <f>AB430*$E473/12*AB$483</f>
        <v/>
      </c>
      <c r="AC473" s="154">
        <f>AC430*$E473/12*AC$483</f>
        <v/>
      </c>
      <c r="AD473" s="154">
        <f>AD430*$E473/12*AD$483</f>
        <v/>
      </c>
      <c r="AE473" s="229">
        <f>SUM(S473:AD473)</f>
        <v/>
      </c>
      <c r="AF473" s="229">
        <f>AF430*$E473*AF$483</f>
        <v/>
      </c>
      <c r="AG473" s="229">
        <f>AG430*$E473*AG$483</f>
        <v/>
      </c>
      <c r="AH473" s="229">
        <f>AH430*$E473*AH$483</f>
        <v/>
      </c>
    </row>
    <row r="474" ht="8.25" customHeight="1" s="277">
      <c r="A474" s="224" t="n"/>
      <c r="B474" s="225">
        <f>B431</f>
        <v/>
      </c>
      <c r="C474" s="226" t="n"/>
      <c r="D474" s="226" t="n"/>
      <c r="E474" s="358" t="n">
        <v>0</v>
      </c>
      <c r="F474" s="154">
        <f>F431*$E474/12*F$483</f>
        <v/>
      </c>
      <c r="G474" s="154">
        <f>G431*$E474/12*G$483</f>
        <v/>
      </c>
      <c r="H474" s="154">
        <f>H431*$E474/12*H$483</f>
        <v/>
      </c>
      <c r="I474" s="154">
        <f>I431*$E474/12*I$483</f>
        <v/>
      </c>
      <c r="J474" s="154">
        <f>J431*$E474/12*J$483</f>
        <v/>
      </c>
      <c r="K474" s="154">
        <f>K431*$E474/12*K$483</f>
        <v/>
      </c>
      <c r="L474" s="154">
        <f>L431*$E474/12*L$483</f>
        <v/>
      </c>
      <c r="M474" s="154">
        <f>M431*$E474/12*M$483</f>
        <v/>
      </c>
      <c r="N474" s="154">
        <f>N431*$E474/12*N$483</f>
        <v/>
      </c>
      <c r="O474" s="154">
        <f>O431*$E474/12*O$483</f>
        <v/>
      </c>
      <c r="P474" s="154">
        <f>P431*$E474/12*P$483</f>
        <v/>
      </c>
      <c r="Q474" s="154">
        <f>Q431*$E474/12*Q$483</f>
        <v/>
      </c>
      <c r="R474" s="229">
        <f>SUM(F474:Q474)</f>
        <v/>
      </c>
      <c r="S474" s="154">
        <f>S431*$E474/12*S$483</f>
        <v/>
      </c>
      <c r="T474" s="154">
        <f>T431*$E474/12*T$483</f>
        <v/>
      </c>
      <c r="U474" s="154">
        <f>U431*$E474/12*U$483</f>
        <v/>
      </c>
      <c r="V474" s="154">
        <f>V431*$E474/12*V$483</f>
        <v/>
      </c>
      <c r="W474" s="154">
        <f>W431*$E474/12*W$483</f>
        <v/>
      </c>
      <c r="X474" s="154">
        <f>X431*$E474/12*X$483</f>
        <v/>
      </c>
      <c r="Y474" s="154">
        <f>Y431*$E474/12*Y$483</f>
        <v/>
      </c>
      <c r="Z474" s="154">
        <f>Z431*$E474/12*Z$483</f>
        <v/>
      </c>
      <c r="AA474" s="154">
        <f>AA431*$E474/12*AA$483</f>
        <v/>
      </c>
      <c r="AB474" s="154">
        <f>AB431*$E474/12*AB$483</f>
        <v/>
      </c>
      <c r="AC474" s="154">
        <f>AC431*$E474/12*AC$483</f>
        <v/>
      </c>
      <c r="AD474" s="154">
        <f>AD431*$E474/12*AD$483</f>
        <v/>
      </c>
      <c r="AE474" s="229">
        <f>SUM(S474:AD474)</f>
        <v/>
      </c>
      <c r="AF474" s="229">
        <f>AF431*$E474*AF$483</f>
        <v/>
      </c>
      <c r="AG474" s="229">
        <f>AG431*$E474*AG$483</f>
        <v/>
      </c>
      <c r="AH474" s="229">
        <f>AH431*$E474*AH$483</f>
        <v/>
      </c>
    </row>
    <row r="475" ht="8.25" customHeight="1" s="277">
      <c r="A475" s="224" t="n"/>
      <c r="B475" s="225">
        <f>B432</f>
        <v/>
      </c>
      <c r="C475" s="226" t="n"/>
      <c r="D475" s="226" t="n"/>
      <c r="E475" s="358" t="n">
        <v>0</v>
      </c>
      <c r="F475" s="154">
        <f>F432*$E475/12*F$483</f>
        <v/>
      </c>
      <c r="G475" s="154">
        <f>G432*$E475/12*G$483</f>
        <v/>
      </c>
      <c r="H475" s="154">
        <f>H432*$E475/12*H$483</f>
        <v/>
      </c>
      <c r="I475" s="154">
        <f>I432*$E475/12*I$483</f>
        <v/>
      </c>
      <c r="J475" s="154">
        <f>J432*$E475/12*J$483</f>
        <v/>
      </c>
      <c r="K475" s="154">
        <f>K432*$E475/12*K$483</f>
        <v/>
      </c>
      <c r="L475" s="154">
        <f>L432*$E475/12*L$483</f>
        <v/>
      </c>
      <c r="M475" s="154">
        <f>M432*$E475/12*M$483</f>
        <v/>
      </c>
      <c r="N475" s="154">
        <f>N432*$E475/12*N$483</f>
        <v/>
      </c>
      <c r="O475" s="154">
        <f>O432*$E475/12*O$483</f>
        <v/>
      </c>
      <c r="P475" s="154">
        <f>P432*$E475/12*P$483</f>
        <v/>
      </c>
      <c r="Q475" s="154">
        <f>Q432*$E475/12*Q$483</f>
        <v/>
      </c>
      <c r="R475" s="229">
        <f>SUM(F475:Q475)</f>
        <v/>
      </c>
      <c r="S475" s="154">
        <f>S432*$E475/12*S$483</f>
        <v/>
      </c>
      <c r="T475" s="154">
        <f>T432*$E475/12*T$483</f>
        <v/>
      </c>
      <c r="U475" s="154">
        <f>U432*$E475/12*U$483</f>
        <v/>
      </c>
      <c r="V475" s="154">
        <f>V432*$E475/12*V$483</f>
        <v/>
      </c>
      <c r="W475" s="154">
        <f>W432*$E475/12*W$483</f>
        <v/>
      </c>
      <c r="X475" s="154">
        <f>X432*$E475/12*X$483</f>
        <v/>
      </c>
      <c r="Y475" s="154">
        <f>Y432*$E475/12*Y$483</f>
        <v/>
      </c>
      <c r="Z475" s="154">
        <f>Z432*$E475/12*Z$483</f>
        <v/>
      </c>
      <c r="AA475" s="154">
        <f>AA432*$E475/12*AA$483</f>
        <v/>
      </c>
      <c r="AB475" s="154">
        <f>AB432*$E475/12*AB$483</f>
        <v/>
      </c>
      <c r="AC475" s="154">
        <f>AC432*$E475/12*AC$483</f>
        <v/>
      </c>
      <c r="AD475" s="154">
        <f>AD432*$E475/12*AD$483</f>
        <v/>
      </c>
      <c r="AE475" s="229">
        <f>SUM(S475:AD475)</f>
        <v/>
      </c>
      <c r="AF475" s="229">
        <f>AF432*$E475*AF$483</f>
        <v/>
      </c>
      <c r="AG475" s="229">
        <f>AG432*$E475*AG$483</f>
        <v/>
      </c>
      <c r="AH475" s="229">
        <f>AH432*$E475*AH$483</f>
        <v/>
      </c>
    </row>
    <row r="476" ht="8.25" customHeight="1" s="277">
      <c r="A476" s="224" t="n"/>
      <c r="B476" s="225">
        <f>B433</f>
        <v/>
      </c>
      <c r="C476" s="226" t="n"/>
      <c r="D476" s="226" t="n"/>
      <c r="E476" s="358" t="n">
        <v>0</v>
      </c>
      <c r="F476" s="154">
        <f>F433*$E476/12*F$483</f>
        <v/>
      </c>
      <c r="G476" s="154">
        <f>G433*$E476/12*G$483</f>
        <v/>
      </c>
      <c r="H476" s="154">
        <f>H433*$E476/12*H$483</f>
        <v/>
      </c>
      <c r="I476" s="154">
        <f>I433*$E476/12*I$483</f>
        <v/>
      </c>
      <c r="J476" s="154">
        <f>J433*$E476/12*J$483</f>
        <v/>
      </c>
      <c r="K476" s="154">
        <f>K433*$E476/12*K$483</f>
        <v/>
      </c>
      <c r="L476" s="154">
        <f>L433*$E476/12*L$483</f>
        <v/>
      </c>
      <c r="M476" s="154">
        <f>M433*$E476/12*M$483</f>
        <v/>
      </c>
      <c r="N476" s="154">
        <f>N433*$E476/12*N$483</f>
        <v/>
      </c>
      <c r="O476" s="154">
        <f>O433*$E476/12*O$483</f>
        <v/>
      </c>
      <c r="P476" s="154">
        <f>P433*$E476/12*P$483</f>
        <v/>
      </c>
      <c r="Q476" s="154">
        <f>Q433*$E476/12*Q$483</f>
        <v/>
      </c>
      <c r="R476" s="229">
        <f>SUM(F476:Q476)</f>
        <v/>
      </c>
      <c r="S476" s="154">
        <f>S433*$E476/12*S$483</f>
        <v/>
      </c>
      <c r="T476" s="154">
        <f>T433*$E476/12*T$483</f>
        <v/>
      </c>
      <c r="U476" s="154">
        <f>U433*$E476/12*U$483</f>
        <v/>
      </c>
      <c r="V476" s="154">
        <f>V433*$E476/12*V$483</f>
        <v/>
      </c>
      <c r="W476" s="154">
        <f>W433*$E476/12*W$483</f>
        <v/>
      </c>
      <c r="X476" s="154">
        <f>X433*$E476/12*X$483</f>
        <v/>
      </c>
      <c r="Y476" s="154">
        <f>Y433*$E476/12*Y$483</f>
        <v/>
      </c>
      <c r="Z476" s="154">
        <f>Z433*$E476/12*Z$483</f>
        <v/>
      </c>
      <c r="AA476" s="154">
        <f>AA433*$E476/12*AA$483</f>
        <v/>
      </c>
      <c r="AB476" s="154">
        <f>AB433*$E476/12*AB$483</f>
        <v/>
      </c>
      <c r="AC476" s="154">
        <f>AC433*$E476/12*AC$483</f>
        <v/>
      </c>
      <c r="AD476" s="154">
        <f>AD433*$E476/12*AD$483</f>
        <v/>
      </c>
      <c r="AE476" s="229">
        <f>SUM(S476:AD476)</f>
        <v/>
      </c>
      <c r="AF476" s="229">
        <f>AF433*$E476*AF$483</f>
        <v/>
      </c>
      <c r="AG476" s="229">
        <f>AG433*$E476*AG$483</f>
        <v/>
      </c>
      <c r="AH476" s="229">
        <f>AH433*$E476*AH$483</f>
        <v/>
      </c>
    </row>
    <row r="477" ht="8.25" customHeight="1" s="277">
      <c r="A477" s="224" t="n"/>
      <c r="B477" s="225">
        <f>B434</f>
        <v/>
      </c>
      <c r="C477" s="226" t="n"/>
      <c r="D477" s="226" t="n"/>
      <c r="E477" s="358" t="n">
        <v>0</v>
      </c>
      <c r="F477" s="154">
        <f>F434*$E477/12*F$483</f>
        <v/>
      </c>
      <c r="G477" s="154">
        <f>G434*$E477/12*G$483</f>
        <v/>
      </c>
      <c r="H477" s="154">
        <f>H434*$E477/12*H$483</f>
        <v/>
      </c>
      <c r="I477" s="154">
        <f>I434*$E477/12*I$483</f>
        <v/>
      </c>
      <c r="J477" s="154">
        <f>J434*$E477/12*J$483</f>
        <v/>
      </c>
      <c r="K477" s="154">
        <f>K434*$E477/12*K$483</f>
        <v/>
      </c>
      <c r="L477" s="154">
        <f>L434*$E477/12*L$483</f>
        <v/>
      </c>
      <c r="M477" s="154">
        <f>M434*$E477/12*M$483</f>
        <v/>
      </c>
      <c r="N477" s="154">
        <f>N434*$E477/12*N$483</f>
        <v/>
      </c>
      <c r="O477" s="154">
        <f>O434*$E477/12*O$483</f>
        <v/>
      </c>
      <c r="P477" s="154">
        <f>P434*$E477/12*P$483</f>
        <v/>
      </c>
      <c r="Q477" s="154">
        <f>Q434*$E477/12*Q$483</f>
        <v/>
      </c>
      <c r="R477" s="229">
        <f>SUM(F477:Q477)</f>
        <v/>
      </c>
      <c r="S477" s="154">
        <f>S434*$E477/12*S$483</f>
        <v/>
      </c>
      <c r="T477" s="154">
        <f>T434*$E477/12*T$483</f>
        <v/>
      </c>
      <c r="U477" s="154">
        <f>U434*$E477/12*U$483</f>
        <v/>
      </c>
      <c r="V477" s="154">
        <f>V434*$E477/12*V$483</f>
        <v/>
      </c>
      <c r="W477" s="154">
        <f>W434*$E477/12*W$483</f>
        <v/>
      </c>
      <c r="X477" s="154">
        <f>X434*$E477/12*X$483</f>
        <v/>
      </c>
      <c r="Y477" s="154">
        <f>Y434*$E477/12*Y$483</f>
        <v/>
      </c>
      <c r="Z477" s="154">
        <f>Z434*$E477/12*Z$483</f>
        <v/>
      </c>
      <c r="AA477" s="154">
        <f>AA434*$E477/12*AA$483</f>
        <v/>
      </c>
      <c r="AB477" s="154">
        <f>AB434*$E477/12*AB$483</f>
        <v/>
      </c>
      <c r="AC477" s="154">
        <f>AC434*$E477/12*AC$483</f>
        <v/>
      </c>
      <c r="AD477" s="154">
        <f>AD434*$E477/12*AD$483</f>
        <v/>
      </c>
      <c r="AE477" s="229">
        <f>SUM(S477:AD477)</f>
        <v/>
      </c>
      <c r="AF477" s="229">
        <f>AF434*$E477*AF$483</f>
        <v/>
      </c>
      <c r="AG477" s="229">
        <f>AG434*$E477*AG$483</f>
        <v/>
      </c>
      <c r="AH477" s="229">
        <f>AH434*$E477*AH$483</f>
        <v/>
      </c>
    </row>
    <row r="478" ht="8.25" customHeight="1" s="277">
      <c r="A478" s="224" t="inlineStr">
        <is>
          <t>Total Salaries Paid</t>
        </is>
      </c>
      <c r="B478" s="156" t="n"/>
      <c r="C478" s="142" t="n"/>
      <c r="D478" s="142" t="n"/>
      <c r="E478" s="142" t="n"/>
      <c r="F478" s="228">
        <f>SUM(F472:F477)</f>
        <v/>
      </c>
      <c r="G478" s="228">
        <f>SUM(G472:G477)</f>
        <v/>
      </c>
      <c r="H478" s="228">
        <f>SUM(H472:H477)</f>
        <v/>
      </c>
      <c r="I478" s="228">
        <f>SUM(I472:I477)</f>
        <v/>
      </c>
      <c r="J478" s="228">
        <f>SUM(J472:J477)</f>
        <v/>
      </c>
      <c r="K478" s="228">
        <f>SUM(K472:K477)</f>
        <v/>
      </c>
      <c r="L478" s="228">
        <f>SUM(L472:L477)</f>
        <v/>
      </c>
      <c r="M478" s="228">
        <f>SUM(M472:M477)</f>
        <v/>
      </c>
      <c r="N478" s="228">
        <f>SUM(N472:N477)</f>
        <v/>
      </c>
      <c r="O478" s="228">
        <f>SUM(O472:O477)</f>
        <v/>
      </c>
      <c r="P478" s="228">
        <f>SUM(P472:P477)</f>
        <v/>
      </c>
      <c r="Q478" s="228">
        <f>SUM(Q472:Q477)</f>
        <v/>
      </c>
      <c r="R478" s="158">
        <f>SUM(F478:Q478)</f>
        <v/>
      </c>
      <c r="S478" s="228">
        <f>SUM(S472:S477)</f>
        <v/>
      </c>
      <c r="T478" s="228">
        <f>SUM(T472:T477)</f>
        <v/>
      </c>
      <c r="U478" s="228">
        <f>SUM(U472:U477)</f>
        <v/>
      </c>
      <c r="V478" s="228">
        <f>SUM(V472:V477)</f>
        <v/>
      </c>
      <c r="W478" s="228">
        <f>SUM(W472:W477)</f>
        <v/>
      </c>
      <c r="X478" s="228">
        <f>SUM(X472:X477)</f>
        <v/>
      </c>
      <c r="Y478" s="228">
        <f>SUM(Y472:Y477)</f>
        <v/>
      </c>
      <c r="Z478" s="228">
        <f>SUM(Z472:Z477)</f>
        <v/>
      </c>
      <c r="AA478" s="228">
        <f>SUM(AA472:AA477)</f>
        <v/>
      </c>
      <c r="AB478" s="228">
        <f>SUM(AB472:AB477)</f>
        <v/>
      </c>
      <c r="AC478" s="228">
        <f>SUM(AC472:AC477)</f>
        <v/>
      </c>
      <c r="AD478" s="228">
        <f>SUM(AD472:AD477)</f>
        <v/>
      </c>
      <c r="AE478" s="158">
        <f>SUM(S478:AD478)</f>
        <v/>
      </c>
      <c r="AF478" s="158">
        <f>SUM(AF472:AF477)</f>
        <v/>
      </c>
      <c r="AG478" s="158">
        <f>SUM(AG472:AG477)</f>
        <v/>
      </c>
      <c r="AH478" s="158">
        <f>SUM(AH472:AH477)</f>
        <v/>
      </c>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f>F450+F458+F469+F478</f>
        <v/>
      </c>
      <c r="G480" s="228">
        <f>G450+G458+G469+G478</f>
        <v/>
      </c>
      <c r="H480" s="228">
        <f>H450+H458+H469+H478</f>
        <v/>
      </c>
      <c r="I480" s="228">
        <f>I450+I458+I469+I478</f>
        <v/>
      </c>
      <c r="J480" s="228">
        <f>J450+J458+J469+J478</f>
        <v/>
      </c>
      <c r="K480" s="228">
        <f>K450+K458+K469+K478</f>
        <v/>
      </c>
      <c r="L480" s="228">
        <f>L450+L458+L469+L478</f>
        <v/>
      </c>
      <c r="M480" s="228">
        <f>M450+M458+M469+M478</f>
        <v/>
      </c>
      <c r="N480" s="228">
        <f>N450+N458+N469+N478</f>
        <v/>
      </c>
      <c r="O480" s="228">
        <f>O450+O458+O469+O478</f>
        <v/>
      </c>
      <c r="P480" s="228">
        <f>P450+P458+P469+P478</f>
        <v/>
      </c>
      <c r="Q480" s="228">
        <f>Q450+Q458+Q469+Q478</f>
        <v/>
      </c>
      <c r="R480" s="158">
        <f>SUM(F480:Q480)</f>
        <v/>
      </c>
      <c r="S480" s="228">
        <f>S450+S458+S469+S478</f>
        <v/>
      </c>
      <c r="T480" s="228">
        <f>T450+T458+T469+T478</f>
        <v/>
      </c>
      <c r="U480" s="228">
        <f>U450+U458+U469+U478</f>
        <v/>
      </c>
      <c r="V480" s="228">
        <f>V450+V458+V469+V478</f>
        <v/>
      </c>
      <c r="W480" s="228">
        <f>W450+W458+W469+W478</f>
        <v/>
      </c>
      <c r="X480" s="228">
        <f>X450+X458+X469+X478</f>
        <v/>
      </c>
      <c r="Y480" s="228">
        <f>Y450+Y458+Y469+Y478</f>
        <v/>
      </c>
      <c r="Z480" s="228">
        <f>Z450+Z458+Z469+Z478</f>
        <v/>
      </c>
      <c r="AA480" s="228">
        <f>AA450+AA458+AA469+AA478</f>
        <v/>
      </c>
      <c r="AB480" s="228">
        <f>AB450+AB458+AB469+AB478</f>
        <v/>
      </c>
      <c r="AC480" s="228">
        <f>AC450+AC458+AC469+AC478</f>
        <v/>
      </c>
      <c r="AD480" s="228">
        <f>AD450+AD458+AD469+AD478</f>
        <v/>
      </c>
      <c r="AE480" s="158">
        <f>SUM(S480:AD480)</f>
        <v/>
      </c>
      <c r="AF480" s="158">
        <f>AF450+AF458+AF469+AF478</f>
        <v/>
      </c>
      <c r="AG480" s="158">
        <f>AG450+AG458+AG469+AG478</f>
        <v/>
      </c>
      <c r="AH480" s="158">
        <f>AH450+AH458+AH469+AH478</f>
        <v/>
      </c>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f>Assumptions!I104</f>
        <v/>
      </c>
      <c r="D482" s="360" t="n"/>
      <c r="E482" s="360" t="n"/>
      <c r="F482" s="335">
        <f>$C$482</f>
        <v/>
      </c>
      <c r="G482" s="335">
        <f>F482</f>
        <v/>
      </c>
      <c r="H482" s="335">
        <f>G482</f>
        <v/>
      </c>
      <c r="I482" s="335">
        <f>H482</f>
        <v/>
      </c>
      <c r="J482" s="335">
        <f>I482</f>
        <v/>
      </c>
      <c r="K482" s="335">
        <f>J482</f>
        <v/>
      </c>
      <c r="L482" s="335">
        <f>K482</f>
        <v/>
      </c>
      <c r="M482" s="335">
        <f>L482</f>
        <v/>
      </c>
      <c r="N482" s="335">
        <f>M482</f>
        <v/>
      </c>
      <c r="O482" s="335">
        <f>N482</f>
        <v/>
      </c>
      <c r="P482" s="335">
        <f>O482</f>
        <v/>
      </c>
      <c r="Q482" s="335">
        <f>P482</f>
        <v/>
      </c>
      <c r="R482" s="361">
        <f>Q482</f>
        <v/>
      </c>
      <c r="S482" s="335">
        <f>Q482</f>
        <v/>
      </c>
      <c r="T482" s="335">
        <f>S482</f>
        <v/>
      </c>
      <c r="U482" s="335">
        <f>T482</f>
        <v/>
      </c>
      <c r="V482" s="335">
        <f>U482</f>
        <v/>
      </c>
      <c r="W482" s="335">
        <f>V482</f>
        <v/>
      </c>
      <c r="X482" s="335">
        <f>W482</f>
        <v/>
      </c>
      <c r="Y482" s="335">
        <f>X482</f>
        <v/>
      </c>
      <c r="Z482" s="335">
        <f>Y482</f>
        <v/>
      </c>
      <c r="AA482" s="335">
        <f>Z482</f>
        <v/>
      </c>
      <c r="AB482" s="335">
        <f>AA482</f>
        <v/>
      </c>
      <c r="AC482" s="335">
        <f>AB482</f>
        <v/>
      </c>
      <c r="AD482" s="335">
        <f>AC482</f>
        <v/>
      </c>
      <c r="AE482" s="361">
        <f>AD482</f>
        <v/>
      </c>
      <c r="AF482" s="336">
        <f>AE482</f>
        <v/>
      </c>
      <c r="AG482" s="336">
        <f>AF482</f>
        <v/>
      </c>
      <c r="AH482" s="336">
        <f>AG482</f>
        <v/>
      </c>
    </row>
    <row r="483" ht="9" customHeight="1" s="277">
      <c r="A483" s="224" t="n"/>
      <c r="B483" s="225" t="inlineStr">
        <is>
          <t>Annual Salary Growth Factor</t>
        </is>
      </c>
      <c r="C483" s="362">
        <f>Assumptions!I105</f>
        <v/>
      </c>
      <c r="D483" s="363" t="n"/>
      <c r="E483" s="363" t="n"/>
      <c r="F483" s="356" t="n">
        <v>1</v>
      </c>
      <c r="G483" s="356">
        <f>F483</f>
        <v/>
      </c>
      <c r="H483" s="356">
        <f>G483</f>
        <v/>
      </c>
      <c r="I483" s="356">
        <f>H483</f>
        <v/>
      </c>
      <c r="J483" s="356">
        <f>I483</f>
        <v/>
      </c>
      <c r="K483" s="356">
        <f>J483</f>
        <v/>
      </c>
      <c r="L483" s="356">
        <f>K483</f>
        <v/>
      </c>
      <c r="M483" s="356">
        <f>L483</f>
        <v/>
      </c>
      <c r="N483" s="356">
        <f>M483</f>
        <v/>
      </c>
      <c r="O483" s="356">
        <f>N483</f>
        <v/>
      </c>
      <c r="P483" s="356">
        <f>O483</f>
        <v/>
      </c>
      <c r="Q483" s="356">
        <f>P483</f>
        <v/>
      </c>
      <c r="R483" s="364">
        <f>Q483</f>
        <v/>
      </c>
      <c r="S483" s="356">
        <f>R483*(1+$C$483)</f>
        <v/>
      </c>
      <c r="T483" s="356">
        <f>S483</f>
        <v/>
      </c>
      <c r="U483" s="356">
        <f>T483</f>
        <v/>
      </c>
      <c r="V483" s="356">
        <f>U483</f>
        <v/>
      </c>
      <c r="W483" s="356">
        <f>V483</f>
        <v/>
      </c>
      <c r="X483" s="356">
        <f>W483</f>
        <v/>
      </c>
      <c r="Y483" s="356">
        <f>X483</f>
        <v/>
      </c>
      <c r="Z483" s="356">
        <f>Y483</f>
        <v/>
      </c>
      <c r="AA483" s="356">
        <f>Z483</f>
        <v/>
      </c>
      <c r="AB483" s="356">
        <f>AA483</f>
        <v/>
      </c>
      <c r="AC483" s="356">
        <f>AB483</f>
        <v/>
      </c>
      <c r="AD483" s="356">
        <f>AC483</f>
        <v/>
      </c>
      <c r="AE483" s="364">
        <f>AD483</f>
        <v/>
      </c>
      <c r="AF483" s="357">
        <f>AE483*(1+$C$483)</f>
        <v/>
      </c>
      <c r="AG483" s="357">
        <f>AF483*(1+$C$483)</f>
        <v/>
      </c>
      <c r="AH483" s="357">
        <f>AG483*(1+$C$483)</f>
        <v/>
      </c>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f>$A$1</f>
        <v/>
      </c>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f>NOW()</f>
        <v/>
      </c>
      <c r="C486" s="330" t="n"/>
      <c r="D486" s="330" t="n"/>
      <c r="E486" s="330" t="n"/>
      <c r="F486" s="142">
        <f>F$7</f>
        <v/>
      </c>
      <c r="G486" s="142">
        <f>G$7</f>
        <v/>
      </c>
      <c r="H486" s="142">
        <f>H$7</f>
        <v/>
      </c>
      <c r="I486" s="142">
        <f>I$7</f>
        <v/>
      </c>
      <c r="J486" s="142">
        <f>J$7</f>
        <v/>
      </c>
      <c r="K486" s="142">
        <f>K$7</f>
        <v/>
      </c>
      <c r="L486" s="142">
        <f>L$7</f>
        <v/>
      </c>
      <c r="M486" s="142">
        <f>M$7</f>
        <v/>
      </c>
      <c r="N486" s="142">
        <f>N$7</f>
        <v/>
      </c>
      <c r="O486" s="142">
        <f>O$7</f>
        <v/>
      </c>
      <c r="P486" s="142">
        <f>P$7</f>
        <v/>
      </c>
      <c r="Q486" s="142">
        <f>Q$7</f>
        <v/>
      </c>
      <c r="R486" s="143" t="inlineStr">
        <is>
          <t>Total</t>
        </is>
      </c>
      <c r="S486" s="142">
        <f>S$7</f>
        <v/>
      </c>
      <c r="T486" s="142">
        <f>T$7</f>
        <v/>
      </c>
      <c r="U486" s="142">
        <f>U$7</f>
        <v/>
      </c>
      <c r="V486" s="142">
        <f>V$7</f>
        <v/>
      </c>
      <c r="W486" s="142">
        <f>W$7</f>
        <v/>
      </c>
      <c r="X486" s="142">
        <f>X$7</f>
        <v/>
      </c>
      <c r="Y486" s="142">
        <f>Y$7</f>
        <v/>
      </c>
      <c r="Z486" s="142">
        <f>Z$7</f>
        <v/>
      </c>
      <c r="AA486" s="142">
        <f>AA$7</f>
        <v/>
      </c>
      <c r="AB486" s="142">
        <f>AB$7</f>
        <v/>
      </c>
      <c r="AC486" s="142">
        <f>AC$7</f>
        <v/>
      </c>
      <c r="AD486" s="142">
        <f>AD$7</f>
        <v/>
      </c>
      <c r="AE486" s="143" t="inlineStr">
        <is>
          <t>Total</t>
        </is>
      </c>
      <c r="AF486" s="143">
        <f>AF$7</f>
        <v/>
      </c>
      <c r="AG486" s="143">
        <f>AG$7</f>
        <v/>
      </c>
      <c r="AH486" s="143">
        <f>AH$7</f>
        <v/>
      </c>
    </row>
    <row r="487" ht="8.25" customHeight="1" s="277">
      <c r="A487" s="328" t="n"/>
      <c r="B487" s="329">
        <f>NOW()</f>
        <v/>
      </c>
      <c r="C487" s="330" t="n"/>
      <c r="D487" s="330" t="n"/>
      <c r="E487" s="330" t="n"/>
      <c r="F487" s="324">
        <f>F$1</f>
        <v/>
      </c>
      <c r="G487" s="324">
        <f>G$1</f>
        <v/>
      </c>
      <c r="H487" s="324">
        <f>H$1</f>
        <v/>
      </c>
      <c r="I487" s="324">
        <f>I$1</f>
        <v/>
      </c>
      <c r="J487" s="324">
        <f>J$1</f>
        <v/>
      </c>
      <c r="K487" s="324">
        <f>K$1</f>
        <v/>
      </c>
      <c r="L487" s="324">
        <f>L$1</f>
        <v/>
      </c>
      <c r="M487" s="324">
        <f>M$1</f>
        <v/>
      </c>
      <c r="N487" s="324">
        <f>N$1</f>
        <v/>
      </c>
      <c r="O487" s="324">
        <f>O$1</f>
        <v/>
      </c>
      <c r="P487" s="324">
        <f>P$1</f>
        <v/>
      </c>
      <c r="Q487" s="324">
        <f>Q$1</f>
        <v/>
      </c>
      <c r="R487" s="325">
        <f>R$1</f>
        <v/>
      </c>
      <c r="S487" s="324">
        <f>S$1</f>
        <v/>
      </c>
      <c r="T487" s="324">
        <f>T$1</f>
        <v/>
      </c>
      <c r="U487" s="324">
        <f>U$1</f>
        <v/>
      </c>
      <c r="V487" s="324">
        <f>V$1</f>
        <v/>
      </c>
      <c r="W487" s="324">
        <f>W$1</f>
        <v/>
      </c>
      <c r="X487" s="324">
        <f>X$1</f>
        <v/>
      </c>
      <c r="Y487" s="324">
        <f>Y$1</f>
        <v/>
      </c>
      <c r="Z487" s="324">
        <f>Z$1</f>
        <v/>
      </c>
      <c r="AA487" s="324">
        <f>AA$1</f>
        <v/>
      </c>
      <c r="AB487" s="324">
        <f>AB$1</f>
        <v/>
      </c>
      <c r="AC487" s="324">
        <f>AC$1</f>
        <v/>
      </c>
      <c r="AD487" s="324">
        <f>AD$1</f>
        <v/>
      </c>
      <c r="AE487" s="325">
        <f>AE$1</f>
        <v/>
      </c>
      <c r="AF487" s="325">
        <f>AF$1</f>
        <v/>
      </c>
      <c r="AG487" s="325">
        <f>AG$1</f>
        <v/>
      </c>
      <c r="AH487" s="325">
        <f>AH$1</f>
        <v/>
      </c>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f>UPPER($A$401)</f>
        <v/>
      </c>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f>Assumptions!E98</f>
        <v/>
      </c>
      <c r="D490" s="330" t="n"/>
      <c r="E490" s="365" t="inlineStr">
        <is>
          <t>No</t>
        </is>
      </c>
      <c r="F490" s="154">
        <f>$C490*(F$407-E$407)</f>
        <v/>
      </c>
      <c r="G490" s="154">
        <f>$C490*(G$407-F$407)</f>
        <v/>
      </c>
      <c r="H490" s="154">
        <f>$C490*(H$407-G$407)</f>
        <v/>
      </c>
      <c r="I490" s="154">
        <f>$C490*(I$407-H$407)</f>
        <v/>
      </c>
      <c r="J490" s="154">
        <f>$C490*(J$407-I$407)</f>
        <v/>
      </c>
      <c r="K490" s="154">
        <f>$C490*(K$407-J$407)</f>
        <v/>
      </c>
      <c r="L490" s="154">
        <f>$C490*(L$407-K$407)</f>
        <v/>
      </c>
      <c r="M490" s="154">
        <f>$C490*(M$407-L$407)</f>
        <v/>
      </c>
      <c r="N490" s="154">
        <f>$C490*(N$407-M$407)</f>
        <v/>
      </c>
      <c r="O490" s="154">
        <f>$C490*(O$407-N$407)</f>
        <v/>
      </c>
      <c r="P490" s="154">
        <f>$C490*(P$407-O$407)</f>
        <v/>
      </c>
      <c r="Q490" s="154">
        <f>$C490*(Q$407-P$407)</f>
        <v/>
      </c>
      <c r="R490" s="229">
        <f>SUM(F490:Q490)</f>
        <v/>
      </c>
      <c r="S490" s="154">
        <f>$C490*(S$407-R$407)</f>
        <v/>
      </c>
      <c r="T490" s="154">
        <f>$C490*(T$407-S$407)</f>
        <v/>
      </c>
      <c r="U490" s="154">
        <f>$C490*(U$407-T$407)</f>
        <v/>
      </c>
      <c r="V490" s="154">
        <f>$C490*(V$407-U$407)</f>
        <v/>
      </c>
      <c r="W490" s="154">
        <f>$C490*(W$407-V$407)</f>
        <v/>
      </c>
      <c r="X490" s="154">
        <f>$C490*(X$407-W$407)</f>
        <v/>
      </c>
      <c r="Y490" s="154">
        <f>$C490*(Y$407-X$407)</f>
        <v/>
      </c>
      <c r="Z490" s="154">
        <f>$C490*(Z$407-Y$407)</f>
        <v/>
      </c>
      <c r="AA490" s="154">
        <f>$C490*(AA$407-Z$407)</f>
        <v/>
      </c>
      <c r="AB490" s="154">
        <f>$C490*(AB$407-AA$407)</f>
        <v/>
      </c>
      <c r="AC490" s="154">
        <f>$C490*(AC$407-AB$407)</f>
        <v/>
      </c>
      <c r="AD490" s="154">
        <f>$C490*(AD$407-AC$407)</f>
        <v/>
      </c>
      <c r="AE490" s="229">
        <f>SUM(S490:AD490)</f>
        <v/>
      </c>
      <c r="AF490" s="229">
        <f>$C490*(AF$407-AE$407)</f>
        <v/>
      </c>
      <c r="AG490" s="229">
        <f>$C490*(AG$407-AF$407)</f>
        <v/>
      </c>
      <c r="AH490" s="229">
        <f>$C490*(AH$407-AG$407)</f>
        <v/>
      </c>
    </row>
    <row r="491" ht="8.25" customHeight="1" s="277">
      <c r="A491" s="224" t="n"/>
      <c r="B491" s="225" t="inlineStr">
        <is>
          <t>Computer Software</t>
        </is>
      </c>
      <c r="C491" s="337">
        <f>Assumptions!F98</f>
        <v/>
      </c>
      <c r="D491" s="330" t="n"/>
      <c r="E491" s="365" t="inlineStr">
        <is>
          <t>No</t>
        </is>
      </c>
      <c r="F491" s="154">
        <f>$C491*(F$407-E$407)</f>
        <v/>
      </c>
      <c r="G491" s="154">
        <f>$C491*(G$407-F$407)</f>
        <v/>
      </c>
      <c r="H491" s="154">
        <f>$C491*(H$407-G$407)</f>
        <v/>
      </c>
      <c r="I491" s="154">
        <f>$C491*(I$407-H$407)</f>
        <v/>
      </c>
      <c r="J491" s="154">
        <f>$C491*(J$407-I$407)</f>
        <v/>
      </c>
      <c r="K491" s="154">
        <f>$C491*(K$407-J$407)</f>
        <v/>
      </c>
      <c r="L491" s="154">
        <f>$C491*(L$407-K$407)</f>
        <v/>
      </c>
      <c r="M491" s="154">
        <f>$C491*(M$407-L$407)</f>
        <v/>
      </c>
      <c r="N491" s="154">
        <f>$C491*(N$407-M$407)</f>
        <v/>
      </c>
      <c r="O491" s="154">
        <f>$C491*(O$407-N$407)</f>
        <v/>
      </c>
      <c r="P491" s="154">
        <f>$C491*(P$407-O$407)</f>
        <v/>
      </c>
      <c r="Q491" s="154">
        <f>$C491*(Q$407-P$407)</f>
        <v/>
      </c>
      <c r="R491" s="229">
        <f>SUM(F491:Q491)</f>
        <v/>
      </c>
      <c r="S491" s="154">
        <f>$C491*(S$407-R$407)</f>
        <v/>
      </c>
      <c r="T491" s="154">
        <f>$C491*(T$407-S$407)</f>
        <v/>
      </c>
      <c r="U491" s="154">
        <f>$C491*(U$407-T$407)</f>
        <v/>
      </c>
      <c r="V491" s="154">
        <f>$C491*(V$407-U$407)</f>
        <v/>
      </c>
      <c r="W491" s="154">
        <f>$C491*(W$407-V$407)</f>
        <v/>
      </c>
      <c r="X491" s="154">
        <f>$C491*(X$407-W$407)</f>
        <v/>
      </c>
      <c r="Y491" s="154">
        <f>$C491*(Y$407-X$407)</f>
        <v/>
      </c>
      <c r="Z491" s="154">
        <f>$C491*(Z$407-Y$407)</f>
        <v/>
      </c>
      <c r="AA491" s="154">
        <f>$C491*(AA$407-Z$407)</f>
        <v/>
      </c>
      <c r="AB491" s="154">
        <f>$C491*(AB$407-AA$407)</f>
        <v/>
      </c>
      <c r="AC491" s="154">
        <f>$C491*(AC$407-AB$407)</f>
        <v/>
      </c>
      <c r="AD491" s="154">
        <f>$C491*(AD$407-AC$407)</f>
        <v/>
      </c>
      <c r="AE491" s="229">
        <f>SUM(S491:AD491)</f>
        <v/>
      </c>
      <c r="AF491" s="229">
        <f>$C491*(AF$407-AE$407)</f>
        <v/>
      </c>
      <c r="AG491" s="229">
        <f>$C491*(AG$407-AF$407)</f>
        <v/>
      </c>
      <c r="AH491" s="229">
        <f>$C491*(AH$407-AG$407)</f>
        <v/>
      </c>
    </row>
    <row r="492" ht="8.25" customHeight="1" s="277">
      <c r="A492" s="224" t="n"/>
      <c r="B492" s="225" t="inlineStr">
        <is>
          <t>Furniture &amp; Fixtures</t>
        </is>
      </c>
      <c r="C492" s="337">
        <f>Assumptions!G98</f>
        <v/>
      </c>
      <c r="D492" s="330" t="n"/>
      <c r="E492" s="365" t="inlineStr">
        <is>
          <t>No</t>
        </is>
      </c>
      <c r="F492" s="154">
        <f>$C492*(F$407-E$407)</f>
        <v/>
      </c>
      <c r="G492" s="154">
        <f>$C492*(G$407-F$407)</f>
        <v/>
      </c>
      <c r="H492" s="154">
        <f>$C492*(H$407-G$407)</f>
        <v/>
      </c>
      <c r="I492" s="154">
        <f>$C492*(I$407-H$407)</f>
        <v/>
      </c>
      <c r="J492" s="154">
        <f>$C492*(J$407-I$407)</f>
        <v/>
      </c>
      <c r="K492" s="154">
        <f>$C492*(K$407-J$407)</f>
        <v/>
      </c>
      <c r="L492" s="154">
        <f>$C492*(L$407-K$407)</f>
        <v/>
      </c>
      <c r="M492" s="154">
        <f>$C492*(M$407-L$407)</f>
        <v/>
      </c>
      <c r="N492" s="154">
        <f>$C492*(N$407-M$407)</f>
        <v/>
      </c>
      <c r="O492" s="154">
        <f>$C492*(O$407-N$407)</f>
        <v/>
      </c>
      <c r="P492" s="154">
        <f>$C492*(P$407-O$407)</f>
        <v/>
      </c>
      <c r="Q492" s="154">
        <f>$C492*(Q$407-P$407)</f>
        <v/>
      </c>
      <c r="R492" s="229">
        <f>SUM(F492:Q492)</f>
        <v/>
      </c>
      <c r="S492" s="154">
        <f>$C492*(S$407-R$407)</f>
        <v/>
      </c>
      <c r="T492" s="154">
        <f>$C492*(T$407-S$407)</f>
        <v/>
      </c>
      <c r="U492" s="154">
        <f>$C492*(U$407-T$407)</f>
        <v/>
      </c>
      <c r="V492" s="154">
        <f>$C492*(V$407-U$407)</f>
        <v/>
      </c>
      <c r="W492" s="154">
        <f>$C492*(W$407-V$407)</f>
        <v/>
      </c>
      <c r="X492" s="154">
        <f>$C492*(X$407-W$407)</f>
        <v/>
      </c>
      <c r="Y492" s="154">
        <f>$C492*(Y$407-X$407)</f>
        <v/>
      </c>
      <c r="Z492" s="154">
        <f>$C492*(Z$407-Y$407)</f>
        <v/>
      </c>
      <c r="AA492" s="154">
        <f>$C492*(AA$407-Z$407)</f>
        <v/>
      </c>
      <c r="AB492" s="154">
        <f>$C492*(AB$407-AA$407)</f>
        <v/>
      </c>
      <c r="AC492" s="154">
        <f>$C492*(AC$407-AB$407)</f>
        <v/>
      </c>
      <c r="AD492" s="154">
        <f>$C492*(AD$407-AC$407)</f>
        <v/>
      </c>
      <c r="AE492" s="229">
        <f>SUM(S492:AD492)</f>
        <v/>
      </c>
      <c r="AF492" s="229">
        <f>$C492*(AF$407-AE$407)</f>
        <v/>
      </c>
      <c r="AG492" s="229">
        <f>$C492*(AG$407-AF$407)</f>
        <v/>
      </c>
      <c r="AH492" s="229">
        <f>$C492*(AH$407-AG$407)</f>
        <v/>
      </c>
    </row>
    <row r="493" ht="8.25" customHeight="1" s="277">
      <c r="A493" s="139" t="inlineStr">
        <is>
          <t>Total Purchases for Period</t>
        </is>
      </c>
      <c r="B493" s="156" t="n"/>
      <c r="C493" s="228" t="n"/>
      <c r="D493" s="228" t="n"/>
      <c r="E493" s="228" t="n"/>
      <c r="F493" s="228">
        <f>SUM(F490:F492)</f>
        <v/>
      </c>
      <c r="G493" s="228">
        <f>SUM(G490:G492)</f>
        <v/>
      </c>
      <c r="H493" s="228">
        <f>SUM(H490:H492)</f>
        <v/>
      </c>
      <c r="I493" s="228">
        <f>SUM(I490:I492)</f>
        <v/>
      </c>
      <c r="J493" s="228">
        <f>SUM(J490:J492)</f>
        <v/>
      </c>
      <c r="K493" s="228">
        <f>SUM(K490:K492)</f>
        <v/>
      </c>
      <c r="L493" s="228">
        <f>SUM(L490:L492)</f>
        <v/>
      </c>
      <c r="M493" s="228">
        <f>SUM(M490:M492)</f>
        <v/>
      </c>
      <c r="N493" s="228">
        <f>SUM(N490:N492)</f>
        <v/>
      </c>
      <c r="O493" s="228">
        <f>SUM(O490:O492)</f>
        <v/>
      </c>
      <c r="P493" s="228">
        <f>SUM(P490:P492)</f>
        <v/>
      </c>
      <c r="Q493" s="228">
        <f>SUM(Q490:Q492)</f>
        <v/>
      </c>
      <c r="R493" s="158">
        <f>SUM(F493:Q493)</f>
        <v/>
      </c>
      <c r="S493" s="228">
        <f>SUM(S490:S492)</f>
        <v/>
      </c>
      <c r="T493" s="228">
        <f>SUM(T490:T492)</f>
        <v/>
      </c>
      <c r="U493" s="228">
        <f>SUM(U490:U492)</f>
        <v/>
      </c>
      <c r="V493" s="228">
        <f>SUM(V490:V492)</f>
        <v/>
      </c>
      <c r="W493" s="228">
        <f>SUM(W490:W492)</f>
        <v/>
      </c>
      <c r="X493" s="228">
        <f>SUM(X490:X492)</f>
        <v/>
      </c>
      <c r="Y493" s="228">
        <f>SUM(Y490:Y492)</f>
        <v/>
      </c>
      <c r="Z493" s="228">
        <f>SUM(Z490:Z492)</f>
        <v/>
      </c>
      <c r="AA493" s="228">
        <f>SUM(AA490:AA492)</f>
        <v/>
      </c>
      <c r="AB493" s="228">
        <f>SUM(AB490:AB492)</f>
        <v/>
      </c>
      <c r="AC493" s="228">
        <f>SUM(AC490:AC492)</f>
        <v/>
      </c>
      <c r="AD493" s="228">
        <f>SUM(AD490:AD492)</f>
        <v/>
      </c>
      <c r="AE493" s="158">
        <f>SUM(S493:AD493)</f>
        <v/>
      </c>
      <c r="AF493" s="158">
        <f>SUM(AF490:AF492)</f>
        <v/>
      </c>
      <c r="AG493" s="158">
        <f>SUM(AG490:AG492)</f>
        <v/>
      </c>
      <c r="AH493" s="158">
        <f>SUM(AH490:AH492)</f>
        <v/>
      </c>
    </row>
    <row r="494" ht="8.25" customHeight="1" s="277">
      <c r="A494" s="224" t="n"/>
      <c r="B494" s="225" t="inlineStr">
        <is>
          <t>of which Leased</t>
        </is>
      </c>
      <c r="C494" s="154" t="n"/>
      <c r="D494" s="154" t="n"/>
      <c r="E494" s="154" t="n"/>
      <c r="F494" s="154">
        <f t="array" ref="F494:F494">SUM(IF($E490:$E492="Yes",F490:F492,0))</f>
        <v/>
      </c>
      <c r="G494" s="154">
        <f t="array" ref="G494:G494">SUM(IF($E490:$E492="Yes",G490:G492,0))</f>
        <v/>
      </c>
      <c r="H494" s="154">
        <f t="array" ref="H494:H494">SUM(IF($E490:$E492="Yes",H490:H492,0))</f>
        <v/>
      </c>
      <c r="I494" s="154">
        <f t="array" ref="I494:I494">SUM(IF($E490:$E492="Yes",I490:I492,0))</f>
        <v/>
      </c>
      <c r="J494" s="154">
        <f t="array" ref="J494:J494">SUM(IF($E490:$E492="Yes",J490:J492,0))</f>
        <v/>
      </c>
      <c r="K494" s="154">
        <f t="array" ref="K494:K494">SUM(IF($E490:$E492="Yes",K490:K492,0))</f>
        <v/>
      </c>
      <c r="L494" s="154">
        <f t="array" ref="L494:L494">SUM(IF($E490:$E492="Yes",L490:L492,0))</f>
        <v/>
      </c>
      <c r="M494" s="154">
        <f t="array" ref="M494:M494">SUM(IF($E490:$E492="Yes",M490:M492,0))</f>
        <v/>
      </c>
      <c r="N494" s="154">
        <f t="array" ref="N494:N494">SUM(IF($E490:$E492="Yes",N490:N492,0))</f>
        <v/>
      </c>
      <c r="O494" s="154">
        <f t="array" ref="O494:O494">SUM(IF($E490:$E492="Yes",O490:O492,0))</f>
        <v/>
      </c>
      <c r="P494" s="154">
        <f t="array" ref="P494:P494">SUM(IF($E490:$E492="Yes",P490:P492,0))</f>
        <v/>
      </c>
      <c r="Q494" s="154">
        <f t="array" ref="Q494:Q494">SUM(IF($E490:$E492="Yes",Q490:Q492,0))</f>
        <v/>
      </c>
      <c r="R494" s="229">
        <f>SUM(F494:Q494)</f>
        <v/>
      </c>
      <c r="S494" s="154">
        <f t="array" ref="S494:S494">SUM(IF($E490:$E492="Yes",S490:S492,0))</f>
        <v/>
      </c>
      <c r="T494" s="154">
        <f t="array" ref="T494:T494">SUM(IF($E490:$E492="Yes",T490:T492,0))</f>
        <v/>
      </c>
      <c r="U494" s="154">
        <f t="array" ref="U494:U494">SUM(IF($E490:$E492="Yes",U490:U492,0))</f>
        <v/>
      </c>
      <c r="V494" s="154">
        <f t="array" ref="V494:V494">SUM(IF($E490:$E492="Yes",V490:V492,0))</f>
        <v/>
      </c>
      <c r="W494" s="154">
        <f t="array" ref="W494:W494">SUM(IF($E490:$E492="Yes",W490:W492,0))</f>
        <v/>
      </c>
      <c r="X494" s="154">
        <f t="array" ref="X494:X494">SUM(IF($E490:$E492="Yes",X490:X492,0))</f>
        <v/>
      </c>
      <c r="Y494" s="154">
        <f t="array" ref="Y494:Y494">SUM(IF($E490:$E492="Yes",Y490:Y492,0))</f>
        <v/>
      </c>
      <c r="Z494" s="154">
        <f t="array" ref="Z494:Z494">SUM(IF($E490:$E492="Yes",Z490:Z492,0))</f>
        <v/>
      </c>
      <c r="AA494" s="154">
        <f t="array" ref="AA494:AA494">SUM(IF($E490:$E492="Yes",AA490:AA492,0))</f>
        <v/>
      </c>
      <c r="AB494" s="154">
        <f t="array" ref="AB494:AB494">SUM(IF($E490:$E492="Yes",AB490:AB492,0))</f>
        <v/>
      </c>
      <c r="AC494" s="154">
        <f t="array" ref="AC494:AC494">SUM(IF($E490:$E492="Yes",AC490:AC492,0))</f>
        <v/>
      </c>
      <c r="AD494" s="154">
        <f t="array" ref="AD494:AD494">SUM(IF($E490:$E492="Yes",AD490:AD492,0))</f>
        <v/>
      </c>
      <c r="AE494" s="229">
        <f>SUM(S494:AD494)</f>
        <v/>
      </c>
      <c r="AF494" s="229">
        <f t="array" ref="AF494:AF494">SUM(IF($E490:$E492="Yes",AF490:AF492,0))</f>
        <v/>
      </c>
      <c r="AG494" s="229">
        <f t="array" ref="AG494:AG494">SUM(IF($E490:$E492="Yes",AG490:AG492,0))</f>
        <v/>
      </c>
      <c r="AH494" s="229">
        <f t="array" ref="AH494:AH494">SUM(IF($E490:$E492="Yes",AH490:AH492,0))</f>
        <v/>
      </c>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f>UPPER($A$409)</f>
        <v/>
      </c>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f>Assumptions!E99</f>
        <v/>
      </c>
      <c r="D497" s="330" t="n"/>
      <c r="E497" s="365" t="inlineStr">
        <is>
          <t>No</t>
        </is>
      </c>
      <c r="F497" s="154">
        <f>$C497*(F$415-E$415)</f>
        <v/>
      </c>
      <c r="G497" s="154">
        <f>$C497*(G$415-F$415)</f>
        <v/>
      </c>
      <c r="H497" s="154">
        <f>$C497*(H$415-G$415)</f>
        <v/>
      </c>
      <c r="I497" s="154">
        <f>$C497*(I$415-H$415)</f>
        <v/>
      </c>
      <c r="J497" s="154">
        <f>$C497*(J$415-I$415)</f>
        <v/>
      </c>
      <c r="K497" s="154">
        <f>$C497*(K$415-J$415)</f>
        <v/>
      </c>
      <c r="L497" s="154">
        <f>$C497*(L$415-K$415)</f>
        <v/>
      </c>
      <c r="M497" s="154">
        <f>$C497*(M$415-L$415)</f>
        <v/>
      </c>
      <c r="N497" s="154">
        <f>$C497*(N$415-M$415)</f>
        <v/>
      </c>
      <c r="O497" s="154">
        <f>$C497*(O$415-N$415)</f>
        <v/>
      </c>
      <c r="P497" s="154">
        <f>$C497*(P$415-O$415)</f>
        <v/>
      </c>
      <c r="Q497" s="154">
        <f>$C497*(Q$415-P$415)</f>
        <v/>
      </c>
      <c r="R497" s="229">
        <f>SUM(F497:Q497)</f>
        <v/>
      </c>
      <c r="S497" s="154">
        <f>$C497*(S$415-R$415)</f>
        <v/>
      </c>
      <c r="T497" s="154">
        <f>$C497*(T$415-S$415)</f>
        <v/>
      </c>
      <c r="U497" s="154">
        <f>$C497*(U$415-T$415)</f>
        <v/>
      </c>
      <c r="V497" s="154">
        <f>$C497*(V$415-U$415)</f>
        <v/>
      </c>
      <c r="W497" s="154">
        <f>$C497*(W$415-V$415)</f>
        <v/>
      </c>
      <c r="X497" s="154">
        <f>$C497*(X$415-W$415)</f>
        <v/>
      </c>
      <c r="Y497" s="154">
        <f>$C497*(Y$415-X$415)</f>
        <v/>
      </c>
      <c r="Z497" s="154">
        <f>$C497*(Z$415-Y$415)</f>
        <v/>
      </c>
      <c r="AA497" s="154">
        <f>$C497*(AA$415-Z$415)</f>
        <v/>
      </c>
      <c r="AB497" s="154">
        <f>$C497*(AB$415-AA$415)</f>
        <v/>
      </c>
      <c r="AC497" s="154">
        <f>$C497*(AC$415-AB$415)</f>
        <v/>
      </c>
      <c r="AD497" s="154">
        <f>$C497*(AD$415-AC$415)</f>
        <v/>
      </c>
      <c r="AE497" s="229">
        <f>SUM(S497:AD497)</f>
        <v/>
      </c>
      <c r="AF497" s="229">
        <f>$C497*(AF$415-AE$415)</f>
        <v/>
      </c>
      <c r="AG497" s="229">
        <f>$C497*(AG$415-AF$415)</f>
        <v/>
      </c>
      <c r="AH497" s="229">
        <f>$C497*(AH$415-AG$415)</f>
        <v/>
      </c>
    </row>
    <row r="498" ht="8.25" customHeight="1" s="277">
      <c r="A498" s="224" t="n"/>
      <c r="B498" s="225" t="inlineStr">
        <is>
          <t>Computer Software</t>
        </is>
      </c>
      <c r="C498" s="337">
        <f>Assumptions!F99</f>
        <v/>
      </c>
      <c r="D498" s="330" t="n"/>
      <c r="E498" s="365" t="inlineStr">
        <is>
          <t>No</t>
        </is>
      </c>
      <c r="F498" s="154">
        <f>$C498*(F$415-E$415)</f>
        <v/>
      </c>
      <c r="G498" s="154">
        <f>$C498*(G$415-F$415)</f>
        <v/>
      </c>
      <c r="H498" s="154">
        <f>$C498*(H$415-G$415)</f>
        <v/>
      </c>
      <c r="I498" s="154">
        <f>$C498*(I$415-H$415)</f>
        <v/>
      </c>
      <c r="J498" s="154">
        <f>$C498*(J$415-I$415)</f>
        <v/>
      </c>
      <c r="K498" s="154">
        <f>$C498*(K$415-J$415)</f>
        <v/>
      </c>
      <c r="L498" s="154">
        <f>$C498*(L$415-K$415)</f>
        <v/>
      </c>
      <c r="M498" s="154">
        <f>$C498*(M$415-L$415)</f>
        <v/>
      </c>
      <c r="N498" s="154">
        <f>$C498*(N$415-M$415)</f>
        <v/>
      </c>
      <c r="O498" s="154">
        <f>$C498*(O$415-N$415)</f>
        <v/>
      </c>
      <c r="P498" s="154">
        <f>$C498*(P$415-O$415)</f>
        <v/>
      </c>
      <c r="Q498" s="154">
        <f>$C498*(Q$415-P$415)</f>
        <v/>
      </c>
      <c r="R498" s="229">
        <f>SUM(F498:Q498)</f>
        <v/>
      </c>
      <c r="S498" s="154">
        <f>$C498*(S$415-R$415)</f>
        <v/>
      </c>
      <c r="T498" s="154">
        <f>$C498*(T$415-S$415)</f>
        <v/>
      </c>
      <c r="U498" s="154">
        <f>$C498*(U$415-T$415)</f>
        <v/>
      </c>
      <c r="V498" s="154">
        <f>$C498*(V$415-U$415)</f>
        <v/>
      </c>
      <c r="W498" s="154">
        <f>$C498*(W$415-V$415)</f>
        <v/>
      </c>
      <c r="X498" s="154">
        <f>$C498*(X$415-W$415)</f>
        <v/>
      </c>
      <c r="Y498" s="154">
        <f>$C498*(Y$415-X$415)</f>
        <v/>
      </c>
      <c r="Z498" s="154">
        <f>$C498*(Z$415-Y$415)</f>
        <v/>
      </c>
      <c r="AA498" s="154">
        <f>$C498*(AA$415-Z$415)</f>
        <v/>
      </c>
      <c r="AB498" s="154">
        <f>$C498*(AB$415-AA$415)</f>
        <v/>
      </c>
      <c r="AC498" s="154">
        <f>$C498*(AC$415-AB$415)</f>
        <v/>
      </c>
      <c r="AD498" s="154">
        <f>$C498*(AD$415-AC$415)</f>
        <v/>
      </c>
      <c r="AE498" s="229">
        <f>SUM(S498:AD498)</f>
        <v/>
      </c>
      <c r="AF498" s="229">
        <f>$C498*(AF$415-AE$415)</f>
        <v/>
      </c>
      <c r="AG498" s="229">
        <f>$C498*(AG$415-AF$415)</f>
        <v/>
      </c>
      <c r="AH498" s="229">
        <f>$C498*(AH$415-AG$415)</f>
        <v/>
      </c>
    </row>
    <row r="499" ht="8.25" customHeight="1" s="277">
      <c r="A499" s="224" t="n"/>
      <c r="B499" s="225" t="inlineStr">
        <is>
          <t>Furniture &amp; Fixtures</t>
        </is>
      </c>
      <c r="C499" s="337">
        <f>Assumptions!G99</f>
        <v/>
      </c>
      <c r="D499" s="330" t="n"/>
      <c r="E499" s="365" t="inlineStr">
        <is>
          <t>No</t>
        </is>
      </c>
      <c r="F499" s="154">
        <f>$C499*(F$415-E$415)</f>
        <v/>
      </c>
      <c r="G499" s="154">
        <f>$C499*(G$415-F$415)</f>
        <v/>
      </c>
      <c r="H499" s="154">
        <f>$C499*(H$415-G$415)</f>
        <v/>
      </c>
      <c r="I499" s="154">
        <f>$C499*(I$415-H$415)</f>
        <v/>
      </c>
      <c r="J499" s="154">
        <f>$C499*(J$415-I$415)</f>
        <v/>
      </c>
      <c r="K499" s="154">
        <f>$C499*(K$415-J$415)</f>
        <v/>
      </c>
      <c r="L499" s="154">
        <f>$C499*(L$415-K$415)</f>
        <v/>
      </c>
      <c r="M499" s="154">
        <f>$C499*(M$415-L$415)</f>
        <v/>
      </c>
      <c r="N499" s="154">
        <f>$C499*(N$415-M$415)</f>
        <v/>
      </c>
      <c r="O499" s="154">
        <f>$C499*(O$415-N$415)</f>
        <v/>
      </c>
      <c r="P499" s="154">
        <f>$C499*(P$415-O$415)</f>
        <v/>
      </c>
      <c r="Q499" s="154">
        <f>$C499*(Q$415-P$415)</f>
        <v/>
      </c>
      <c r="R499" s="229">
        <f>SUM(F499:Q499)</f>
        <v/>
      </c>
      <c r="S499" s="154">
        <f>$C499*(S$415-R$415)</f>
        <v/>
      </c>
      <c r="T499" s="154">
        <f>$C499*(T$415-S$415)</f>
        <v/>
      </c>
      <c r="U499" s="154">
        <f>$C499*(U$415-T$415)</f>
        <v/>
      </c>
      <c r="V499" s="154">
        <f>$C499*(V$415-U$415)</f>
        <v/>
      </c>
      <c r="W499" s="154">
        <f>$C499*(W$415-V$415)</f>
        <v/>
      </c>
      <c r="X499" s="154">
        <f>$C499*(X$415-W$415)</f>
        <v/>
      </c>
      <c r="Y499" s="154">
        <f>$C499*(Y$415-X$415)</f>
        <v/>
      </c>
      <c r="Z499" s="154">
        <f>$C499*(Z$415-Y$415)</f>
        <v/>
      </c>
      <c r="AA499" s="154">
        <f>$C499*(AA$415-Z$415)</f>
        <v/>
      </c>
      <c r="AB499" s="154">
        <f>$C499*(AB$415-AA$415)</f>
        <v/>
      </c>
      <c r="AC499" s="154">
        <f>$C499*(AC$415-AB$415)</f>
        <v/>
      </c>
      <c r="AD499" s="154">
        <f>$C499*(AD$415-AC$415)</f>
        <v/>
      </c>
      <c r="AE499" s="229">
        <f>SUM(S499:AD499)</f>
        <v/>
      </c>
      <c r="AF499" s="229">
        <f>$C499*(AF$415-AE$415)</f>
        <v/>
      </c>
      <c r="AG499" s="229">
        <f>$C499*(AG$415-AF$415)</f>
        <v/>
      </c>
      <c r="AH499" s="229">
        <f>$C499*(AH$415-AG$415)</f>
        <v/>
      </c>
    </row>
    <row r="500" ht="8.25" customHeight="1" s="277">
      <c r="A500" s="139" t="inlineStr">
        <is>
          <t>Total Purchases for Period</t>
        </is>
      </c>
      <c r="B500" s="156" t="n"/>
      <c r="C500" s="228" t="n"/>
      <c r="D500" s="228" t="n"/>
      <c r="E500" s="228" t="n"/>
      <c r="F500" s="228">
        <f>SUM(F497:F499)</f>
        <v/>
      </c>
      <c r="G500" s="228">
        <f>SUM(G497:G499)</f>
        <v/>
      </c>
      <c r="H500" s="228">
        <f>SUM(H497:H499)</f>
        <v/>
      </c>
      <c r="I500" s="228">
        <f>SUM(I497:I499)</f>
        <v/>
      </c>
      <c r="J500" s="228">
        <f>SUM(J497:J499)</f>
        <v/>
      </c>
      <c r="K500" s="228">
        <f>SUM(K497:K499)</f>
        <v/>
      </c>
      <c r="L500" s="228">
        <f>SUM(L497:L499)</f>
        <v/>
      </c>
      <c r="M500" s="228">
        <f>SUM(M497:M499)</f>
        <v/>
      </c>
      <c r="N500" s="228">
        <f>SUM(N497:N499)</f>
        <v/>
      </c>
      <c r="O500" s="228">
        <f>SUM(O497:O499)</f>
        <v/>
      </c>
      <c r="P500" s="228">
        <f>SUM(P497:P499)</f>
        <v/>
      </c>
      <c r="Q500" s="228">
        <f>SUM(Q497:Q499)</f>
        <v/>
      </c>
      <c r="R500" s="158">
        <f>SUM(F500:Q500)</f>
        <v/>
      </c>
      <c r="S500" s="228">
        <f>SUM(S497:S499)</f>
        <v/>
      </c>
      <c r="T500" s="228">
        <f>SUM(T497:T499)</f>
        <v/>
      </c>
      <c r="U500" s="228">
        <f>SUM(U497:U499)</f>
        <v/>
      </c>
      <c r="V500" s="228">
        <f>SUM(V497:V499)</f>
        <v/>
      </c>
      <c r="W500" s="228">
        <f>SUM(W497:W499)</f>
        <v/>
      </c>
      <c r="X500" s="228">
        <f>SUM(X497:X499)</f>
        <v/>
      </c>
      <c r="Y500" s="228">
        <f>SUM(Y497:Y499)</f>
        <v/>
      </c>
      <c r="Z500" s="228">
        <f>SUM(Z497:Z499)</f>
        <v/>
      </c>
      <c r="AA500" s="228">
        <f>SUM(AA497:AA499)</f>
        <v/>
      </c>
      <c r="AB500" s="228">
        <f>SUM(AB497:AB499)</f>
        <v/>
      </c>
      <c r="AC500" s="228">
        <f>SUM(AC497:AC499)</f>
        <v/>
      </c>
      <c r="AD500" s="228">
        <f>SUM(AD497:AD499)</f>
        <v/>
      </c>
      <c r="AE500" s="158">
        <f>SUM(S500:AD500)</f>
        <v/>
      </c>
      <c r="AF500" s="158">
        <f>SUM(AF497:AF499)</f>
        <v/>
      </c>
      <c r="AG500" s="158">
        <f>SUM(AG497:AG499)</f>
        <v/>
      </c>
      <c r="AH500" s="158">
        <f>SUM(AH497:AH499)</f>
        <v/>
      </c>
    </row>
    <row r="501" ht="8.25" customHeight="1" s="277">
      <c r="A501" s="224" t="n"/>
      <c r="B501" s="225" t="inlineStr">
        <is>
          <t>of which Leased</t>
        </is>
      </c>
      <c r="C501" s="154" t="n"/>
      <c r="D501" s="154" t="n"/>
      <c r="E501" s="154" t="n"/>
      <c r="F501" s="154">
        <f t="array" ref="F501:F501">SUM(IF($E497:$E499="Yes",F497:F499,0))</f>
        <v/>
      </c>
      <c r="G501" s="154">
        <f t="array" ref="G501:G501">SUM(IF($E497:$E499="Yes",G497:G499,0))</f>
        <v/>
      </c>
      <c r="H501" s="154">
        <f t="array" ref="H501:H501">SUM(IF($E497:$E499="Yes",H497:H499,0))</f>
        <v/>
      </c>
      <c r="I501" s="154">
        <f t="array" ref="I501:I501">SUM(IF($E497:$E499="Yes",I497:I499,0))</f>
        <v/>
      </c>
      <c r="J501" s="154">
        <f t="array" ref="J501:J501">SUM(IF($E497:$E499="Yes",J497:J499,0))</f>
        <v/>
      </c>
      <c r="K501" s="154">
        <f t="array" ref="K501:K501">SUM(IF($E497:$E499="Yes",K497:K499,0))</f>
        <v/>
      </c>
      <c r="L501" s="154">
        <f t="array" ref="L501:L501">SUM(IF($E497:$E499="Yes",L497:L499,0))</f>
        <v/>
      </c>
      <c r="M501" s="154">
        <f t="array" ref="M501:M501">SUM(IF($E497:$E499="Yes",M497:M499,0))</f>
        <v/>
      </c>
      <c r="N501" s="154">
        <f t="array" ref="N501:N501">SUM(IF($E497:$E499="Yes",N497:N499,0))</f>
        <v/>
      </c>
      <c r="O501" s="154">
        <f t="array" ref="O501:O501">SUM(IF($E497:$E499="Yes",O497:O499,0))</f>
        <v/>
      </c>
      <c r="P501" s="154">
        <f t="array" ref="P501:P501">SUM(IF($E497:$E499="Yes",P497:P499,0))</f>
        <v/>
      </c>
      <c r="Q501" s="154">
        <f t="array" ref="Q501:Q501">SUM(IF($E497:$E499="Yes",Q497:Q499,0))</f>
        <v/>
      </c>
      <c r="R501" s="229">
        <f>SUM(F501:Q501)</f>
        <v/>
      </c>
      <c r="S501" s="154">
        <f t="array" ref="S501:S501">SUM(IF($E497:$E499="Yes",S497:S499,0))</f>
        <v/>
      </c>
      <c r="T501" s="154">
        <f t="array" ref="T501:T501">SUM(IF($E497:$E499="Yes",T497:T499,0))</f>
        <v/>
      </c>
      <c r="U501" s="154">
        <f t="array" ref="U501:U501">SUM(IF($E497:$E499="Yes",U497:U499,0))</f>
        <v/>
      </c>
      <c r="V501" s="154">
        <f t="array" ref="V501:V501">SUM(IF($E497:$E499="Yes",V497:V499,0))</f>
        <v/>
      </c>
      <c r="W501" s="154">
        <f t="array" ref="W501:W501">SUM(IF($E497:$E499="Yes",W497:W499,0))</f>
        <v/>
      </c>
      <c r="X501" s="154">
        <f t="array" ref="X501:X501">SUM(IF($E497:$E499="Yes",X497:X499,0))</f>
        <v/>
      </c>
      <c r="Y501" s="154">
        <f t="array" ref="Y501:Y501">SUM(IF($E497:$E499="Yes",Y497:Y499,0))</f>
        <v/>
      </c>
      <c r="Z501" s="154">
        <f t="array" ref="Z501:Z501">SUM(IF($E497:$E499="Yes",Z497:Z499,0))</f>
        <v/>
      </c>
      <c r="AA501" s="154">
        <f t="array" ref="AA501:AA501">SUM(IF($E497:$E499="Yes",AA497:AA499,0))</f>
        <v/>
      </c>
      <c r="AB501" s="154">
        <f t="array" ref="AB501:AB501">SUM(IF($E497:$E499="Yes",AB497:AB499,0))</f>
        <v/>
      </c>
      <c r="AC501" s="154">
        <f t="array" ref="AC501:AC501">SUM(IF($E497:$E499="Yes",AC497:AC499,0))</f>
        <v/>
      </c>
      <c r="AD501" s="154">
        <f t="array" ref="AD501:AD501">SUM(IF($E497:$E499="Yes",AD497:AD499,0))</f>
        <v/>
      </c>
      <c r="AE501" s="229">
        <f>SUM(S501:AD501)</f>
        <v/>
      </c>
      <c r="AF501" s="229">
        <f t="array" ref="AF501:AF501">SUM(IF($E497:$E499="Yes",AF497:AF499,0))</f>
        <v/>
      </c>
      <c r="AG501" s="229">
        <f t="array" ref="AG501:AG501">SUM(IF($E497:$E499="Yes",AG497:AG499,0))</f>
        <v/>
      </c>
      <c r="AH501" s="229">
        <f t="array" ref="AH501:AH501">SUM(IF($E497:$E499="Yes",AH497:AH499,0))</f>
        <v/>
      </c>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f>UPPER($A$417)</f>
        <v/>
      </c>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f>Assumptions!E100</f>
        <v/>
      </c>
      <c r="D504" s="330" t="n"/>
      <c r="E504" s="365" t="inlineStr">
        <is>
          <t>No</t>
        </is>
      </c>
      <c r="F504" s="154">
        <f>$C504*(F$426-E$426)</f>
        <v/>
      </c>
      <c r="G504" s="154">
        <f>$C504*(G$426-F$426)</f>
        <v/>
      </c>
      <c r="H504" s="154">
        <f>$C504*(H$426-G$426)</f>
        <v/>
      </c>
      <c r="I504" s="154">
        <f>$C504*(I$426-H$426)</f>
        <v/>
      </c>
      <c r="J504" s="154">
        <f>$C504*(J$426-I$426)</f>
        <v/>
      </c>
      <c r="K504" s="154">
        <f>$C504*(K$426-J$426)</f>
        <v/>
      </c>
      <c r="L504" s="154">
        <f>$C504*(L$426-K$426)</f>
        <v/>
      </c>
      <c r="M504" s="154">
        <f>$C504*(M$426-L$426)</f>
        <v/>
      </c>
      <c r="N504" s="154">
        <f>$C504*(N$426-M$426)</f>
        <v/>
      </c>
      <c r="O504" s="154">
        <f>$C504*(O$426-N$426)</f>
        <v/>
      </c>
      <c r="P504" s="154">
        <f>$C504*(P$426-O$426)</f>
        <v/>
      </c>
      <c r="Q504" s="154">
        <f>$C504*(Q$426-P$426)</f>
        <v/>
      </c>
      <c r="R504" s="229">
        <f>SUM(F504:Q504)</f>
        <v/>
      </c>
      <c r="S504" s="154">
        <f>$C504*(S$426-R$426)</f>
        <v/>
      </c>
      <c r="T504" s="154">
        <f>$C504*(T$426-S$426)</f>
        <v/>
      </c>
      <c r="U504" s="154">
        <f>$C504*(U$426-T$426)</f>
        <v/>
      </c>
      <c r="V504" s="154">
        <f>$C504*(V$426-U$426)</f>
        <v/>
      </c>
      <c r="W504" s="154">
        <f>$C504*(W$426-V$426)</f>
        <v/>
      </c>
      <c r="X504" s="154">
        <f>$C504*(X$426-W$426)</f>
        <v/>
      </c>
      <c r="Y504" s="154">
        <f>$C504*(Y$426-X$426)</f>
        <v/>
      </c>
      <c r="Z504" s="154">
        <f>$C504*(Z$426-Y$426)</f>
        <v/>
      </c>
      <c r="AA504" s="154">
        <f>$C504*(AA$426-Z$426)</f>
        <v/>
      </c>
      <c r="AB504" s="154">
        <f>$C504*(AB$426-AA$426)</f>
        <v/>
      </c>
      <c r="AC504" s="154">
        <f>$C504*(AC$426-AB$426)</f>
        <v/>
      </c>
      <c r="AD504" s="154">
        <f>$C504*(AD$426-AC$426)</f>
        <v/>
      </c>
      <c r="AE504" s="229">
        <f>SUM(S504:AD504)</f>
        <v/>
      </c>
      <c r="AF504" s="229">
        <f>$C504*(AF$426-AE$426)</f>
        <v/>
      </c>
      <c r="AG504" s="229">
        <f>$C504*(AG$426-AF$426)</f>
        <v/>
      </c>
      <c r="AH504" s="229">
        <f>$C504*(AH$426-AG$426)</f>
        <v/>
      </c>
    </row>
    <row r="505" ht="8.25" customHeight="1" s="277">
      <c r="A505" s="224" t="n"/>
      <c r="B505" s="225" t="inlineStr">
        <is>
          <t>Computer Software</t>
        </is>
      </c>
      <c r="C505" s="337">
        <f>Assumptions!F100</f>
        <v/>
      </c>
      <c r="D505" s="330" t="n"/>
      <c r="E505" s="365" t="inlineStr">
        <is>
          <t>No</t>
        </is>
      </c>
      <c r="F505" s="154">
        <f>$C505*(F$426-E$426)</f>
        <v/>
      </c>
      <c r="G505" s="154">
        <f>$C505*(G$426-F$426)</f>
        <v/>
      </c>
      <c r="H505" s="154">
        <f>$C505*(H$426-G$426)</f>
        <v/>
      </c>
      <c r="I505" s="154">
        <f>$C505*(I$426-H$426)</f>
        <v/>
      </c>
      <c r="J505" s="154">
        <f>$C505*(J$426-I$426)</f>
        <v/>
      </c>
      <c r="K505" s="154">
        <f>$C505*(K$426-J$426)</f>
        <v/>
      </c>
      <c r="L505" s="154">
        <f>$C505*(L$426-K$426)</f>
        <v/>
      </c>
      <c r="M505" s="154">
        <f>$C505*(M$426-L$426)</f>
        <v/>
      </c>
      <c r="N505" s="154">
        <f>$C505*(N$426-M$426)</f>
        <v/>
      </c>
      <c r="O505" s="154">
        <f>$C505*(O$426-N$426)</f>
        <v/>
      </c>
      <c r="P505" s="154">
        <f>$C505*(P$426-O$426)</f>
        <v/>
      </c>
      <c r="Q505" s="154">
        <f>$C505*(Q$426-P$426)</f>
        <v/>
      </c>
      <c r="R505" s="229">
        <f>SUM(F505:Q505)</f>
        <v/>
      </c>
      <c r="S505" s="154">
        <f>$C505*(S$426-R$426)</f>
        <v/>
      </c>
      <c r="T505" s="154">
        <f>$C505*(T$426-S$426)</f>
        <v/>
      </c>
      <c r="U505" s="154">
        <f>$C505*(U$426-T$426)</f>
        <v/>
      </c>
      <c r="V505" s="154">
        <f>$C505*(V$426-U$426)</f>
        <v/>
      </c>
      <c r="W505" s="154">
        <f>$C505*(W$426-V$426)</f>
        <v/>
      </c>
      <c r="X505" s="154">
        <f>$C505*(X$426-W$426)</f>
        <v/>
      </c>
      <c r="Y505" s="154">
        <f>$C505*(Y$426-X$426)</f>
        <v/>
      </c>
      <c r="Z505" s="154">
        <f>$C505*(Z$426-Y$426)</f>
        <v/>
      </c>
      <c r="AA505" s="154">
        <f>$C505*(AA$426-Z$426)</f>
        <v/>
      </c>
      <c r="AB505" s="154">
        <f>$C505*(AB$426-AA$426)</f>
        <v/>
      </c>
      <c r="AC505" s="154">
        <f>$C505*(AC$426-AB$426)</f>
        <v/>
      </c>
      <c r="AD505" s="154">
        <f>$C505*(AD$426-AC$426)</f>
        <v/>
      </c>
      <c r="AE505" s="229">
        <f>SUM(S505:AD505)</f>
        <v/>
      </c>
      <c r="AF505" s="229">
        <f>$C505*(AF$426-AE$426)</f>
        <v/>
      </c>
      <c r="AG505" s="229">
        <f>$C505*(AG$426-AF$426)</f>
        <v/>
      </c>
      <c r="AH505" s="229">
        <f>$C505*(AH$426-AG$426)</f>
        <v/>
      </c>
    </row>
    <row r="506" ht="8.25" customHeight="1" s="277">
      <c r="A506" s="224" t="n"/>
      <c r="B506" s="225" t="inlineStr">
        <is>
          <t>Furniture &amp; Fixtures</t>
        </is>
      </c>
      <c r="C506" s="337">
        <f>Assumptions!G100</f>
        <v/>
      </c>
      <c r="D506" s="330" t="n"/>
      <c r="E506" s="365" t="inlineStr">
        <is>
          <t>No</t>
        </is>
      </c>
      <c r="F506" s="154">
        <f>$C506*(F$426-E$426)</f>
        <v/>
      </c>
      <c r="G506" s="154">
        <f>$C506*(G$426-F$426)</f>
        <v/>
      </c>
      <c r="H506" s="154">
        <f>$C506*(H$426-G$426)</f>
        <v/>
      </c>
      <c r="I506" s="154">
        <f>$C506*(I$426-H$426)</f>
        <v/>
      </c>
      <c r="J506" s="154">
        <f>$C506*(J$426-I$426)</f>
        <v/>
      </c>
      <c r="K506" s="154">
        <f>$C506*(K$426-J$426)</f>
        <v/>
      </c>
      <c r="L506" s="154">
        <f>$C506*(L$426-K$426)</f>
        <v/>
      </c>
      <c r="M506" s="154">
        <f>$C506*(M$426-L$426)</f>
        <v/>
      </c>
      <c r="N506" s="154">
        <f>$C506*(N$426-M$426)</f>
        <v/>
      </c>
      <c r="O506" s="154">
        <f>$C506*(O$426-N$426)</f>
        <v/>
      </c>
      <c r="P506" s="154">
        <f>$C506*(P$426-O$426)</f>
        <v/>
      </c>
      <c r="Q506" s="154">
        <f>$C506*(Q$426-P$426)</f>
        <v/>
      </c>
      <c r="R506" s="229">
        <f>SUM(F506:Q506)</f>
        <v/>
      </c>
      <c r="S506" s="154">
        <f>$C506*(S$426-R$426)</f>
        <v/>
      </c>
      <c r="T506" s="154">
        <f>$C506*(T$426-S$426)</f>
        <v/>
      </c>
      <c r="U506" s="154">
        <f>$C506*(U$426-T$426)</f>
        <v/>
      </c>
      <c r="V506" s="154">
        <f>$C506*(V$426-U$426)</f>
        <v/>
      </c>
      <c r="W506" s="154">
        <f>$C506*(W$426-V$426)</f>
        <v/>
      </c>
      <c r="X506" s="154">
        <f>$C506*(X$426-W$426)</f>
        <v/>
      </c>
      <c r="Y506" s="154">
        <f>$C506*(Y$426-X$426)</f>
        <v/>
      </c>
      <c r="Z506" s="154">
        <f>$C506*(Z$426-Y$426)</f>
        <v/>
      </c>
      <c r="AA506" s="154">
        <f>$C506*(AA$426-Z$426)</f>
        <v/>
      </c>
      <c r="AB506" s="154">
        <f>$C506*(AB$426-AA$426)</f>
        <v/>
      </c>
      <c r="AC506" s="154">
        <f>$C506*(AC$426-AB$426)</f>
        <v/>
      </c>
      <c r="AD506" s="154">
        <f>$C506*(AD$426-AC$426)</f>
        <v/>
      </c>
      <c r="AE506" s="229">
        <f>SUM(S506:AD506)</f>
        <v/>
      </c>
      <c r="AF506" s="229">
        <f>$C506*(AF$426-AE$426)</f>
        <v/>
      </c>
      <c r="AG506" s="229">
        <f>$C506*(AG$426-AF$426)</f>
        <v/>
      </c>
      <c r="AH506" s="229">
        <f>$C506*(AH$426-AG$426)</f>
        <v/>
      </c>
    </row>
    <row r="507" ht="8.25" customHeight="1" s="277">
      <c r="A507" s="139" t="inlineStr">
        <is>
          <t>Total Purchases for Period</t>
        </is>
      </c>
      <c r="B507" s="156" t="n"/>
      <c r="C507" s="228" t="n"/>
      <c r="D507" s="228" t="n"/>
      <c r="E507" s="228" t="n"/>
      <c r="F507" s="228">
        <f>SUM(F504:F506)</f>
        <v/>
      </c>
      <c r="G507" s="228">
        <f>SUM(G504:G506)</f>
        <v/>
      </c>
      <c r="H507" s="228">
        <f>SUM(H504:H506)</f>
        <v/>
      </c>
      <c r="I507" s="228">
        <f>SUM(I504:I506)</f>
        <v/>
      </c>
      <c r="J507" s="228">
        <f>SUM(J504:J506)</f>
        <v/>
      </c>
      <c r="K507" s="228">
        <f>SUM(K504:K506)</f>
        <v/>
      </c>
      <c r="L507" s="228">
        <f>SUM(L504:L506)</f>
        <v/>
      </c>
      <c r="M507" s="228">
        <f>SUM(M504:M506)</f>
        <v/>
      </c>
      <c r="N507" s="228">
        <f>SUM(N504:N506)</f>
        <v/>
      </c>
      <c r="O507" s="228">
        <f>SUM(O504:O506)</f>
        <v/>
      </c>
      <c r="P507" s="228">
        <f>SUM(P504:P506)</f>
        <v/>
      </c>
      <c r="Q507" s="228">
        <f>SUM(Q504:Q506)</f>
        <v/>
      </c>
      <c r="R507" s="158">
        <f>SUM(F507:Q507)</f>
        <v/>
      </c>
      <c r="S507" s="228">
        <f>SUM(S504:S506)</f>
        <v/>
      </c>
      <c r="T507" s="228">
        <f>SUM(T504:T506)</f>
        <v/>
      </c>
      <c r="U507" s="228">
        <f>SUM(U504:U506)</f>
        <v/>
      </c>
      <c r="V507" s="228">
        <f>SUM(V504:V506)</f>
        <v/>
      </c>
      <c r="W507" s="228">
        <f>SUM(W504:W506)</f>
        <v/>
      </c>
      <c r="X507" s="228">
        <f>SUM(X504:X506)</f>
        <v/>
      </c>
      <c r="Y507" s="228">
        <f>SUM(Y504:Y506)</f>
        <v/>
      </c>
      <c r="Z507" s="228">
        <f>SUM(Z504:Z506)</f>
        <v/>
      </c>
      <c r="AA507" s="228">
        <f>SUM(AA504:AA506)</f>
        <v/>
      </c>
      <c r="AB507" s="228">
        <f>SUM(AB504:AB506)</f>
        <v/>
      </c>
      <c r="AC507" s="228">
        <f>SUM(AC504:AC506)</f>
        <v/>
      </c>
      <c r="AD507" s="228">
        <f>SUM(AD504:AD506)</f>
        <v/>
      </c>
      <c r="AE507" s="158">
        <f>SUM(S507:AD507)</f>
        <v/>
      </c>
      <c r="AF507" s="158">
        <f>SUM(AF504:AF506)</f>
        <v/>
      </c>
      <c r="AG507" s="158">
        <f>SUM(AG504:AG506)</f>
        <v/>
      </c>
      <c r="AH507" s="158">
        <f>SUM(AH504:AH506)</f>
        <v/>
      </c>
    </row>
    <row r="508" ht="8.25" customHeight="1" s="277">
      <c r="A508" s="224" t="n"/>
      <c r="B508" s="225" t="inlineStr">
        <is>
          <t>of which Leased</t>
        </is>
      </c>
      <c r="C508" s="154" t="n"/>
      <c r="D508" s="154" t="n"/>
      <c r="E508" s="154" t="n"/>
      <c r="F508" s="154">
        <f t="array" ref="F508:F508">SUM(IF($E504:$E506="Yes",F504:F506,0))</f>
        <v/>
      </c>
      <c r="G508" s="154">
        <f t="array" ref="G508:G508">SUM(IF($E504:$E506="Yes",G504:G506,0))</f>
        <v/>
      </c>
      <c r="H508" s="154">
        <f t="array" ref="H508:H508">SUM(IF($E504:$E506="Yes",H504:H506,0))</f>
        <v/>
      </c>
      <c r="I508" s="154">
        <f t="array" ref="I508:I508">SUM(IF($E504:$E506="Yes",I504:I506,0))</f>
        <v/>
      </c>
      <c r="J508" s="154">
        <f t="array" ref="J508:J508">SUM(IF($E504:$E506="Yes",J504:J506,0))</f>
        <v/>
      </c>
      <c r="K508" s="154">
        <f t="array" ref="K508:K508">SUM(IF($E504:$E506="Yes",K504:K506,0))</f>
        <v/>
      </c>
      <c r="L508" s="154">
        <f t="array" ref="L508:L508">SUM(IF($E504:$E506="Yes",L504:L506,0))</f>
        <v/>
      </c>
      <c r="M508" s="154">
        <f t="array" ref="M508:M508">SUM(IF($E504:$E506="Yes",M504:M506,0))</f>
        <v/>
      </c>
      <c r="N508" s="154">
        <f t="array" ref="N508:N508">SUM(IF($E504:$E506="Yes",N504:N506,0))</f>
        <v/>
      </c>
      <c r="O508" s="154">
        <f t="array" ref="O508:O508">SUM(IF($E504:$E506="Yes",O504:O506,0))</f>
        <v/>
      </c>
      <c r="P508" s="154">
        <f t="array" ref="P508:P508">SUM(IF($E504:$E506="Yes",P504:P506,0))</f>
        <v/>
      </c>
      <c r="Q508" s="154">
        <f t="array" ref="Q508:Q508">SUM(IF($E504:$E506="Yes",Q504:Q506,0))</f>
        <v/>
      </c>
      <c r="R508" s="229">
        <f>SUM(F508:Q508)</f>
        <v/>
      </c>
      <c r="S508" s="154">
        <f t="array" ref="S508:S508">SUM(IF($E504:$E506="Yes",S504:S506,0))</f>
        <v/>
      </c>
      <c r="T508" s="154">
        <f t="array" ref="T508:T508">SUM(IF($E504:$E506="Yes",T504:T506,0))</f>
        <v/>
      </c>
      <c r="U508" s="154">
        <f t="array" ref="U508:U508">SUM(IF($E504:$E506="Yes",U504:U506,0))</f>
        <v/>
      </c>
      <c r="V508" s="154">
        <f t="array" ref="V508:V508">SUM(IF($E504:$E506="Yes",V504:V506,0))</f>
        <v/>
      </c>
      <c r="W508" s="154">
        <f t="array" ref="W508:W508">SUM(IF($E504:$E506="Yes",W504:W506,0))</f>
        <v/>
      </c>
      <c r="X508" s="154">
        <f t="array" ref="X508:X508">SUM(IF($E504:$E506="Yes",X504:X506,0))</f>
        <v/>
      </c>
      <c r="Y508" s="154">
        <f t="array" ref="Y508:Y508">SUM(IF($E504:$E506="Yes",Y504:Y506,0))</f>
        <v/>
      </c>
      <c r="Z508" s="154">
        <f t="array" ref="Z508:Z508">SUM(IF($E504:$E506="Yes",Z504:Z506,0))</f>
        <v/>
      </c>
      <c r="AA508" s="154">
        <f t="array" ref="AA508:AA508">SUM(IF($E504:$E506="Yes",AA504:AA506,0))</f>
        <v/>
      </c>
      <c r="AB508" s="154">
        <f t="array" ref="AB508:AB508">SUM(IF($E504:$E506="Yes",AB504:AB506,0))</f>
        <v/>
      </c>
      <c r="AC508" s="154">
        <f t="array" ref="AC508:AC508">SUM(IF($E504:$E506="Yes",AC504:AC506,0))</f>
        <v/>
      </c>
      <c r="AD508" s="154">
        <f t="array" ref="AD508:AD508">SUM(IF($E504:$E506="Yes",AD504:AD506,0))</f>
        <v/>
      </c>
      <c r="AE508" s="229">
        <f>SUM(S508:AD508)</f>
        <v/>
      </c>
      <c r="AF508" s="229">
        <f t="array" ref="AF508:AF508">SUM(IF($E504:$E506="Yes",AF504:AF506,0))</f>
        <v/>
      </c>
      <c r="AG508" s="229">
        <f t="array" ref="AG508:AG508">SUM(IF($E504:$E506="Yes",AG504:AG506,0))</f>
        <v/>
      </c>
      <c r="AH508" s="229">
        <f t="array" ref="AH508:AH508">SUM(IF($E504:$E506="Yes",AH504:AH506,0))</f>
        <v/>
      </c>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f>UPPER($A$428)</f>
        <v/>
      </c>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f>Assumptions!E101</f>
        <v/>
      </c>
      <c r="D511" s="330" t="n"/>
      <c r="E511" s="365" t="inlineStr">
        <is>
          <t>No</t>
        </is>
      </c>
      <c r="F511" s="154">
        <f>$C511*(F$435-E$435)</f>
        <v/>
      </c>
      <c r="G511" s="154">
        <f>$C511*(G$435-F$435)</f>
        <v/>
      </c>
      <c r="H511" s="154">
        <f>$C511*(H$435-G$435)</f>
        <v/>
      </c>
      <c r="I511" s="154">
        <f>$C511*(I$435-H$435)</f>
        <v/>
      </c>
      <c r="J511" s="154">
        <f>$C511*(J$435-I$435)</f>
        <v/>
      </c>
      <c r="K511" s="154">
        <f>$C511*(K$435-J$435)</f>
        <v/>
      </c>
      <c r="L511" s="154">
        <f>$C511*(L$435-K$435)</f>
        <v/>
      </c>
      <c r="M511" s="154">
        <f>$C511*(M$435-L$435)</f>
        <v/>
      </c>
      <c r="N511" s="154">
        <f>$C511*(N$435-M$435)</f>
        <v/>
      </c>
      <c r="O511" s="154">
        <f>$C511*(O$435-N$435)</f>
        <v/>
      </c>
      <c r="P511" s="154">
        <f>$C511*(P$435-O$435)</f>
        <v/>
      </c>
      <c r="Q511" s="154">
        <f>$C511*(Q$435-P$435)</f>
        <v/>
      </c>
      <c r="R511" s="229">
        <f>SUM(F511:Q511)</f>
        <v/>
      </c>
      <c r="S511" s="154">
        <f>$C511*(S$435-R$435)</f>
        <v/>
      </c>
      <c r="T511" s="154">
        <f>$C511*(T$435-S$435)</f>
        <v/>
      </c>
      <c r="U511" s="154">
        <f>$C511*(U$435-T$435)</f>
        <v/>
      </c>
      <c r="V511" s="154">
        <f>$C511*(V$435-U$435)</f>
        <v/>
      </c>
      <c r="W511" s="154">
        <f>$C511*(W$435-V$435)</f>
        <v/>
      </c>
      <c r="X511" s="154">
        <f>$C511*(X$435-W$435)</f>
        <v/>
      </c>
      <c r="Y511" s="154">
        <f>$C511*(Y$435-X$435)</f>
        <v/>
      </c>
      <c r="Z511" s="154">
        <f>$C511*(Z$435-Y$435)</f>
        <v/>
      </c>
      <c r="AA511" s="154">
        <f>$C511*(AA$435-Z$435)</f>
        <v/>
      </c>
      <c r="AB511" s="154">
        <f>$C511*(AB$435-AA$435)</f>
        <v/>
      </c>
      <c r="AC511" s="154">
        <f>$C511*(AC$435-AB$435)</f>
        <v/>
      </c>
      <c r="AD511" s="154">
        <f>$C511*(AD$435-AC$435)</f>
        <v/>
      </c>
      <c r="AE511" s="229">
        <f>SUM(S511:AD511)</f>
        <v/>
      </c>
      <c r="AF511" s="229">
        <f>$C511*(AF$435-AE$435)</f>
        <v/>
      </c>
      <c r="AG511" s="229">
        <f>$C511*(AG$435-AF$435)</f>
        <v/>
      </c>
      <c r="AH511" s="229">
        <f>$C511*(AH$435-AG$435)</f>
        <v/>
      </c>
    </row>
    <row r="512" ht="8.25" customHeight="1" s="277">
      <c r="A512" s="224" t="n"/>
      <c r="B512" s="225" t="inlineStr">
        <is>
          <t>Computer Software</t>
        </is>
      </c>
      <c r="C512" s="337">
        <f>Assumptions!F101</f>
        <v/>
      </c>
      <c r="D512" s="330" t="n"/>
      <c r="E512" s="365" t="inlineStr">
        <is>
          <t>No</t>
        </is>
      </c>
      <c r="F512" s="154">
        <f>$C512*(F$435-E$435)</f>
        <v/>
      </c>
      <c r="G512" s="154">
        <f>$C512*(G$435-F$435)</f>
        <v/>
      </c>
      <c r="H512" s="154">
        <f>$C512*(H$435-G$435)</f>
        <v/>
      </c>
      <c r="I512" s="154">
        <f>$C512*(I$435-H$435)</f>
        <v/>
      </c>
      <c r="J512" s="154">
        <f>$C512*(J$435-I$435)</f>
        <v/>
      </c>
      <c r="K512" s="154">
        <f>$C512*(K$435-J$435)</f>
        <v/>
      </c>
      <c r="L512" s="154">
        <f>$C512*(L$435-K$435)</f>
        <v/>
      </c>
      <c r="M512" s="154">
        <f>$C512*(M$435-L$435)</f>
        <v/>
      </c>
      <c r="N512" s="154">
        <f>$C512*(N$435-M$435)</f>
        <v/>
      </c>
      <c r="O512" s="154">
        <f>$C512*(O$435-N$435)</f>
        <v/>
      </c>
      <c r="P512" s="154">
        <f>$C512*(P$435-O$435)</f>
        <v/>
      </c>
      <c r="Q512" s="154">
        <f>$C512*(Q$435-P$435)</f>
        <v/>
      </c>
      <c r="R512" s="229">
        <f>SUM(F512:Q512)</f>
        <v/>
      </c>
      <c r="S512" s="154">
        <f>$C512*(S$435-R$435)</f>
        <v/>
      </c>
      <c r="T512" s="154">
        <f>$C512*(T$435-S$435)</f>
        <v/>
      </c>
      <c r="U512" s="154">
        <f>$C512*(U$435-T$435)</f>
        <v/>
      </c>
      <c r="V512" s="154">
        <f>$C512*(V$435-U$435)</f>
        <v/>
      </c>
      <c r="W512" s="154">
        <f>$C512*(W$435-V$435)</f>
        <v/>
      </c>
      <c r="X512" s="154">
        <f>$C512*(X$435-W$435)</f>
        <v/>
      </c>
      <c r="Y512" s="154">
        <f>$C512*(Y$435-X$435)</f>
        <v/>
      </c>
      <c r="Z512" s="154">
        <f>$C512*(Z$435-Y$435)</f>
        <v/>
      </c>
      <c r="AA512" s="154">
        <f>$C512*(AA$435-Z$435)</f>
        <v/>
      </c>
      <c r="AB512" s="154">
        <f>$C512*(AB$435-AA$435)</f>
        <v/>
      </c>
      <c r="AC512" s="154">
        <f>$C512*(AC$435-AB$435)</f>
        <v/>
      </c>
      <c r="AD512" s="154">
        <f>$C512*(AD$435-AC$435)</f>
        <v/>
      </c>
      <c r="AE512" s="229">
        <f>SUM(S512:AD512)</f>
        <v/>
      </c>
      <c r="AF512" s="229">
        <f>$C512*(AF$435-AE$435)</f>
        <v/>
      </c>
      <c r="AG512" s="229">
        <f>$C512*(AG$435-AF$435)</f>
        <v/>
      </c>
      <c r="AH512" s="229">
        <f>$C512*(AH$435-AG$435)</f>
        <v/>
      </c>
    </row>
    <row r="513" ht="8.25" customHeight="1" s="277">
      <c r="A513" s="224" t="n"/>
      <c r="B513" s="225" t="inlineStr">
        <is>
          <t>Furniture &amp; Fixtures</t>
        </is>
      </c>
      <c r="C513" s="337">
        <f>Assumptions!G101</f>
        <v/>
      </c>
      <c r="D513" s="330" t="n"/>
      <c r="E513" s="365" t="inlineStr">
        <is>
          <t>No</t>
        </is>
      </c>
      <c r="F513" s="154">
        <f>$C513*(F$435-E$435)</f>
        <v/>
      </c>
      <c r="G513" s="154">
        <f>$C513*(G$435-F$435)</f>
        <v/>
      </c>
      <c r="H513" s="154">
        <f>$C513*(H$435-G$435)</f>
        <v/>
      </c>
      <c r="I513" s="154">
        <f>$C513*(I$435-H$435)</f>
        <v/>
      </c>
      <c r="J513" s="154">
        <f>$C513*(J$435-I$435)</f>
        <v/>
      </c>
      <c r="K513" s="154">
        <f>$C513*(K$435-J$435)</f>
        <v/>
      </c>
      <c r="L513" s="154">
        <f>$C513*(L$435-K$435)</f>
        <v/>
      </c>
      <c r="M513" s="154">
        <f>$C513*(M$435-L$435)</f>
        <v/>
      </c>
      <c r="N513" s="154">
        <f>$C513*(N$435-M$435)</f>
        <v/>
      </c>
      <c r="O513" s="154">
        <f>$C513*(O$435-N$435)</f>
        <v/>
      </c>
      <c r="P513" s="154">
        <f>$C513*(P$435-O$435)</f>
        <v/>
      </c>
      <c r="Q513" s="154">
        <f>$C513*(Q$435-P$435)</f>
        <v/>
      </c>
      <c r="R513" s="229">
        <f>SUM(F513:Q513)</f>
        <v/>
      </c>
      <c r="S513" s="154">
        <f>$C513*(S$435-R$435)</f>
        <v/>
      </c>
      <c r="T513" s="154">
        <f>$C513*(T$435-S$435)</f>
        <v/>
      </c>
      <c r="U513" s="154">
        <f>$C513*(U$435-T$435)</f>
        <v/>
      </c>
      <c r="V513" s="154">
        <f>$C513*(V$435-U$435)</f>
        <v/>
      </c>
      <c r="W513" s="154">
        <f>$C513*(W$435-V$435)</f>
        <v/>
      </c>
      <c r="X513" s="154">
        <f>$C513*(X$435-W$435)</f>
        <v/>
      </c>
      <c r="Y513" s="154">
        <f>$C513*(Y$435-X$435)</f>
        <v/>
      </c>
      <c r="Z513" s="154">
        <f>$C513*(Z$435-Y$435)</f>
        <v/>
      </c>
      <c r="AA513" s="154">
        <f>$C513*(AA$435-Z$435)</f>
        <v/>
      </c>
      <c r="AB513" s="154">
        <f>$C513*(AB$435-AA$435)</f>
        <v/>
      </c>
      <c r="AC513" s="154">
        <f>$C513*(AC$435-AB$435)</f>
        <v/>
      </c>
      <c r="AD513" s="154">
        <f>$C513*(AD$435-AC$435)</f>
        <v/>
      </c>
      <c r="AE513" s="229">
        <f>SUM(S513:AD513)</f>
        <v/>
      </c>
      <c r="AF513" s="229">
        <f>$C513*(AF$435-AE$435)</f>
        <v/>
      </c>
      <c r="AG513" s="229">
        <f>$C513*(AG$435-AF$435)</f>
        <v/>
      </c>
      <c r="AH513" s="229">
        <f>$C513*(AH$435-AG$435)</f>
        <v/>
      </c>
    </row>
    <row r="514" ht="8.25" customHeight="1" s="277">
      <c r="A514" s="139" t="inlineStr">
        <is>
          <t>Total Purchases for Period</t>
        </is>
      </c>
      <c r="B514" s="156" t="n"/>
      <c r="C514" s="228" t="n"/>
      <c r="D514" s="228" t="n"/>
      <c r="E514" s="228" t="n"/>
      <c r="F514" s="228">
        <f>SUM(F511:F513)</f>
        <v/>
      </c>
      <c r="G514" s="228">
        <f>SUM(G511:G513)</f>
        <v/>
      </c>
      <c r="H514" s="228">
        <f>SUM(H511:H513)</f>
        <v/>
      </c>
      <c r="I514" s="228">
        <f>SUM(I511:I513)</f>
        <v/>
      </c>
      <c r="J514" s="228">
        <f>SUM(J511:J513)</f>
        <v/>
      </c>
      <c r="K514" s="228">
        <f>SUM(K511:K513)</f>
        <v/>
      </c>
      <c r="L514" s="228">
        <f>SUM(L511:L513)</f>
        <v/>
      </c>
      <c r="M514" s="228">
        <f>SUM(M511:M513)</f>
        <v/>
      </c>
      <c r="N514" s="228">
        <f>SUM(N511:N513)</f>
        <v/>
      </c>
      <c r="O514" s="228">
        <f>SUM(O511:O513)</f>
        <v/>
      </c>
      <c r="P514" s="228">
        <f>SUM(P511:P513)</f>
        <v/>
      </c>
      <c r="Q514" s="228">
        <f>SUM(Q511:Q513)</f>
        <v/>
      </c>
      <c r="R514" s="158">
        <f>SUM(F514:Q514)</f>
        <v/>
      </c>
      <c r="S514" s="228">
        <f>SUM(S511:S513)</f>
        <v/>
      </c>
      <c r="T514" s="228">
        <f>SUM(T511:T513)</f>
        <v/>
      </c>
      <c r="U514" s="228">
        <f>SUM(U511:U513)</f>
        <v/>
      </c>
      <c r="V514" s="228">
        <f>SUM(V511:V513)</f>
        <v/>
      </c>
      <c r="W514" s="228">
        <f>SUM(W511:W513)</f>
        <v/>
      </c>
      <c r="X514" s="228">
        <f>SUM(X511:X513)</f>
        <v/>
      </c>
      <c r="Y514" s="228">
        <f>SUM(Y511:Y513)</f>
        <v/>
      </c>
      <c r="Z514" s="228">
        <f>SUM(Z511:Z513)</f>
        <v/>
      </c>
      <c r="AA514" s="228">
        <f>SUM(AA511:AA513)</f>
        <v/>
      </c>
      <c r="AB514" s="228">
        <f>SUM(AB511:AB513)</f>
        <v/>
      </c>
      <c r="AC514" s="228">
        <f>SUM(AC511:AC513)</f>
        <v/>
      </c>
      <c r="AD514" s="228">
        <f>SUM(AD511:AD513)</f>
        <v/>
      </c>
      <c r="AE514" s="158">
        <f>SUM(S514:AD514)</f>
        <v/>
      </c>
      <c r="AF514" s="158">
        <f>SUM(AF511:AF513)</f>
        <v/>
      </c>
      <c r="AG514" s="158">
        <f>SUM(AG511:AG513)</f>
        <v/>
      </c>
      <c r="AH514" s="158">
        <f>SUM(AH511:AH513)</f>
        <v/>
      </c>
    </row>
    <row r="515" ht="8.25" customHeight="1" s="277">
      <c r="A515" s="224" t="n"/>
      <c r="B515" s="225" t="inlineStr">
        <is>
          <t>of which Leased</t>
        </is>
      </c>
      <c r="C515" s="154" t="n"/>
      <c r="D515" s="154" t="n"/>
      <c r="E515" s="154" t="n"/>
      <c r="F515" s="154">
        <f t="array" ref="F515:F515">SUM(IF($E511:$E513="Yes",F511:F513,0))</f>
        <v/>
      </c>
      <c r="G515" s="154">
        <f t="array" ref="G515:G515">SUM(IF($E511:$E513="Yes",G511:G513,0))</f>
        <v/>
      </c>
      <c r="H515" s="154">
        <f t="array" ref="H515:H515">SUM(IF($E511:$E513="Yes",H511:H513,0))</f>
        <v/>
      </c>
      <c r="I515" s="154">
        <f t="array" ref="I515:I515">SUM(IF($E511:$E513="Yes",I511:I513,0))</f>
        <v/>
      </c>
      <c r="J515" s="154">
        <f t="array" ref="J515:J515">SUM(IF($E511:$E513="Yes",J511:J513,0))</f>
        <v/>
      </c>
      <c r="K515" s="154">
        <f t="array" ref="K515:K515">SUM(IF($E511:$E513="Yes",K511:K513,0))</f>
        <v/>
      </c>
      <c r="L515" s="154">
        <f t="array" ref="L515:L515">SUM(IF($E511:$E513="Yes",L511:L513,0))</f>
        <v/>
      </c>
      <c r="M515" s="154">
        <f t="array" ref="M515:M515">SUM(IF($E511:$E513="Yes",M511:M513,0))</f>
        <v/>
      </c>
      <c r="N515" s="154">
        <f t="array" ref="N515:N515">SUM(IF($E511:$E513="Yes",N511:N513,0))</f>
        <v/>
      </c>
      <c r="O515" s="154">
        <f t="array" ref="O515:O515">SUM(IF($E511:$E513="Yes",O511:O513,0))</f>
        <v/>
      </c>
      <c r="P515" s="154">
        <f t="array" ref="P515:P515">SUM(IF($E511:$E513="Yes",P511:P513,0))</f>
        <v/>
      </c>
      <c r="Q515" s="154">
        <f t="array" ref="Q515:Q515">SUM(IF($E511:$E513="Yes",Q511:Q513,0))</f>
        <v/>
      </c>
      <c r="R515" s="229">
        <f>SUM(F515:Q515)</f>
        <v/>
      </c>
      <c r="S515" s="154">
        <f t="array" ref="S515:S515">SUM(IF($E511:$E513="Yes",S511:S513,0))</f>
        <v/>
      </c>
      <c r="T515" s="154">
        <f t="array" ref="T515:T515">SUM(IF($E511:$E513="Yes",T511:T513,0))</f>
        <v/>
      </c>
      <c r="U515" s="154">
        <f t="array" ref="U515:U515">SUM(IF($E511:$E513="Yes",U511:U513,0))</f>
        <v/>
      </c>
      <c r="V515" s="154">
        <f t="array" ref="V515:V515">SUM(IF($E511:$E513="Yes",V511:V513,0))</f>
        <v/>
      </c>
      <c r="W515" s="154">
        <f t="array" ref="W515:W515">SUM(IF($E511:$E513="Yes",W511:W513,0))</f>
        <v/>
      </c>
      <c r="X515" s="154">
        <f t="array" ref="X515:X515">SUM(IF($E511:$E513="Yes",X511:X513,0))</f>
        <v/>
      </c>
      <c r="Y515" s="154">
        <f t="array" ref="Y515:Y515">SUM(IF($E511:$E513="Yes",Y511:Y513,0))</f>
        <v/>
      </c>
      <c r="Z515" s="154">
        <f t="array" ref="Z515:Z515">SUM(IF($E511:$E513="Yes",Z511:Z513,0))</f>
        <v/>
      </c>
      <c r="AA515" s="154">
        <f t="array" ref="AA515:AA515">SUM(IF($E511:$E513="Yes",AA511:AA513,0))</f>
        <v/>
      </c>
      <c r="AB515" s="154">
        <f t="array" ref="AB515:AB515">SUM(IF($E511:$E513="Yes",AB511:AB513,0))</f>
        <v/>
      </c>
      <c r="AC515" s="154">
        <f t="array" ref="AC515:AC515">SUM(IF($E511:$E513="Yes",AC511:AC513,0))</f>
        <v/>
      </c>
      <c r="AD515" s="154">
        <f t="array" ref="AD515:AD515">SUM(IF($E511:$E513="Yes",AD511:AD513,0))</f>
        <v/>
      </c>
      <c r="AE515" s="229">
        <f>SUM(S515:AD515)</f>
        <v/>
      </c>
      <c r="AF515" s="229">
        <f t="array" ref="AF515:AF515">SUM(IF($E511:$E513="Yes",AF511:AF513,0))</f>
        <v/>
      </c>
      <c r="AG515" s="229">
        <f t="array" ref="AG515:AG515">SUM(IF($E511:$E513="Yes",AG511:AG513,0))</f>
        <v/>
      </c>
      <c r="AH515" s="229">
        <f t="array" ref="AH515:AH515">SUM(IF($E511:$E513="Yes",AH511:AH513,0))</f>
        <v/>
      </c>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f>F493+F500+F507+F514</f>
        <v/>
      </c>
      <c r="G517" s="228">
        <f>G493+G500+G507+G514</f>
        <v/>
      </c>
      <c r="H517" s="228">
        <f>H493+H500+H507+H514</f>
        <v/>
      </c>
      <c r="I517" s="228">
        <f>I493+I500+I507+I514</f>
        <v/>
      </c>
      <c r="J517" s="228">
        <f>J493+J500+J507+J514</f>
        <v/>
      </c>
      <c r="K517" s="228">
        <f>K493+K500+K507+K514</f>
        <v/>
      </c>
      <c r="L517" s="228">
        <f>L493+L500+L507+L514</f>
        <v/>
      </c>
      <c r="M517" s="228">
        <f>M493+M500+M507+M514</f>
        <v/>
      </c>
      <c r="N517" s="228">
        <f>N493+N500+N507+N514</f>
        <v/>
      </c>
      <c r="O517" s="228">
        <f>O493+O500+O507+O514</f>
        <v/>
      </c>
      <c r="P517" s="228">
        <f>P493+P500+P507+P514</f>
        <v/>
      </c>
      <c r="Q517" s="228">
        <f>Q493+Q500+Q507+Q514</f>
        <v/>
      </c>
      <c r="R517" s="158">
        <f>SUM(F517:Q517)</f>
        <v/>
      </c>
      <c r="S517" s="228">
        <f>S493+S500+S507+S514</f>
        <v/>
      </c>
      <c r="T517" s="228">
        <f>T493+T500+T507+T514</f>
        <v/>
      </c>
      <c r="U517" s="228">
        <f>U493+U500+U507+U514</f>
        <v/>
      </c>
      <c r="V517" s="228">
        <f>V493+V500+V507+V514</f>
        <v/>
      </c>
      <c r="W517" s="228">
        <f>W493+W500+W507+W514</f>
        <v/>
      </c>
      <c r="X517" s="228">
        <f>X493+X500+X507+X514</f>
        <v/>
      </c>
      <c r="Y517" s="228">
        <f>Y493+Y500+Y507+Y514</f>
        <v/>
      </c>
      <c r="Z517" s="228">
        <f>Z493+Z500+Z507+Z514</f>
        <v/>
      </c>
      <c r="AA517" s="228">
        <f>AA493+AA500+AA507+AA514</f>
        <v/>
      </c>
      <c r="AB517" s="228">
        <f>AB493+AB500+AB507+AB514</f>
        <v/>
      </c>
      <c r="AC517" s="228">
        <f>AC493+AC500+AC507+AC514</f>
        <v/>
      </c>
      <c r="AD517" s="228">
        <f>AD493+AD500+AD507+AD514</f>
        <v/>
      </c>
      <c r="AE517" s="158">
        <f>SUM(S517:AD517)</f>
        <v/>
      </c>
      <c r="AF517" s="158">
        <f>AF493+AF500+AF507+AF514</f>
        <v/>
      </c>
      <c r="AG517" s="158">
        <f>AG493+AG500+AG507+AG514</f>
        <v/>
      </c>
      <c r="AH517" s="158">
        <f>AH493+AH500+AH507+AH514</f>
        <v/>
      </c>
    </row>
    <row r="518" ht="8.25" customHeight="1" s="277">
      <c r="A518" s="224" t="n"/>
      <c r="B518" s="225" t="inlineStr">
        <is>
          <t>of which leased</t>
        </is>
      </c>
      <c r="C518" s="154" t="n"/>
      <c r="D518" s="154" t="n"/>
      <c r="E518" s="154" t="n"/>
      <c r="F518" s="154">
        <f>F494+F501+F508+F515</f>
        <v/>
      </c>
      <c r="G518" s="154">
        <f>G494+G501+G508+G515</f>
        <v/>
      </c>
      <c r="H518" s="154">
        <f>H494+H501+H508+H515</f>
        <v/>
      </c>
      <c r="I518" s="154">
        <f>I494+I501+I508+I515</f>
        <v/>
      </c>
      <c r="J518" s="154">
        <f>J494+J501+J508+J515</f>
        <v/>
      </c>
      <c r="K518" s="154">
        <f>K494+K501+K508+K515</f>
        <v/>
      </c>
      <c r="L518" s="154">
        <f>L494+L501+L508+L515</f>
        <v/>
      </c>
      <c r="M518" s="154">
        <f>M494+M501+M508+M515</f>
        <v/>
      </c>
      <c r="N518" s="154">
        <f>N494+N501+N508+N515</f>
        <v/>
      </c>
      <c r="O518" s="154">
        <f>O494+O501+O508+O515</f>
        <v/>
      </c>
      <c r="P518" s="154">
        <f>P494+P501+P508+P515</f>
        <v/>
      </c>
      <c r="Q518" s="154">
        <f>Q494+Q501+Q508+Q515</f>
        <v/>
      </c>
      <c r="R518" s="229">
        <f>SUM(F518:Q518)</f>
        <v/>
      </c>
      <c r="S518" s="154">
        <f>S494+S501+S508+S515</f>
        <v/>
      </c>
      <c r="T518" s="154">
        <f>T494+T501+T508+T515</f>
        <v/>
      </c>
      <c r="U518" s="154">
        <f>U494+U501+U508+U515</f>
        <v/>
      </c>
      <c r="V518" s="154">
        <f>V494+V501+V508+V515</f>
        <v/>
      </c>
      <c r="W518" s="154">
        <f>W494+W501+W508+W515</f>
        <v/>
      </c>
      <c r="X518" s="154">
        <f>X494+X501+X508+X515</f>
        <v/>
      </c>
      <c r="Y518" s="154">
        <f>Y494+Y501+Y508+Y515</f>
        <v/>
      </c>
      <c r="Z518" s="154">
        <f>Z494+Z501+Z508+Z515</f>
        <v/>
      </c>
      <c r="AA518" s="154">
        <f>AA494+AA501+AA508+AA515</f>
        <v/>
      </c>
      <c r="AB518" s="154">
        <f>AB494+AB501+AB508+AB515</f>
        <v/>
      </c>
      <c r="AC518" s="154">
        <f>AC494+AC501+AC508+AC515</f>
        <v/>
      </c>
      <c r="AD518" s="154">
        <f>AD494+AD501+AD508+AD515</f>
        <v/>
      </c>
      <c r="AE518" s="229">
        <f>SUM(S518:AD518)</f>
        <v/>
      </c>
      <c r="AF518" s="229">
        <f>AF494+AF501+AF508+AF515</f>
        <v/>
      </c>
      <c r="AG518" s="229">
        <f>AG494+AG501+AG508+AG515</f>
        <v/>
      </c>
      <c r="AH518" s="229">
        <f>AH494+AH501+AH508+AH515</f>
        <v/>
      </c>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f>$A$1</f>
        <v/>
      </c>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f>NOW()</f>
        <v/>
      </c>
      <c r="C522" s="330" t="n"/>
      <c r="D522" s="330" t="n"/>
      <c r="E522" s="330" t="n"/>
      <c r="F522" s="142">
        <f>F$7</f>
        <v/>
      </c>
      <c r="G522" s="142">
        <f>G$7</f>
        <v/>
      </c>
      <c r="H522" s="142">
        <f>H$7</f>
        <v/>
      </c>
      <c r="I522" s="142">
        <f>I$7</f>
        <v/>
      </c>
      <c r="J522" s="142">
        <f>J$7</f>
        <v/>
      </c>
      <c r="K522" s="142">
        <f>K$7</f>
        <v/>
      </c>
      <c r="L522" s="142">
        <f>L$7</f>
        <v/>
      </c>
      <c r="M522" s="142">
        <f>M$7</f>
        <v/>
      </c>
      <c r="N522" s="142">
        <f>N$7</f>
        <v/>
      </c>
      <c r="O522" s="142">
        <f>O$7</f>
        <v/>
      </c>
      <c r="P522" s="142">
        <f>P$7</f>
        <v/>
      </c>
      <c r="Q522" s="142">
        <f>Q$7</f>
        <v/>
      </c>
      <c r="R522" s="143" t="inlineStr">
        <is>
          <t>Total</t>
        </is>
      </c>
      <c r="S522" s="142">
        <f>S$7</f>
        <v/>
      </c>
      <c r="T522" s="142">
        <f>T$7</f>
        <v/>
      </c>
      <c r="U522" s="142">
        <f>U$7</f>
        <v/>
      </c>
      <c r="V522" s="142">
        <f>V$7</f>
        <v/>
      </c>
      <c r="W522" s="142">
        <f>W$7</f>
        <v/>
      </c>
      <c r="X522" s="142">
        <f>X$7</f>
        <v/>
      </c>
      <c r="Y522" s="142">
        <f>Y$7</f>
        <v/>
      </c>
      <c r="Z522" s="142">
        <f>Z$7</f>
        <v/>
      </c>
      <c r="AA522" s="142">
        <f>AA$7</f>
        <v/>
      </c>
      <c r="AB522" s="142">
        <f>AB$7</f>
        <v/>
      </c>
      <c r="AC522" s="142">
        <f>AC$7</f>
        <v/>
      </c>
      <c r="AD522" s="142">
        <f>AD$7</f>
        <v/>
      </c>
      <c r="AE522" s="143" t="inlineStr">
        <is>
          <t>Total</t>
        </is>
      </c>
      <c r="AF522" s="143">
        <f>AF$7</f>
        <v/>
      </c>
      <c r="AG522" s="143">
        <f>AG$7</f>
        <v/>
      </c>
      <c r="AH522" s="143">
        <f>AH$7</f>
        <v/>
      </c>
    </row>
    <row r="523" ht="8.25" customHeight="1" s="277">
      <c r="A523" s="328" t="n"/>
      <c r="B523" s="329">
        <f>NOW()</f>
        <v/>
      </c>
      <c r="C523" s="330" t="n"/>
      <c r="D523" s="330" t="n"/>
      <c r="E523" s="330" t="n"/>
      <c r="F523" s="324">
        <f>F$1</f>
        <v/>
      </c>
      <c r="G523" s="324">
        <f>G$1</f>
        <v/>
      </c>
      <c r="H523" s="324">
        <f>H$1</f>
        <v/>
      </c>
      <c r="I523" s="324">
        <f>I$1</f>
        <v/>
      </c>
      <c r="J523" s="324">
        <f>J$1</f>
        <v/>
      </c>
      <c r="K523" s="324">
        <f>K$1</f>
        <v/>
      </c>
      <c r="L523" s="324">
        <f>L$1</f>
        <v/>
      </c>
      <c r="M523" s="324">
        <f>M$1</f>
        <v/>
      </c>
      <c r="N523" s="324">
        <f>N$1</f>
        <v/>
      </c>
      <c r="O523" s="324">
        <f>O$1</f>
        <v/>
      </c>
      <c r="P523" s="324">
        <f>P$1</f>
        <v/>
      </c>
      <c r="Q523" s="324">
        <f>Q$1</f>
        <v/>
      </c>
      <c r="R523" s="325">
        <f>R$1</f>
        <v/>
      </c>
      <c r="S523" s="324">
        <f>S$1</f>
        <v/>
      </c>
      <c r="T523" s="324">
        <f>T$1</f>
        <v/>
      </c>
      <c r="U523" s="324">
        <f>U$1</f>
        <v/>
      </c>
      <c r="V523" s="324">
        <f>V$1</f>
        <v/>
      </c>
      <c r="W523" s="324">
        <f>W$1</f>
        <v/>
      </c>
      <c r="X523" s="324">
        <f>X$1</f>
        <v/>
      </c>
      <c r="Y523" s="324">
        <f>Y$1</f>
        <v/>
      </c>
      <c r="Z523" s="324">
        <f>Z$1</f>
        <v/>
      </c>
      <c r="AA523" s="324">
        <f>AA$1</f>
        <v/>
      </c>
      <c r="AB523" s="324">
        <f>AB$1</f>
        <v/>
      </c>
      <c r="AC523" s="324">
        <f>AC$1</f>
        <v/>
      </c>
      <c r="AD523" s="324">
        <f>AD$1</f>
        <v/>
      </c>
      <c r="AE523" s="325">
        <f>AE$1</f>
        <v/>
      </c>
      <c r="AF523" s="325">
        <f>AF$1</f>
        <v/>
      </c>
      <c r="AG523" s="325">
        <f>AG$1</f>
        <v/>
      </c>
      <c r="AH523" s="325">
        <f>AH$1</f>
        <v/>
      </c>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f>UPPER($A$401)</f>
        <v/>
      </c>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f>B490&amp;" ("&amp;Assumptions!$E$70&amp;" years)"</f>
        <v/>
      </c>
      <c r="C526" s="347">
        <f>Assumptions!E70</f>
        <v/>
      </c>
      <c r="D526" s="332" t="n"/>
      <c r="E526" s="332" t="n"/>
      <c r="F526" s="154">
        <f>SUM($F490:F490)/Assumptions!$E$70/12</f>
        <v/>
      </c>
      <c r="G526" s="154">
        <f>SUM($F490:G490)/Assumptions!$E$70/12</f>
        <v/>
      </c>
      <c r="H526" s="154">
        <f>SUM($F490:H490)/Assumptions!$E$70/12</f>
        <v/>
      </c>
      <c r="I526" s="154">
        <f>SUM($F490:I490)/Assumptions!$E$70/12</f>
        <v/>
      </c>
      <c r="J526" s="154">
        <f>SUM($F490:J490)/Assumptions!$E$70/12</f>
        <v/>
      </c>
      <c r="K526" s="154">
        <f>SUM($F490:K490)/Assumptions!$E$70/12</f>
        <v/>
      </c>
      <c r="L526" s="154">
        <f>SUM($F490:L490)/Assumptions!$E$70/12</f>
        <v/>
      </c>
      <c r="M526" s="154">
        <f>SUM($F490:M490)/Assumptions!$E$70/12</f>
        <v/>
      </c>
      <c r="N526" s="154">
        <f>SUM($F490:N490)/Assumptions!$E$70/12</f>
        <v/>
      </c>
      <c r="O526" s="154">
        <f>SUM($F490:O490)/Assumptions!$E$70/12</f>
        <v/>
      </c>
      <c r="P526" s="154">
        <f>SUM($F490:P490)/Assumptions!$E$70/12</f>
        <v/>
      </c>
      <c r="Q526" s="154">
        <f>SUM($F490:Q490)/Assumptions!$E$70/12</f>
        <v/>
      </c>
      <c r="R526" s="229">
        <f>SUM(F526:Q526)</f>
        <v/>
      </c>
      <c r="S526" s="154">
        <f>IF(Assumptions!$E$70&gt;1,(SUM($F490:S490)-$R490)/Assumptions!$E$70/12,(SUM(OFFSET(S490,0,-((Assumptions!$E$70*12)+1)):S490)-$R490)/Assumptions!$E$70/12)</f>
        <v/>
      </c>
      <c r="T526" s="154">
        <f>IF(Assumptions!$E$70&gt;1,(SUM($F490:T490)-$R490)/Assumptions!$E$70/12,(SUM(OFFSET(T490,0,-((Assumptions!$E$70*12)+1)):T490)-$R490)/Assumptions!$E$70/12)</f>
        <v/>
      </c>
      <c r="U526" s="154">
        <f>IF(Assumptions!$E$70&gt;1,(SUM($F490:U490)-$R490)/Assumptions!$E$70/12,(SUM(OFFSET(U490,0,-((Assumptions!$E$70*12)+1)):U490)-$R490)/Assumptions!$E$70/12)</f>
        <v/>
      </c>
      <c r="V526" s="154">
        <f>IF(Assumptions!$E$70&gt;1,(SUM($F490:V490)-$R490)/Assumptions!$E$70/12,(SUM(OFFSET(V490,0,-((Assumptions!$E$70*12)+1)):V490)-$R490)/Assumptions!$E$70/12)</f>
        <v/>
      </c>
      <c r="W526" s="154">
        <f>IF(Assumptions!$E$70&gt;1,(SUM($F490:W490)-$R490)/Assumptions!$E$70/12,(SUM(OFFSET(W490,0,-((Assumptions!$E$70*12)+1)):W490)-$R490)/Assumptions!$E$70/12)</f>
        <v/>
      </c>
      <c r="X526" s="154">
        <f>IF(Assumptions!$E$70&gt;1,(SUM($F490:X490)-$R490)/Assumptions!$E$70/12,(SUM(OFFSET(X490,0,-((Assumptions!$E$70*12)+1)):X490)-$R490)/Assumptions!$E$70/12)</f>
        <v/>
      </c>
      <c r="Y526" s="154">
        <f>IF(Assumptions!$E$70&gt;1,(SUM($F490:Y490)-$R490)/Assumptions!$E$70/12,(SUM(OFFSET(Y490,0,-((Assumptions!$E$70*12)+1)):Y490)-$R490)/Assumptions!$E$70/12)</f>
        <v/>
      </c>
      <c r="Z526" s="154">
        <f>IF(Assumptions!$E$70&gt;1,(SUM($F490:Z490)-$R490)/Assumptions!$E$70/12,(SUM(OFFSET(Z490,0,-((Assumptions!$E$70*12)+1)):Z490)-$R490)/Assumptions!$E$70/12)</f>
        <v/>
      </c>
      <c r="AA526" s="154">
        <f>IF(Assumptions!$E$70&gt;1,(SUM($F490:AA490)-$R490)/Assumptions!$E$70/12,(SUM(OFFSET(AA490,0,-((Assumptions!$E$70*12)+1)):AA490)-$R490)/Assumptions!$E$70/12)</f>
        <v/>
      </c>
      <c r="AB526" s="154">
        <f>IF(Assumptions!$E$70&gt;1,(SUM($F490:AB490)-$R490)/Assumptions!$E$70/12,(SUM(OFFSET(AB490,0,-((Assumptions!$E$70*12)+1)):AB490)-$R490)/Assumptions!$E$70/12)</f>
        <v/>
      </c>
      <c r="AC526" s="154">
        <f>IF(Assumptions!$E$70&gt;1,(SUM($F490:AC490)-$R490)/Assumptions!$E$70/12,(SUM(OFFSET(AC490,0,-((Assumptions!$E$70*12)+1)):AC490)-$R490)/Assumptions!$E$70/12)</f>
        <v/>
      </c>
      <c r="AD526" s="154">
        <f>IF(Assumptions!$E$70&gt;1,(SUM($F490:AD490)-$R490)/Assumptions!$E$70/12,(SUM(OFFSET(AD490,0,-((Assumptions!$E$70*12)+1)):AD490)-$R490)/Assumptions!$E$70/12)</f>
        <v/>
      </c>
      <c r="AE526" s="229">
        <f>SUM(S526:AD526)</f>
        <v/>
      </c>
      <c r="AF526" s="229">
        <f>IF(Assumptions!$E$70&gt;2,($AF490+$AE490+$R490)/Assumptions!$E$70,IF(Assumptions!$E$70&gt;1,($AF490+$AE490)/Assumptions!$E$70,($AF490)/Assumptions!$E$70))</f>
        <v/>
      </c>
      <c r="AG526" s="229">
        <f>IF(Assumptions!$E$70&gt;3,($AG490+$AF490+$AE490+$R490)/Assumptions!$E$70,IF(Assumptions!$E$70&gt;2,($AG490+$AF490+$AE490)/Assumptions!$E$70,IF(Assumptions!$E$70&gt;1,($AG490+$AF490)/Assumptions!$E$70,($AG490)/Assumptions!$E$70)))</f>
        <v/>
      </c>
      <c r="AH526" s="229">
        <f>IF(Assumptions!$E$70&gt;4,($AH490+$AG490+$AF490+$AE490+$R490)/Assumptions!$E$70,IF(Assumptions!$E$70&gt;3,($AH490+$AG490+$AF490+$AE490)/Assumptions!$E$70,IF(Assumptions!$E$70&gt;2,($AH490+$AG490+$AF490)/Assumptions!$E$70,IF(Assumptions!$E$70&gt;1,($AH490+$AG490)/Assumptions!$E$70,$AH490/Assumptions!$E$70))))</f>
        <v/>
      </c>
    </row>
    <row r="527" ht="8.25" customHeight="1" s="277">
      <c r="A527" s="224" t="n"/>
      <c r="B527" s="331">
        <f>B491&amp;" ("&amp;Assumptions!$F$70&amp;" years)"</f>
        <v/>
      </c>
      <c r="C527" s="347">
        <f>Assumptions!F70</f>
        <v/>
      </c>
      <c r="D527" s="332" t="n"/>
      <c r="E527" s="332" t="n"/>
      <c r="F527" s="154">
        <f>SUM($F491:F491)/Assumptions!$F$70/12</f>
        <v/>
      </c>
      <c r="G527" s="154">
        <f>SUM($F491:G491)/Assumptions!$F$70/12</f>
        <v/>
      </c>
      <c r="H527" s="154">
        <f>SUM($F491:H491)/Assumptions!$F$70/12</f>
        <v/>
      </c>
      <c r="I527" s="154">
        <f>SUM($F491:I491)/Assumptions!$F$70/12</f>
        <v/>
      </c>
      <c r="J527" s="154">
        <f>SUM($F491:J491)/Assumptions!$F$70/12</f>
        <v/>
      </c>
      <c r="K527" s="154">
        <f>SUM($F491:K491)/Assumptions!$F$70/12</f>
        <v/>
      </c>
      <c r="L527" s="154">
        <f>SUM($F491:L491)/Assumptions!$F$70/12</f>
        <v/>
      </c>
      <c r="M527" s="154">
        <f>SUM($F491:M491)/Assumptions!$F$70/12</f>
        <v/>
      </c>
      <c r="N527" s="154">
        <f>SUM($F491:N491)/Assumptions!$F$70/12</f>
        <v/>
      </c>
      <c r="O527" s="154">
        <f>SUM($F491:O491)/Assumptions!$F$70/12</f>
        <v/>
      </c>
      <c r="P527" s="154">
        <f>SUM($F491:P491)/Assumptions!$F$70/12</f>
        <v/>
      </c>
      <c r="Q527" s="154">
        <f>SUM($F491:Q491)/Assumptions!$F$70/12</f>
        <v/>
      </c>
      <c r="R527" s="229">
        <f>SUM(F527:Q527)</f>
        <v/>
      </c>
      <c r="S527" s="154">
        <f>IF(Assumptions!$F$70&gt;1,(SUM($F491:S491)-$R491)/Assumptions!$F$70/12,(SUM(OFFSET(S491,0,-((Assumptions!$F$70*12)+1)):S491)-$R491)/Assumptions!$F$70/12)</f>
        <v/>
      </c>
      <c r="T527" s="154">
        <f>IF(Assumptions!$F$70&gt;1,(SUM($F491:T491)-$R491)/Assumptions!$F$70/12,(SUM(OFFSET(T491,0,-((Assumptions!$F$70*12)+1)):T491)-$R491)/Assumptions!$F$70/12)</f>
        <v/>
      </c>
      <c r="U527" s="154">
        <f>IF(Assumptions!$F$70&gt;1,(SUM($F491:U491)-$R491)/Assumptions!$F$70/12,(SUM(OFFSET(U491,0,-((Assumptions!$F$70*12)+1)):U491)-$R491)/Assumptions!$F$70/12)</f>
        <v/>
      </c>
      <c r="V527" s="154">
        <f>IF(Assumptions!$F$70&gt;1,(SUM($F491:V491)-$R491)/Assumptions!$F$70/12,(SUM(OFFSET(V491,0,-((Assumptions!$F$70*12)+1)):V491)-$R491)/Assumptions!$F$70/12)</f>
        <v/>
      </c>
      <c r="W527" s="154">
        <f>IF(Assumptions!$F$70&gt;1,(SUM($F491:W491)-$R491)/Assumptions!$F$70/12,(SUM(OFFSET(W491,0,-((Assumptions!$F$70*12)+1)):W491)-$R491)/Assumptions!$F$70/12)</f>
        <v/>
      </c>
      <c r="X527" s="154">
        <f>IF(Assumptions!$F$70&gt;1,(SUM($F491:X491)-$R491)/Assumptions!$F$70/12,(SUM(OFFSET(X491,0,-((Assumptions!$F$70*12)+1)):X491)-$R491)/Assumptions!$F$70/12)</f>
        <v/>
      </c>
      <c r="Y527" s="154">
        <f>IF(Assumptions!$F$70&gt;1,(SUM($F491:Y491)-$R491)/Assumptions!$F$70/12,(SUM(OFFSET(Y491,0,-((Assumptions!$F$70*12)+1)):Y491)-$R491)/Assumptions!$F$70/12)</f>
        <v/>
      </c>
      <c r="Z527" s="154">
        <f>IF(Assumptions!$F$70&gt;1,(SUM($F491:Z491)-$R491)/Assumptions!$F$70/12,(SUM(OFFSET(Z491,0,-((Assumptions!$F$70*12)+1)):Z491)-$R491)/Assumptions!$F$70/12)</f>
        <v/>
      </c>
      <c r="AA527" s="154">
        <f>IF(Assumptions!$F$70&gt;1,(SUM($F491:AA491)-$R491)/Assumptions!$F$70/12,(SUM(OFFSET(AA491,0,-((Assumptions!$F$70*12)+1)):AA491)-$R491)/Assumptions!$F$70/12)</f>
        <v/>
      </c>
      <c r="AB527" s="154">
        <f>IF(Assumptions!$F$70&gt;1,(SUM($F491:AB491)-$R491)/Assumptions!$F$70/12,(SUM(OFFSET(AB491,0,-((Assumptions!$F$70*12)+1)):AB491)-$R491)/Assumptions!$F$70/12)</f>
        <v/>
      </c>
      <c r="AC527" s="154">
        <f>IF(Assumptions!$F$70&gt;1,(SUM($F491:AC491)-$R491)/Assumptions!$F$70/12,(SUM(OFFSET(AC491,0,-((Assumptions!$F$70*12)+1)):AC491)-$R491)/Assumptions!$F$70/12)</f>
        <v/>
      </c>
      <c r="AD527" s="154">
        <f>IF(Assumptions!$F$70&gt;1,(SUM($F491:AD491)-$R491)/Assumptions!$F$70/12,(SUM(OFFSET(AD491,0,-((Assumptions!$F$70*12)+1)):AD491)-$R491)/Assumptions!$F$70/12)</f>
        <v/>
      </c>
      <c r="AE527" s="229">
        <f>SUM(S527:AD527)</f>
        <v/>
      </c>
      <c r="AF527" s="229">
        <f>IF(Assumptions!$F$70&gt;2,($AF491+$AE491+$R491)/Assumptions!$F$70,IF(Assumptions!$F$70&gt;1,($AF491+$AE491)/Assumptions!$F$70,($AF491)/Assumptions!$F$70))</f>
        <v/>
      </c>
      <c r="AG527" s="229">
        <f>IF(Assumptions!$F$70&gt;3,($AG491+$AF491+$AE491+$R491)/Assumptions!$F$70,IF(Assumptions!$F$70&gt;2,($AG491+$AF491+$AE491)/Assumptions!$F$70,IF(Assumptions!$F$70&gt;1,($AG491+$AF491)/Assumptions!$F$70,($AG491)/Assumptions!$F$70)))</f>
        <v/>
      </c>
      <c r="AH527" s="229">
        <f>IF(Assumptions!$F$70&gt;4,($AH491+$AG491+$AF491+$AE491+$R491)/Assumptions!$F$70,IF(Assumptions!$F$70&gt;3,($AH491+$AG491+$AF491+$AE491)/Assumptions!$F$70,IF(Assumptions!$F$70&gt;2,($AH491+$AG491+$AF491)/Assumptions!$F$70,IF(Assumptions!$F$70&gt;1,($AH491+$AG491)/Assumptions!$F$70,$AH491/Assumptions!$F$70))))</f>
        <v/>
      </c>
    </row>
    <row r="528" ht="8.25" customHeight="1" s="277">
      <c r="A528" s="224" t="n"/>
      <c r="B528" s="331">
        <f>B492&amp;" ("&amp;Assumptions!$G$70&amp;" years)"</f>
        <v/>
      </c>
      <c r="C528" s="347">
        <f>Assumptions!G70</f>
        <v/>
      </c>
      <c r="D528" s="332" t="n"/>
      <c r="E528" s="332" t="n"/>
      <c r="F528" s="154">
        <f>SUM($F492:F492)/Assumptions!$G$70/12</f>
        <v/>
      </c>
      <c r="G528" s="154">
        <f>SUM($F492:G492)/Assumptions!$G$70/12</f>
        <v/>
      </c>
      <c r="H528" s="154">
        <f>SUM($F492:H492)/Assumptions!$G$70/12</f>
        <v/>
      </c>
      <c r="I528" s="154">
        <f>SUM($F492:I492)/Assumptions!$G$70/12</f>
        <v/>
      </c>
      <c r="J528" s="154">
        <f>SUM($F492:J492)/Assumptions!$G$70/12</f>
        <v/>
      </c>
      <c r="K528" s="154">
        <f>SUM($F492:K492)/Assumptions!$G$70/12</f>
        <v/>
      </c>
      <c r="L528" s="154">
        <f>SUM($F492:L492)/Assumptions!$G$70/12</f>
        <v/>
      </c>
      <c r="M528" s="154">
        <f>SUM($F492:M492)/Assumptions!$G$70/12</f>
        <v/>
      </c>
      <c r="N528" s="154">
        <f>SUM($F492:N492)/Assumptions!$G$70/12</f>
        <v/>
      </c>
      <c r="O528" s="154">
        <f>SUM($F492:O492)/Assumptions!$G$70/12</f>
        <v/>
      </c>
      <c r="P528" s="154">
        <f>SUM($F492:P492)/Assumptions!$G$70/12</f>
        <v/>
      </c>
      <c r="Q528" s="154">
        <f>SUM($F492:Q492)/Assumptions!$G$70/12</f>
        <v/>
      </c>
      <c r="R528" s="229">
        <f>SUM(F528:Q528)</f>
        <v/>
      </c>
      <c r="S528" s="154">
        <f>IF(Assumptions!$G$70&gt;1,(SUM($F492:S492)-$R492)/Assumptions!$G$70/12,(SUM(OFFSET(S492,0,-((Assumptions!$G$70*12)+1)):S492)-$R492)/Assumptions!$G$70/12)</f>
        <v/>
      </c>
      <c r="T528" s="154">
        <f>IF(Assumptions!$G$70&gt;1,(SUM($F492:T492)-$R492)/Assumptions!$G$70/12,(SUM(OFFSET(T492,0,-((Assumptions!$G$70*12)+1)):T492)-$R492)/Assumptions!$G$70/12)</f>
        <v/>
      </c>
      <c r="U528" s="154">
        <f>IF(Assumptions!$G$70&gt;1,(SUM($F492:U492)-$R492)/Assumptions!$G$70/12,(SUM(OFFSET(U492,0,-((Assumptions!$G$70*12)+1)):U492)-$R492)/Assumptions!$G$70/12)</f>
        <v/>
      </c>
      <c r="V528" s="154">
        <f>IF(Assumptions!$G$70&gt;1,(SUM($F492:V492)-$R492)/Assumptions!$G$70/12,(SUM(OFFSET(V492,0,-((Assumptions!$G$70*12)+1)):V492)-$R492)/Assumptions!$G$70/12)</f>
        <v/>
      </c>
      <c r="W528" s="154">
        <f>IF(Assumptions!$G$70&gt;1,(SUM($F492:W492)-$R492)/Assumptions!$G$70/12,(SUM(OFFSET(W492,0,-((Assumptions!$G$70*12)+1)):W492)-$R492)/Assumptions!$G$70/12)</f>
        <v/>
      </c>
      <c r="X528" s="154">
        <f>IF(Assumptions!$G$70&gt;1,(SUM($F492:X492)-$R492)/Assumptions!$G$70/12,(SUM(OFFSET(X492,0,-((Assumptions!$G$70*12)+1)):X492)-$R492)/Assumptions!$G$70/12)</f>
        <v/>
      </c>
      <c r="Y528" s="154">
        <f>IF(Assumptions!$G$70&gt;1,(SUM($F492:Y492)-$R492)/Assumptions!$G$70/12,(SUM(OFFSET(Y492,0,-((Assumptions!$G$70*12)+1)):Y492)-$R492)/Assumptions!$G$70/12)</f>
        <v/>
      </c>
      <c r="Z528" s="154">
        <f>IF(Assumptions!$G$70&gt;1,(SUM($F492:Z492)-$R492)/Assumptions!$G$70/12,(SUM(OFFSET(Z492,0,-((Assumptions!$G$70*12)+1)):Z492)-$R492)/Assumptions!$G$70/12)</f>
        <v/>
      </c>
      <c r="AA528" s="154">
        <f>IF(Assumptions!$G$70&gt;1,(SUM($F492:AA492)-$R492)/Assumptions!$G$70/12,(SUM(OFFSET(AA492,0,-((Assumptions!$G$70*12)+1)):AA492)-$R492)/Assumptions!$G$70/12)</f>
        <v/>
      </c>
      <c r="AB528" s="154">
        <f>IF(Assumptions!$G$70&gt;1,(SUM($F492:AB492)-$R492)/Assumptions!$G$70/12,(SUM(OFFSET(AB492,0,-((Assumptions!$G$70*12)+1)):AB492)-$R492)/Assumptions!$G$70/12)</f>
        <v/>
      </c>
      <c r="AC528" s="154">
        <f>IF(Assumptions!$G$70&gt;1,(SUM($F492:AC492)-$R492)/Assumptions!$G$70/12,(SUM(OFFSET(AC492,0,-((Assumptions!$G$70*12)+1)):AC492)-$R492)/Assumptions!$G$70/12)</f>
        <v/>
      </c>
      <c r="AD528" s="154">
        <f>IF(Assumptions!$G$70&gt;1,(SUM($F492:AD492)-$R492)/Assumptions!$G$70/12,(SUM(OFFSET(AD492,0,-((Assumptions!$G$70*12)+1)):AD492)-$R492)/Assumptions!$G$70/12)</f>
        <v/>
      </c>
      <c r="AE528" s="229">
        <f>SUM(S528:AD528)</f>
        <v/>
      </c>
      <c r="AF528" s="229">
        <f>IF(Assumptions!$G$70&gt;2,($AF492+$AE492+$R492)/Assumptions!$G$70,IF(Assumptions!$G$70&gt;1,($AF492+$AE492)/Assumptions!$G$70,($AF492)/Assumptions!$G$70))</f>
        <v/>
      </c>
      <c r="AG528" s="229">
        <f>IF(Assumptions!$G$70&gt;3,($AG492+$AF492+$AE492+$R492)/Assumptions!$G$70,IF(Assumptions!$G$70&gt;2,($AG492+$AF492+$AE492)/Assumptions!$G$70,IF(Assumptions!$G$70&gt;1,($AG492+$AF492)/Assumptions!$G$70,($AG492)/Assumptions!$G$70)))</f>
        <v/>
      </c>
      <c r="AH528" s="229">
        <f>IF(Assumptions!$G$70&gt;4,($AH492+$AG492+$AF492+$AE492+$R492)/Assumptions!$G$70,IF(Assumptions!$G$70&gt;3,($AH492+$AG492+$AF492+$AE492)/Assumptions!$G$70,IF(Assumptions!$G$70&gt;2,($AH492+$AG492+$AF492)/Assumptions!$G$70,IF(Assumptions!$G$70&gt;1,($AH492+$AG492)/Assumptions!$G$70,$AH492/Assumptions!$G$70))))</f>
        <v/>
      </c>
    </row>
    <row r="529" ht="8.25" customHeight="1" s="277">
      <c r="A529" s="366" t="inlineStr">
        <is>
          <t>Total Depreciation for Period</t>
        </is>
      </c>
      <c r="B529" s="156" t="n"/>
      <c r="C529" s="228" t="n"/>
      <c r="D529" s="228" t="n"/>
      <c r="E529" s="228" t="n"/>
      <c r="F529" s="228">
        <f>SUM(F526:F528)</f>
        <v/>
      </c>
      <c r="G529" s="228">
        <f>SUM(G526:G528)</f>
        <v/>
      </c>
      <c r="H529" s="228">
        <f>SUM(H526:H528)</f>
        <v/>
      </c>
      <c r="I529" s="228">
        <f>SUM(I526:I528)</f>
        <v/>
      </c>
      <c r="J529" s="228">
        <f>SUM(J526:J528)</f>
        <v/>
      </c>
      <c r="K529" s="228">
        <f>SUM(K526:K528)</f>
        <v/>
      </c>
      <c r="L529" s="228">
        <f>SUM(L526:L528)</f>
        <v/>
      </c>
      <c r="M529" s="228">
        <f>SUM(M526:M528)</f>
        <v/>
      </c>
      <c r="N529" s="228">
        <f>SUM(N526:N528)</f>
        <v/>
      </c>
      <c r="O529" s="228">
        <f>SUM(O526:O528)</f>
        <v/>
      </c>
      <c r="P529" s="228">
        <f>SUM(P526:P528)</f>
        <v/>
      </c>
      <c r="Q529" s="228">
        <f>SUM(Q526:Q528)</f>
        <v/>
      </c>
      <c r="R529" s="158">
        <f>SUM(F529:Q529)</f>
        <v/>
      </c>
      <c r="S529" s="228">
        <f>SUM(S526:S528)</f>
        <v/>
      </c>
      <c r="T529" s="228">
        <f>SUM(T526:T528)</f>
        <v/>
      </c>
      <c r="U529" s="228">
        <f>SUM(U526:U528)</f>
        <v/>
      </c>
      <c r="V529" s="228">
        <f>SUM(V526:V528)</f>
        <v/>
      </c>
      <c r="W529" s="228">
        <f>SUM(W526:W528)</f>
        <v/>
      </c>
      <c r="X529" s="228">
        <f>SUM(X526:X528)</f>
        <v/>
      </c>
      <c r="Y529" s="228">
        <f>SUM(Y526:Y528)</f>
        <v/>
      </c>
      <c r="Z529" s="228">
        <f>SUM(Z526:Z528)</f>
        <v/>
      </c>
      <c r="AA529" s="228">
        <f>SUM(AA526:AA528)</f>
        <v/>
      </c>
      <c r="AB529" s="228">
        <f>SUM(AB526:AB528)</f>
        <v/>
      </c>
      <c r="AC529" s="228">
        <f>SUM(AC526:AC528)</f>
        <v/>
      </c>
      <c r="AD529" s="228">
        <f>SUM(AD526:AD528)</f>
        <v/>
      </c>
      <c r="AE529" s="158">
        <f>SUM(S529:AD529)</f>
        <v/>
      </c>
      <c r="AF529" s="158">
        <f>SUM(AF526:AF528)</f>
        <v/>
      </c>
      <c r="AG529" s="158">
        <f>SUM(AG526:AG528)</f>
        <v/>
      </c>
      <c r="AH529" s="158">
        <f>SUM(AH526:AH528)</f>
        <v/>
      </c>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f>UPPER($A$409)</f>
        <v/>
      </c>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f>B497&amp;" ("&amp;Assumptions!$E$71&amp;" years)"</f>
        <v/>
      </c>
      <c r="C532" s="347">
        <f>Assumptions!E71</f>
        <v/>
      </c>
      <c r="D532" s="154" t="n"/>
      <c r="E532" s="154" t="n"/>
      <c r="F532" s="154">
        <f>SUM($F497:F497)/Assumptions!$E$71/12</f>
        <v/>
      </c>
      <c r="G532" s="154">
        <f>SUM($F497:G497)/Assumptions!$E$71/12</f>
        <v/>
      </c>
      <c r="H532" s="154">
        <f>SUM($F497:H497)/Assumptions!$E$71/12</f>
        <v/>
      </c>
      <c r="I532" s="154">
        <f>SUM($F497:I497)/Assumptions!$E$71/12</f>
        <v/>
      </c>
      <c r="J532" s="154">
        <f>SUM($F497:J497)/Assumptions!$E$71/12</f>
        <v/>
      </c>
      <c r="K532" s="154">
        <f>SUM($F497:K497)/Assumptions!$E$71/12</f>
        <v/>
      </c>
      <c r="L532" s="154">
        <f>SUM($F497:L497)/Assumptions!$E$71/12</f>
        <v/>
      </c>
      <c r="M532" s="154">
        <f>SUM($F497:M497)/Assumptions!$E$71/12</f>
        <v/>
      </c>
      <c r="N532" s="154">
        <f>SUM($F497:N497)/Assumptions!$E$71/12</f>
        <v/>
      </c>
      <c r="O532" s="154">
        <f>SUM($F497:O497)/Assumptions!$E$71/12</f>
        <v/>
      </c>
      <c r="P532" s="154">
        <f>SUM($F497:P497)/Assumptions!$E$71/12</f>
        <v/>
      </c>
      <c r="Q532" s="154">
        <f>SUM($F497:Q497)/Assumptions!$E$71/12</f>
        <v/>
      </c>
      <c r="R532" s="229">
        <f>SUM(F532:Q532)</f>
        <v/>
      </c>
      <c r="S532" s="154">
        <f>IF(Assumptions!$E$71&gt;1,(SUM($F497:S497)-$R497)/Assumptions!$E$71/12,(SUM(OFFSET(S497,0,-((Assumptions!$E$71*12)+1)):S497)-$R497)/Assumptions!$E$71/12)</f>
        <v/>
      </c>
      <c r="T532" s="154">
        <f>IF(Assumptions!$E$71&gt;1,(SUM($F497:T497)-$R497)/Assumptions!$E$71/12,(SUM(OFFSET(T497,0,-((Assumptions!$E$71*12)+1)):T497)-$R497)/Assumptions!$E$71/12)</f>
        <v/>
      </c>
      <c r="U532" s="154">
        <f>IF(Assumptions!$E$71&gt;1,(SUM($F497:U497)-$R497)/Assumptions!$E$71/12,(SUM(OFFSET(U497,0,-((Assumptions!$E$71*12)+1)):U497)-$R497)/Assumptions!$E$71/12)</f>
        <v/>
      </c>
      <c r="V532" s="154">
        <f>IF(Assumptions!$E$71&gt;1,(SUM($F497:V497)-$R497)/Assumptions!$E$71/12,(SUM(OFFSET(V497,0,-((Assumptions!$E$71*12)+1)):V497)-$R497)/Assumptions!$E$71/12)</f>
        <v/>
      </c>
      <c r="W532" s="154">
        <f>IF(Assumptions!$E$71&gt;1,(SUM($F497:W497)-$R497)/Assumptions!$E$71/12,(SUM(OFFSET(W497,0,-((Assumptions!$E$71*12)+1)):W497)-$R497)/Assumptions!$E$71/12)</f>
        <v/>
      </c>
      <c r="X532" s="154">
        <f>IF(Assumptions!$E$71&gt;1,(SUM($F497:X497)-$R497)/Assumptions!$E$71/12,(SUM(OFFSET(X497,0,-((Assumptions!$E$71*12)+1)):X497)-$R497)/Assumptions!$E$71/12)</f>
        <v/>
      </c>
      <c r="Y532" s="154">
        <f>IF(Assumptions!$E$71&gt;1,(SUM($F497:Y497)-$R497)/Assumptions!$E$71/12,(SUM(OFFSET(Y497,0,-((Assumptions!$E$71*12)+1)):Y497)-$R497)/Assumptions!$E$71/12)</f>
        <v/>
      </c>
      <c r="Z532" s="154">
        <f>IF(Assumptions!$E$71&gt;1,(SUM($F497:Z497)-$R497)/Assumptions!$E$71/12,(SUM(OFFSET(Z497,0,-((Assumptions!$E$71*12)+1)):Z497)-$R497)/Assumptions!$E$71/12)</f>
        <v/>
      </c>
      <c r="AA532" s="154">
        <f>IF(Assumptions!$E$71&gt;1,(SUM($F497:AA497)-$R497)/Assumptions!$E$71/12,(SUM(OFFSET(AA497,0,-((Assumptions!$E$71*12)+1)):AA497)-$R497)/Assumptions!$E$71/12)</f>
        <v/>
      </c>
      <c r="AB532" s="154">
        <f>IF(Assumptions!$E$71&gt;1,(SUM($F497:AB497)-$R497)/Assumptions!$E$71/12,(SUM(OFFSET(AB497,0,-((Assumptions!$E$71*12)+1)):AB497)-$R497)/Assumptions!$E$71/12)</f>
        <v/>
      </c>
      <c r="AC532" s="154">
        <f>IF(Assumptions!$E$71&gt;1,(SUM($F497:AC497)-$R497)/Assumptions!$E$71/12,(SUM(OFFSET(AC497,0,-((Assumptions!$E$71*12)+1)):AC497)-$R497)/Assumptions!$E$71/12)</f>
        <v/>
      </c>
      <c r="AD532" s="154">
        <f>IF(Assumptions!$E$71&gt;1,(SUM($F497:AD497)-$R497)/Assumptions!$E$71/12,(SUM(OFFSET(AD497,0,-((Assumptions!$E$71*12)+1)):AD497)-$R497)/Assumptions!$E$71/12)</f>
        <v/>
      </c>
      <c r="AE532" s="229">
        <f>SUM(S532:AD532)</f>
        <v/>
      </c>
      <c r="AF532" s="229">
        <f>IF(Assumptions!$E$71&gt;2,($AF497+$AE497+$R497)/Assumptions!$E$71,IF(Assumptions!$E$71&gt;1,($AF497+$AE497)/Assumptions!$E$71,($AF497)/Assumptions!$E$71))</f>
        <v/>
      </c>
      <c r="AG532" s="229">
        <f>IF(Assumptions!$E$71&gt;3,($AG497+$AF497+$AE497+$R497)/Assumptions!$E$71,IF(Assumptions!$E$71&gt;2,($AG497+$AF497+$AE497)/Assumptions!$E$71,IF(Assumptions!$E$71&gt;1,($AG497+$AF497)/Assumptions!$E$71,($AG497)/Assumptions!$E$71)))</f>
        <v/>
      </c>
      <c r="AH532" s="229">
        <f>IF(Assumptions!$E$71&gt;4,($AH497+$AG497+$AF497+$AE497+$R497)/Assumptions!$E$71,IF(Assumptions!$E$71&gt;3,($AH497+$AG497+$AF497+$AE497)/Assumptions!$E$71,IF(Assumptions!$E$71&gt;2,($AH497+$AG497+$AF497)/Assumptions!$E$71,IF(Assumptions!$E$71&gt;1,($AH497+$AG497)/Assumptions!$E$71,$AH497/Assumptions!$E$71))))</f>
        <v/>
      </c>
    </row>
    <row r="533" ht="8.25" customHeight="1" s="277">
      <c r="A533" s="224" t="n"/>
      <c r="B533" s="331">
        <f>B498&amp;" ("&amp;Assumptions!$F$71&amp;" years)"</f>
        <v/>
      </c>
      <c r="C533" s="347">
        <f>Assumptions!F71</f>
        <v/>
      </c>
      <c r="D533" s="154" t="n"/>
      <c r="E533" s="154" t="n"/>
      <c r="F533" s="154">
        <f>SUM($F498:F498)/Assumptions!$F$71/12</f>
        <v/>
      </c>
      <c r="G533" s="154">
        <f>SUM($F498:G498)/Assumptions!$F$71/12</f>
        <v/>
      </c>
      <c r="H533" s="154">
        <f>SUM($F498:H498)/Assumptions!$F$71/12</f>
        <v/>
      </c>
      <c r="I533" s="154">
        <f>SUM($F498:I498)/Assumptions!$F$71/12</f>
        <v/>
      </c>
      <c r="J533" s="154">
        <f>SUM($F498:J498)/Assumptions!$F$71/12</f>
        <v/>
      </c>
      <c r="K533" s="154">
        <f>SUM($F498:K498)/Assumptions!$F$71/12</f>
        <v/>
      </c>
      <c r="L533" s="154">
        <f>SUM($F498:L498)/Assumptions!$F$71/12</f>
        <v/>
      </c>
      <c r="M533" s="154">
        <f>SUM($F498:M498)/Assumptions!$F$71/12</f>
        <v/>
      </c>
      <c r="N533" s="154">
        <f>SUM($F498:N498)/Assumptions!$F$71/12</f>
        <v/>
      </c>
      <c r="O533" s="154">
        <f>SUM($F498:O498)/Assumptions!$F$71/12</f>
        <v/>
      </c>
      <c r="P533" s="154">
        <f>SUM($F498:P498)/Assumptions!$F$71/12</f>
        <v/>
      </c>
      <c r="Q533" s="154">
        <f>SUM($F498:Q498)/Assumptions!$F$71/12</f>
        <v/>
      </c>
      <c r="R533" s="229">
        <f>SUM(F533:Q533)</f>
        <v/>
      </c>
      <c r="S533" s="154">
        <f>IF(Assumptions!$F$71&gt;1,(SUM($F498:S498)-$R498)/Assumptions!$F$71/12,(SUM(OFFSET(S498,0,-((Assumptions!$F$71*12)+1)):S498)-$R498)/Assumptions!$F$71/12)</f>
        <v/>
      </c>
      <c r="T533" s="154">
        <f>IF(Assumptions!$F$71&gt;1,(SUM($F498:T498)-$R498)/Assumptions!$F$71/12,(SUM(OFFSET(T498,0,-((Assumptions!$F$71*12)+1)):T498)-$R498)/Assumptions!$F$71/12)</f>
        <v/>
      </c>
      <c r="U533" s="154">
        <f>IF(Assumptions!$F$71&gt;1,(SUM($F498:U498)-$R498)/Assumptions!$F$71/12,(SUM(OFFSET(U498,0,-((Assumptions!$F$71*12)+1)):U498)-$R498)/Assumptions!$F$71/12)</f>
        <v/>
      </c>
      <c r="V533" s="154">
        <f>IF(Assumptions!$F$71&gt;1,(SUM($F498:V498)-$R498)/Assumptions!$F$71/12,(SUM(OFFSET(V498,0,-((Assumptions!$F$71*12)+1)):V498)-$R498)/Assumptions!$F$71/12)</f>
        <v/>
      </c>
      <c r="W533" s="154">
        <f>IF(Assumptions!$F$71&gt;1,(SUM($F498:W498)-$R498)/Assumptions!$F$71/12,(SUM(OFFSET(W498,0,-((Assumptions!$F$71*12)+1)):W498)-$R498)/Assumptions!$F$71/12)</f>
        <v/>
      </c>
      <c r="X533" s="154">
        <f>IF(Assumptions!$F$71&gt;1,(SUM($F498:X498)-$R498)/Assumptions!$F$71/12,(SUM(OFFSET(X498,0,-((Assumptions!$F$71*12)+1)):X498)-$R498)/Assumptions!$F$71/12)</f>
        <v/>
      </c>
      <c r="Y533" s="154">
        <f>IF(Assumptions!$F$71&gt;1,(SUM($F498:Y498)-$R498)/Assumptions!$F$71/12,(SUM(OFFSET(Y498,0,-((Assumptions!$F$71*12)+1)):Y498)-$R498)/Assumptions!$F$71/12)</f>
        <v/>
      </c>
      <c r="Z533" s="154">
        <f>IF(Assumptions!$F$71&gt;1,(SUM($F498:Z498)-$R498)/Assumptions!$F$71/12,(SUM(OFFSET(Z498,0,-((Assumptions!$F$71*12)+1)):Z498)-$R498)/Assumptions!$F$71/12)</f>
        <v/>
      </c>
      <c r="AA533" s="154">
        <f>IF(Assumptions!$F$71&gt;1,(SUM($F498:AA498)-$R498)/Assumptions!$F$71/12,(SUM(OFFSET(AA498,0,-((Assumptions!$F$71*12)+1)):AA498)-$R498)/Assumptions!$F$71/12)</f>
        <v/>
      </c>
      <c r="AB533" s="154">
        <f>IF(Assumptions!$F$71&gt;1,(SUM($F498:AB498)-$R498)/Assumptions!$F$71/12,(SUM(OFFSET(AB498,0,-((Assumptions!$F$71*12)+1)):AB498)-$R498)/Assumptions!$F$71/12)</f>
        <v/>
      </c>
      <c r="AC533" s="154">
        <f>IF(Assumptions!$F$71&gt;1,(SUM($F498:AC498)-$R498)/Assumptions!$F$71/12,(SUM(OFFSET(AC498,0,-((Assumptions!$F$71*12)+1)):AC498)-$R498)/Assumptions!$F$71/12)</f>
        <v/>
      </c>
      <c r="AD533" s="154">
        <f>IF(Assumptions!$F$71&gt;1,(SUM($F498:AD498)-$R498)/Assumptions!$F$71/12,(SUM(OFFSET(AD498,0,-((Assumptions!$F$71*12)+1)):AD498)-$R498)/Assumptions!$F$71/12)</f>
        <v/>
      </c>
      <c r="AE533" s="229">
        <f>SUM(S533:AD533)</f>
        <v/>
      </c>
      <c r="AF533" s="229">
        <f>IF(Assumptions!$F$71&gt;2,($AF498+$AE498+$R498)/Assumptions!$F$71,IF(Assumptions!$F$71&gt;1,($AF498+$AE498)/Assumptions!$F$71,($AF498)/Assumptions!$F$71))</f>
        <v/>
      </c>
      <c r="AG533" s="229">
        <f>IF(Assumptions!$F$71&gt;3,($AG498+$AF498+$AE498+$R498)/Assumptions!$F$71,IF(Assumptions!$F$71&gt;2,($AG498+$AF498+$AE498)/Assumptions!$F$71,IF(Assumptions!$F$71&gt;1,($AG498+$AF498)/Assumptions!$F$71,($AG498)/Assumptions!$F$71)))</f>
        <v/>
      </c>
      <c r="AH533" s="229">
        <f>IF(Assumptions!$F$71&gt;4,($AH498+$AG498+$AF498+$AE498+$R498)/Assumptions!$F$71,IF(Assumptions!$F$71&gt;3,($AH498+$AG498+$AF498+$AE498)/Assumptions!$F$71,IF(Assumptions!$F$71&gt;2,($AH498+$AG498+$AF498)/Assumptions!$F$71,IF(Assumptions!$F$71&gt;1,($AH498+$AG498)/Assumptions!$F$71,$AH498/Assumptions!$F$71))))</f>
        <v/>
      </c>
    </row>
    <row r="534" ht="8.25" customHeight="1" s="277">
      <c r="A534" s="224" t="n"/>
      <c r="B534" s="331">
        <f>B499&amp;" ("&amp;Assumptions!$G$71&amp;" years)"</f>
        <v/>
      </c>
      <c r="C534" s="347">
        <f>Assumptions!G71</f>
        <v/>
      </c>
      <c r="D534" s="154" t="n"/>
      <c r="E534" s="154" t="n"/>
      <c r="F534" s="154">
        <f>SUM($F499:F499)/Assumptions!$G$71/12</f>
        <v/>
      </c>
      <c r="G534" s="154">
        <f>SUM($F499:G499)/Assumptions!$G$71/12</f>
        <v/>
      </c>
      <c r="H534" s="154">
        <f>SUM($F499:H499)/Assumptions!$G$71/12</f>
        <v/>
      </c>
      <c r="I534" s="154">
        <f>SUM($F499:I499)/Assumptions!$G$71/12</f>
        <v/>
      </c>
      <c r="J534" s="154">
        <f>SUM($F499:J499)/Assumptions!$G$71/12</f>
        <v/>
      </c>
      <c r="K534" s="154">
        <f>SUM($F499:K499)/Assumptions!$G$71/12</f>
        <v/>
      </c>
      <c r="L534" s="154">
        <f>SUM($F499:L499)/Assumptions!$G$71/12</f>
        <v/>
      </c>
      <c r="M534" s="154">
        <f>SUM($F499:M499)/Assumptions!$G$71/12</f>
        <v/>
      </c>
      <c r="N534" s="154">
        <f>SUM($F499:N499)/Assumptions!$G$71/12</f>
        <v/>
      </c>
      <c r="O534" s="154">
        <f>SUM($F499:O499)/Assumptions!$G$71/12</f>
        <v/>
      </c>
      <c r="P534" s="154">
        <f>SUM($F499:P499)/Assumptions!$G$71/12</f>
        <v/>
      </c>
      <c r="Q534" s="154">
        <f>SUM($F499:Q499)/Assumptions!$G$71/12</f>
        <v/>
      </c>
      <c r="R534" s="229">
        <f>SUM(F534:Q534)</f>
        <v/>
      </c>
      <c r="S534" s="154">
        <f>IF(Assumptions!$G$71&gt;1,(SUM($F499:S499)-$R499)/Assumptions!$G$71/12,(SUM(OFFSET(S499,0,-((Assumptions!$G$71*12)+1)):S499)-$R499)/Assumptions!$G$71/12)</f>
        <v/>
      </c>
      <c r="T534" s="154">
        <f>IF(Assumptions!$G$71&gt;1,(SUM($F499:T499)-$R499)/Assumptions!$G$71/12,(SUM(OFFSET(T499,0,-((Assumptions!$G$71*12)+1)):T499)-$R499)/Assumptions!$G$71/12)</f>
        <v/>
      </c>
      <c r="U534" s="154">
        <f>IF(Assumptions!$G$71&gt;1,(SUM($F499:U499)-$R499)/Assumptions!$G$71/12,(SUM(OFFSET(U499,0,-((Assumptions!$G$71*12)+1)):U499)-$R499)/Assumptions!$G$71/12)</f>
        <v/>
      </c>
      <c r="V534" s="154">
        <f>IF(Assumptions!$G$71&gt;1,(SUM($F499:V499)-$R499)/Assumptions!$G$71/12,(SUM(OFFSET(V499,0,-((Assumptions!$G$71*12)+1)):V499)-$R499)/Assumptions!$G$71/12)</f>
        <v/>
      </c>
      <c r="W534" s="154">
        <f>IF(Assumptions!$G$71&gt;1,(SUM($F499:W499)-$R499)/Assumptions!$G$71/12,(SUM(OFFSET(W499,0,-((Assumptions!$G$71*12)+1)):W499)-$R499)/Assumptions!$G$71/12)</f>
        <v/>
      </c>
      <c r="X534" s="154">
        <f>IF(Assumptions!$G$71&gt;1,(SUM($F499:X499)-$R499)/Assumptions!$G$71/12,(SUM(OFFSET(X499,0,-((Assumptions!$G$71*12)+1)):X499)-$R499)/Assumptions!$G$71/12)</f>
        <v/>
      </c>
      <c r="Y534" s="154">
        <f>IF(Assumptions!$G$71&gt;1,(SUM($F499:Y499)-$R499)/Assumptions!$G$71/12,(SUM(OFFSET(Y499,0,-((Assumptions!$G$71*12)+1)):Y499)-$R499)/Assumptions!$G$71/12)</f>
        <v/>
      </c>
      <c r="Z534" s="154">
        <f>IF(Assumptions!$G$71&gt;1,(SUM($F499:Z499)-$R499)/Assumptions!$G$71/12,(SUM(OFFSET(Z499,0,-((Assumptions!$G$71*12)+1)):Z499)-$R499)/Assumptions!$G$71/12)</f>
        <v/>
      </c>
      <c r="AA534" s="154">
        <f>IF(Assumptions!$G$71&gt;1,(SUM($F499:AA499)-$R499)/Assumptions!$G$71/12,(SUM(OFFSET(AA499,0,-((Assumptions!$G$71*12)+1)):AA499)-$R499)/Assumptions!$G$71/12)</f>
        <v/>
      </c>
      <c r="AB534" s="154">
        <f>IF(Assumptions!$G$71&gt;1,(SUM($F499:AB499)-$R499)/Assumptions!$G$71/12,(SUM(OFFSET(AB499,0,-((Assumptions!$G$71*12)+1)):AB499)-$R499)/Assumptions!$G$71/12)</f>
        <v/>
      </c>
      <c r="AC534" s="154">
        <f>IF(Assumptions!$G$71&gt;1,(SUM($F499:AC499)-$R499)/Assumptions!$G$71/12,(SUM(OFFSET(AC499,0,-((Assumptions!$G$71*12)+1)):AC499)-$R499)/Assumptions!$G$71/12)</f>
        <v/>
      </c>
      <c r="AD534" s="154">
        <f>IF(Assumptions!$G$71&gt;1,(SUM($F499:AD499)-$R499)/Assumptions!$G$71/12,(SUM(OFFSET(AD499,0,-((Assumptions!$G$71*12)+1)):AD499)-$R499)/Assumptions!$G$71/12)</f>
        <v/>
      </c>
      <c r="AE534" s="229">
        <f>SUM(S534:AD534)</f>
        <v/>
      </c>
      <c r="AF534" s="229">
        <f>IF(Assumptions!$G$71&gt;2,($AF499+$AE499+$R499)/Assumptions!$G$71,IF(Assumptions!$G$71&gt;1,($AF499+$AE499)/Assumptions!$G$71,($AF499)/Assumptions!$G$71))</f>
        <v/>
      </c>
      <c r="AG534" s="229">
        <f>IF(Assumptions!$G$71&gt;3,($AG499+$AF499+$AE499+$R499)/Assumptions!$G$71,IF(Assumptions!$G$71&gt;2,($AG499+$AF499+$AE499)/Assumptions!$G$71,IF(Assumptions!$G$71&gt;1,($AG499+$AF499)/Assumptions!$G$71,($AG499)/Assumptions!$G$71)))</f>
        <v/>
      </c>
      <c r="AH534" s="229">
        <f>IF(Assumptions!$G$71&gt;4,($AH499+$AG499+$AF499+$AE499+$R499)/Assumptions!$G$71,IF(Assumptions!$G$71&gt;3,($AH499+$AG499+$AF499+$AE499)/Assumptions!$G$71,IF(Assumptions!$G$71&gt;2,($AH499+$AG499+$AF499)/Assumptions!$G$71,IF(Assumptions!$G$71&gt;1,($AH499+$AG499)/Assumptions!$G$71,$AH499/Assumptions!$G$71))))</f>
        <v/>
      </c>
    </row>
    <row r="535" ht="8.25" customHeight="1" s="277">
      <c r="A535" s="366" t="inlineStr">
        <is>
          <t>Total Depreciation for Period</t>
        </is>
      </c>
      <c r="B535" s="156" t="n"/>
      <c r="C535" s="228" t="n"/>
      <c r="D535" s="228" t="n"/>
      <c r="E535" s="228" t="n"/>
      <c r="F535" s="228">
        <f>SUM(F532:F534)</f>
        <v/>
      </c>
      <c r="G535" s="228">
        <f>SUM(G532:G534)</f>
        <v/>
      </c>
      <c r="H535" s="228">
        <f>SUM(H532:H534)</f>
        <v/>
      </c>
      <c r="I535" s="228">
        <f>SUM(I532:I534)</f>
        <v/>
      </c>
      <c r="J535" s="228">
        <f>SUM(J532:J534)</f>
        <v/>
      </c>
      <c r="K535" s="228">
        <f>SUM(K532:K534)</f>
        <v/>
      </c>
      <c r="L535" s="228">
        <f>SUM(L532:L534)</f>
        <v/>
      </c>
      <c r="M535" s="228">
        <f>SUM(M532:M534)</f>
        <v/>
      </c>
      <c r="N535" s="228">
        <f>SUM(N532:N534)</f>
        <v/>
      </c>
      <c r="O535" s="228">
        <f>SUM(O532:O534)</f>
        <v/>
      </c>
      <c r="P535" s="228">
        <f>SUM(P532:P534)</f>
        <v/>
      </c>
      <c r="Q535" s="228">
        <f>SUM(Q532:Q534)</f>
        <v/>
      </c>
      <c r="R535" s="158">
        <f>SUM(F535:Q535)</f>
        <v/>
      </c>
      <c r="S535" s="228">
        <f>SUM(S532:S534)</f>
        <v/>
      </c>
      <c r="T535" s="228">
        <f>SUM(T532:T534)</f>
        <v/>
      </c>
      <c r="U535" s="228">
        <f>SUM(U532:U534)</f>
        <v/>
      </c>
      <c r="V535" s="228">
        <f>SUM(V532:V534)</f>
        <v/>
      </c>
      <c r="W535" s="228">
        <f>SUM(W532:W534)</f>
        <v/>
      </c>
      <c r="X535" s="228">
        <f>SUM(X532:X534)</f>
        <v/>
      </c>
      <c r="Y535" s="228">
        <f>SUM(Y532:Y534)</f>
        <v/>
      </c>
      <c r="Z535" s="228">
        <f>SUM(Z532:Z534)</f>
        <v/>
      </c>
      <c r="AA535" s="228">
        <f>SUM(AA532:AA534)</f>
        <v/>
      </c>
      <c r="AB535" s="228">
        <f>SUM(AB532:AB534)</f>
        <v/>
      </c>
      <c r="AC535" s="228">
        <f>SUM(AC532:AC534)</f>
        <v/>
      </c>
      <c r="AD535" s="228">
        <f>SUM(AD532:AD534)</f>
        <v/>
      </c>
      <c r="AE535" s="158">
        <f>SUM(S535:AD535)</f>
        <v/>
      </c>
      <c r="AF535" s="158">
        <f>SUM(AF532:AF534)</f>
        <v/>
      </c>
      <c r="AG535" s="158">
        <f>SUM(AG532:AG534)</f>
        <v/>
      </c>
      <c r="AH535" s="158">
        <f>SUM(AH532:AH534)</f>
        <v/>
      </c>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f>UPPER($A$417)</f>
        <v/>
      </c>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f>B504&amp;" ("&amp;Assumptions!$E$72&amp;" years)"</f>
        <v/>
      </c>
      <c r="C538" s="347">
        <f>Assumptions!E72</f>
        <v/>
      </c>
      <c r="D538" s="154" t="n"/>
      <c r="E538" s="154" t="n"/>
      <c r="F538" s="154">
        <f>SUM($F504:F504)/Assumptions!$E$72/12</f>
        <v/>
      </c>
      <c r="G538" s="154">
        <f>SUM($F504:G504)/Assumptions!$E$72/12</f>
        <v/>
      </c>
      <c r="H538" s="154">
        <f>SUM($F504:H504)/Assumptions!$E$72/12</f>
        <v/>
      </c>
      <c r="I538" s="154">
        <f>SUM($F504:I504)/Assumptions!$E$72/12</f>
        <v/>
      </c>
      <c r="J538" s="154">
        <f>SUM($F504:J504)/Assumptions!$E$72/12</f>
        <v/>
      </c>
      <c r="K538" s="154">
        <f>SUM($F504:K504)/Assumptions!$E$72/12</f>
        <v/>
      </c>
      <c r="L538" s="154">
        <f>SUM($F504:L504)/Assumptions!$E$72/12</f>
        <v/>
      </c>
      <c r="M538" s="154">
        <f>SUM($F504:M504)/Assumptions!$E$72/12</f>
        <v/>
      </c>
      <c r="N538" s="154">
        <f>SUM($F504:N504)/Assumptions!$E$72/12</f>
        <v/>
      </c>
      <c r="O538" s="154">
        <f>SUM($F504:O504)/Assumptions!$E$72/12</f>
        <v/>
      </c>
      <c r="P538" s="154">
        <f>SUM($F504:P504)/Assumptions!$E$72/12</f>
        <v/>
      </c>
      <c r="Q538" s="154">
        <f>SUM($F504:Q504)/Assumptions!$E$72/12</f>
        <v/>
      </c>
      <c r="R538" s="229">
        <f>SUM(F538:Q538)</f>
        <v/>
      </c>
      <c r="S538" s="154">
        <f>IF(Assumptions!$E$72&gt;1,(SUM($F504:S504)-$R504)/Assumptions!$E$72/12,(SUM(OFFSET(S504,0,-((Assumptions!$E$72*12)+1)):S504)-$R504)/Assumptions!$E$72/12)</f>
        <v/>
      </c>
      <c r="T538" s="154">
        <f>IF(Assumptions!$E$72&gt;1,(SUM($F504:T504)-$R504)/Assumptions!$E$72/12,(SUM(OFFSET(T504,0,-((Assumptions!$E$72*12)+1)):T504)-$R504)/Assumptions!$E$72/12)</f>
        <v/>
      </c>
      <c r="U538" s="154">
        <f>IF(Assumptions!$E$72&gt;1,(SUM($F504:U504)-$R504)/Assumptions!$E$72/12,(SUM(OFFSET(U504,0,-((Assumptions!$E$72*12)+1)):U504)-$R504)/Assumptions!$E$72/12)</f>
        <v/>
      </c>
      <c r="V538" s="154">
        <f>IF(Assumptions!$E$72&gt;1,(SUM($F504:V504)-$R504)/Assumptions!$E$72/12,(SUM(OFFSET(V504,0,-((Assumptions!$E$72*12)+1)):V504)-$R504)/Assumptions!$E$72/12)</f>
        <v/>
      </c>
      <c r="W538" s="154">
        <f>IF(Assumptions!$E$72&gt;1,(SUM($F504:W504)-$R504)/Assumptions!$E$72/12,(SUM(OFFSET(W504,0,-((Assumptions!$E$72*12)+1)):W504)-$R504)/Assumptions!$E$72/12)</f>
        <v/>
      </c>
      <c r="X538" s="154">
        <f>IF(Assumptions!$E$72&gt;1,(SUM($F504:X504)-$R504)/Assumptions!$E$72/12,(SUM(OFFSET(X504,0,-((Assumptions!$E$72*12)+1)):X504)-$R504)/Assumptions!$E$72/12)</f>
        <v/>
      </c>
      <c r="Y538" s="154">
        <f>IF(Assumptions!$E$72&gt;1,(SUM($F504:Y504)-$R504)/Assumptions!$E$72/12,(SUM(OFFSET(Y504,0,-((Assumptions!$E$72*12)+1)):Y504)-$R504)/Assumptions!$E$72/12)</f>
        <v/>
      </c>
      <c r="Z538" s="154">
        <f>IF(Assumptions!$E$72&gt;1,(SUM($F504:Z504)-$R504)/Assumptions!$E$72/12,(SUM(OFFSET(Z504,0,-((Assumptions!$E$72*12)+1)):Z504)-$R504)/Assumptions!$E$72/12)</f>
        <v/>
      </c>
      <c r="AA538" s="154">
        <f>IF(Assumptions!$E$72&gt;1,(SUM($F504:AA504)-$R504)/Assumptions!$E$72/12,(SUM(OFFSET(AA504,0,-((Assumptions!$E$72*12)+1)):AA504)-$R504)/Assumptions!$E$72/12)</f>
        <v/>
      </c>
      <c r="AB538" s="154">
        <f>IF(Assumptions!$E$72&gt;1,(SUM($F504:AB504)-$R504)/Assumptions!$E$72/12,(SUM(OFFSET(AB504,0,-((Assumptions!$E$72*12)+1)):AB504)-$R504)/Assumptions!$E$72/12)</f>
        <v/>
      </c>
      <c r="AC538" s="154">
        <f>IF(Assumptions!$E$72&gt;1,(SUM($F504:AC504)-$R504)/Assumptions!$E$72/12,(SUM(OFFSET(AC504,0,-((Assumptions!$E$72*12)+1)):AC504)-$R504)/Assumptions!$E$72/12)</f>
        <v/>
      </c>
      <c r="AD538" s="154">
        <f>IF(Assumptions!$E$72&gt;1,(SUM($F504:AD504)-$R504)/Assumptions!$E$72/12,(SUM(OFFSET(AD504,0,-((Assumptions!$E$72*12)+1)):AD504)-$R504)/Assumptions!$E$72/12)</f>
        <v/>
      </c>
      <c r="AE538" s="229">
        <f>SUM(S538:AD538)</f>
        <v/>
      </c>
      <c r="AF538" s="229">
        <f>IF(Assumptions!$E$72&gt;2,($AF504+$AE504+$R504)/Assumptions!$E$72,IF(Assumptions!$E$72&gt;1,($AF504+$AE504)/Assumptions!$E$72,($AF504)/Assumptions!$E$72))</f>
        <v/>
      </c>
      <c r="AG538" s="229">
        <f>IF(Assumptions!$E$72&gt;3,($AG504+$AF504+$AE504+$R504)/Assumptions!$E$72,IF(Assumptions!$E$72&gt;2,($AG504+$AF504+$AE504)/Assumptions!$E$72,IF(Assumptions!$E$72&gt;1,($AG504+$AF504)/Assumptions!$E$72,($AG504)/Assumptions!$E$72)))</f>
        <v/>
      </c>
      <c r="AH538" s="229">
        <f>IF(Assumptions!$E$72&gt;4,($AH504+$AG504+$AF504+$AE504+$R504)/Assumptions!$E$72,IF(Assumptions!$E$72&gt;3,($AH504+$AG504+$AF504+$AE504)/Assumptions!$E$72,IF(Assumptions!$E$72&gt;2,($AH504+$AG504+$AF504)/Assumptions!$E$72,IF(Assumptions!$E$72&gt;1,($AH504+$AG504)/Assumptions!$E$72,$AH504/Assumptions!$E$72))))</f>
        <v/>
      </c>
    </row>
    <row r="539" ht="8.25" customHeight="1" s="277">
      <c r="A539" s="224" t="n"/>
      <c r="B539" s="331">
        <f>B505&amp;" ("&amp;Assumptions!$F$72&amp;" years)"</f>
        <v/>
      </c>
      <c r="C539" s="347">
        <f>Assumptions!F72</f>
        <v/>
      </c>
      <c r="D539" s="154" t="n"/>
      <c r="E539" s="154" t="n"/>
      <c r="F539" s="154">
        <f>SUM($F505:F505)/Assumptions!$F$72/12</f>
        <v/>
      </c>
      <c r="G539" s="154">
        <f>SUM($F505:G505)/Assumptions!$F$72/12</f>
        <v/>
      </c>
      <c r="H539" s="154">
        <f>SUM($F505:H505)/Assumptions!$F$72/12</f>
        <v/>
      </c>
      <c r="I539" s="154">
        <f>SUM($F505:I505)/Assumptions!$F$72/12</f>
        <v/>
      </c>
      <c r="J539" s="154">
        <f>SUM($F505:J505)/Assumptions!$F$72/12</f>
        <v/>
      </c>
      <c r="K539" s="154">
        <f>SUM($F505:K505)/Assumptions!$F$72/12</f>
        <v/>
      </c>
      <c r="L539" s="154">
        <f>SUM($F505:L505)/Assumptions!$F$72/12</f>
        <v/>
      </c>
      <c r="M539" s="154">
        <f>SUM($F505:M505)/Assumptions!$F$72/12</f>
        <v/>
      </c>
      <c r="N539" s="154">
        <f>SUM($F505:N505)/Assumptions!$F$72/12</f>
        <v/>
      </c>
      <c r="O539" s="154">
        <f>SUM($F505:O505)/Assumptions!$F$72/12</f>
        <v/>
      </c>
      <c r="P539" s="154">
        <f>SUM($F505:P505)/Assumptions!$F$72/12</f>
        <v/>
      </c>
      <c r="Q539" s="154">
        <f>SUM($F505:Q505)/Assumptions!$F$72/12</f>
        <v/>
      </c>
      <c r="R539" s="229">
        <f>SUM(F539:Q539)</f>
        <v/>
      </c>
      <c r="S539" s="154">
        <f>IF(Assumptions!$F$72&gt;1,(SUM($F505:S505)-$R505)/Assumptions!$F$72/12,(SUM(OFFSET(S505,0,-((Assumptions!$F$72*12)+1)):S505)-$R505)/Assumptions!$F$72/12)</f>
        <v/>
      </c>
      <c r="T539" s="154">
        <f>IF(Assumptions!$F$72&gt;1,(SUM($F505:T505)-$R505)/Assumptions!$F$72/12,(SUM(OFFSET(T505,0,-((Assumptions!$F$72*12)+1)):T505)-$R505)/Assumptions!$F$72/12)</f>
        <v/>
      </c>
      <c r="U539" s="154">
        <f>IF(Assumptions!$F$72&gt;1,(SUM($F505:U505)-$R505)/Assumptions!$F$72/12,(SUM(OFFSET(U505,0,-((Assumptions!$F$72*12)+1)):U505)-$R505)/Assumptions!$F$72/12)</f>
        <v/>
      </c>
      <c r="V539" s="154">
        <f>IF(Assumptions!$F$72&gt;1,(SUM($F505:V505)-$R505)/Assumptions!$F$72/12,(SUM(OFFSET(V505,0,-((Assumptions!$F$72*12)+1)):V505)-$R505)/Assumptions!$F$72/12)</f>
        <v/>
      </c>
      <c r="W539" s="154">
        <f>IF(Assumptions!$F$72&gt;1,(SUM($F505:W505)-$R505)/Assumptions!$F$72/12,(SUM(OFFSET(W505,0,-((Assumptions!$F$72*12)+1)):W505)-$R505)/Assumptions!$F$72/12)</f>
        <v/>
      </c>
      <c r="X539" s="154">
        <f>IF(Assumptions!$F$72&gt;1,(SUM($F505:X505)-$R505)/Assumptions!$F$72/12,(SUM(OFFSET(X505,0,-((Assumptions!$F$72*12)+1)):X505)-$R505)/Assumptions!$F$72/12)</f>
        <v/>
      </c>
      <c r="Y539" s="154">
        <f>IF(Assumptions!$F$72&gt;1,(SUM($F505:Y505)-$R505)/Assumptions!$F$72/12,(SUM(OFFSET(Y505,0,-((Assumptions!$F$72*12)+1)):Y505)-$R505)/Assumptions!$F$72/12)</f>
        <v/>
      </c>
      <c r="Z539" s="154">
        <f>IF(Assumptions!$F$72&gt;1,(SUM($F505:Z505)-$R505)/Assumptions!$F$72/12,(SUM(OFFSET(Z505,0,-((Assumptions!$F$72*12)+1)):Z505)-$R505)/Assumptions!$F$72/12)</f>
        <v/>
      </c>
      <c r="AA539" s="154">
        <f>IF(Assumptions!$F$72&gt;1,(SUM($F505:AA505)-$R505)/Assumptions!$F$72/12,(SUM(OFFSET(AA505,0,-((Assumptions!$F$72*12)+1)):AA505)-$R505)/Assumptions!$F$72/12)</f>
        <v/>
      </c>
      <c r="AB539" s="154">
        <f>IF(Assumptions!$F$72&gt;1,(SUM($F505:AB505)-$R505)/Assumptions!$F$72/12,(SUM(OFFSET(AB505,0,-((Assumptions!$F$72*12)+1)):AB505)-$R505)/Assumptions!$F$72/12)</f>
        <v/>
      </c>
      <c r="AC539" s="154">
        <f>IF(Assumptions!$F$72&gt;1,(SUM($F505:AC505)-$R505)/Assumptions!$F$72/12,(SUM(OFFSET(AC505,0,-((Assumptions!$F$72*12)+1)):AC505)-$R505)/Assumptions!$F$72/12)</f>
        <v/>
      </c>
      <c r="AD539" s="154">
        <f>IF(Assumptions!$F$72&gt;1,(SUM($F505:AD505)-$R505)/Assumptions!$F$72/12,(SUM(OFFSET(AD505,0,-((Assumptions!$F$72*12)+1)):AD505)-$R505)/Assumptions!$F$72/12)</f>
        <v/>
      </c>
      <c r="AE539" s="229">
        <f>SUM(S539:AD539)</f>
        <v/>
      </c>
      <c r="AF539" s="229">
        <f>IF(Assumptions!$F$72&gt;2,($AF505+$AE505+$R505)/Assumptions!$F$72,IF(Assumptions!$F$72&gt;1,($AF505+$AE505)/Assumptions!$F$72,($AF505)/Assumptions!$F$72))</f>
        <v/>
      </c>
      <c r="AG539" s="229">
        <f>IF(Assumptions!$F$72&gt;3,($AG505+$AF505+$AE505+$R505)/Assumptions!$F$72,IF(Assumptions!$F$72&gt;2,($AG505+$AF505+$AE505)/Assumptions!$F$72,IF(Assumptions!$F$72&gt;1,($AG505+$AF505)/Assumptions!$F$72,($AG505)/Assumptions!$F$72)))</f>
        <v/>
      </c>
      <c r="AH539" s="229">
        <f>IF(Assumptions!$F$72&gt;4,($AH505+$AG505+$AF505+$AE505+$R505)/Assumptions!$F$72,IF(Assumptions!$F$72&gt;3,($AH505+$AG505+$AF505+$AE505)/Assumptions!$F$72,IF(Assumptions!$F$72&gt;2,($AH505+$AG505+$AF505)/Assumptions!$F$72,IF(Assumptions!$F$72&gt;1,($AH505+$AG505)/Assumptions!$F$72,$AH505/Assumptions!$F$72))))</f>
        <v/>
      </c>
    </row>
    <row r="540" ht="8.25" customHeight="1" s="277">
      <c r="A540" s="224" t="n"/>
      <c r="B540" s="331">
        <f>B506&amp;" ("&amp;Assumptions!$G$72&amp;" years)"</f>
        <v/>
      </c>
      <c r="C540" s="347">
        <f>Assumptions!G72</f>
        <v/>
      </c>
      <c r="D540" s="154" t="n"/>
      <c r="E540" s="154" t="n"/>
      <c r="F540" s="154">
        <f>SUM($F506:F506)/Assumptions!$G$72/12</f>
        <v/>
      </c>
      <c r="G540" s="154">
        <f>SUM($F506:G506)/Assumptions!$G$72/12</f>
        <v/>
      </c>
      <c r="H540" s="154">
        <f>SUM($F506:H506)/Assumptions!$G$72/12</f>
        <v/>
      </c>
      <c r="I540" s="154">
        <f>SUM($F506:I506)/Assumptions!$G$72/12</f>
        <v/>
      </c>
      <c r="J540" s="154">
        <f>SUM($F506:J506)/Assumptions!$G$72/12</f>
        <v/>
      </c>
      <c r="K540" s="154">
        <f>SUM($F506:K506)/Assumptions!$G$72/12</f>
        <v/>
      </c>
      <c r="L540" s="154">
        <f>SUM($F506:L506)/Assumptions!$G$72/12</f>
        <v/>
      </c>
      <c r="M540" s="154">
        <f>SUM($F506:M506)/Assumptions!$G$72/12</f>
        <v/>
      </c>
      <c r="N540" s="154">
        <f>SUM($F506:N506)/Assumptions!$G$72/12</f>
        <v/>
      </c>
      <c r="O540" s="154">
        <f>SUM($F506:O506)/Assumptions!$G$72/12</f>
        <v/>
      </c>
      <c r="P540" s="154">
        <f>SUM($F506:P506)/Assumptions!$G$72/12</f>
        <v/>
      </c>
      <c r="Q540" s="154">
        <f>SUM($F506:Q506)/Assumptions!$G$72/12</f>
        <v/>
      </c>
      <c r="R540" s="229">
        <f>SUM(F540:Q540)</f>
        <v/>
      </c>
      <c r="S540" s="154">
        <f>IF(Assumptions!$G$72&gt;1,(SUM($F506:S506)-$R506)/Assumptions!$G$72/12,(SUM(OFFSET(S506,0,-((Assumptions!$G$72*12)+1)):S506)-$R506)/Assumptions!$G$72/12)</f>
        <v/>
      </c>
      <c r="T540" s="154">
        <f>IF(Assumptions!$G$72&gt;1,(SUM($F506:T506)-$R506)/Assumptions!$G$72/12,(SUM(OFFSET(T506,0,-((Assumptions!$G$72*12)+1)):T506)-$R506)/Assumptions!$G$72/12)</f>
        <v/>
      </c>
      <c r="U540" s="154">
        <f>IF(Assumptions!$G$72&gt;1,(SUM($F506:U506)-$R506)/Assumptions!$G$72/12,(SUM(OFFSET(U506,0,-((Assumptions!$G$72*12)+1)):U506)-$R506)/Assumptions!$G$72/12)</f>
        <v/>
      </c>
      <c r="V540" s="154">
        <f>IF(Assumptions!$G$72&gt;1,(SUM($F506:V506)-$R506)/Assumptions!$G$72/12,(SUM(OFFSET(V506,0,-((Assumptions!$G$72*12)+1)):V506)-$R506)/Assumptions!$G$72/12)</f>
        <v/>
      </c>
      <c r="W540" s="154">
        <f>IF(Assumptions!$G$72&gt;1,(SUM($F506:W506)-$R506)/Assumptions!$G$72/12,(SUM(OFFSET(W506,0,-((Assumptions!$G$72*12)+1)):W506)-$R506)/Assumptions!$G$72/12)</f>
        <v/>
      </c>
      <c r="X540" s="154">
        <f>IF(Assumptions!$G$72&gt;1,(SUM($F506:X506)-$R506)/Assumptions!$G$72/12,(SUM(OFFSET(X506,0,-((Assumptions!$G$72*12)+1)):X506)-$R506)/Assumptions!$G$72/12)</f>
        <v/>
      </c>
      <c r="Y540" s="154">
        <f>IF(Assumptions!$G$72&gt;1,(SUM($F506:Y506)-$R506)/Assumptions!$G$72/12,(SUM(OFFSET(Y506,0,-((Assumptions!$G$72*12)+1)):Y506)-$R506)/Assumptions!$G$72/12)</f>
        <v/>
      </c>
      <c r="Z540" s="154">
        <f>IF(Assumptions!$G$72&gt;1,(SUM($F506:Z506)-$R506)/Assumptions!$G$72/12,(SUM(OFFSET(Z506,0,-((Assumptions!$G$72*12)+1)):Z506)-$R506)/Assumptions!$G$72/12)</f>
        <v/>
      </c>
      <c r="AA540" s="154">
        <f>IF(Assumptions!$G$72&gt;1,(SUM($F506:AA506)-$R506)/Assumptions!$G$72/12,(SUM(OFFSET(AA506,0,-((Assumptions!$G$72*12)+1)):AA506)-$R506)/Assumptions!$G$72/12)</f>
        <v/>
      </c>
      <c r="AB540" s="154">
        <f>IF(Assumptions!$G$72&gt;1,(SUM($F506:AB506)-$R506)/Assumptions!$G$72/12,(SUM(OFFSET(AB506,0,-((Assumptions!$G$72*12)+1)):AB506)-$R506)/Assumptions!$G$72/12)</f>
        <v/>
      </c>
      <c r="AC540" s="154">
        <f>IF(Assumptions!$G$72&gt;1,(SUM($F506:AC506)-$R506)/Assumptions!$G$72/12,(SUM(OFFSET(AC506,0,-((Assumptions!$G$72*12)+1)):AC506)-$R506)/Assumptions!$G$72/12)</f>
        <v/>
      </c>
      <c r="AD540" s="154">
        <f>IF(Assumptions!$G$72&gt;1,(SUM($F506:AD506)-$R506)/Assumptions!$G$72/12,(SUM(OFFSET(AD506,0,-((Assumptions!$G$72*12)+1)):AD506)-$R506)/Assumptions!$G$72/12)</f>
        <v/>
      </c>
      <c r="AE540" s="229">
        <f>SUM(S540:AD540)</f>
        <v/>
      </c>
      <c r="AF540" s="229">
        <f>IF(Assumptions!$G$72&gt;2,($AF506+$AE506+$R506)/Assumptions!$G$72,IF(Assumptions!$G$72&gt;1,($AF506+$AE506)/Assumptions!$G$72,($AF506)/Assumptions!$G$72))</f>
        <v/>
      </c>
      <c r="AG540" s="229">
        <f>IF(Assumptions!$G$72&gt;3,($AG506+$AF506+$AE506+$R506)/Assumptions!$G$72,IF(Assumptions!$G$72&gt;2,($AG506+$AF506+$AE506)/Assumptions!$G$72,IF(Assumptions!$G$72&gt;1,($AG506+$AF506)/Assumptions!$G$72,($AG506)/Assumptions!$G$72)))</f>
        <v/>
      </c>
      <c r="AH540" s="229">
        <f>IF(Assumptions!$G$72&gt;4,($AH506+$AG506+$AF506+$AE506+$R506)/Assumptions!$G$72,IF(Assumptions!$G$72&gt;3,($AH506+$AG506+$AF506+$AE506)/Assumptions!$G$72,IF(Assumptions!$G$72&gt;2,($AH506+$AG506+$AF506)/Assumptions!$G$72,IF(Assumptions!$G$72&gt;1,($AH506+$AG506)/Assumptions!$G$72,$AH506/Assumptions!$G$72))))</f>
        <v/>
      </c>
    </row>
    <row r="541" ht="8.25" customHeight="1" s="277">
      <c r="A541" s="366" t="inlineStr">
        <is>
          <t>Total Depreciation for Period</t>
        </is>
      </c>
      <c r="B541" s="156" t="n"/>
      <c r="C541" s="228" t="n"/>
      <c r="D541" s="228" t="n"/>
      <c r="E541" s="228" t="n"/>
      <c r="F541" s="228">
        <f>SUM(F538:F540)</f>
        <v/>
      </c>
      <c r="G541" s="228">
        <f>SUM(G538:G540)</f>
        <v/>
      </c>
      <c r="H541" s="228">
        <f>SUM(H538:H540)</f>
        <v/>
      </c>
      <c r="I541" s="228">
        <f>SUM(I538:I540)</f>
        <v/>
      </c>
      <c r="J541" s="228">
        <f>SUM(J538:J540)</f>
        <v/>
      </c>
      <c r="K541" s="228">
        <f>SUM(K538:K540)</f>
        <v/>
      </c>
      <c r="L541" s="228">
        <f>SUM(L538:L540)</f>
        <v/>
      </c>
      <c r="M541" s="228">
        <f>SUM(M538:M540)</f>
        <v/>
      </c>
      <c r="N541" s="228">
        <f>SUM(N538:N540)</f>
        <v/>
      </c>
      <c r="O541" s="228">
        <f>SUM(O538:O540)</f>
        <v/>
      </c>
      <c r="P541" s="228">
        <f>SUM(P538:P540)</f>
        <v/>
      </c>
      <c r="Q541" s="228">
        <f>SUM(Q538:Q540)</f>
        <v/>
      </c>
      <c r="R541" s="158">
        <f>SUM(F541:Q541)</f>
        <v/>
      </c>
      <c r="S541" s="228">
        <f>SUM(S538:S540)</f>
        <v/>
      </c>
      <c r="T541" s="228">
        <f>SUM(T538:T540)</f>
        <v/>
      </c>
      <c r="U541" s="228">
        <f>SUM(U538:U540)</f>
        <v/>
      </c>
      <c r="V541" s="228">
        <f>SUM(V538:V540)</f>
        <v/>
      </c>
      <c r="W541" s="228">
        <f>SUM(W538:W540)</f>
        <v/>
      </c>
      <c r="X541" s="228">
        <f>SUM(X538:X540)</f>
        <v/>
      </c>
      <c r="Y541" s="228">
        <f>SUM(Y538:Y540)</f>
        <v/>
      </c>
      <c r="Z541" s="228">
        <f>SUM(Z538:Z540)</f>
        <v/>
      </c>
      <c r="AA541" s="228">
        <f>SUM(AA538:AA540)</f>
        <v/>
      </c>
      <c r="AB541" s="228">
        <f>SUM(AB538:AB540)</f>
        <v/>
      </c>
      <c r="AC541" s="228">
        <f>SUM(AC538:AC540)</f>
        <v/>
      </c>
      <c r="AD541" s="228">
        <f>SUM(AD538:AD540)</f>
        <v/>
      </c>
      <c r="AE541" s="158">
        <f>SUM(S541:AD541)</f>
        <v/>
      </c>
      <c r="AF541" s="158">
        <f>SUM(AF538:AF540)</f>
        <v/>
      </c>
      <c r="AG541" s="158">
        <f>SUM(AG538:AG540)</f>
        <v/>
      </c>
      <c r="AH541" s="158">
        <f>SUM(AH538:AH540)</f>
        <v/>
      </c>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f>UPPER($A$428)</f>
        <v/>
      </c>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f>B511&amp;" ("&amp;Assumptions!$E$73&amp;" years)"</f>
        <v/>
      </c>
      <c r="C544" s="347">
        <f>Assumptions!E73</f>
        <v/>
      </c>
      <c r="D544" s="154" t="n"/>
      <c r="E544" s="154" t="n"/>
      <c r="F544" s="154">
        <f>SUM($F511:F511)/Assumptions!$E$73/12</f>
        <v/>
      </c>
      <c r="G544" s="154">
        <f>SUM($F511:G511)/Assumptions!$E$73/12</f>
        <v/>
      </c>
      <c r="H544" s="154">
        <f>SUM($F511:H511)/Assumptions!$E$73/12</f>
        <v/>
      </c>
      <c r="I544" s="154">
        <f>SUM($F511:I511)/Assumptions!$E$73/12</f>
        <v/>
      </c>
      <c r="J544" s="154">
        <f>SUM($F511:J511)/Assumptions!$E$73/12</f>
        <v/>
      </c>
      <c r="K544" s="154">
        <f>SUM($F511:K511)/Assumptions!$E$73/12</f>
        <v/>
      </c>
      <c r="L544" s="154">
        <f>SUM($F511:L511)/Assumptions!$E$73/12</f>
        <v/>
      </c>
      <c r="M544" s="154">
        <f>SUM($F511:M511)/Assumptions!$E$73/12</f>
        <v/>
      </c>
      <c r="N544" s="154">
        <f>SUM($F511:N511)/Assumptions!$E$73/12</f>
        <v/>
      </c>
      <c r="O544" s="154">
        <f>SUM($F511:O511)/Assumptions!$E$73/12</f>
        <v/>
      </c>
      <c r="P544" s="154">
        <f>SUM($F511:P511)/Assumptions!$E$73/12</f>
        <v/>
      </c>
      <c r="Q544" s="154">
        <f>SUM($F511:Q511)/Assumptions!$E$73/12</f>
        <v/>
      </c>
      <c r="R544" s="229">
        <f>SUM(F544:Q544)</f>
        <v/>
      </c>
      <c r="S544" s="154">
        <f>IF(Assumptions!$E$73&gt;1,(SUM($F511:S511)-$R511)/Assumptions!$E$73/12,(SUM(OFFSET(S511,0,-((Assumptions!$E$73*12)+1)):S511)-$R511)/Assumptions!$E$73/12)</f>
        <v/>
      </c>
      <c r="T544" s="154">
        <f>IF(Assumptions!$E$73&gt;1,(SUM($F511:T511)-$R511)/Assumptions!$E$73/12,(SUM(OFFSET(T511,0,-((Assumptions!$E$73*12)+1)):T511)-$R511)/Assumptions!$E$73/12)</f>
        <v/>
      </c>
      <c r="U544" s="154">
        <f>IF(Assumptions!$E$73&gt;1,(SUM($F511:U511)-$R511)/Assumptions!$E$73/12,(SUM(OFFSET(U511,0,-((Assumptions!$E$73*12)+1)):U511)-$R511)/Assumptions!$E$73/12)</f>
        <v/>
      </c>
      <c r="V544" s="154">
        <f>IF(Assumptions!$E$73&gt;1,(SUM($F511:V511)-$R511)/Assumptions!$E$73/12,(SUM(OFFSET(V511,0,-((Assumptions!$E$73*12)+1)):V511)-$R511)/Assumptions!$E$73/12)</f>
        <v/>
      </c>
      <c r="W544" s="154">
        <f>IF(Assumptions!$E$73&gt;1,(SUM($F511:W511)-$R511)/Assumptions!$E$73/12,(SUM(OFFSET(W511,0,-((Assumptions!$E$73*12)+1)):W511)-$R511)/Assumptions!$E$73/12)</f>
        <v/>
      </c>
      <c r="X544" s="154">
        <f>IF(Assumptions!$E$73&gt;1,(SUM($F511:X511)-$R511)/Assumptions!$E$73/12,(SUM(OFFSET(X511,0,-((Assumptions!$E$73*12)+1)):X511)-$R511)/Assumptions!$E$73/12)</f>
        <v/>
      </c>
      <c r="Y544" s="154">
        <f>IF(Assumptions!$E$73&gt;1,(SUM($F511:Y511)-$R511)/Assumptions!$E$73/12,(SUM(OFFSET(Y511,0,-((Assumptions!$E$73*12)+1)):Y511)-$R511)/Assumptions!$E$73/12)</f>
        <v/>
      </c>
      <c r="Z544" s="154">
        <f>IF(Assumptions!$E$73&gt;1,(SUM($F511:Z511)-$R511)/Assumptions!$E$73/12,(SUM(OFFSET(Z511,0,-((Assumptions!$E$73*12)+1)):Z511)-$R511)/Assumptions!$E$73/12)</f>
        <v/>
      </c>
      <c r="AA544" s="154">
        <f>IF(Assumptions!$E$73&gt;1,(SUM($F511:AA511)-$R511)/Assumptions!$E$73/12,(SUM(OFFSET(AA511,0,-((Assumptions!$E$73*12)+1)):AA511)-$R511)/Assumptions!$E$73/12)</f>
        <v/>
      </c>
      <c r="AB544" s="154">
        <f>IF(Assumptions!$E$73&gt;1,(SUM($F511:AB511)-$R511)/Assumptions!$E$73/12,(SUM(OFFSET(AB511,0,-((Assumptions!$E$73*12)+1)):AB511)-$R511)/Assumptions!$E$73/12)</f>
        <v/>
      </c>
      <c r="AC544" s="154">
        <f>IF(Assumptions!$E$73&gt;1,(SUM($F511:AC511)-$R511)/Assumptions!$E$73/12,(SUM(OFFSET(AC511,0,-((Assumptions!$E$73*12)+1)):AC511)-$R511)/Assumptions!$E$73/12)</f>
        <v/>
      </c>
      <c r="AD544" s="154">
        <f>IF(Assumptions!$E$73&gt;1,(SUM($F511:AD511)-$R511)/Assumptions!$E$73/12,(SUM(OFFSET(AD511,0,-((Assumptions!$E$73*12)+1)):AD511)-$R511)/Assumptions!$E$73/12)</f>
        <v/>
      </c>
      <c r="AE544" s="229">
        <f>SUM(S544:AD544)</f>
        <v/>
      </c>
      <c r="AF544" s="229">
        <f>IF(Assumptions!$E$73&gt;2,($AF511+$AE511+$R511)/Assumptions!$E$73,IF(Assumptions!$E$73&gt;1,($AF511+$AE511)/Assumptions!$E$73,($AF511)/Assumptions!$E$73))</f>
        <v/>
      </c>
      <c r="AG544" s="229">
        <f>IF(Assumptions!$E$73&gt;3,($AG511+$AF511+$AE511+$R511)/Assumptions!$E$73,IF(Assumptions!$E$73&gt;2,($AG511+$AF511+$AE511)/Assumptions!$E$73,IF(Assumptions!$E$73&gt;1,($AG511+$AF511)/Assumptions!$E$73,($AG511)/Assumptions!$E$73)))</f>
        <v/>
      </c>
      <c r="AH544" s="229">
        <f>IF(Assumptions!$E$73&gt;4,($AH511+$AG511+$AF511+$AE511+$R511)/Assumptions!$E$73,IF(Assumptions!$E$73&gt;3,($AH511+$AG511+$AF511+$AE511)/Assumptions!$E$73,IF(Assumptions!$E$73&gt;2,($AH511+$AG511+$AF511)/Assumptions!$E$73,IF(Assumptions!$E$73&gt;1,($AH511+$AG511)/Assumptions!$E$73,$AH511/Assumptions!$E$73))))</f>
        <v/>
      </c>
    </row>
    <row r="545" ht="8.25" customHeight="1" s="277">
      <c r="A545" s="224" t="n"/>
      <c r="B545" s="331">
        <f>B512&amp;" ("&amp;Assumptions!$F$73&amp;" years)"</f>
        <v/>
      </c>
      <c r="C545" s="347">
        <f>Assumptions!F73</f>
        <v/>
      </c>
      <c r="D545" s="154" t="n"/>
      <c r="E545" s="154" t="n"/>
      <c r="F545" s="154">
        <f>SUM($F512:F512)/Assumptions!$F$73/12</f>
        <v/>
      </c>
      <c r="G545" s="154">
        <f>SUM($F512:G512)/Assumptions!$F$73/12</f>
        <v/>
      </c>
      <c r="H545" s="154">
        <f>SUM($F512:H512)/Assumptions!$F$73/12</f>
        <v/>
      </c>
      <c r="I545" s="154">
        <f>SUM($F512:I512)/Assumptions!$F$73/12</f>
        <v/>
      </c>
      <c r="J545" s="154">
        <f>SUM($F512:J512)/Assumptions!$F$73/12</f>
        <v/>
      </c>
      <c r="K545" s="154">
        <f>SUM($F512:K512)/Assumptions!$F$73/12</f>
        <v/>
      </c>
      <c r="L545" s="154">
        <f>SUM($F512:L512)/Assumptions!$F$73/12</f>
        <v/>
      </c>
      <c r="M545" s="154">
        <f>SUM($F512:M512)/Assumptions!$F$73/12</f>
        <v/>
      </c>
      <c r="N545" s="154">
        <f>SUM($F512:N512)/Assumptions!$F$73/12</f>
        <v/>
      </c>
      <c r="O545" s="154">
        <f>SUM($F512:O512)/Assumptions!$F$73/12</f>
        <v/>
      </c>
      <c r="P545" s="154">
        <f>SUM($F512:P512)/Assumptions!$F$73/12</f>
        <v/>
      </c>
      <c r="Q545" s="154">
        <f>SUM($F512:Q512)/Assumptions!$F$73/12</f>
        <v/>
      </c>
      <c r="R545" s="229">
        <f>SUM(F545:Q545)</f>
        <v/>
      </c>
      <c r="S545" s="154">
        <f>IF(Assumptions!$F$73&gt;1,(SUM($F512:S512)-$R512)/Assumptions!$F$73/12,(SUM(OFFSET(S512,0,-((Assumptions!$F$73*12)+1)):S512)-$R512)/Assumptions!$F$73/12)</f>
        <v/>
      </c>
      <c r="T545" s="154">
        <f>IF(Assumptions!$F$73&gt;1,(SUM($F512:T512)-$R512)/Assumptions!$F$73/12,(SUM(OFFSET(T512,0,-((Assumptions!$F$73*12)+1)):T512)-$R512)/Assumptions!$F$73/12)</f>
        <v/>
      </c>
      <c r="U545" s="154">
        <f>IF(Assumptions!$F$73&gt;1,(SUM($F512:U512)-$R512)/Assumptions!$F$73/12,(SUM(OFFSET(U512,0,-((Assumptions!$F$73*12)+1)):U512)-$R512)/Assumptions!$F$73/12)</f>
        <v/>
      </c>
      <c r="V545" s="154">
        <f>IF(Assumptions!$F$73&gt;1,(SUM($F512:V512)-$R512)/Assumptions!$F$73/12,(SUM(OFFSET(V512,0,-((Assumptions!$F$73*12)+1)):V512)-$R512)/Assumptions!$F$73/12)</f>
        <v/>
      </c>
      <c r="W545" s="154">
        <f>IF(Assumptions!$F$73&gt;1,(SUM($F512:W512)-$R512)/Assumptions!$F$73/12,(SUM(OFFSET(W512,0,-((Assumptions!$F$73*12)+1)):W512)-$R512)/Assumptions!$F$73/12)</f>
        <v/>
      </c>
      <c r="X545" s="154">
        <f>IF(Assumptions!$F$73&gt;1,(SUM($F512:X512)-$R512)/Assumptions!$F$73/12,(SUM(OFFSET(X512,0,-((Assumptions!$F$73*12)+1)):X512)-$R512)/Assumptions!$F$73/12)</f>
        <v/>
      </c>
      <c r="Y545" s="154">
        <f>IF(Assumptions!$F$73&gt;1,(SUM($F512:Y512)-$R512)/Assumptions!$F$73/12,(SUM(OFFSET(Y512,0,-((Assumptions!$F$73*12)+1)):Y512)-$R512)/Assumptions!$F$73/12)</f>
        <v/>
      </c>
      <c r="Z545" s="154">
        <f>IF(Assumptions!$F$73&gt;1,(SUM($F512:Z512)-$R512)/Assumptions!$F$73/12,(SUM(OFFSET(Z512,0,-((Assumptions!$F$73*12)+1)):Z512)-$R512)/Assumptions!$F$73/12)</f>
        <v/>
      </c>
      <c r="AA545" s="154">
        <f>IF(Assumptions!$F$73&gt;1,(SUM($F512:AA512)-$R512)/Assumptions!$F$73/12,(SUM(OFFSET(AA512,0,-((Assumptions!$F$73*12)+1)):AA512)-$R512)/Assumptions!$F$73/12)</f>
        <v/>
      </c>
      <c r="AB545" s="154">
        <f>IF(Assumptions!$F$73&gt;1,(SUM($F512:AB512)-$R512)/Assumptions!$F$73/12,(SUM(OFFSET(AB512,0,-((Assumptions!$F$73*12)+1)):AB512)-$R512)/Assumptions!$F$73/12)</f>
        <v/>
      </c>
      <c r="AC545" s="154">
        <f>IF(Assumptions!$F$73&gt;1,(SUM($F512:AC512)-$R512)/Assumptions!$F$73/12,(SUM(OFFSET(AC512,0,-((Assumptions!$F$73*12)+1)):AC512)-$R512)/Assumptions!$F$73/12)</f>
        <v/>
      </c>
      <c r="AD545" s="154">
        <f>IF(Assumptions!$F$73&gt;1,(SUM($F512:AD512)-$R512)/Assumptions!$F$73/12,(SUM(OFFSET(AD512,0,-((Assumptions!$F$73*12)+1)):AD512)-$R512)/Assumptions!$F$73/12)</f>
        <v/>
      </c>
      <c r="AE545" s="229">
        <f>SUM(S545:AD545)</f>
        <v/>
      </c>
      <c r="AF545" s="229">
        <f>IF(Assumptions!$F$73&gt;2,($AF512+$AE512+$R512)/Assumptions!$F$73,IF(Assumptions!$F$73&gt;1,($AF512+$AE512)/Assumptions!$F$73,($AF512)/Assumptions!$F$73))</f>
        <v/>
      </c>
      <c r="AG545" s="229">
        <f>IF(Assumptions!$F$73&gt;3,($AG512+$AF512+$AE512+$R512)/Assumptions!$F$73,IF(Assumptions!$F$73&gt;2,($AG512+$AF512+$AE512)/Assumptions!$F$73,IF(Assumptions!$F$73&gt;1,($AG512+$AF512)/Assumptions!$F$73,($AG512)/Assumptions!$F$73)))</f>
        <v/>
      </c>
      <c r="AH545" s="229">
        <f>IF(Assumptions!$F$73&gt;4,($AH512+$AG512+$AF512+$AE512+$R512)/Assumptions!$F$73,IF(Assumptions!$F$73&gt;3,($AH512+$AG512+$AF512+$AE512)/Assumptions!$F$73,IF(Assumptions!$F$73&gt;2,($AH512+$AG512+$AF512)/Assumptions!$F$73,IF(Assumptions!$F$73&gt;1,($AH512+$AG512)/Assumptions!$F$73,$AH512/Assumptions!$F$73))))</f>
        <v/>
      </c>
    </row>
    <row r="546" ht="8.25" customHeight="1" s="277">
      <c r="A546" s="224" t="n"/>
      <c r="B546" s="331">
        <f>B513&amp;" ("&amp;Assumptions!$G$73&amp;" years)"</f>
        <v/>
      </c>
      <c r="C546" s="347">
        <f>Assumptions!G73</f>
        <v/>
      </c>
      <c r="D546" s="154" t="n"/>
      <c r="E546" s="154" t="n"/>
      <c r="F546" s="154">
        <f>SUM($F513:F513)/Assumptions!$G$73/12</f>
        <v/>
      </c>
      <c r="G546" s="154">
        <f>SUM($F513:G513)/Assumptions!$G$73/12</f>
        <v/>
      </c>
      <c r="H546" s="154">
        <f>SUM($F513:H513)/Assumptions!$G$73/12</f>
        <v/>
      </c>
      <c r="I546" s="154">
        <f>SUM($F513:I513)/Assumptions!$G$73/12</f>
        <v/>
      </c>
      <c r="J546" s="154">
        <f>SUM($F513:J513)/Assumptions!$G$73/12</f>
        <v/>
      </c>
      <c r="K546" s="154">
        <f>SUM($F513:K513)/Assumptions!$G$73/12</f>
        <v/>
      </c>
      <c r="L546" s="154">
        <f>SUM($F513:L513)/Assumptions!$G$73/12</f>
        <v/>
      </c>
      <c r="M546" s="154">
        <f>SUM($F513:M513)/Assumptions!$G$73/12</f>
        <v/>
      </c>
      <c r="N546" s="154">
        <f>SUM($F513:N513)/Assumptions!$G$73/12</f>
        <v/>
      </c>
      <c r="O546" s="154">
        <f>SUM($F513:O513)/Assumptions!$G$73/12</f>
        <v/>
      </c>
      <c r="P546" s="154">
        <f>SUM($F513:P513)/Assumptions!$G$73/12</f>
        <v/>
      </c>
      <c r="Q546" s="154">
        <f>SUM($F513:Q513)/Assumptions!$G$73/12</f>
        <v/>
      </c>
      <c r="R546" s="229">
        <f>SUM(F546:Q546)</f>
        <v/>
      </c>
      <c r="S546" s="154">
        <f>IF(Assumptions!$G$73&gt;1,(SUM($F513:S513)-$R513)/Assumptions!$G$73/12,(SUM(OFFSET(S513,0,-((Assumptions!$G$73*12)+1)):S513)-$R513)/Assumptions!$G$73/12)</f>
        <v/>
      </c>
      <c r="T546" s="154">
        <f>IF(Assumptions!$G$73&gt;1,(SUM($F513:T513)-$R513)/Assumptions!$G$73/12,(SUM(OFFSET(T513,0,-((Assumptions!$G$73*12)+1)):T513)-$R513)/Assumptions!$G$73/12)</f>
        <v/>
      </c>
      <c r="U546" s="154">
        <f>IF(Assumptions!$G$73&gt;1,(SUM($F513:U513)-$R513)/Assumptions!$G$73/12,(SUM(OFFSET(U513,0,-((Assumptions!$G$73*12)+1)):U513)-$R513)/Assumptions!$G$73/12)</f>
        <v/>
      </c>
      <c r="V546" s="154">
        <f>IF(Assumptions!$G$73&gt;1,(SUM($F513:V513)-$R513)/Assumptions!$G$73/12,(SUM(OFFSET(V513,0,-((Assumptions!$G$73*12)+1)):V513)-$R513)/Assumptions!$G$73/12)</f>
        <v/>
      </c>
      <c r="W546" s="154">
        <f>IF(Assumptions!$G$73&gt;1,(SUM($F513:W513)-$R513)/Assumptions!$G$73/12,(SUM(OFFSET(W513,0,-((Assumptions!$G$73*12)+1)):W513)-$R513)/Assumptions!$G$73/12)</f>
        <v/>
      </c>
      <c r="X546" s="154">
        <f>IF(Assumptions!$G$73&gt;1,(SUM($F513:X513)-$R513)/Assumptions!$G$73/12,(SUM(OFFSET(X513,0,-((Assumptions!$G$73*12)+1)):X513)-$R513)/Assumptions!$G$73/12)</f>
        <v/>
      </c>
      <c r="Y546" s="154">
        <f>IF(Assumptions!$G$73&gt;1,(SUM($F513:Y513)-$R513)/Assumptions!$G$73/12,(SUM(OFFSET(Y513,0,-((Assumptions!$G$73*12)+1)):Y513)-$R513)/Assumptions!$G$73/12)</f>
        <v/>
      </c>
      <c r="Z546" s="154">
        <f>IF(Assumptions!$G$73&gt;1,(SUM($F513:Z513)-$R513)/Assumptions!$G$73/12,(SUM(OFFSET(Z513,0,-((Assumptions!$G$73*12)+1)):Z513)-$R513)/Assumptions!$G$73/12)</f>
        <v/>
      </c>
      <c r="AA546" s="154">
        <f>IF(Assumptions!$G$73&gt;1,(SUM($F513:AA513)-$R513)/Assumptions!$G$73/12,(SUM(OFFSET(AA513,0,-((Assumptions!$G$73*12)+1)):AA513)-$R513)/Assumptions!$G$73/12)</f>
        <v/>
      </c>
      <c r="AB546" s="154">
        <f>IF(Assumptions!$G$73&gt;1,(SUM($F513:AB513)-$R513)/Assumptions!$G$73/12,(SUM(OFFSET(AB513,0,-((Assumptions!$G$73*12)+1)):AB513)-$R513)/Assumptions!$G$73/12)</f>
        <v/>
      </c>
      <c r="AC546" s="154">
        <f>IF(Assumptions!$G$73&gt;1,(SUM($F513:AC513)-$R513)/Assumptions!$G$73/12,(SUM(OFFSET(AC513,0,-((Assumptions!$G$73*12)+1)):AC513)-$R513)/Assumptions!$G$73/12)</f>
        <v/>
      </c>
      <c r="AD546" s="154">
        <f>IF(Assumptions!$G$73&gt;1,(SUM($F513:AD513)-$R513)/Assumptions!$G$73/12,(SUM(OFFSET(AD513,0,-((Assumptions!$G$73*12)+1)):AD513)-$R513)/Assumptions!$G$73/12)</f>
        <v/>
      </c>
      <c r="AE546" s="229">
        <f>SUM(S546:AD546)</f>
        <v/>
      </c>
      <c r="AF546" s="229">
        <f>IF(Assumptions!$G$73&gt;2,($AF513+$AE513+$R513)/Assumptions!$G$73,IF(Assumptions!$G$73&gt;1,($AF513+$AE513)/Assumptions!$G$73,($AF513)/Assumptions!$G$73))</f>
        <v/>
      </c>
      <c r="AG546" s="229">
        <f>IF(Assumptions!$G$73&gt;3,($AG513+$AF513+$AE513+$R513)/Assumptions!$G$73,IF(Assumptions!$G$73&gt;2,($AG513+$AF513+$AE513)/Assumptions!$G$73,IF(Assumptions!$G$73&gt;1,($AG513+$AF513)/Assumptions!$G$73,($AG513)/Assumptions!$G$73)))</f>
        <v/>
      </c>
      <c r="AH546" s="229">
        <f>IF(Assumptions!$G$73&gt;4,($AH513+$AG513+$AF513+$AE513+$R513)/Assumptions!$G$73,IF(Assumptions!$G$73&gt;3,($AH513+$AG513+$AF513+$AE513)/Assumptions!$G$73,IF(Assumptions!$G$73&gt;2,($AH513+$AG513+$AF513)/Assumptions!$G$73,IF(Assumptions!$G$73&gt;1,($AH513+$AG513)/Assumptions!$G$73,$AH513/Assumptions!$G$73))))</f>
        <v/>
      </c>
    </row>
    <row r="547" ht="8.25" customHeight="1" s="277">
      <c r="A547" s="366" t="inlineStr">
        <is>
          <t>Total Depreciation for Period</t>
        </is>
      </c>
      <c r="B547" s="156" t="n"/>
      <c r="C547" s="228" t="n"/>
      <c r="D547" s="228" t="n"/>
      <c r="E547" s="228" t="n"/>
      <c r="F547" s="228">
        <f>SUM(F544:F546)</f>
        <v/>
      </c>
      <c r="G547" s="228">
        <f>SUM(G544:G546)</f>
        <v/>
      </c>
      <c r="H547" s="228">
        <f>SUM(H544:H546)</f>
        <v/>
      </c>
      <c r="I547" s="228">
        <f>SUM(I544:I546)</f>
        <v/>
      </c>
      <c r="J547" s="228">
        <f>SUM(J544:J546)</f>
        <v/>
      </c>
      <c r="K547" s="228">
        <f>SUM(K544:K546)</f>
        <v/>
      </c>
      <c r="L547" s="228">
        <f>SUM(L544:L546)</f>
        <v/>
      </c>
      <c r="M547" s="228">
        <f>SUM(M544:M546)</f>
        <v/>
      </c>
      <c r="N547" s="228">
        <f>SUM(N544:N546)</f>
        <v/>
      </c>
      <c r="O547" s="228">
        <f>SUM(O544:O546)</f>
        <v/>
      </c>
      <c r="P547" s="228">
        <f>SUM(P544:P546)</f>
        <v/>
      </c>
      <c r="Q547" s="228">
        <f>SUM(Q544:Q546)</f>
        <v/>
      </c>
      <c r="R547" s="158">
        <f>SUM(F547:Q547)</f>
        <v/>
      </c>
      <c r="S547" s="228">
        <f>SUM(S544:S546)</f>
        <v/>
      </c>
      <c r="T547" s="228">
        <f>SUM(T544:T546)</f>
        <v/>
      </c>
      <c r="U547" s="228">
        <f>SUM(U544:U546)</f>
        <v/>
      </c>
      <c r="V547" s="228">
        <f>SUM(V544:V546)</f>
        <v/>
      </c>
      <c r="W547" s="228">
        <f>SUM(W544:W546)</f>
        <v/>
      </c>
      <c r="X547" s="228">
        <f>SUM(X544:X546)</f>
        <v/>
      </c>
      <c r="Y547" s="228">
        <f>SUM(Y544:Y546)</f>
        <v/>
      </c>
      <c r="Z547" s="228">
        <f>SUM(Z544:Z546)</f>
        <v/>
      </c>
      <c r="AA547" s="228">
        <f>SUM(AA544:AA546)</f>
        <v/>
      </c>
      <c r="AB547" s="228">
        <f>SUM(AB544:AB546)</f>
        <v/>
      </c>
      <c r="AC547" s="228">
        <f>SUM(AC544:AC546)</f>
        <v/>
      </c>
      <c r="AD547" s="228">
        <f>SUM(AD544:AD546)</f>
        <v/>
      </c>
      <c r="AE547" s="158">
        <f>SUM(S547:AD547)</f>
        <v/>
      </c>
      <c r="AF547" s="158">
        <f>SUM(AF544:AF546)</f>
        <v/>
      </c>
      <c r="AG547" s="158">
        <f>SUM(AG544:AG546)</f>
        <v/>
      </c>
      <c r="AH547" s="158">
        <f>SUM(AH544:AH546)</f>
        <v/>
      </c>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f>F529+F535+F541+F547</f>
        <v/>
      </c>
      <c r="G549" s="228">
        <f>G529+G535+G541+G547</f>
        <v/>
      </c>
      <c r="H549" s="228">
        <f>H529+H535+H541+H547</f>
        <v/>
      </c>
      <c r="I549" s="228">
        <f>I529+I535+I541+I547</f>
        <v/>
      </c>
      <c r="J549" s="228">
        <f>J529+J535+J541+J547</f>
        <v/>
      </c>
      <c r="K549" s="228">
        <f>K529+K535+K541+K547</f>
        <v/>
      </c>
      <c r="L549" s="228">
        <f>L529+L535+L541+L547</f>
        <v/>
      </c>
      <c r="M549" s="228">
        <f>M529+M535+M541+M547</f>
        <v/>
      </c>
      <c r="N549" s="228">
        <f>N529+N535+N541+N547</f>
        <v/>
      </c>
      <c r="O549" s="228">
        <f>O529+O535+O541+O547</f>
        <v/>
      </c>
      <c r="P549" s="228">
        <f>P529+P535+P541+P547</f>
        <v/>
      </c>
      <c r="Q549" s="228">
        <f>Q529+Q535+Q541+Q547</f>
        <v/>
      </c>
      <c r="R549" s="158">
        <f>SUM(F549:Q549)</f>
        <v/>
      </c>
      <c r="S549" s="228">
        <f>S529+S535+S541+S547</f>
        <v/>
      </c>
      <c r="T549" s="228">
        <f>T529+T535+T541+T547</f>
        <v/>
      </c>
      <c r="U549" s="228">
        <f>U529+U535+U541+U547</f>
        <v/>
      </c>
      <c r="V549" s="228">
        <f>V529+V535+V541+V547</f>
        <v/>
      </c>
      <c r="W549" s="228">
        <f>W529+W535+W541+W547</f>
        <v/>
      </c>
      <c r="X549" s="228">
        <f>X529+X535+X541+X547</f>
        <v/>
      </c>
      <c r="Y549" s="228">
        <f>Y529+Y535+Y541+Y547</f>
        <v/>
      </c>
      <c r="Z549" s="228">
        <f>Z529+Z535+Z541+Z547</f>
        <v/>
      </c>
      <c r="AA549" s="228">
        <f>AA529+AA535+AA541+AA547</f>
        <v/>
      </c>
      <c r="AB549" s="228">
        <f>AB529+AB535+AB541+AB547</f>
        <v/>
      </c>
      <c r="AC549" s="228">
        <f>AC529+AC535+AC541+AC547</f>
        <v/>
      </c>
      <c r="AD549" s="228">
        <f>AD529+AD535+AD541+AD547</f>
        <v/>
      </c>
      <c r="AE549" s="158">
        <f>SUM(S549:AD549)</f>
        <v/>
      </c>
      <c r="AF549" s="158">
        <f>AF529+AF535+AF541+AF547</f>
        <v/>
      </c>
      <c r="AG549" s="158">
        <f>AG529+AG535+AG541+AG547</f>
        <v/>
      </c>
      <c r="AH549" s="158">
        <f>AH529+AH535+AH541+AH547</f>
        <v/>
      </c>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f>$A$1</f>
        <v/>
      </c>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f>NOW()</f>
        <v/>
      </c>
      <c r="C553" s="230" t="n"/>
      <c r="D553" s="230" t="n"/>
      <c r="E553" s="230" t="n"/>
      <c r="F553" s="142">
        <f>F$7</f>
        <v/>
      </c>
      <c r="G553" s="142">
        <f>G$7</f>
        <v/>
      </c>
      <c r="H553" s="142">
        <f>H$7</f>
        <v/>
      </c>
      <c r="I553" s="142">
        <f>I$7</f>
        <v/>
      </c>
      <c r="J553" s="142">
        <f>J$7</f>
        <v/>
      </c>
      <c r="K553" s="142">
        <f>K$7</f>
        <v/>
      </c>
      <c r="L553" s="142">
        <f>L$7</f>
        <v/>
      </c>
      <c r="M553" s="142">
        <f>M$7</f>
        <v/>
      </c>
      <c r="N553" s="142">
        <f>N$7</f>
        <v/>
      </c>
      <c r="O553" s="142">
        <f>O$7</f>
        <v/>
      </c>
      <c r="P553" s="142">
        <f>P$7</f>
        <v/>
      </c>
      <c r="Q553" s="142">
        <f>Q$7</f>
        <v/>
      </c>
      <c r="R553" s="143" t="inlineStr">
        <is>
          <t>Total</t>
        </is>
      </c>
      <c r="S553" s="142">
        <f>S$7</f>
        <v/>
      </c>
      <c r="T553" s="142">
        <f>T$7</f>
        <v/>
      </c>
      <c r="U553" s="142">
        <f>U$7</f>
        <v/>
      </c>
      <c r="V553" s="142">
        <f>V$7</f>
        <v/>
      </c>
      <c r="W553" s="142">
        <f>W$7</f>
        <v/>
      </c>
      <c r="X553" s="142">
        <f>X$7</f>
        <v/>
      </c>
      <c r="Y553" s="142">
        <f>Y$7</f>
        <v/>
      </c>
      <c r="Z553" s="142">
        <f>Z$7</f>
        <v/>
      </c>
      <c r="AA553" s="142">
        <f>AA$7</f>
        <v/>
      </c>
      <c r="AB553" s="142">
        <f>AB$7</f>
        <v/>
      </c>
      <c r="AC553" s="142">
        <f>AC$7</f>
        <v/>
      </c>
      <c r="AD553" s="142">
        <f>AD$7</f>
        <v/>
      </c>
      <c r="AE553" s="143" t="inlineStr">
        <is>
          <t>Total</t>
        </is>
      </c>
      <c r="AF553" s="143">
        <f>AF$7</f>
        <v/>
      </c>
      <c r="AG553" s="143">
        <f>AG$7</f>
        <v/>
      </c>
      <c r="AH553" s="143">
        <f>AH$7</f>
        <v/>
      </c>
    </row>
    <row r="554" ht="8.25" customHeight="1" s="277">
      <c r="A554" s="328" t="n"/>
      <c r="B554" s="329">
        <f>NOW()</f>
        <v/>
      </c>
      <c r="C554" s="330" t="n"/>
      <c r="D554" s="330" t="n"/>
      <c r="E554" s="330" t="n"/>
      <c r="F554" s="324">
        <f>F$1</f>
        <v/>
      </c>
      <c r="G554" s="324">
        <f>G$1</f>
        <v/>
      </c>
      <c r="H554" s="324">
        <f>H$1</f>
        <v/>
      </c>
      <c r="I554" s="324">
        <f>I$1</f>
        <v/>
      </c>
      <c r="J554" s="324">
        <f>J$1</f>
        <v/>
      </c>
      <c r="K554" s="324">
        <f>K$1</f>
        <v/>
      </c>
      <c r="L554" s="324">
        <f>L$1</f>
        <v/>
      </c>
      <c r="M554" s="324">
        <f>M$1</f>
        <v/>
      </c>
      <c r="N554" s="324">
        <f>N$1</f>
        <v/>
      </c>
      <c r="O554" s="324">
        <f>O$1</f>
        <v/>
      </c>
      <c r="P554" s="324">
        <f>P$1</f>
        <v/>
      </c>
      <c r="Q554" s="324">
        <f>Q$1</f>
        <v/>
      </c>
      <c r="R554" s="325">
        <f>R$1</f>
        <v/>
      </c>
      <c r="S554" s="324">
        <f>S$1</f>
        <v/>
      </c>
      <c r="T554" s="324">
        <f>T$1</f>
        <v/>
      </c>
      <c r="U554" s="324">
        <f>U$1</f>
        <v/>
      </c>
      <c r="V554" s="324">
        <f>V$1</f>
        <v/>
      </c>
      <c r="W554" s="324">
        <f>W$1</f>
        <v/>
      </c>
      <c r="X554" s="324">
        <f>X$1</f>
        <v/>
      </c>
      <c r="Y554" s="324">
        <f>Y$1</f>
        <v/>
      </c>
      <c r="Z554" s="324">
        <f>Z$1</f>
        <v/>
      </c>
      <c r="AA554" s="324">
        <f>AA$1</f>
        <v/>
      </c>
      <c r="AB554" s="324">
        <f>AB$1</f>
        <v/>
      </c>
      <c r="AC554" s="324">
        <f>AC$1</f>
        <v/>
      </c>
      <c r="AD554" s="324">
        <f>AD$1</f>
        <v/>
      </c>
      <c r="AE554" s="325">
        <f>AE$1</f>
        <v/>
      </c>
      <c r="AF554" s="325">
        <f>AF$1</f>
        <v/>
      </c>
      <c r="AG554" s="325">
        <f>AG$1</f>
        <v/>
      </c>
      <c r="AH554" s="325">
        <f>AH$1</f>
        <v/>
      </c>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f>UPPER($A$401)</f>
        <v/>
      </c>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f>F407</f>
        <v/>
      </c>
      <c r="G558" s="154">
        <f>G407</f>
        <v/>
      </c>
      <c r="H558" s="154">
        <f>H407</f>
        <v/>
      </c>
      <c r="I558" s="154">
        <f>I407</f>
        <v/>
      </c>
      <c r="J558" s="154">
        <f>J407</f>
        <v/>
      </c>
      <c r="K558" s="154">
        <f>K407</f>
        <v/>
      </c>
      <c r="L558" s="154">
        <f>L407</f>
        <v/>
      </c>
      <c r="M558" s="154">
        <f>M407</f>
        <v/>
      </c>
      <c r="N558" s="154">
        <f>N407</f>
        <v/>
      </c>
      <c r="O558" s="154">
        <f>O407</f>
        <v/>
      </c>
      <c r="P558" s="154">
        <f>P407</f>
        <v/>
      </c>
      <c r="Q558" s="154">
        <f>Q407</f>
        <v/>
      </c>
      <c r="R558" s="229">
        <f>Q558</f>
        <v/>
      </c>
      <c r="S558" s="154">
        <f>S407</f>
        <v/>
      </c>
      <c r="T558" s="154">
        <f>T407</f>
        <v/>
      </c>
      <c r="U558" s="154">
        <f>U407</f>
        <v/>
      </c>
      <c r="V558" s="154">
        <f>V407</f>
        <v/>
      </c>
      <c r="W558" s="154">
        <f>W407</f>
        <v/>
      </c>
      <c r="X558" s="154">
        <f>X407</f>
        <v/>
      </c>
      <c r="Y558" s="154">
        <f>Y407</f>
        <v/>
      </c>
      <c r="Z558" s="154">
        <f>Z407</f>
        <v/>
      </c>
      <c r="AA558" s="154">
        <f>AA407</f>
        <v/>
      </c>
      <c r="AB558" s="154">
        <f>AB407</f>
        <v/>
      </c>
      <c r="AC558" s="154">
        <f>AC407</f>
        <v/>
      </c>
      <c r="AD558" s="154">
        <f>AD407</f>
        <v/>
      </c>
      <c r="AE558" s="229">
        <f>AD558</f>
        <v/>
      </c>
      <c r="AF558" s="229">
        <f>AF407</f>
        <v/>
      </c>
      <c r="AG558" s="229">
        <f>AG407</f>
        <v/>
      </c>
      <c r="AH558" s="229">
        <f>AH407</f>
        <v/>
      </c>
    </row>
    <row r="559" ht="8.25" customHeight="1" s="277">
      <c r="A559" s="224" t="n"/>
      <c r="B559" s="225" t="inlineStr">
        <is>
          <t>Salary</t>
        </is>
      </c>
      <c r="C559" s="154" t="n"/>
      <c r="D559" s="154" t="n"/>
      <c r="E559" s="154" t="n"/>
      <c r="F559" s="154">
        <f>F450</f>
        <v/>
      </c>
      <c r="G559" s="154">
        <f>G450</f>
        <v/>
      </c>
      <c r="H559" s="154">
        <f>H450</f>
        <v/>
      </c>
      <c r="I559" s="154">
        <f>I450</f>
        <v/>
      </c>
      <c r="J559" s="154">
        <f>J450</f>
        <v/>
      </c>
      <c r="K559" s="154">
        <f>K450</f>
        <v/>
      </c>
      <c r="L559" s="154">
        <f>L450</f>
        <v/>
      </c>
      <c r="M559" s="154">
        <f>M450</f>
        <v/>
      </c>
      <c r="N559" s="154">
        <f>N450</f>
        <v/>
      </c>
      <c r="O559" s="154">
        <f>O450</f>
        <v/>
      </c>
      <c r="P559" s="154">
        <f>P450</f>
        <v/>
      </c>
      <c r="Q559" s="154">
        <f>Q450</f>
        <v/>
      </c>
      <c r="R559" s="229">
        <f>SUM(F559:Q559)</f>
        <v/>
      </c>
      <c r="S559" s="154">
        <f>S450</f>
        <v/>
      </c>
      <c r="T559" s="154">
        <f>T450</f>
        <v/>
      </c>
      <c r="U559" s="154">
        <f>U450</f>
        <v/>
      </c>
      <c r="V559" s="154">
        <f>V450</f>
        <v/>
      </c>
      <c r="W559" s="154">
        <f>W450</f>
        <v/>
      </c>
      <c r="X559" s="154">
        <f>X450</f>
        <v/>
      </c>
      <c r="Y559" s="154">
        <f>Y450</f>
        <v/>
      </c>
      <c r="Z559" s="154">
        <f>Z450</f>
        <v/>
      </c>
      <c r="AA559" s="154">
        <f>AA450</f>
        <v/>
      </c>
      <c r="AB559" s="154">
        <f>AB450</f>
        <v/>
      </c>
      <c r="AC559" s="154">
        <f>AC450</f>
        <v/>
      </c>
      <c r="AD559" s="154">
        <f>AD450</f>
        <v/>
      </c>
      <c r="AE559" s="229">
        <f>SUM(S559:AD559)</f>
        <v/>
      </c>
      <c r="AF559" s="229">
        <f>AF450</f>
        <v/>
      </c>
      <c r="AG559" s="229">
        <f>AG450</f>
        <v/>
      </c>
      <c r="AH559" s="229">
        <f>AH450</f>
        <v/>
      </c>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f>SUM(F560:Q560)</f>
        <v/>
      </c>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f>SUM(S560:AD560)</f>
        <v/>
      </c>
      <c r="AF560" s="229" t="n">
        <v>0</v>
      </c>
      <c r="AG560" s="229" t="n">
        <v>0</v>
      </c>
      <c r="AH560" s="229" t="n">
        <v>0</v>
      </c>
    </row>
    <row r="561" ht="8.25" customHeight="1" s="277">
      <c r="A561" s="224" t="n"/>
      <c r="B561" s="225" t="inlineStr">
        <is>
          <t>Benefits &amp; Taxes</t>
        </is>
      </c>
      <c r="C561" s="154" t="n"/>
      <c r="D561" s="154" t="n"/>
      <c r="E561" s="154" t="n"/>
      <c r="F561" s="154">
        <f>SUM(F559:F560)*F$482</f>
        <v/>
      </c>
      <c r="G561" s="154">
        <f>SUM(G559:G560)*G$482</f>
        <v/>
      </c>
      <c r="H561" s="154">
        <f>SUM(H559:H560)*H$482</f>
        <v/>
      </c>
      <c r="I561" s="154">
        <f>SUM(I559:I560)*I$482</f>
        <v/>
      </c>
      <c r="J561" s="154">
        <f>SUM(J559:J560)*J$482</f>
        <v/>
      </c>
      <c r="K561" s="154">
        <f>SUM(K559:K560)*K$482</f>
        <v/>
      </c>
      <c r="L561" s="154">
        <f>SUM(L559:L560)*L$482</f>
        <v/>
      </c>
      <c r="M561" s="154">
        <f>SUM(M559:M560)*M$482</f>
        <v/>
      </c>
      <c r="N561" s="154">
        <f>SUM(N559:N560)*N$482</f>
        <v/>
      </c>
      <c r="O561" s="154">
        <f>SUM(O559:O560)*O$482</f>
        <v/>
      </c>
      <c r="P561" s="154">
        <f>SUM(P559:P560)*P$482</f>
        <v/>
      </c>
      <c r="Q561" s="154">
        <f>SUM(Q559:Q560)*Q$482</f>
        <v/>
      </c>
      <c r="R561" s="229">
        <f>SUM(F561:Q561)</f>
        <v/>
      </c>
      <c r="S561" s="154">
        <f>SUM(S559:S560)*S$482</f>
        <v/>
      </c>
      <c r="T561" s="154">
        <f>SUM(T559:T560)*T$482</f>
        <v/>
      </c>
      <c r="U561" s="154">
        <f>SUM(U559:U560)*U$482</f>
        <v/>
      </c>
      <c r="V561" s="154">
        <f>SUM(V559:V560)*V$482</f>
        <v/>
      </c>
      <c r="W561" s="154">
        <f>SUM(W559:W560)*W$482</f>
        <v/>
      </c>
      <c r="X561" s="154">
        <f>SUM(X559:X560)*X$482</f>
        <v/>
      </c>
      <c r="Y561" s="154">
        <f>SUM(Y559:Y560)*Y$482</f>
        <v/>
      </c>
      <c r="Z561" s="154">
        <f>SUM(Z559:Z560)*Z$482</f>
        <v/>
      </c>
      <c r="AA561" s="154">
        <f>SUM(AA559:AA560)*AA$482</f>
        <v/>
      </c>
      <c r="AB561" s="154">
        <f>SUM(AB559:AB560)*AB$482</f>
        <v/>
      </c>
      <c r="AC561" s="154">
        <f>SUM(AC559:AC560)*AC$482</f>
        <v/>
      </c>
      <c r="AD561" s="154">
        <f>SUM(AD559:AD560)*AD$482</f>
        <v/>
      </c>
      <c r="AE561" s="229">
        <f>SUM(S561:AD561)</f>
        <v/>
      </c>
      <c r="AF561" s="229">
        <f>SUM(AF559:AF560)*AF$482</f>
        <v/>
      </c>
      <c r="AG561" s="229">
        <f>SUM(AG559:AG560)*AG$482</f>
        <v/>
      </c>
      <c r="AH561" s="229">
        <f>SUM(AH559:AH560)*AH$482</f>
        <v/>
      </c>
    </row>
    <row r="562" ht="8.25" customHeight="1" s="277">
      <c r="A562" s="233" t="inlineStr">
        <is>
          <t>Total Labor</t>
        </is>
      </c>
      <c r="B562" s="156" t="n"/>
      <c r="C562" s="228" t="n"/>
      <c r="D562" s="228" t="n"/>
      <c r="E562" s="228" t="n"/>
      <c r="F562" s="228">
        <f>SUM(F559:F561)</f>
        <v/>
      </c>
      <c r="G562" s="228">
        <f>SUM(G559:G561)</f>
        <v/>
      </c>
      <c r="H562" s="228">
        <f>SUM(H559:H561)</f>
        <v/>
      </c>
      <c r="I562" s="228">
        <f>SUM(I559:I561)</f>
        <v/>
      </c>
      <c r="J562" s="228">
        <f>SUM(J559:J561)</f>
        <v/>
      </c>
      <c r="K562" s="228">
        <f>SUM(K559:K561)</f>
        <v/>
      </c>
      <c r="L562" s="228">
        <f>SUM(L559:L561)</f>
        <v/>
      </c>
      <c r="M562" s="228">
        <f>SUM(M559:M561)</f>
        <v/>
      </c>
      <c r="N562" s="228">
        <f>SUM(N559:N561)</f>
        <v/>
      </c>
      <c r="O562" s="228">
        <f>SUM(O559:O561)</f>
        <v/>
      </c>
      <c r="P562" s="228">
        <f>SUM(P559:P561)</f>
        <v/>
      </c>
      <c r="Q562" s="228">
        <f>SUM(Q559:Q561)</f>
        <v/>
      </c>
      <c r="R562" s="158">
        <f>SUM(F562:Q562)</f>
        <v/>
      </c>
      <c r="S562" s="228">
        <f>SUM(S559:S561)</f>
        <v/>
      </c>
      <c r="T562" s="228">
        <f>SUM(T559:T561)</f>
        <v/>
      </c>
      <c r="U562" s="228">
        <f>SUM(U559:U561)</f>
        <v/>
      </c>
      <c r="V562" s="228">
        <f>SUM(V559:V561)</f>
        <v/>
      </c>
      <c r="W562" s="228">
        <f>SUM(W559:W561)</f>
        <v/>
      </c>
      <c r="X562" s="228">
        <f>SUM(X559:X561)</f>
        <v/>
      </c>
      <c r="Y562" s="228">
        <f>SUM(Y559:Y561)</f>
        <v/>
      </c>
      <c r="Z562" s="228">
        <f>SUM(Z559:Z561)</f>
        <v/>
      </c>
      <c r="AA562" s="228">
        <f>SUM(AA559:AA561)</f>
        <v/>
      </c>
      <c r="AB562" s="228">
        <f>SUM(AB559:AB561)</f>
        <v/>
      </c>
      <c r="AC562" s="228">
        <f>SUM(AC559:AC561)</f>
        <v/>
      </c>
      <c r="AD562" s="228">
        <f>SUM(AD559:AD561)</f>
        <v/>
      </c>
      <c r="AE562" s="158">
        <f>SUM(S562:AD562)</f>
        <v/>
      </c>
      <c r="AF562" s="158">
        <f>SUM(AF559:AF561)</f>
        <v/>
      </c>
      <c r="AG562" s="158">
        <f>SUM(AG559:AG561)</f>
        <v/>
      </c>
      <c r="AH562" s="158">
        <f>SUM(AH559:AH561)</f>
        <v/>
      </c>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f>Assumptions!E91</f>
        <v/>
      </c>
      <c r="D565" s="154" t="n"/>
      <c r="E565" s="154" t="n"/>
      <c r="F565" s="154">
        <f>$C565*F$558</f>
        <v/>
      </c>
      <c r="G565" s="154">
        <f>$C565*G$558</f>
        <v/>
      </c>
      <c r="H565" s="154">
        <f>$C565*H$558</f>
        <v/>
      </c>
      <c r="I565" s="154">
        <f>$C565*I$558</f>
        <v/>
      </c>
      <c r="J565" s="154">
        <f>$C565*J$558</f>
        <v/>
      </c>
      <c r="K565" s="154">
        <f>$C565*K$558</f>
        <v/>
      </c>
      <c r="L565" s="154">
        <f>$C565*L$558</f>
        <v/>
      </c>
      <c r="M565" s="154">
        <f>$C565*M$558</f>
        <v/>
      </c>
      <c r="N565" s="154">
        <f>$C565*N$558</f>
        <v/>
      </c>
      <c r="O565" s="154">
        <f>$C565*O$558</f>
        <v/>
      </c>
      <c r="P565" s="154">
        <f>$C565*P$558</f>
        <v/>
      </c>
      <c r="Q565" s="154">
        <f>$C565*Q$558</f>
        <v/>
      </c>
      <c r="R565" s="229">
        <f>SUM(F565:Q565)</f>
        <v/>
      </c>
      <c r="S565" s="154">
        <f>$C565*S$558</f>
        <v/>
      </c>
      <c r="T565" s="154">
        <f>$C565*T$558</f>
        <v/>
      </c>
      <c r="U565" s="154">
        <f>$C565*U$558</f>
        <v/>
      </c>
      <c r="V565" s="154">
        <f>$C565*V$558</f>
        <v/>
      </c>
      <c r="W565" s="154">
        <f>$C565*W$558</f>
        <v/>
      </c>
      <c r="X565" s="154">
        <f>$C565*X$558</f>
        <v/>
      </c>
      <c r="Y565" s="154">
        <f>$C565*Y$558</f>
        <v/>
      </c>
      <c r="Z565" s="154">
        <f>$C565*Z$558</f>
        <v/>
      </c>
      <c r="AA565" s="154">
        <f>$C565*AA$558</f>
        <v/>
      </c>
      <c r="AB565" s="154">
        <f>$C565*AB$558</f>
        <v/>
      </c>
      <c r="AC565" s="154">
        <f>$C565*AC$558</f>
        <v/>
      </c>
      <c r="AD565" s="154">
        <f>$C565*AD$558</f>
        <v/>
      </c>
      <c r="AE565" s="229">
        <f>SUM(S565:AD565)</f>
        <v/>
      </c>
      <c r="AF565" s="229">
        <f>$C565*AF$558*4</f>
        <v/>
      </c>
      <c r="AG565" s="229">
        <f>$C565*AG$558*4</f>
        <v/>
      </c>
      <c r="AH565" s="229">
        <f>$C565*AH$558*4</f>
        <v/>
      </c>
    </row>
    <row r="566" ht="8.25" customHeight="1" s="277">
      <c r="A566" s="224" t="n"/>
      <c r="B566" s="225" t="inlineStr">
        <is>
          <t>Travel &amp; Meals</t>
        </is>
      </c>
      <c r="C566" s="337">
        <f>Assumptions!F91</f>
        <v/>
      </c>
      <c r="D566" s="154" t="n"/>
      <c r="E566" s="154" t="n"/>
      <c r="F566" s="154">
        <f>$C566*F$558</f>
        <v/>
      </c>
      <c r="G566" s="154">
        <f>$C566*G$558</f>
        <v/>
      </c>
      <c r="H566" s="154">
        <f>$C566*H$558</f>
        <v/>
      </c>
      <c r="I566" s="154">
        <f>$C566*I$558</f>
        <v/>
      </c>
      <c r="J566" s="154">
        <f>$C566*J$558</f>
        <v/>
      </c>
      <c r="K566" s="154">
        <f>$C566*K$558</f>
        <v/>
      </c>
      <c r="L566" s="154">
        <f>$C566*L$558</f>
        <v/>
      </c>
      <c r="M566" s="154">
        <f>$C566*M$558</f>
        <v/>
      </c>
      <c r="N566" s="154">
        <f>$C566*N$558</f>
        <v/>
      </c>
      <c r="O566" s="154">
        <f>$C566*O$558</f>
        <v/>
      </c>
      <c r="P566" s="154">
        <f>$C566*P$558</f>
        <v/>
      </c>
      <c r="Q566" s="154">
        <f>$C566*Q$558</f>
        <v/>
      </c>
      <c r="R566" s="229">
        <f>SUM(F566:Q566)</f>
        <v/>
      </c>
      <c r="S566" s="154">
        <f>$C566*S$558</f>
        <v/>
      </c>
      <c r="T566" s="154">
        <f>$C566*T$558</f>
        <v/>
      </c>
      <c r="U566" s="154">
        <f>$C566*U$558</f>
        <v/>
      </c>
      <c r="V566" s="154">
        <f>$C566*V$558</f>
        <v/>
      </c>
      <c r="W566" s="154">
        <f>$C566*W$558</f>
        <v/>
      </c>
      <c r="X566" s="154">
        <f>$C566*X$558</f>
        <v/>
      </c>
      <c r="Y566" s="154">
        <f>$C566*Y$558</f>
        <v/>
      </c>
      <c r="Z566" s="154">
        <f>$C566*Z$558</f>
        <v/>
      </c>
      <c r="AA566" s="154">
        <f>$C566*AA$558</f>
        <v/>
      </c>
      <c r="AB566" s="154">
        <f>$C566*AB$558</f>
        <v/>
      </c>
      <c r="AC566" s="154">
        <f>$C566*AC$558</f>
        <v/>
      </c>
      <c r="AD566" s="154">
        <f>$C566*AD$558</f>
        <v/>
      </c>
      <c r="AE566" s="229">
        <f>SUM(S566:AD566)</f>
        <v/>
      </c>
      <c r="AF566" s="229">
        <f>$C566*AF$558*4</f>
        <v/>
      </c>
      <c r="AG566" s="229">
        <f>$C566*AG$558*4</f>
        <v/>
      </c>
      <c r="AH566" s="229">
        <f>$C566*AH$558*4</f>
        <v/>
      </c>
    </row>
    <row r="567" ht="8.25" customHeight="1" s="277">
      <c r="A567" s="224" t="n"/>
      <c r="B567" s="225" t="inlineStr">
        <is>
          <t>Telephone/Postage</t>
        </is>
      </c>
      <c r="C567" s="337">
        <f>Assumptions!G91</f>
        <v/>
      </c>
      <c r="D567" s="154" t="n"/>
      <c r="E567" s="154" t="n"/>
      <c r="F567" s="154">
        <f>$C567*F$558</f>
        <v/>
      </c>
      <c r="G567" s="154">
        <f>$C567*G$558</f>
        <v/>
      </c>
      <c r="H567" s="154">
        <f>$C567*H$558</f>
        <v/>
      </c>
      <c r="I567" s="154">
        <f>$C567*I$558</f>
        <v/>
      </c>
      <c r="J567" s="154">
        <f>$C567*J$558</f>
        <v/>
      </c>
      <c r="K567" s="154">
        <f>$C567*K$558</f>
        <v/>
      </c>
      <c r="L567" s="154">
        <f>$C567*L$558</f>
        <v/>
      </c>
      <c r="M567" s="154">
        <f>$C567*M$558</f>
        <v/>
      </c>
      <c r="N567" s="154">
        <f>$C567*N$558</f>
        <v/>
      </c>
      <c r="O567" s="154">
        <f>$C567*O$558</f>
        <v/>
      </c>
      <c r="P567" s="154">
        <f>$C567*P$558</f>
        <v/>
      </c>
      <c r="Q567" s="154">
        <f>$C567*Q$558</f>
        <v/>
      </c>
      <c r="R567" s="229">
        <f>SUM(F567:Q567)</f>
        <v/>
      </c>
      <c r="S567" s="154">
        <f>$C567*S$558</f>
        <v/>
      </c>
      <c r="T567" s="154">
        <f>$C567*T$558</f>
        <v/>
      </c>
      <c r="U567" s="154">
        <f>$C567*U$558</f>
        <v/>
      </c>
      <c r="V567" s="154">
        <f>$C567*V$558</f>
        <v/>
      </c>
      <c r="W567" s="154">
        <f>$C567*W$558</f>
        <v/>
      </c>
      <c r="X567" s="154">
        <f>$C567*X$558</f>
        <v/>
      </c>
      <c r="Y567" s="154">
        <f>$C567*Y$558</f>
        <v/>
      </c>
      <c r="Z567" s="154">
        <f>$C567*Z$558</f>
        <v/>
      </c>
      <c r="AA567" s="154">
        <f>$C567*AA$558</f>
        <v/>
      </c>
      <c r="AB567" s="154">
        <f>$C567*AB$558</f>
        <v/>
      </c>
      <c r="AC567" s="154">
        <f>$C567*AC$558</f>
        <v/>
      </c>
      <c r="AD567" s="154">
        <f>$C567*AD$558</f>
        <v/>
      </c>
      <c r="AE567" s="229">
        <f>SUM(S567:AD567)</f>
        <v/>
      </c>
      <c r="AF567" s="229">
        <f>$C567*AF$558*4</f>
        <v/>
      </c>
      <c r="AG567" s="229">
        <f>$C567*AG$558*4</f>
        <v/>
      </c>
      <c r="AH567" s="229">
        <f>$C567*AH$558*4</f>
        <v/>
      </c>
    </row>
    <row r="568" ht="8.25" customHeight="1" s="277">
      <c r="A568" s="224" t="n"/>
      <c r="B568" s="225" t="inlineStr">
        <is>
          <t>Depreciation</t>
        </is>
      </c>
      <c r="C568" s="154" t="n"/>
      <c r="D568" s="154" t="n"/>
      <c r="E568" s="154" t="n"/>
      <c r="F568" s="154">
        <f>F529</f>
        <v/>
      </c>
      <c r="G568" s="154">
        <f>G529</f>
        <v/>
      </c>
      <c r="H568" s="154">
        <f>H529</f>
        <v/>
      </c>
      <c r="I568" s="154">
        <f>I529</f>
        <v/>
      </c>
      <c r="J568" s="154">
        <f>J529</f>
        <v/>
      </c>
      <c r="K568" s="154">
        <f>K529</f>
        <v/>
      </c>
      <c r="L568" s="154">
        <f>L529</f>
        <v/>
      </c>
      <c r="M568" s="154">
        <f>M529</f>
        <v/>
      </c>
      <c r="N568" s="154">
        <f>N529</f>
        <v/>
      </c>
      <c r="O568" s="154">
        <f>O529</f>
        <v/>
      </c>
      <c r="P568" s="154">
        <f>P529</f>
        <v/>
      </c>
      <c r="Q568" s="154">
        <f>Q529</f>
        <v/>
      </c>
      <c r="R568" s="229">
        <f>SUM(F568:Q568)</f>
        <v/>
      </c>
      <c r="S568" s="154">
        <f>S529</f>
        <v/>
      </c>
      <c r="T568" s="154">
        <f>T529</f>
        <v/>
      </c>
      <c r="U568" s="154">
        <f>U529</f>
        <v/>
      </c>
      <c r="V568" s="154">
        <f>V529</f>
        <v/>
      </c>
      <c r="W568" s="154">
        <f>W529</f>
        <v/>
      </c>
      <c r="X568" s="154">
        <f>X529</f>
        <v/>
      </c>
      <c r="Y568" s="154">
        <f>Y529</f>
        <v/>
      </c>
      <c r="Z568" s="154">
        <f>Z529</f>
        <v/>
      </c>
      <c r="AA568" s="154">
        <f>AA529</f>
        <v/>
      </c>
      <c r="AB568" s="154">
        <f>AB529</f>
        <v/>
      </c>
      <c r="AC568" s="154">
        <f>AC529</f>
        <v/>
      </c>
      <c r="AD568" s="154">
        <f>AD529</f>
        <v/>
      </c>
      <c r="AE568" s="229">
        <f>SUM(S568:AD568)</f>
        <v/>
      </c>
      <c r="AF568" s="229">
        <f>AF529</f>
        <v/>
      </c>
      <c r="AG568" s="229">
        <f>AG529</f>
        <v/>
      </c>
      <c r="AH568" s="229">
        <f>AH529</f>
        <v/>
      </c>
    </row>
    <row r="569" ht="8.25" customHeight="1" s="277">
      <c r="A569" s="233" t="inlineStr">
        <is>
          <t>Total Other Direct Costs</t>
        </is>
      </c>
      <c r="B569" s="156" t="n"/>
      <c r="C569" s="228" t="n"/>
      <c r="D569" s="228" t="n"/>
      <c r="E569" s="228" t="n"/>
      <c r="F569" s="228">
        <f>SUM(F565:F568)</f>
        <v/>
      </c>
      <c r="G569" s="228">
        <f>SUM(G565:G568)</f>
        <v/>
      </c>
      <c r="H569" s="228">
        <f>SUM(H565:H568)</f>
        <v/>
      </c>
      <c r="I569" s="228">
        <f>SUM(I565:I568)</f>
        <v/>
      </c>
      <c r="J569" s="228">
        <f>SUM(J565:J568)</f>
        <v/>
      </c>
      <c r="K569" s="228">
        <f>SUM(K565:K568)</f>
        <v/>
      </c>
      <c r="L569" s="228">
        <f>SUM(L565:L568)</f>
        <v/>
      </c>
      <c r="M569" s="228">
        <f>SUM(M565:M568)</f>
        <v/>
      </c>
      <c r="N569" s="228">
        <f>SUM(N565:N568)</f>
        <v/>
      </c>
      <c r="O569" s="228">
        <f>SUM(O565:O568)</f>
        <v/>
      </c>
      <c r="P569" s="228">
        <f>SUM(P565:P568)</f>
        <v/>
      </c>
      <c r="Q569" s="228">
        <f>SUM(Q565:Q568)</f>
        <v/>
      </c>
      <c r="R569" s="158">
        <f>SUM(F569:Q569)</f>
        <v/>
      </c>
      <c r="S569" s="228">
        <f>SUM(S565:S568)</f>
        <v/>
      </c>
      <c r="T569" s="228">
        <f>SUM(T565:T568)</f>
        <v/>
      </c>
      <c r="U569" s="228">
        <f>SUM(U565:U568)</f>
        <v/>
      </c>
      <c r="V569" s="228">
        <f>SUM(V565:V568)</f>
        <v/>
      </c>
      <c r="W569" s="228">
        <f>SUM(W565:W568)</f>
        <v/>
      </c>
      <c r="X569" s="228">
        <f>SUM(X565:X568)</f>
        <v/>
      </c>
      <c r="Y569" s="228">
        <f>SUM(Y565:Y568)</f>
        <v/>
      </c>
      <c r="Z569" s="228">
        <f>SUM(Z565:Z568)</f>
        <v/>
      </c>
      <c r="AA569" s="228">
        <f>SUM(AA565:AA568)</f>
        <v/>
      </c>
      <c r="AB569" s="228">
        <f>SUM(AB565:AB568)</f>
        <v/>
      </c>
      <c r="AC569" s="228">
        <f>SUM(AC565:AC568)</f>
        <v/>
      </c>
      <c r="AD569" s="228">
        <f>SUM(AD565:AD568)</f>
        <v/>
      </c>
      <c r="AE569" s="158">
        <f>SUM(S569:AD569)</f>
        <v/>
      </c>
      <c r="AF569" s="158">
        <f>SUM(AF565:AF568)</f>
        <v/>
      </c>
      <c r="AG569" s="158">
        <f>SUM(AG565:AG568)</f>
        <v/>
      </c>
      <c r="AH569" s="158">
        <f>SUM(AH565:AH568)</f>
        <v/>
      </c>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f>F562+F569</f>
        <v/>
      </c>
      <c r="G571" s="154">
        <f>G562+G569</f>
        <v/>
      </c>
      <c r="H571" s="154">
        <f>H562+H569</f>
        <v/>
      </c>
      <c r="I571" s="154">
        <f>I562+I569</f>
        <v/>
      </c>
      <c r="J571" s="154">
        <f>J562+J569</f>
        <v/>
      </c>
      <c r="K571" s="154">
        <f>K562+K569</f>
        <v/>
      </c>
      <c r="L571" s="154">
        <f>L562+L569</f>
        <v/>
      </c>
      <c r="M571" s="154">
        <f>M562+M569</f>
        <v/>
      </c>
      <c r="N571" s="154">
        <f>N562+N569</f>
        <v/>
      </c>
      <c r="O571" s="154">
        <f>O562+O569</f>
        <v/>
      </c>
      <c r="P571" s="154">
        <f>P562+P569</f>
        <v/>
      </c>
      <c r="Q571" s="154">
        <f>Q562+Q569</f>
        <v/>
      </c>
      <c r="R571" s="229">
        <f>SUM(F571:Q571)</f>
        <v/>
      </c>
      <c r="S571" s="154">
        <f>S562+S569</f>
        <v/>
      </c>
      <c r="T571" s="154">
        <f>T562+T569</f>
        <v/>
      </c>
      <c r="U571" s="154">
        <f>U562+U569</f>
        <v/>
      </c>
      <c r="V571" s="154">
        <f>V562+V569</f>
        <v/>
      </c>
      <c r="W571" s="154">
        <f>W562+W569</f>
        <v/>
      </c>
      <c r="X571" s="154">
        <f>X562+X569</f>
        <v/>
      </c>
      <c r="Y571" s="154">
        <f>Y562+Y569</f>
        <v/>
      </c>
      <c r="Z571" s="154">
        <f>Z562+Z569</f>
        <v/>
      </c>
      <c r="AA571" s="154">
        <f>AA562+AA569</f>
        <v/>
      </c>
      <c r="AB571" s="154">
        <f>AB562+AB569</f>
        <v/>
      </c>
      <c r="AC571" s="154">
        <f>AC562+AC569</f>
        <v/>
      </c>
      <c r="AD571" s="154">
        <f>AD562+AD569</f>
        <v/>
      </c>
      <c r="AE571" s="229">
        <f>SUM(S571:AD571)</f>
        <v/>
      </c>
      <c r="AF571" s="229">
        <f>AF562+AF569</f>
        <v/>
      </c>
      <c r="AG571" s="229">
        <f>AG562+AG569</f>
        <v/>
      </c>
      <c r="AH571" s="229">
        <f>AH562+AH569</f>
        <v/>
      </c>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f>"Inventory ("&amp;$C$574&amp;" days)"</f>
        <v/>
      </c>
      <c r="B574" s="225" t="n"/>
      <c r="C574" s="344">
        <f>Assumptions!I62</f>
        <v/>
      </c>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f>$B$89</f>
        <v/>
      </c>
      <c r="C577" s="154" t="n"/>
      <c r="D577" s="154" t="n"/>
      <c r="E577" s="154" t="n"/>
      <c r="F577" s="154" t="n">
        <v>0</v>
      </c>
      <c r="G577" s="154">
        <f>F598</f>
        <v/>
      </c>
      <c r="H577" s="154">
        <f>G598</f>
        <v/>
      </c>
      <c r="I577" s="154">
        <f>H598</f>
        <v/>
      </c>
      <c r="J577" s="154">
        <f>I598</f>
        <v/>
      </c>
      <c r="K577" s="154">
        <f>J598</f>
        <v/>
      </c>
      <c r="L577" s="154">
        <f>K598</f>
        <v/>
      </c>
      <c r="M577" s="154">
        <f>L598</f>
        <v/>
      </c>
      <c r="N577" s="154">
        <f>M598</f>
        <v/>
      </c>
      <c r="O577" s="154">
        <f>N598</f>
        <v/>
      </c>
      <c r="P577" s="154">
        <f>O598</f>
        <v/>
      </c>
      <c r="Q577" s="154">
        <f>P598</f>
        <v/>
      </c>
      <c r="R577" s="229">
        <f>Q577</f>
        <v/>
      </c>
      <c r="S577" s="154">
        <f>Q598</f>
        <v/>
      </c>
      <c r="T577" s="154">
        <f>S598</f>
        <v/>
      </c>
      <c r="U577" s="154">
        <f>T598</f>
        <v/>
      </c>
      <c r="V577" s="154">
        <f>U598</f>
        <v/>
      </c>
      <c r="W577" s="154">
        <f>V598</f>
        <v/>
      </c>
      <c r="X577" s="154">
        <f>W598</f>
        <v/>
      </c>
      <c r="Y577" s="154">
        <f>X598</f>
        <v/>
      </c>
      <c r="Z577" s="154">
        <f>Y598</f>
        <v/>
      </c>
      <c r="AA577" s="154">
        <f>Z598</f>
        <v/>
      </c>
      <c r="AB577" s="154">
        <f>AA598</f>
        <v/>
      </c>
      <c r="AC577" s="154">
        <f>AB598</f>
        <v/>
      </c>
      <c r="AD577" s="154">
        <f>AC598</f>
        <v/>
      </c>
      <c r="AE577" s="229">
        <f>AD577</f>
        <v/>
      </c>
      <c r="AF577" s="229">
        <f>AE598</f>
        <v/>
      </c>
      <c r="AG577" s="229">
        <f>AF598</f>
        <v/>
      </c>
      <c r="AH577" s="229">
        <f>AG598</f>
        <v/>
      </c>
    </row>
    <row r="578" ht="8.25" customHeight="1" s="277">
      <c r="A578" s="225" t="n"/>
      <c r="B578" s="225">
        <f>$B$90</f>
        <v/>
      </c>
      <c r="C578" s="154" t="n"/>
      <c r="D578" s="154" t="n"/>
      <c r="E578" s="154" t="n"/>
      <c r="F578" s="154" t="n">
        <v>0</v>
      </c>
      <c r="G578" s="154">
        <f>F599</f>
        <v/>
      </c>
      <c r="H578" s="154">
        <f>G599</f>
        <v/>
      </c>
      <c r="I578" s="154">
        <f>H599</f>
        <v/>
      </c>
      <c r="J578" s="154">
        <f>I599</f>
        <v/>
      </c>
      <c r="K578" s="154">
        <f>J599</f>
        <v/>
      </c>
      <c r="L578" s="154">
        <f>K599</f>
        <v/>
      </c>
      <c r="M578" s="154">
        <f>L599</f>
        <v/>
      </c>
      <c r="N578" s="154">
        <f>M599</f>
        <v/>
      </c>
      <c r="O578" s="154">
        <f>N599</f>
        <v/>
      </c>
      <c r="P578" s="154">
        <f>O599</f>
        <v/>
      </c>
      <c r="Q578" s="154">
        <f>P599</f>
        <v/>
      </c>
      <c r="R578" s="229">
        <f>Q578</f>
        <v/>
      </c>
      <c r="S578" s="154">
        <f>Q599</f>
        <v/>
      </c>
      <c r="T578" s="154">
        <f>S599</f>
        <v/>
      </c>
      <c r="U578" s="154">
        <f>T599</f>
        <v/>
      </c>
      <c r="V578" s="154">
        <f>U599</f>
        <v/>
      </c>
      <c r="W578" s="154">
        <f>V599</f>
        <v/>
      </c>
      <c r="X578" s="154">
        <f>W599</f>
        <v/>
      </c>
      <c r="Y578" s="154">
        <f>X599</f>
        <v/>
      </c>
      <c r="Z578" s="154">
        <f>Y599</f>
        <v/>
      </c>
      <c r="AA578" s="154">
        <f>Z599</f>
        <v/>
      </c>
      <c r="AB578" s="154">
        <f>AA599</f>
        <v/>
      </c>
      <c r="AC578" s="154">
        <f>AB599</f>
        <v/>
      </c>
      <c r="AD578" s="154">
        <f>AC599</f>
        <v/>
      </c>
      <c r="AE578" s="229">
        <f>AD578</f>
        <v/>
      </c>
      <c r="AF578" s="229">
        <f>AE599</f>
        <v/>
      </c>
      <c r="AG578" s="229">
        <f>AF599</f>
        <v/>
      </c>
      <c r="AH578" s="229">
        <f>AG599</f>
        <v/>
      </c>
    </row>
    <row r="579" ht="8.25" customHeight="1" s="277">
      <c r="A579" s="225" t="n"/>
      <c r="B579" s="225">
        <f>$B$91</f>
        <v/>
      </c>
      <c r="C579" s="154" t="n"/>
      <c r="D579" s="154" t="n"/>
      <c r="E579" s="154" t="n"/>
      <c r="F579" s="154" t="n">
        <v>0</v>
      </c>
      <c r="G579" s="154">
        <f>F600</f>
        <v/>
      </c>
      <c r="H579" s="154">
        <f>G600</f>
        <v/>
      </c>
      <c r="I579" s="154">
        <f>H600</f>
        <v/>
      </c>
      <c r="J579" s="154">
        <f>I600</f>
        <v/>
      </c>
      <c r="K579" s="154">
        <f>J600</f>
        <v/>
      </c>
      <c r="L579" s="154">
        <f>K600</f>
        <v/>
      </c>
      <c r="M579" s="154">
        <f>L600</f>
        <v/>
      </c>
      <c r="N579" s="154">
        <f>M600</f>
        <v/>
      </c>
      <c r="O579" s="154">
        <f>N600</f>
        <v/>
      </c>
      <c r="P579" s="154">
        <f>O600</f>
        <v/>
      </c>
      <c r="Q579" s="154">
        <f>P600</f>
        <v/>
      </c>
      <c r="R579" s="229">
        <f>Q579</f>
        <v/>
      </c>
      <c r="S579" s="154">
        <f>Q600</f>
        <v/>
      </c>
      <c r="T579" s="154">
        <f>S600</f>
        <v/>
      </c>
      <c r="U579" s="154">
        <f>T600</f>
        <v/>
      </c>
      <c r="V579" s="154">
        <f>U600</f>
        <v/>
      </c>
      <c r="W579" s="154">
        <f>V600</f>
        <v/>
      </c>
      <c r="X579" s="154">
        <f>W600</f>
        <v/>
      </c>
      <c r="Y579" s="154">
        <f>X600</f>
        <v/>
      </c>
      <c r="Z579" s="154">
        <f>Y600</f>
        <v/>
      </c>
      <c r="AA579" s="154">
        <f>Z600</f>
        <v/>
      </c>
      <c r="AB579" s="154">
        <f>AA600</f>
        <v/>
      </c>
      <c r="AC579" s="154">
        <f>AB600</f>
        <v/>
      </c>
      <c r="AD579" s="154">
        <f>AC600</f>
        <v/>
      </c>
      <c r="AE579" s="229">
        <f>AD579</f>
        <v/>
      </c>
      <c r="AF579" s="229">
        <f>AE600</f>
        <v/>
      </c>
      <c r="AG579" s="229">
        <f>AF600</f>
        <v/>
      </c>
      <c r="AH579" s="229">
        <f>AG600</f>
        <v/>
      </c>
    </row>
    <row r="580" ht="8.25" customHeight="1" s="277">
      <c r="A580" s="225" t="n"/>
      <c r="B580" s="225">
        <f>$B$92</f>
        <v/>
      </c>
      <c r="C580" s="154" t="n"/>
      <c r="D580" s="154" t="n"/>
      <c r="E580" s="154" t="n"/>
      <c r="F580" s="154" t="n">
        <v>0</v>
      </c>
      <c r="G580" s="154">
        <f>F601</f>
        <v/>
      </c>
      <c r="H580" s="154">
        <f>G601</f>
        <v/>
      </c>
      <c r="I580" s="154">
        <f>H601</f>
        <v/>
      </c>
      <c r="J580" s="154">
        <f>I601</f>
        <v/>
      </c>
      <c r="K580" s="154">
        <f>J601</f>
        <v/>
      </c>
      <c r="L580" s="154">
        <f>K601</f>
        <v/>
      </c>
      <c r="M580" s="154">
        <f>L601</f>
        <v/>
      </c>
      <c r="N580" s="154">
        <f>M601</f>
        <v/>
      </c>
      <c r="O580" s="154">
        <f>N601</f>
        <v/>
      </c>
      <c r="P580" s="154">
        <f>O601</f>
        <v/>
      </c>
      <c r="Q580" s="154">
        <f>P601</f>
        <v/>
      </c>
      <c r="R580" s="229">
        <f>Q580</f>
        <v/>
      </c>
      <c r="S580" s="154">
        <f>Q601</f>
        <v/>
      </c>
      <c r="T580" s="154">
        <f>S601</f>
        <v/>
      </c>
      <c r="U580" s="154">
        <f>T601</f>
        <v/>
      </c>
      <c r="V580" s="154">
        <f>U601</f>
        <v/>
      </c>
      <c r="W580" s="154">
        <f>V601</f>
        <v/>
      </c>
      <c r="X580" s="154">
        <f>W601</f>
        <v/>
      </c>
      <c r="Y580" s="154">
        <f>X601</f>
        <v/>
      </c>
      <c r="Z580" s="154">
        <f>Y601</f>
        <v/>
      </c>
      <c r="AA580" s="154">
        <f>Z601</f>
        <v/>
      </c>
      <c r="AB580" s="154">
        <f>AA601</f>
        <v/>
      </c>
      <c r="AC580" s="154">
        <f>AB601</f>
        <v/>
      </c>
      <c r="AD580" s="154">
        <f>AC601</f>
        <v/>
      </c>
      <c r="AE580" s="229">
        <f>AD580</f>
        <v/>
      </c>
      <c r="AF580" s="229">
        <f>AE601</f>
        <v/>
      </c>
      <c r="AG580" s="229">
        <f>AF601</f>
        <v/>
      </c>
      <c r="AH580" s="229">
        <f>AG601</f>
        <v/>
      </c>
    </row>
    <row r="581" ht="8.25" customHeight="1" s="277">
      <c r="A581" s="156" t="inlineStr">
        <is>
          <t>Total Beginning Inventory</t>
        </is>
      </c>
      <c r="B581" s="156" t="n"/>
      <c r="C581" s="228" t="n"/>
      <c r="D581" s="228" t="n"/>
      <c r="E581" s="228" t="n"/>
      <c r="F581" s="228">
        <f>SUM(F577:F580)</f>
        <v/>
      </c>
      <c r="G581" s="228">
        <f>SUM(G577:G580)</f>
        <v/>
      </c>
      <c r="H581" s="228">
        <f>SUM(H577:H580)</f>
        <v/>
      </c>
      <c r="I581" s="228">
        <f>SUM(I577:I580)</f>
        <v/>
      </c>
      <c r="J581" s="228">
        <f>SUM(J577:J580)</f>
        <v/>
      </c>
      <c r="K581" s="228">
        <f>SUM(K577:K580)</f>
        <v/>
      </c>
      <c r="L581" s="228">
        <f>SUM(L577:L580)</f>
        <v/>
      </c>
      <c r="M581" s="228">
        <f>SUM(M577:M580)</f>
        <v/>
      </c>
      <c r="N581" s="228">
        <f>SUM(N577:N580)</f>
        <v/>
      </c>
      <c r="O581" s="228">
        <f>SUM(O577:O580)</f>
        <v/>
      </c>
      <c r="P581" s="228">
        <f>SUM(P577:P580)</f>
        <v/>
      </c>
      <c r="Q581" s="228">
        <f>SUM(Q577:Q580)</f>
        <v/>
      </c>
      <c r="R581" s="158">
        <f>SUM(F581:Q581)</f>
        <v/>
      </c>
      <c r="S581" s="228">
        <f>SUM(S577:S580)</f>
        <v/>
      </c>
      <c r="T581" s="228">
        <f>SUM(T577:T580)</f>
        <v/>
      </c>
      <c r="U581" s="228">
        <f>SUM(U577:U580)</f>
        <v/>
      </c>
      <c r="V581" s="228">
        <f>SUM(V577:V580)</f>
        <v/>
      </c>
      <c r="W581" s="228">
        <f>SUM(W577:W580)</f>
        <v/>
      </c>
      <c r="X581" s="228">
        <f>SUM(X577:X580)</f>
        <v/>
      </c>
      <c r="Y581" s="228">
        <f>SUM(Y577:Y580)</f>
        <v/>
      </c>
      <c r="Z581" s="228">
        <f>SUM(Z577:Z580)</f>
        <v/>
      </c>
      <c r="AA581" s="228">
        <f>SUM(AA577:AA580)</f>
        <v/>
      </c>
      <c r="AB581" s="228">
        <f>SUM(AB577:AB580)</f>
        <v/>
      </c>
      <c r="AC581" s="228">
        <f>SUM(AC577:AC580)</f>
        <v/>
      </c>
      <c r="AD581" s="228">
        <f>SUM(AD577:AD580)</f>
        <v/>
      </c>
      <c r="AE581" s="158">
        <f>SUM(S581:AD581)</f>
        <v/>
      </c>
      <c r="AF581" s="158">
        <f>SUM(AF577:AF580)</f>
        <v/>
      </c>
      <c r="AG581" s="158">
        <f>SUM(AG577:AG580)</f>
        <v/>
      </c>
      <c r="AH581" s="158">
        <f>SUM(AH577:AH580)</f>
        <v/>
      </c>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f>$B$89</f>
        <v/>
      </c>
      <c r="C584" s="154" t="n"/>
      <c r="D584" s="154" t="n"/>
      <c r="E584" s="154" t="n"/>
      <c r="F584" s="154">
        <f>F598-F577+F591</f>
        <v/>
      </c>
      <c r="G584" s="154">
        <f>G598-G577+G591</f>
        <v/>
      </c>
      <c r="H584" s="154">
        <f>H598-H577+H591</f>
        <v/>
      </c>
      <c r="I584" s="154">
        <f>I598-I577+I591</f>
        <v/>
      </c>
      <c r="J584" s="154">
        <f>J598-J577+J591</f>
        <v/>
      </c>
      <c r="K584" s="154">
        <f>K598-K577+K591</f>
        <v/>
      </c>
      <c r="L584" s="154">
        <f>L598-L577+L591</f>
        <v/>
      </c>
      <c r="M584" s="154">
        <f>M598-M577+M591</f>
        <v/>
      </c>
      <c r="N584" s="154">
        <f>N598-N577+N591</f>
        <v/>
      </c>
      <c r="O584" s="154">
        <f>O598-O577+O591</f>
        <v/>
      </c>
      <c r="P584" s="154">
        <f>P598-P577+P591</f>
        <v/>
      </c>
      <c r="Q584" s="154">
        <f>Q598-Q577+Q591</f>
        <v/>
      </c>
      <c r="R584" s="229">
        <f>SUM(F584:Q584)</f>
        <v/>
      </c>
      <c r="S584" s="154">
        <f>S598-S577+S591</f>
        <v/>
      </c>
      <c r="T584" s="154">
        <f>T598-T577+T591</f>
        <v/>
      </c>
      <c r="U584" s="154">
        <f>U598-U577+U591</f>
        <v/>
      </c>
      <c r="V584" s="154">
        <f>V598-V577+V591</f>
        <v/>
      </c>
      <c r="W584" s="154">
        <f>W598-W577+W591</f>
        <v/>
      </c>
      <c r="X584" s="154">
        <f>X598-X577+X591</f>
        <v/>
      </c>
      <c r="Y584" s="154">
        <f>Y598-Y577+Y591</f>
        <v/>
      </c>
      <c r="Z584" s="154">
        <f>Z598-Z577+Z591</f>
        <v/>
      </c>
      <c r="AA584" s="154">
        <f>AA598-AA577+AA591</f>
        <v/>
      </c>
      <c r="AB584" s="154">
        <f>AB598-AB577+AB591</f>
        <v/>
      </c>
      <c r="AC584" s="154">
        <f>AC598-AC577+AC591</f>
        <v/>
      </c>
      <c r="AD584" s="154">
        <f>AD598-AD577+AD591</f>
        <v/>
      </c>
      <c r="AE584" s="229">
        <f>SUM(S584:AD584)</f>
        <v/>
      </c>
      <c r="AF584" s="229">
        <f>AF598-AF577+AF591</f>
        <v/>
      </c>
      <c r="AG584" s="229">
        <f>AG598-AG577+AG591</f>
        <v/>
      </c>
      <c r="AH584" s="229">
        <f>AH598-AH577+AH591</f>
        <v/>
      </c>
    </row>
    <row r="585" ht="8.25" customHeight="1" s="277">
      <c r="A585" s="225" t="n"/>
      <c r="B585" s="225">
        <f>$B$90</f>
        <v/>
      </c>
      <c r="C585" s="154" t="n"/>
      <c r="D585" s="154" t="n"/>
      <c r="E585" s="154" t="n"/>
      <c r="F585" s="154">
        <f>F599-F578+F592</f>
        <v/>
      </c>
      <c r="G585" s="154">
        <f>G599-G578+G592</f>
        <v/>
      </c>
      <c r="H585" s="154">
        <f>H599-H578+H592</f>
        <v/>
      </c>
      <c r="I585" s="154">
        <f>I599-I578+I592</f>
        <v/>
      </c>
      <c r="J585" s="154">
        <f>J599-J578+J592</f>
        <v/>
      </c>
      <c r="K585" s="154">
        <f>K599-K578+K592</f>
        <v/>
      </c>
      <c r="L585" s="154">
        <f>L599-L578+L592</f>
        <v/>
      </c>
      <c r="M585" s="154">
        <f>M599-M578+M592</f>
        <v/>
      </c>
      <c r="N585" s="154">
        <f>N599-N578+N592</f>
        <v/>
      </c>
      <c r="O585" s="154">
        <f>O599-O578+O592</f>
        <v/>
      </c>
      <c r="P585" s="154">
        <f>P599-P578+P592</f>
        <v/>
      </c>
      <c r="Q585" s="154">
        <f>Q599-Q578+Q592</f>
        <v/>
      </c>
      <c r="R585" s="229">
        <f>SUM(F585:Q585)</f>
        <v/>
      </c>
      <c r="S585" s="154">
        <f>S599-S578+S592</f>
        <v/>
      </c>
      <c r="T585" s="154">
        <f>T599-T578+T592</f>
        <v/>
      </c>
      <c r="U585" s="154">
        <f>U599-U578+U592</f>
        <v/>
      </c>
      <c r="V585" s="154">
        <f>V599-V578+V592</f>
        <v/>
      </c>
      <c r="W585" s="154">
        <f>W599-W578+W592</f>
        <v/>
      </c>
      <c r="X585" s="154">
        <f>X599-X578+X592</f>
        <v/>
      </c>
      <c r="Y585" s="154">
        <f>Y599-Y578+Y592</f>
        <v/>
      </c>
      <c r="Z585" s="154">
        <f>Z599-Z578+Z592</f>
        <v/>
      </c>
      <c r="AA585" s="154">
        <f>AA599-AA578+AA592</f>
        <v/>
      </c>
      <c r="AB585" s="154">
        <f>AB599-AB578+AB592</f>
        <v/>
      </c>
      <c r="AC585" s="154">
        <f>AC599-AC578+AC592</f>
        <v/>
      </c>
      <c r="AD585" s="154">
        <f>AD599-AD578+AD592</f>
        <v/>
      </c>
      <c r="AE585" s="229">
        <f>SUM(S585:AD585)</f>
        <v/>
      </c>
      <c r="AF585" s="229">
        <f>AF599-AF578+AF592</f>
        <v/>
      </c>
      <c r="AG585" s="229">
        <f>AG599-AG578+AG592</f>
        <v/>
      </c>
      <c r="AH585" s="229">
        <f>AH599-AH578+AH592</f>
        <v/>
      </c>
    </row>
    <row r="586" ht="8.25" customHeight="1" s="277">
      <c r="A586" s="225" t="n"/>
      <c r="B586" s="225">
        <f>$B$91</f>
        <v/>
      </c>
      <c r="C586" s="154" t="n"/>
      <c r="D586" s="154" t="n"/>
      <c r="E586" s="154" t="n"/>
      <c r="F586" s="154">
        <f>F600-F579+F593</f>
        <v/>
      </c>
      <c r="G586" s="154">
        <f>G600-G579+G593</f>
        <v/>
      </c>
      <c r="H586" s="154">
        <f>H600-H579+H593</f>
        <v/>
      </c>
      <c r="I586" s="154">
        <f>I600-I579+I593</f>
        <v/>
      </c>
      <c r="J586" s="154">
        <f>J600-J579+J593</f>
        <v/>
      </c>
      <c r="K586" s="154">
        <f>K600-K579+K593</f>
        <v/>
      </c>
      <c r="L586" s="154">
        <f>L600-L579+L593</f>
        <v/>
      </c>
      <c r="M586" s="154">
        <f>M600-M579+M593</f>
        <v/>
      </c>
      <c r="N586" s="154">
        <f>N600-N579+N593</f>
        <v/>
      </c>
      <c r="O586" s="154">
        <f>O600-O579+O593</f>
        <v/>
      </c>
      <c r="P586" s="154">
        <f>P600-P579+P593</f>
        <v/>
      </c>
      <c r="Q586" s="154">
        <f>Q600-Q579+Q593</f>
        <v/>
      </c>
      <c r="R586" s="229">
        <f>SUM(F586:Q586)</f>
        <v/>
      </c>
      <c r="S586" s="154">
        <f>S600-S579+S593</f>
        <v/>
      </c>
      <c r="T586" s="154">
        <f>T600-T579+T593</f>
        <v/>
      </c>
      <c r="U586" s="154">
        <f>U600-U579+U593</f>
        <v/>
      </c>
      <c r="V586" s="154">
        <f>V600-V579+V593</f>
        <v/>
      </c>
      <c r="W586" s="154">
        <f>W600-W579+W593</f>
        <v/>
      </c>
      <c r="X586" s="154">
        <f>X600-X579+X593</f>
        <v/>
      </c>
      <c r="Y586" s="154">
        <f>Y600-Y579+Y593</f>
        <v/>
      </c>
      <c r="Z586" s="154">
        <f>Z600-Z579+Z593</f>
        <v/>
      </c>
      <c r="AA586" s="154">
        <f>AA600-AA579+AA593</f>
        <v/>
      </c>
      <c r="AB586" s="154">
        <f>AB600-AB579+AB593</f>
        <v/>
      </c>
      <c r="AC586" s="154">
        <f>AC600-AC579+AC593</f>
        <v/>
      </c>
      <c r="AD586" s="154">
        <f>AD600-AD579+AD593</f>
        <v/>
      </c>
      <c r="AE586" s="229">
        <f>SUM(S586:AD586)</f>
        <v/>
      </c>
      <c r="AF586" s="229">
        <f>AF600-AF579+AF593</f>
        <v/>
      </c>
      <c r="AG586" s="229">
        <f>AG600-AG579+AG593</f>
        <v/>
      </c>
      <c r="AH586" s="229">
        <f>AH600-AH579+AH593</f>
        <v/>
      </c>
    </row>
    <row r="587" ht="8.25" customHeight="1" s="277">
      <c r="A587" s="225" t="n"/>
      <c r="B587" s="225">
        <f>$B$92</f>
        <v/>
      </c>
      <c r="C587" s="154" t="n"/>
      <c r="D587" s="154" t="n"/>
      <c r="E587" s="154" t="n"/>
      <c r="F587" s="154">
        <f>F601-F580+F594</f>
        <v/>
      </c>
      <c r="G587" s="154">
        <f>G601-G580+G594</f>
        <v/>
      </c>
      <c r="H587" s="154">
        <f>H601-H580+H594</f>
        <v/>
      </c>
      <c r="I587" s="154">
        <f>I601-I580+I594</f>
        <v/>
      </c>
      <c r="J587" s="154">
        <f>J601-J580+J594</f>
        <v/>
      </c>
      <c r="K587" s="154">
        <f>K601-K580+K594</f>
        <v/>
      </c>
      <c r="L587" s="154">
        <f>L601-L580+L594</f>
        <v/>
      </c>
      <c r="M587" s="154">
        <f>M601-M580+M594</f>
        <v/>
      </c>
      <c r="N587" s="154">
        <f>N601-N580+N594</f>
        <v/>
      </c>
      <c r="O587" s="154">
        <f>O601-O580+O594</f>
        <v/>
      </c>
      <c r="P587" s="154">
        <f>P601-P580+P594</f>
        <v/>
      </c>
      <c r="Q587" s="154">
        <f>Q601-Q580+Q594</f>
        <v/>
      </c>
      <c r="R587" s="229">
        <f>SUM(F587:Q587)</f>
        <v/>
      </c>
      <c r="S587" s="154">
        <f>S601-S580+S594</f>
        <v/>
      </c>
      <c r="T587" s="154">
        <f>T601-T580+T594</f>
        <v/>
      </c>
      <c r="U587" s="154">
        <f>U601-U580+U594</f>
        <v/>
      </c>
      <c r="V587" s="154">
        <f>V601-V580+V594</f>
        <v/>
      </c>
      <c r="W587" s="154">
        <f>W601-W580+W594</f>
        <v/>
      </c>
      <c r="X587" s="154">
        <f>X601-X580+X594</f>
        <v/>
      </c>
      <c r="Y587" s="154">
        <f>Y601-Y580+Y594</f>
        <v/>
      </c>
      <c r="Z587" s="154">
        <f>Z601-Z580+Z594</f>
        <v/>
      </c>
      <c r="AA587" s="154">
        <f>AA601-AA580+AA594</f>
        <v/>
      </c>
      <c r="AB587" s="154">
        <f>AB601-AB580+AB594</f>
        <v/>
      </c>
      <c r="AC587" s="154">
        <f>AC601-AC580+AC594</f>
        <v/>
      </c>
      <c r="AD587" s="154">
        <f>AD601-AD580+AD594</f>
        <v/>
      </c>
      <c r="AE587" s="229">
        <f>SUM(S587:AD587)</f>
        <v/>
      </c>
      <c r="AF587" s="229">
        <f>AF601-AF580+AF594</f>
        <v/>
      </c>
      <c r="AG587" s="229">
        <f>AG601-AG580+AG594</f>
        <v/>
      </c>
      <c r="AH587" s="229">
        <f>AH601-AH580+AH594</f>
        <v/>
      </c>
    </row>
    <row r="588" ht="8.25" customHeight="1" s="277">
      <c r="A588" s="156" t="inlineStr">
        <is>
          <t>Total Purchases</t>
        </is>
      </c>
      <c r="B588" s="156" t="n"/>
      <c r="C588" s="228" t="n"/>
      <c r="D588" s="228" t="n"/>
      <c r="E588" s="228" t="n"/>
      <c r="F588" s="228">
        <f>SUM(F584:F587)</f>
        <v/>
      </c>
      <c r="G588" s="228">
        <f>SUM(G584:G587)</f>
        <v/>
      </c>
      <c r="H588" s="228">
        <f>SUM(H584:H587)</f>
        <v/>
      </c>
      <c r="I588" s="228">
        <f>SUM(I584:I587)</f>
        <v/>
      </c>
      <c r="J588" s="228">
        <f>SUM(J584:J587)</f>
        <v/>
      </c>
      <c r="K588" s="228">
        <f>SUM(K584:K587)</f>
        <v/>
      </c>
      <c r="L588" s="228">
        <f>SUM(L584:L587)</f>
        <v/>
      </c>
      <c r="M588" s="228">
        <f>SUM(M584:M587)</f>
        <v/>
      </c>
      <c r="N588" s="228">
        <f>SUM(N584:N587)</f>
        <v/>
      </c>
      <c r="O588" s="228">
        <f>SUM(O584:O587)</f>
        <v/>
      </c>
      <c r="P588" s="228">
        <f>SUM(P584:P587)</f>
        <v/>
      </c>
      <c r="Q588" s="228">
        <f>SUM(Q584:Q587)</f>
        <v/>
      </c>
      <c r="R588" s="158">
        <f>SUM(F588:Q588)</f>
        <v/>
      </c>
      <c r="S588" s="228">
        <f>SUM(S584:S587)</f>
        <v/>
      </c>
      <c r="T588" s="228">
        <f>SUM(T584:T587)</f>
        <v/>
      </c>
      <c r="U588" s="228">
        <f>SUM(U584:U587)</f>
        <v/>
      </c>
      <c r="V588" s="228">
        <f>SUM(V584:V587)</f>
        <v/>
      </c>
      <c r="W588" s="228">
        <f>SUM(W584:W587)</f>
        <v/>
      </c>
      <c r="X588" s="228">
        <f>SUM(X584:X587)</f>
        <v/>
      </c>
      <c r="Y588" s="228">
        <f>SUM(Y584:Y587)</f>
        <v/>
      </c>
      <c r="Z588" s="228">
        <f>SUM(Z584:Z587)</f>
        <v/>
      </c>
      <c r="AA588" s="228">
        <f>SUM(AA584:AA587)</f>
        <v/>
      </c>
      <c r="AB588" s="228">
        <f>SUM(AB584:AB587)</f>
        <v/>
      </c>
      <c r="AC588" s="228">
        <f>SUM(AC584:AC587)</f>
        <v/>
      </c>
      <c r="AD588" s="228">
        <f>SUM(AD584:AD587)</f>
        <v/>
      </c>
      <c r="AE588" s="158">
        <f>SUM(S588:AD588)</f>
        <v/>
      </c>
      <c r="AF588" s="158">
        <f>SUM(AF584:AF587)</f>
        <v/>
      </c>
      <c r="AG588" s="158">
        <f>SUM(AG584:AG587)</f>
        <v/>
      </c>
      <c r="AH588" s="158">
        <f>SUM(AH584:AH587)</f>
        <v/>
      </c>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f>$B$89</f>
        <v/>
      </c>
      <c r="C591" s="154" t="n"/>
      <c r="D591" s="154" t="n"/>
      <c r="E591" s="154" t="n"/>
      <c r="F591" s="154">
        <f>F267</f>
        <v/>
      </c>
      <c r="G591" s="154">
        <f>G267</f>
        <v/>
      </c>
      <c r="H591" s="154">
        <f>H267</f>
        <v/>
      </c>
      <c r="I591" s="154">
        <f>I267</f>
        <v/>
      </c>
      <c r="J591" s="154">
        <f>J267</f>
        <v/>
      </c>
      <c r="K591" s="154">
        <f>K267</f>
        <v/>
      </c>
      <c r="L591" s="154">
        <f>L267</f>
        <v/>
      </c>
      <c r="M591" s="154">
        <f>M267</f>
        <v/>
      </c>
      <c r="N591" s="154">
        <f>N267</f>
        <v/>
      </c>
      <c r="O591" s="154">
        <f>O267</f>
        <v/>
      </c>
      <c r="P591" s="154">
        <f>P267</f>
        <v/>
      </c>
      <c r="Q591" s="154">
        <f>Q267</f>
        <v/>
      </c>
      <c r="R591" s="229">
        <f>SUM(F591:Q591)</f>
        <v/>
      </c>
      <c r="S591" s="154">
        <f>S267</f>
        <v/>
      </c>
      <c r="T591" s="154">
        <f>T267</f>
        <v/>
      </c>
      <c r="U591" s="154">
        <f>U267</f>
        <v/>
      </c>
      <c r="V591" s="154">
        <f>V267</f>
        <v/>
      </c>
      <c r="W591" s="154">
        <f>W267</f>
        <v/>
      </c>
      <c r="X591" s="154">
        <f>X267</f>
        <v/>
      </c>
      <c r="Y591" s="154">
        <f>Y267</f>
        <v/>
      </c>
      <c r="Z591" s="154">
        <f>Z267</f>
        <v/>
      </c>
      <c r="AA591" s="154">
        <f>AA267</f>
        <v/>
      </c>
      <c r="AB591" s="154">
        <f>AB267</f>
        <v/>
      </c>
      <c r="AC591" s="154">
        <f>AC267</f>
        <v/>
      </c>
      <c r="AD591" s="154">
        <f>AD267</f>
        <v/>
      </c>
      <c r="AE591" s="229">
        <f>SUM(S591:AD591)</f>
        <v/>
      </c>
      <c r="AF591" s="229">
        <f>AF267</f>
        <v/>
      </c>
      <c r="AG591" s="229">
        <f>AG267</f>
        <v/>
      </c>
      <c r="AH591" s="229">
        <f>AH267</f>
        <v/>
      </c>
    </row>
    <row r="592" ht="8.25" customHeight="1" s="277">
      <c r="A592" s="225" t="n"/>
      <c r="B592" s="225">
        <f>$B$90</f>
        <v/>
      </c>
      <c r="C592" s="154" t="n"/>
      <c r="D592" s="154" t="n"/>
      <c r="E592" s="154" t="n"/>
      <c r="F592" s="154">
        <f>F306</f>
        <v/>
      </c>
      <c r="G592" s="154">
        <f>G306</f>
        <v/>
      </c>
      <c r="H592" s="154">
        <f>H306</f>
        <v/>
      </c>
      <c r="I592" s="154">
        <f>I306</f>
        <v/>
      </c>
      <c r="J592" s="154">
        <f>J306</f>
        <v/>
      </c>
      <c r="K592" s="154">
        <f>K306</f>
        <v/>
      </c>
      <c r="L592" s="154">
        <f>L306</f>
        <v/>
      </c>
      <c r="M592" s="154">
        <f>M306</f>
        <v/>
      </c>
      <c r="N592" s="154">
        <f>N306</f>
        <v/>
      </c>
      <c r="O592" s="154">
        <f>O306</f>
        <v/>
      </c>
      <c r="P592" s="154">
        <f>P306</f>
        <v/>
      </c>
      <c r="Q592" s="154">
        <f>Q306</f>
        <v/>
      </c>
      <c r="R592" s="229">
        <f>SUM(F592:Q592)</f>
        <v/>
      </c>
      <c r="S592" s="154">
        <f>S306</f>
        <v/>
      </c>
      <c r="T592" s="154">
        <f>T306</f>
        <v/>
      </c>
      <c r="U592" s="154">
        <f>U306</f>
        <v/>
      </c>
      <c r="V592" s="154">
        <f>V306</f>
        <v/>
      </c>
      <c r="W592" s="154">
        <f>W306</f>
        <v/>
      </c>
      <c r="X592" s="154">
        <f>X306</f>
        <v/>
      </c>
      <c r="Y592" s="154">
        <f>Y306</f>
        <v/>
      </c>
      <c r="Z592" s="154">
        <f>Z306</f>
        <v/>
      </c>
      <c r="AA592" s="154">
        <f>AA306</f>
        <v/>
      </c>
      <c r="AB592" s="154">
        <f>AB306</f>
        <v/>
      </c>
      <c r="AC592" s="154">
        <f>AC306</f>
        <v/>
      </c>
      <c r="AD592" s="154">
        <f>AD306</f>
        <v/>
      </c>
      <c r="AE592" s="229">
        <f>SUM(S592:AD592)</f>
        <v/>
      </c>
      <c r="AF592" s="229">
        <f>AF306</f>
        <v/>
      </c>
      <c r="AG592" s="229">
        <f>AG306</f>
        <v/>
      </c>
      <c r="AH592" s="229">
        <f>AH306</f>
        <v/>
      </c>
    </row>
    <row r="593" ht="8.25" customHeight="1" s="277">
      <c r="A593" s="225" t="n"/>
      <c r="B593" s="225">
        <f>$B$91</f>
        <v/>
      </c>
      <c r="C593" s="154" t="n"/>
      <c r="D593" s="154" t="n"/>
      <c r="E593" s="154" t="n"/>
      <c r="F593" s="154">
        <f>F345</f>
        <v/>
      </c>
      <c r="G593" s="154">
        <f>G345</f>
        <v/>
      </c>
      <c r="H593" s="154">
        <f>H345</f>
        <v/>
      </c>
      <c r="I593" s="154">
        <f>I345</f>
        <v/>
      </c>
      <c r="J593" s="154">
        <f>J345</f>
        <v/>
      </c>
      <c r="K593" s="154">
        <f>K345</f>
        <v/>
      </c>
      <c r="L593" s="154">
        <f>L345</f>
        <v/>
      </c>
      <c r="M593" s="154">
        <f>M345</f>
        <v/>
      </c>
      <c r="N593" s="154">
        <f>N345</f>
        <v/>
      </c>
      <c r="O593" s="154">
        <f>O345</f>
        <v/>
      </c>
      <c r="P593" s="154">
        <f>P345</f>
        <v/>
      </c>
      <c r="Q593" s="154">
        <f>Q345</f>
        <v/>
      </c>
      <c r="R593" s="229">
        <f>SUM(F593:Q593)</f>
        <v/>
      </c>
      <c r="S593" s="154">
        <f>S345</f>
        <v/>
      </c>
      <c r="T593" s="154">
        <f>T345</f>
        <v/>
      </c>
      <c r="U593" s="154">
        <f>U345</f>
        <v/>
      </c>
      <c r="V593" s="154">
        <f>V345</f>
        <v/>
      </c>
      <c r="W593" s="154">
        <f>W345</f>
        <v/>
      </c>
      <c r="X593" s="154">
        <f>X345</f>
        <v/>
      </c>
      <c r="Y593" s="154">
        <f>Y345</f>
        <v/>
      </c>
      <c r="Z593" s="154">
        <f>Z345</f>
        <v/>
      </c>
      <c r="AA593" s="154">
        <f>AA345</f>
        <v/>
      </c>
      <c r="AB593" s="154">
        <f>AB345</f>
        <v/>
      </c>
      <c r="AC593" s="154">
        <f>AC345</f>
        <v/>
      </c>
      <c r="AD593" s="154">
        <f>AD345</f>
        <v/>
      </c>
      <c r="AE593" s="229">
        <f>SUM(S593:AD593)</f>
        <v/>
      </c>
      <c r="AF593" s="229">
        <f>AF345</f>
        <v/>
      </c>
      <c r="AG593" s="229">
        <f>AG345</f>
        <v/>
      </c>
      <c r="AH593" s="229">
        <f>AH345</f>
        <v/>
      </c>
    </row>
    <row r="594" ht="8.25" customHeight="1" s="277">
      <c r="A594" s="225" t="n"/>
      <c r="B594" s="225">
        <f>$B$92</f>
        <v/>
      </c>
      <c r="C594" s="154" t="n"/>
      <c r="D594" s="154" t="n"/>
      <c r="E594" s="154" t="n"/>
      <c r="F594" s="154">
        <f>F384</f>
        <v/>
      </c>
      <c r="G594" s="154">
        <f>G384</f>
        <v/>
      </c>
      <c r="H594" s="154">
        <f>H384</f>
        <v/>
      </c>
      <c r="I594" s="154">
        <f>I384</f>
        <v/>
      </c>
      <c r="J594" s="154">
        <f>J384</f>
        <v/>
      </c>
      <c r="K594" s="154">
        <f>K384</f>
        <v/>
      </c>
      <c r="L594" s="154">
        <f>L384</f>
        <v/>
      </c>
      <c r="M594" s="154">
        <f>M384</f>
        <v/>
      </c>
      <c r="N594" s="154">
        <f>N384</f>
        <v/>
      </c>
      <c r="O594" s="154">
        <f>O384</f>
        <v/>
      </c>
      <c r="P594" s="154">
        <f>P384</f>
        <v/>
      </c>
      <c r="Q594" s="154">
        <f>Q384</f>
        <v/>
      </c>
      <c r="R594" s="229">
        <f>SUM(F594:Q594)</f>
        <v/>
      </c>
      <c r="S594" s="154">
        <f>S384</f>
        <v/>
      </c>
      <c r="T594" s="154">
        <f>T384</f>
        <v/>
      </c>
      <c r="U594" s="154">
        <f>U384</f>
        <v/>
      </c>
      <c r="V594" s="154">
        <f>V384</f>
        <v/>
      </c>
      <c r="W594" s="154">
        <f>W384</f>
        <v/>
      </c>
      <c r="X594" s="154">
        <f>X384</f>
        <v/>
      </c>
      <c r="Y594" s="154">
        <f>Y384</f>
        <v/>
      </c>
      <c r="Z594" s="154">
        <f>Z384</f>
        <v/>
      </c>
      <c r="AA594" s="154">
        <f>AA384</f>
        <v/>
      </c>
      <c r="AB594" s="154">
        <f>AB384</f>
        <v/>
      </c>
      <c r="AC594" s="154">
        <f>AC384</f>
        <v/>
      </c>
      <c r="AD594" s="154">
        <f>AD384</f>
        <v/>
      </c>
      <c r="AE594" s="229">
        <f>SUM(S594:AD594)</f>
        <v/>
      </c>
      <c r="AF594" s="229">
        <f>AF384</f>
        <v/>
      </c>
      <c r="AG594" s="229">
        <f>AG384</f>
        <v/>
      </c>
      <c r="AH594" s="229">
        <f>AH384</f>
        <v/>
      </c>
    </row>
    <row r="595" ht="8.25" customHeight="1" s="277">
      <c r="A595" s="156" t="inlineStr">
        <is>
          <t>Total Materials Expense</t>
        </is>
      </c>
      <c r="B595" s="156" t="n"/>
      <c r="C595" s="228" t="n"/>
      <c r="D595" s="228" t="n"/>
      <c r="E595" s="228" t="n"/>
      <c r="F595" s="228">
        <f>SUM(F591:F594)</f>
        <v/>
      </c>
      <c r="G595" s="228">
        <f>SUM(G591:G594)</f>
        <v/>
      </c>
      <c r="H595" s="228">
        <f>SUM(H591:H594)</f>
        <v/>
      </c>
      <c r="I595" s="228">
        <f>SUM(I591:I594)</f>
        <v/>
      </c>
      <c r="J595" s="228">
        <f>SUM(J591:J594)</f>
        <v/>
      </c>
      <c r="K595" s="228">
        <f>SUM(K591:K594)</f>
        <v/>
      </c>
      <c r="L595" s="228">
        <f>SUM(L591:L594)</f>
        <v/>
      </c>
      <c r="M595" s="228">
        <f>SUM(M591:M594)</f>
        <v/>
      </c>
      <c r="N595" s="228">
        <f>SUM(N591:N594)</f>
        <v/>
      </c>
      <c r="O595" s="228">
        <f>SUM(O591:O594)</f>
        <v/>
      </c>
      <c r="P595" s="228">
        <f>SUM(P591:P594)</f>
        <v/>
      </c>
      <c r="Q595" s="228">
        <f>SUM(Q591:Q594)</f>
        <v/>
      </c>
      <c r="R595" s="158">
        <f>SUM(F595:Q595)</f>
        <v/>
      </c>
      <c r="S595" s="228">
        <f>SUM(S591:S594)</f>
        <v/>
      </c>
      <c r="T595" s="228">
        <f>SUM(T591:T594)</f>
        <v/>
      </c>
      <c r="U595" s="228">
        <f>SUM(U591:U594)</f>
        <v/>
      </c>
      <c r="V595" s="228">
        <f>SUM(V591:V594)</f>
        <v/>
      </c>
      <c r="W595" s="228">
        <f>SUM(W591:W594)</f>
        <v/>
      </c>
      <c r="X595" s="228">
        <f>SUM(X591:X594)</f>
        <v/>
      </c>
      <c r="Y595" s="228">
        <f>SUM(Y591:Y594)</f>
        <v/>
      </c>
      <c r="Z595" s="228">
        <f>SUM(Z591:Z594)</f>
        <v/>
      </c>
      <c r="AA595" s="228">
        <f>SUM(AA591:AA594)</f>
        <v/>
      </c>
      <c r="AB595" s="228">
        <f>SUM(AB591:AB594)</f>
        <v/>
      </c>
      <c r="AC595" s="228">
        <f>SUM(AC591:AC594)</f>
        <v/>
      </c>
      <c r="AD595" s="228">
        <f>SUM(AD591:AD594)</f>
        <v/>
      </c>
      <c r="AE595" s="158">
        <f>SUM(S595:AD595)</f>
        <v/>
      </c>
      <c r="AF595" s="158">
        <f>SUM(AF591:AF594)</f>
        <v/>
      </c>
      <c r="AG595" s="158">
        <f>SUM(AG591:AG594)</f>
        <v/>
      </c>
      <c r="AH595" s="158">
        <f>SUM(AH591:AH594)</f>
        <v/>
      </c>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f>$B$89</f>
        <v/>
      </c>
      <c r="C598" s="154" t="n"/>
      <c r="D598" s="154" t="n"/>
      <c r="E598" s="154" t="n"/>
      <c r="F598" s="154">
        <f>IF(F246&lt;=0,0,IF(ROUNDDOWN($C$574/30,0)&lt;=COLUMNS(F267:$Q267)-1,IF(ROUNDUP($C$574/30,0)&lt;=COLUMNS(F267:$Q267)-1,SUM(F267:OFFSET(F267,0,ROUNDDOWN($C$574/30,0)))-F267+OFFSET(F267,0,ROUNDUP($C$574/30,0))*MOD($C$574,30)/30,SUM(F267:OFFSET(F267,0,ROUNDDOWN($C$574/30,0)))-F267+OFFSET(F267,0,ROUNDUP($C$574/30,0)+1)*MOD($C$574,30)/30),IF(ROUNDUP($C$574/30,0)+1&lt;=COLUMNS(F267:$AD267)-1,SUM(F267:OFFSET(F267,0,ROUNDDOWN($C$574/30,0)+1))-F267-$R267+OFFSET(F267,0,ROUNDUP($C$574/30,0)+1)*MOD($C$574,30)/30,SUM(F267:OFFSET(F267,0,ROUNDDOWN($C$574/30,0)+1))-F267-$R267+OFFSET(F267,0,ROUNDUP($C$574/30,0)+2)*MOD($C$574,30)/30)))</f>
        <v/>
      </c>
      <c r="G598" s="154">
        <f>IF(G246&lt;=0,0,IF(ROUNDDOWN($C$574/30,0)&lt;=COLUMNS(G267:$Q267)-1,IF(ROUNDUP($C$574/30,0)&lt;=COLUMNS(G267:$Q267)-1,SUM(G267:OFFSET(G267,0,ROUNDDOWN($C$574/30,0)))-G267+OFFSET(G267,0,ROUNDUP($C$574/30,0))*MOD($C$574,30)/30,SUM(G267:OFFSET(G267,0,ROUNDDOWN($C$574/30,0)))-G267+OFFSET(G267,0,ROUNDUP($C$574/30,0)+1)*MOD($C$574,30)/30),IF(ROUNDUP($C$574/30,0)+1&lt;=COLUMNS(G267:$AD267)-1,SUM(G267:OFFSET(G267,0,ROUNDDOWN($C$574/30,0)+1))-G267-$R267+OFFSET(G267,0,ROUNDUP($C$574/30,0)+1)*MOD($C$574,30)/30,SUM(G267:OFFSET(G267,0,ROUNDDOWN($C$574/30,0)+1))-G267-$R267+OFFSET(G267,0,ROUNDUP($C$574/30,0)+2)*MOD($C$574,30)/30)))</f>
        <v/>
      </c>
      <c r="H598" s="154">
        <f>IF(H246&lt;=0,0,IF(ROUNDDOWN($C$574/30,0)&lt;=COLUMNS(H267:$Q267)-1,IF(ROUNDUP($C$574/30,0)&lt;=COLUMNS(H267:$Q267)-1,SUM(H267:OFFSET(H267,0,ROUNDDOWN($C$574/30,0)))-H267+OFFSET(H267,0,ROUNDUP($C$574/30,0))*MOD($C$574,30)/30,SUM(H267:OFFSET(H267,0,ROUNDDOWN($C$574/30,0)))-H267+OFFSET(H267,0,ROUNDUP($C$574/30,0)+1)*MOD($C$574,30)/30),IF(ROUNDUP($C$574/30,0)+1&lt;=COLUMNS(H267:$AD267)-1,SUM(H267:OFFSET(H267,0,ROUNDDOWN($C$574/30,0)+1))-H267-$R267+OFFSET(H267,0,ROUNDUP($C$574/30,0)+1)*MOD($C$574,30)/30,SUM(H267:OFFSET(H267,0,ROUNDDOWN($C$574/30,0)+1))-H267-$R267+OFFSET(H267,0,ROUNDUP($C$574/30,0)+2)*MOD($C$574,30)/30)))</f>
        <v/>
      </c>
      <c r="I598" s="154">
        <f>IF(I246&lt;=0,0,IF(ROUNDDOWN($C$574/30,0)&lt;=COLUMNS(I267:$Q267)-1,IF(ROUNDUP($C$574/30,0)&lt;=COLUMNS(I267:$Q267)-1,SUM(I267:OFFSET(I267,0,ROUNDDOWN($C$574/30,0)))-I267+OFFSET(I267,0,ROUNDUP($C$574/30,0))*MOD($C$574,30)/30,SUM(I267:OFFSET(I267,0,ROUNDDOWN($C$574/30,0)))-I267+OFFSET(I267,0,ROUNDUP($C$574/30,0)+1)*MOD($C$574,30)/30),IF(ROUNDUP($C$574/30,0)+1&lt;=COLUMNS(I267:$AD267)-1,SUM(I267:OFFSET(I267,0,ROUNDDOWN($C$574/30,0)+1))-I267-$R267+OFFSET(I267,0,ROUNDUP($C$574/30,0)+1)*MOD($C$574,30)/30,SUM(I267:OFFSET(I267,0,ROUNDDOWN($C$574/30,0)+1))-I267-$R267+OFFSET(I267,0,ROUNDUP($C$574/30,0)+2)*MOD($C$574,30)/30)))</f>
        <v/>
      </c>
      <c r="J598" s="154">
        <f>IF(J246&lt;=0,0,IF(ROUNDDOWN($C$574/30,0)&lt;=COLUMNS(J267:$Q267)-1,IF(ROUNDUP($C$574/30,0)&lt;=COLUMNS(J267:$Q267)-1,SUM(J267:OFFSET(J267,0,ROUNDDOWN($C$574/30,0)))-J267+OFFSET(J267,0,ROUNDUP($C$574/30,0))*MOD($C$574,30)/30,SUM(J267:OFFSET(J267,0,ROUNDDOWN($C$574/30,0)))-J267+OFFSET(J267,0,ROUNDUP($C$574/30,0)+1)*MOD($C$574,30)/30),IF(ROUNDUP($C$574/30,0)+1&lt;=COLUMNS(J267:$AD267)-1,SUM(J267:OFFSET(J267,0,ROUNDDOWN($C$574/30,0)+1))-J267-$R267+OFFSET(J267,0,ROUNDUP($C$574/30,0)+1)*MOD($C$574,30)/30,SUM(J267:OFFSET(J267,0,ROUNDDOWN($C$574/30,0)+1))-J267-$R267+OFFSET(J267,0,ROUNDUP($C$574/30,0)+2)*MOD($C$574,30)/30)))</f>
        <v/>
      </c>
      <c r="K598" s="154">
        <f>IF(K246&lt;=0,0,IF(ROUNDDOWN($C$574/30,0)&lt;=COLUMNS(K267:$Q267)-1,IF(ROUNDUP($C$574/30,0)&lt;=COLUMNS(K267:$Q267)-1,SUM(K267:OFFSET(K267,0,ROUNDDOWN($C$574/30,0)))-K267+OFFSET(K267,0,ROUNDUP($C$574/30,0))*MOD($C$574,30)/30,SUM(K267:OFFSET(K267,0,ROUNDDOWN($C$574/30,0)))-K267+OFFSET(K267,0,ROUNDUP($C$574/30,0)+1)*MOD($C$574,30)/30),IF(ROUNDUP($C$574/30,0)+1&lt;=COLUMNS(K267:$AD267)-1,SUM(K267:OFFSET(K267,0,ROUNDDOWN($C$574/30,0)+1))-K267-$R267+OFFSET(K267,0,ROUNDUP($C$574/30,0)+1)*MOD($C$574,30)/30,SUM(K267:OFFSET(K267,0,ROUNDDOWN($C$574/30,0)+1))-K267-$R267+OFFSET(K267,0,ROUNDUP($C$574/30,0)+2)*MOD($C$574,30)/30)))</f>
        <v/>
      </c>
      <c r="L598" s="154">
        <f>IF(L246&lt;=0,0,IF(ROUNDDOWN($C$574/30,0)&lt;=COLUMNS(L267:$Q267)-1,IF(ROUNDUP($C$574/30,0)&lt;=COLUMNS(L267:$Q267)-1,SUM(L267:OFFSET(L267,0,ROUNDDOWN($C$574/30,0)))-L267+OFFSET(L267,0,ROUNDUP($C$574/30,0))*MOD($C$574,30)/30,SUM(L267:OFFSET(L267,0,ROUNDDOWN($C$574/30,0)))-L267+OFFSET(L267,0,ROUNDUP($C$574/30,0)+1)*MOD($C$574,30)/30),IF(ROUNDUP($C$574/30,0)+1&lt;=COLUMNS(L267:$AD267)-1,SUM(L267:OFFSET(L267,0,ROUNDDOWN($C$574/30,0)+1))-L267-$R267+OFFSET(L267,0,ROUNDUP($C$574/30,0)+1)*MOD($C$574,30)/30,SUM(L267:OFFSET(L267,0,ROUNDDOWN($C$574/30,0)+1))-L267-$R267+OFFSET(L267,0,ROUNDUP($C$574/30,0)+2)*MOD($C$574,30)/30)))</f>
        <v/>
      </c>
      <c r="M598" s="154">
        <f>IF(M246&lt;=0,0,IF(ROUNDDOWN($C$574/30,0)&lt;=COLUMNS(M267:$Q267)-1,IF(ROUNDUP($C$574/30,0)&lt;=COLUMNS(M267:$Q267)-1,SUM(M267:OFFSET(M267,0,ROUNDDOWN($C$574/30,0)))-M267+OFFSET(M267,0,ROUNDUP($C$574/30,0))*MOD($C$574,30)/30,SUM(M267:OFFSET(M267,0,ROUNDDOWN($C$574/30,0)))-M267+OFFSET(M267,0,ROUNDUP($C$574/30,0)+1)*MOD($C$574,30)/30),IF(ROUNDUP($C$574/30,0)+1&lt;=COLUMNS(M267:$AD267)-1,SUM(M267:OFFSET(M267,0,ROUNDDOWN($C$574/30,0)+1))-M267-$R267+OFFSET(M267,0,ROUNDUP($C$574/30,0)+1)*MOD($C$574,30)/30,SUM(M267:OFFSET(M267,0,ROUNDDOWN($C$574/30,0)+1))-M267-$R267+OFFSET(M267,0,ROUNDUP($C$574/30,0)+2)*MOD($C$574,30)/30)))</f>
        <v/>
      </c>
      <c r="N598" s="154">
        <f>IF(N246&lt;=0,0,IF(ROUNDDOWN($C$574/30,0)&lt;=COLUMNS(N267:$Q267)-1,IF(ROUNDUP($C$574/30,0)&lt;=COLUMNS(N267:$Q267)-1,SUM(N267:OFFSET(N267,0,ROUNDDOWN($C$574/30,0)))-N267+OFFSET(N267,0,ROUNDUP($C$574/30,0))*MOD($C$574,30)/30,SUM(N267:OFFSET(N267,0,ROUNDDOWN($C$574/30,0)))-N267+OFFSET(N267,0,ROUNDUP($C$574/30,0)+1)*MOD($C$574,30)/30),IF(ROUNDUP($C$574/30,0)+1&lt;=COLUMNS(N267:$AD267)-1,SUM(N267:OFFSET(N267,0,ROUNDDOWN($C$574/30,0)+1))-N267-$R267+OFFSET(N267,0,ROUNDUP($C$574/30,0)+1)*MOD($C$574,30)/30,SUM(N267:OFFSET(N267,0,ROUNDDOWN($C$574/30,0)+1))-N267-$R267+OFFSET(N267,0,ROUNDUP($C$574/30,0)+2)*MOD($C$574,30)/30)))</f>
        <v/>
      </c>
      <c r="O598" s="154">
        <f>IF(O246&lt;=0,0,IF(ROUNDDOWN($C$574/30,0)&lt;=COLUMNS(O267:$Q267)-1,IF(ROUNDUP($C$574/30,0)&lt;=COLUMNS(O267:$Q267)-1,SUM(O267:OFFSET(O267,0,ROUNDDOWN($C$574/30,0)))-O267+OFFSET(O267,0,ROUNDUP($C$574/30,0))*MOD($C$574,30)/30,SUM(O267:OFFSET(O267,0,ROUNDDOWN($C$574/30,0)))-O267+OFFSET(O267,0,ROUNDUP($C$574/30,0)+1)*MOD($C$574,30)/30),IF(ROUNDUP($C$574/30,0)+1&lt;=COLUMNS(O267:$AD267)-1,SUM(O267:OFFSET(O267,0,ROUNDDOWN($C$574/30,0)+1))-O267-$R267+OFFSET(O267,0,ROUNDUP($C$574/30,0)+1)*MOD($C$574,30)/30,SUM(O267:OFFSET(O267,0,ROUNDDOWN($C$574/30,0)+1))-O267-$R267+OFFSET(O267,0,ROUNDUP($C$574/30,0)+2)*MOD($C$574,30)/30)))</f>
        <v/>
      </c>
      <c r="P598" s="154">
        <f>IF(P246&lt;=0,0,IF(ROUNDDOWN($C$574/30,0)&lt;=COLUMNS(P267:$Q267)-1,IF(ROUNDUP($C$574/30,0)&lt;=COLUMNS(P267:$Q267)-1,SUM(P267:OFFSET(P267,0,ROUNDDOWN($C$574/30,0)))-P267+OFFSET(P267,0,ROUNDUP($C$574/30,0))*MOD($C$574,30)/30,SUM(P267:OFFSET(P267,0,ROUNDDOWN($C$574/30,0)))-P267+OFFSET(P267,0,ROUNDUP($C$574/30,0)+1)*MOD($C$574,30)/30),IF(ROUNDUP($C$574/30,0)+1&lt;=COLUMNS(P267:$AD267)-1,SUM(P267:OFFSET(P267,0,ROUNDDOWN($C$574/30,0)+1))-P267-$R267+OFFSET(P267,0,ROUNDUP($C$574/30,0)+1)*MOD($C$574,30)/30,SUM(P267:OFFSET(P267,0,ROUNDDOWN($C$574/30,0)+1))-P267-$R267+OFFSET(P267,0,ROUNDUP($C$574/30,0)+2)*MOD($C$574,30)/30)))</f>
        <v/>
      </c>
      <c r="Q598" s="154">
        <f>IF(Q246&lt;=0,0,IF(ROUNDDOWN($C$574/30,0)&lt;=COLUMNS(Q267:$Q267)-1,IF(ROUNDUP($C$574/30,0)&lt;=COLUMNS(Q267:$Q267)-1,SUM(Q267:OFFSET(Q267,0,ROUNDDOWN($C$574/30,0)))-Q267+OFFSET(Q267,0,ROUNDUP($C$574/30,0))*MOD($C$574,30)/30,SUM(Q267:OFFSET(Q267,0,ROUNDDOWN($C$574/30,0)))-Q267+OFFSET(Q267,0,ROUNDUP($C$574/30,0)+1)*MOD($C$574,30)/30),IF(ROUNDUP($C$574/30,0)+1&lt;=COLUMNS(Q267:$AD267)-1,SUM(Q267:OFFSET(Q267,0,ROUNDDOWN($C$574/30,0)+1))-Q267-$R267+OFFSET(Q267,0,ROUNDUP($C$574/30,0)+1)*MOD($C$574,30)/30,SUM(Q267:OFFSET(Q267,0,ROUNDDOWN($C$574/30,0)+1))-Q267-$R267+OFFSET(Q267,0,ROUNDUP($C$574/30,0)+2)*MOD($C$574,30)/30)))</f>
        <v/>
      </c>
      <c r="R598" s="229">
        <f>Q598</f>
        <v/>
      </c>
      <c r="S598" s="154">
        <f>IF(S246&lt;=0,0,IF(ROUNDDOWN($C$574/30,0)&lt;=COLUMNS(S267:$AD267)-1,IF(ROUNDUP($C$574/30,0)&lt;=COLUMNS(S267:$AD267)-1,SUM(S267:OFFSET(S267,0,ROUNDDOWN($C$574/30,0)))-S267+OFFSET(S267,0,ROUNDUP($C$574/30,0))*MOD($C$574,30)/30,SUM(S267:OFFSET(S267,0,ROUNDDOWN($C$574/30,0)))-S267+OFFSET(S267,0,ROUNDUP($C$574/30,0)+1)*MOD($C$574,30)/30/12),SUM(S267:$AD267)-S267+($C$574/30-(COLUMNS(S267:$AD267)-1))/12*$AF267))</f>
        <v/>
      </c>
      <c r="T598" s="154">
        <f>IF(T246&lt;=0,0,IF(ROUNDDOWN($C$574/30,0)&lt;=COLUMNS(T267:$AD267)-1,IF(ROUNDUP($C$574/30,0)&lt;=COLUMNS(T267:$AD267)-1,SUM(T267:OFFSET(T267,0,ROUNDDOWN($C$574/30,0)))-T267+OFFSET(T267,0,ROUNDUP($C$574/30,0))*MOD($C$574,30)/30,SUM(T267:OFFSET(T267,0,ROUNDDOWN($C$574/30,0)))-T267+OFFSET(T267,0,ROUNDUP($C$574/30,0)+1)*MOD($C$574,30)/30/12),SUM(T267:$AD267)-T267+($C$574/30-(COLUMNS(T267:$AD267)-1))/12*$AF267))</f>
        <v/>
      </c>
      <c r="U598" s="154">
        <f>IF(U246&lt;=0,0,IF(ROUNDDOWN($C$574/30,0)&lt;=COLUMNS(U267:$AD267)-1,IF(ROUNDUP($C$574/30,0)&lt;=COLUMNS(U267:$AD267)-1,SUM(U267:OFFSET(U267,0,ROUNDDOWN($C$574/30,0)))-U267+OFFSET(U267,0,ROUNDUP($C$574/30,0))*MOD($C$574,30)/30,SUM(U267:OFFSET(U267,0,ROUNDDOWN($C$574/30,0)))-U267+OFFSET(U267,0,ROUNDUP($C$574/30,0)+1)*MOD($C$574,30)/30/12),SUM(U267:$AD267)-U267+($C$574/30-(COLUMNS(U267:$AD267)-1))/12*$AF267))</f>
        <v/>
      </c>
      <c r="V598" s="154">
        <f>IF(V246&lt;=0,0,IF(ROUNDDOWN($C$574/30,0)&lt;=COLUMNS(V267:$AD267)-1,IF(ROUNDUP($C$574/30,0)&lt;=COLUMNS(V267:$AD267)-1,SUM(V267:OFFSET(V267,0,ROUNDDOWN($C$574/30,0)))-V267+OFFSET(V267,0,ROUNDUP($C$574/30,0))*MOD($C$574,30)/30,SUM(V267:OFFSET(V267,0,ROUNDDOWN($C$574/30,0)))-V267+OFFSET(V267,0,ROUNDUP($C$574/30,0)+1)*MOD($C$574,30)/30/12),SUM(V267:$AD267)-V267+($C$574/30-(COLUMNS(V267:$AD267)-1))/12*$AF267))</f>
        <v/>
      </c>
      <c r="W598" s="154">
        <f>IF(W246&lt;=0,0,IF(ROUNDDOWN($C$574/30,0)&lt;=COLUMNS(W267:$AD267)-1,IF(ROUNDUP($C$574/30,0)&lt;=COLUMNS(W267:$AD267)-1,SUM(W267:OFFSET(W267,0,ROUNDDOWN($C$574/30,0)))-W267+OFFSET(W267,0,ROUNDUP($C$574/30,0))*MOD($C$574,30)/30,SUM(W267:OFFSET(W267,0,ROUNDDOWN($C$574/30,0)))-W267+OFFSET(W267,0,ROUNDUP($C$574/30,0)+1)*MOD($C$574,30)/30/12),SUM(W267:$AD267)-W267+($C$574/30-(COLUMNS(W267:$AD267)-1))/12*$AF267))</f>
        <v/>
      </c>
      <c r="X598" s="154">
        <f>IF(X246&lt;=0,0,IF(ROUNDDOWN($C$574/30,0)&lt;=COLUMNS(X267:$AD267)-1,IF(ROUNDUP($C$574/30,0)&lt;=COLUMNS(X267:$AD267)-1,SUM(X267:OFFSET(X267,0,ROUNDDOWN($C$574/30,0)))-X267+OFFSET(X267,0,ROUNDUP($C$574/30,0))*MOD($C$574,30)/30,SUM(X267:OFFSET(X267,0,ROUNDDOWN($C$574/30,0)))-X267+OFFSET(X267,0,ROUNDUP($C$574/30,0)+1)*MOD($C$574,30)/30/12),SUM(X267:$AD267)-X267+($C$574/30-(COLUMNS(X267:$AD267)-1))/12*$AF267))</f>
        <v/>
      </c>
      <c r="Y598" s="154">
        <f>IF(Y246&lt;=0,0,IF(ROUNDDOWN($C$574/30,0)&lt;=COLUMNS(Y267:$AD267)-1,IF(ROUNDUP($C$574/30,0)&lt;=COLUMNS(Y267:$AD267)-1,SUM(Y267:OFFSET(Y267,0,ROUNDDOWN($C$574/30,0)))-Y267+OFFSET(Y267,0,ROUNDUP($C$574/30,0))*MOD($C$574,30)/30,SUM(Y267:OFFSET(Y267,0,ROUNDDOWN($C$574/30,0)))-Y267+OFFSET(Y267,0,ROUNDUP($C$574/30,0)+1)*MOD($C$574,30)/30/12),SUM(Y267:$AD267)-Y267+($C$574/30-(COLUMNS(Y267:$AD267)-1))/12*$AF267))</f>
        <v/>
      </c>
      <c r="Z598" s="154">
        <f>IF(Z246&lt;=0,0,IF(ROUNDDOWN($C$574/30,0)&lt;=COLUMNS(Z267:$AD267)-1,IF(ROUNDUP($C$574/30,0)&lt;=COLUMNS(Z267:$AD267)-1,SUM(Z267:OFFSET(Z267,0,ROUNDDOWN($C$574/30,0)))-Z267+OFFSET(Z267,0,ROUNDUP($C$574/30,0))*MOD($C$574,30)/30,SUM(Z267:OFFSET(Z267,0,ROUNDDOWN($C$574/30,0)))-Z267+OFFSET(Z267,0,ROUNDUP($C$574/30,0)+1)*MOD($C$574,30)/30/12),SUM(Z267:$AD267)-Z267+($C$574/30-(COLUMNS(Z267:$AD267)-1))/12*$AF267))</f>
        <v/>
      </c>
      <c r="AA598" s="154">
        <f>IF(AA246&lt;=0,0,IF(ROUNDDOWN($C$574/30,0)&lt;=COLUMNS(AA267:$AD267)-1,IF(ROUNDUP($C$574/30,0)&lt;=COLUMNS(AA267:$AD267)-1,SUM(AA267:OFFSET(AA267,0,ROUNDDOWN($C$574/30,0)))-AA267+OFFSET(AA267,0,ROUNDUP($C$574/30,0))*MOD($C$574,30)/30,SUM(AA267:OFFSET(AA267,0,ROUNDDOWN($C$574/30,0)))-AA267+OFFSET(AA267,0,ROUNDUP($C$574/30,0)+1)*MOD($C$574,30)/30/12),SUM(AA267:$AD267)-AA267+($C$574/30-(COLUMNS(AA267:$AD267)-1))/12*$AF267))</f>
        <v/>
      </c>
      <c r="AB598" s="154">
        <f>IF(AB246&lt;=0,0,IF(ROUNDDOWN($C$574/30,0)&lt;=COLUMNS(AB267:$AD267)-1,IF(ROUNDUP($C$574/30,0)&lt;=COLUMNS(AB267:$AD267)-1,SUM(AB267:OFFSET(AB267,0,ROUNDDOWN($C$574/30,0)))-AB267+OFFSET(AB267,0,ROUNDUP($C$574/30,0))*MOD($C$574,30)/30,SUM(AB267:OFFSET(AB267,0,ROUNDDOWN($C$574/30,0)))-AB267+OFFSET(AB267,0,ROUNDUP($C$574/30,0)+1)*MOD($C$574,30)/30/12),SUM(AB267:$AD267)-AB267+($C$574/30-(COLUMNS(AB267:$AD267)-1))/12*$AF267))</f>
        <v/>
      </c>
      <c r="AC598" s="154">
        <f>IF(AC246&lt;=0,0,IF(ROUNDDOWN($C$574/30,0)&lt;=COLUMNS(AC267:$AD267)-1,IF(ROUNDUP($C$574/30,0)&lt;=COLUMNS(AC267:$AD267)-1,SUM(AC267:OFFSET(AC267,0,ROUNDDOWN($C$574/30,0)))-AC267+OFFSET(AC267,0,ROUNDUP($C$574/30,0))*MOD($C$574,30)/30,SUM(AC267:OFFSET(AC267,0,ROUNDDOWN($C$574/30,0)))-AC267+OFFSET(AC267,0,ROUNDUP($C$574/30,0)+1)*MOD($C$574,30)/30/12),SUM(AC267:$AD267)-AC267+($C$574/30-(COLUMNS(AC267:$AD267)-1))/12*$AF267))</f>
        <v/>
      </c>
      <c r="AD598" s="154">
        <f>IF(AD246&lt;=0,0,IF(ROUNDDOWN($C$574/30,0)&lt;=COLUMNS(AD267:$AD267)-1,IF(ROUNDUP($C$574/30,0)&lt;=COLUMNS(AD267:$AD267)-1,SUM(AD267:OFFSET(AD267,0,ROUNDDOWN($C$574/30,0)))-AD267+OFFSET(AD267,0,ROUNDUP($C$574/30,0))*MOD($C$574,30)/30,SUM(AD267:OFFSET(AD267,0,ROUNDDOWN($C$574/30,0)))-AD267+OFFSET(AD267,0,ROUNDUP($C$574/30,0)+1)*MOD($C$574,30)/30/12),SUM(AD267:$AD267)-AD267+($C$574/30-(COLUMNS(AD267:$AD267)-1))/12*$AF267))</f>
        <v/>
      </c>
      <c r="AE598" s="229">
        <f>AD598</f>
        <v/>
      </c>
      <c r="AF598" s="229">
        <f>$C$574/360*AG267</f>
        <v/>
      </c>
      <c r="AG598" s="229">
        <f>$C$574/360*AH267</f>
        <v/>
      </c>
      <c r="AH598" s="229">
        <f>$C$574/360*FORECAST(6,AE267:AH267,{2,3,4,5})</f>
        <v/>
      </c>
    </row>
    <row r="599" ht="8.25" customHeight="1" s="277">
      <c r="A599" s="225" t="n"/>
      <c r="B599" s="225">
        <f>$B$90</f>
        <v/>
      </c>
      <c r="C599" s="154" t="n"/>
      <c r="D599" s="154" t="n"/>
      <c r="E599" s="154" t="n"/>
      <c r="F599" s="154">
        <f>IF(F285&lt;=0,0,IF(ROUNDDOWN($C$574/30,0)&lt;=COLUMNS(F306:$Q306)-1,IF(ROUNDUP($C$574/30,0)&lt;=COLUMNS(F306:$Q306)-1,SUM(F306:OFFSET(F306,0,ROUNDDOWN($C$574/30,0)))-F306+OFFSET(F306,0,ROUNDUP($C$574/30,0))*MOD($C$574,30)/30,SUM(F306:OFFSET(F306,0,ROUNDDOWN($C$574/30,0)))-F306+OFFSET(F306,0,ROUNDUP($C$574/30,0)+1)*MOD($C$574,30)/30),IF(ROUNDUP($C$574/30,0)+1&lt;=COLUMNS(F306:$AD306)-1,SUM(F306:OFFSET(F306,0,ROUNDDOWN($C$574/30,0)+1))-F306-$R306+OFFSET(F306,0,ROUNDUP($C$574/30,0)+1)*MOD($C$574,30)/30,SUM(F306:OFFSET(F306,0,ROUNDDOWN($C$574/30,0)+1))-F306-$R306+OFFSET(F306,0,ROUNDUP($C$574/30,0)+2)*MOD($C$574,30)/30)))</f>
        <v/>
      </c>
      <c r="G599" s="154">
        <f>IF(G285&lt;=0,0,IF(ROUNDDOWN($C$574/30,0)&lt;=COLUMNS(G306:$Q306)-1,IF(ROUNDUP($C$574/30,0)&lt;=COLUMNS(G306:$Q306)-1,SUM(G306:OFFSET(G306,0,ROUNDDOWN($C$574/30,0)))-G306+OFFSET(G306,0,ROUNDUP($C$574/30,0))*MOD($C$574,30)/30,SUM(G306:OFFSET(G306,0,ROUNDDOWN($C$574/30,0)))-G306+OFFSET(G306,0,ROUNDUP($C$574/30,0)+1)*MOD($C$574,30)/30),IF(ROUNDUP($C$574/30,0)+1&lt;=COLUMNS(G306:$AD306)-1,SUM(G306:OFFSET(G306,0,ROUNDDOWN($C$574/30,0)+1))-G306-$R306+OFFSET(G306,0,ROUNDUP($C$574/30,0)+1)*MOD($C$574,30)/30,SUM(G306:OFFSET(G306,0,ROUNDDOWN($C$574/30,0)+1))-G306-$R306+OFFSET(G306,0,ROUNDUP($C$574/30,0)+2)*MOD($C$574,30)/30)))</f>
        <v/>
      </c>
      <c r="H599" s="154">
        <f>IF(H285&lt;=0,0,IF(ROUNDDOWN($C$574/30,0)&lt;=COLUMNS(H306:$Q306)-1,IF(ROUNDUP($C$574/30,0)&lt;=COLUMNS(H306:$Q306)-1,SUM(H306:OFFSET(H306,0,ROUNDDOWN($C$574/30,0)))-H306+OFFSET(H306,0,ROUNDUP($C$574/30,0))*MOD($C$574,30)/30,SUM(H306:OFFSET(H306,0,ROUNDDOWN($C$574/30,0)))-H306+OFFSET(H306,0,ROUNDUP($C$574/30,0)+1)*MOD($C$574,30)/30),IF(ROUNDUP($C$574/30,0)+1&lt;=COLUMNS(H306:$AD306)-1,SUM(H306:OFFSET(H306,0,ROUNDDOWN($C$574/30,0)+1))-H306-$R306+OFFSET(H306,0,ROUNDUP($C$574/30,0)+1)*MOD($C$574,30)/30,SUM(H306:OFFSET(H306,0,ROUNDDOWN($C$574/30,0)+1))-H306-$R306+OFFSET(H306,0,ROUNDUP($C$574/30,0)+2)*MOD($C$574,30)/30)))</f>
        <v/>
      </c>
      <c r="I599" s="154">
        <f>IF(I285&lt;=0,0,IF(ROUNDDOWN($C$574/30,0)&lt;=COLUMNS(I306:$Q306)-1,IF(ROUNDUP($C$574/30,0)&lt;=COLUMNS(I306:$Q306)-1,SUM(I306:OFFSET(I306,0,ROUNDDOWN($C$574/30,0)))-I306+OFFSET(I306,0,ROUNDUP($C$574/30,0))*MOD($C$574,30)/30,SUM(I306:OFFSET(I306,0,ROUNDDOWN($C$574/30,0)))-I306+OFFSET(I306,0,ROUNDUP($C$574/30,0)+1)*MOD($C$574,30)/30),IF(ROUNDUP($C$574/30,0)+1&lt;=COLUMNS(I306:$AD306)-1,SUM(I306:OFFSET(I306,0,ROUNDDOWN($C$574/30,0)+1))-I306-$R306+OFFSET(I306,0,ROUNDUP($C$574/30,0)+1)*MOD($C$574,30)/30,SUM(I306:OFFSET(I306,0,ROUNDDOWN($C$574/30,0)+1))-I306-$R306+OFFSET(I306,0,ROUNDUP($C$574/30,0)+2)*MOD($C$574,30)/30)))</f>
        <v/>
      </c>
      <c r="J599" s="154">
        <f>IF(J285&lt;=0,0,IF(ROUNDDOWN($C$574/30,0)&lt;=COLUMNS(J306:$Q306)-1,IF(ROUNDUP($C$574/30,0)&lt;=COLUMNS(J306:$Q306)-1,SUM(J306:OFFSET(J306,0,ROUNDDOWN($C$574/30,0)))-J306+OFFSET(J306,0,ROUNDUP($C$574/30,0))*MOD($C$574,30)/30,SUM(J306:OFFSET(J306,0,ROUNDDOWN($C$574/30,0)))-J306+OFFSET(J306,0,ROUNDUP($C$574/30,0)+1)*MOD($C$574,30)/30),IF(ROUNDUP($C$574/30,0)+1&lt;=COLUMNS(J306:$AD306)-1,SUM(J306:OFFSET(J306,0,ROUNDDOWN($C$574/30,0)+1))-J306-$R306+OFFSET(J306,0,ROUNDUP($C$574/30,0)+1)*MOD($C$574,30)/30,SUM(J306:OFFSET(J306,0,ROUNDDOWN($C$574/30,0)+1))-J306-$R306+OFFSET(J306,0,ROUNDUP($C$574/30,0)+2)*MOD($C$574,30)/30)))</f>
        <v/>
      </c>
      <c r="K599" s="154">
        <f>IF(K285&lt;=0,0,IF(ROUNDDOWN($C$574/30,0)&lt;=COLUMNS(K306:$Q306)-1,IF(ROUNDUP($C$574/30,0)&lt;=COLUMNS(K306:$Q306)-1,SUM(K306:OFFSET(K306,0,ROUNDDOWN($C$574/30,0)))-K306+OFFSET(K306,0,ROUNDUP($C$574/30,0))*MOD($C$574,30)/30,SUM(K306:OFFSET(K306,0,ROUNDDOWN($C$574/30,0)))-K306+OFFSET(K306,0,ROUNDUP($C$574/30,0)+1)*MOD($C$574,30)/30),IF(ROUNDUP($C$574/30,0)+1&lt;=COLUMNS(K306:$AD306)-1,SUM(K306:OFFSET(K306,0,ROUNDDOWN($C$574/30,0)+1))-K306-$R306+OFFSET(K306,0,ROUNDUP($C$574/30,0)+1)*MOD($C$574,30)/30,SUM(K306:OFFSET(K306,0,ROUNDDOWN($C$574/30,0)+1))-K306-$R306+OFFSET(K306,0,ROUNDUP($C$574/30,0)+2)*MOD($C$574,30)/30)))</f>
        <v/>
      </c>
      <c r="L599" s="154">
        <f>IF(L285&lt;=0,0,IF(ROUNDDOWN($C$574/30,0)&lt;=COLUMNS(L306:$Q306)-1,IF(ROUNDUP($C$574/30,0)&lt;=COLUMNS(L306:$Q306)-1,SUM(L306:OFFSET(L306,0,ROUNDDOWN($C$574/30,0)))-L306+OFFSET(L306,0,ROUNDUP($C$574/30,0))*MOD($C$574,30)/30,SUM(L306:OFFSET(L306,0,ROUNDDOWN($C$574/30,0)))-L306+OFFSET(L306,0,ROUNDUP($C$574/30,0)+1)*MOD($C$574,30)/30),IF(ROUNDUP($C$574/30,0)+1&lt;=COLUMNS(L306:$AD306)-1,SUM(L306:OFFSET(L306,0,ROUNDDOWN($C$574/30,0)+1))-L306-$R306+OFFSET(L306,0,ROUNDUP($C$574/30,0)+1)*MOD($C$574,30)/30,SUM(L306:OFFSET(L306,0,ROUNDDOWN($C$574/30,0)+1))-L306-$R306+OFFSET(L306,0,ROUNDUP($C$574/30,0)+2)*MOD($C$574,30)/30)))</f>
        <v/>
      </c>
      <c r="M599" s="154">
        <f>IF(M285&lt;=0,0,IF(ROUNDDOWN($C$574/30,0)&lt;=COLUMNS(M306:$Q306)-1,IF(ROUNDUP($C$574/30,0)&lt;=COLUMNS(M306:$Q306)-1,SUM(M306:OFFSET(M306,0,ROUNDDOWN($C$574/30,0)))-M306+OFFSET(M306,0,ROUNDUP($C$574/30,0))*MOD($C$574,30)/30,SUM(M306:OFFSET(M306,0,ROUNDDOWN($C$574/30,0)))-M306+OFFSET(M306,0,ROUNDUP($C$574/30,0)+1)*MOD($C$574,30)/30),IF(ROUNDUP($C$574/30,0)+1&lt;=COLUMNS(M306:$AD306)-1,SUM(M306:OFFSET(M306,0,ROUNDDOWN($C$574/30,0)+1))-M306-$R306+OFFSET(M306,0,ROUNDUP($C$574/30,0)+1)*MOD($C$574,30)/30,SUM(M306:OFFSET(M306,0,ROUNDDOWN($C$574/30,0)+1))-M306-$R306+OFFSET(M306,0,ROUNDUP($C$574/30,0)+2)*MOD($C$574,30)/30)))</f>
        <v/>
      </c>
      <c r="N599" s="154">
        <f>IF(N285&lt;=0,0,IF(ROUNDDOWN($C$574/30,0)&lt;=COLUMNS(N306:$Q306)-1,IF(ROUNDUP($C$574/30,0)&lt;=COLUMNS(N306:$Q306)-1,SUM(N306:OFFSET(N306,0,ROUNDDOWN($C$574/30,0)))-N306+OFFSET(N306,0,ROUNDUP($C$574/30,0))*MOD($C$574,30)/30,SUM(N306:OFFSET(N306,0,ROUNDDOWN($C$574/30,0)))-N306+OFFSET(N306,0,ROUNDUP($C$574/30,0)+1)*MOD($C$574,30)/30),IF(ROUNDUP($C$574/30,0)+1&lt;=COLUMNS(N306:$AD306)-1,SUM(N306:OFFSET(N306,0,ROUNDDOWN($C$574/30,0)+1))-N306-$R306+OFFSET(N306,0,ROUNDUP($C$574/30,0)+1)*MOD($C$574,30)/30,SUM(N306:OFFSET(N306,0,ROUNDDOWN($C$574/30,0)+1))-N306-$R306+OFFSET(N306,0,ROUNDUP($C$574/30,0)+2)*MOD($C$574,30)/30)))</f>
        <v/>
      </c>
      <c r="O599" s="154">
        <f>IF(O285&lt;=0,0,IF(ROUNDDOWN($C$574/30,0)&lt;=COLUMNS(O306:$Q306)-1,IF(ROUNDUP($C$574/30,0)&lt;=COLUMNS(O306:$Q306)-1,SUM(O306:OFFSET(O306,0,ROUNDDOWN($C$574/30,0)))-O306+OFFSET(O306,0,ROUNDUP($C$574/30,0))*MOD($C$574,30)/30,SUM(O306:OFFSET(O306,0,ROUNDDOWN($C$574/30,0)))-O306+OFFSET(O306,0,ROUNDUP($C$574/30,0)+1)*MOD($C$574,30)/30),IF(ROUNDUP($C$574/30,0)+1&lt;=COLUMNS(O306:$AD306)-1,SUM(O306:OFFSET(O306,0,ROUNDDOWN($C$574/30,0)+1))-O306-$R306+OFFSET(O306,0,ROUNDUP($C$574/30,0)+1)*MOD($C$574,30)/30,SUM(O306:OFFSET(O306,0,ROUNDDOWN($C$574/30,0)+1))-O306-$R306+OFFSET(O306,0,ROUNDUP($C$574/30,0)+2)*MOD($C$574,30)/30)))</f>
        <v/>
      </c>
      <c r="P599" s="154">
        <f>IF(P285&lt;=0,0,IF(ROUNDDOWN($C$574/30,0)&lt;=COLUMNS(P306:$Q306)-1,IF(ROUNDUP($C$574/30,0)&lt;=COLUMNS(P306:$Q306)-1,SUM(P306:OFFSET(P306,0,ROUNDDOWN($C$574/30,0)))-P306+OFFSET(P306,0,ROUNDUP($C$574/30,0))*MOD($C$574,30)/30,SUM(P306:OFFSET(P306,0,ROUNDDOWN($C$574/30,0)))-P306+OFFSET(P306,0,ROUNDUP($C$574/30,0)+1)*MOD($C$574,30)/30),IF(ROUNDUP($C$574/30,0)+1&lt;=COLUMNS(P306:$AD306)-1,SUM(P306:OFFSET(P306,0,ROUNDDOWN($C$574/30,0)+1))-P306-$R306+OFFSET(P306,0,ROUNDUP($C$574/30,0)+1)*MOD($C$574,30)/30,SUM(P306:OFFSET(P306,0,ROUNDDOWN($C$574/30,0)+1))-P306-$R306+OFFSET(P306,0,ROUNDUP($C$574/30,0)+2)*MOD($C$574,30)/30)))</f>
        <v/>
      </c>
      <c r="Q599" s="154">
        <f>IF(Q285&lt;=0,0,IF(ROUNDDOWN($C$574/30,0)&lt;=COLUMNS(Q306:$Q306)-1,IF(ROUNDUP($C$574/30,0)&lt;=COLUMNS(Q306:$Q306)-1,SUM(Q306:OFFSET(Q306,0,ROUNDDOWN($C$574/30,0)))-Q306+OFFSET(Q306,0,ROUNDUP($C$574/30,0))*MOD($C$574,30)/30,SUM(Q306:OFFSET(Q306,0,ROUNDDOWN($C$574/30,0)))-Q306+OFFSET(Q306,0,ROUNDUP($C$574/30,0)+1)*MOD($C$574,30)/30),IF(ROUNDUP($C$574/30,0)+1&lt;=COLUMNS(Q306:$AD306)-1,SUM(Q306:OFFSET(Q306,0,ROUNDDOWN($C$574/30,0)+1))-Q306-$R306+OFFSET(Q306,0,ROUNDUP($C$574/30,0)+1)*MOD($C$574,30)/30,SUM(Q306:OFFSET(Q306,0,ROUNDDOWN($C$574/30,0)+1))-Q306-$R306+OFFSET(Q306,0,ROUNDUP($C$574/30,0)+2)*MOD($C$574,30)/30)))</f>
        <v/>
      </c>
      <c r="R599" s="229">
        <f>Q599</f>
        <v/>
      </c>
      <c r="S599" s="154">
        <f>IF(S285&lt;=0,0,IF(ROUNDDOWN($C$574/30,0)&lt;=COLUMNS(S306:$AD306)-1,IF(ROUNDUP($C$574/30,0)&lt;=COLUMNS(S306:$AD306)-1,SUM(S306:OFFSET(S306,0,ROUNDDOWN($C$574/30,0)))-S306+OFFSET(S306,0,ROUNDUP($C$574/30,0))*MOD($C$574,30)/30,SUM(S306:OFFSET(S306,0,ROUNDDOWN($C$574/30,0)))-S306+OFFSET(S306,0,ROUNDUP($C$574/30,0)+1)*MOD($C$574,30)/30/12),SUM(S306:$AD306)-S306+($C$574/30-(COLUMNS(S306:$AD306)-1))/12*$AF306))</f>
        <v/>
      </c>
      <c r="T599" s="154">
        <f>IF(T285&lt;=0,0,IF(ROUNDDOWN($C$574/30,0)&lt;=COLUMNS(T306:$AD306)-1,IF(ROUNDUP($C$574/30,0)&lt;=COLUMNS(T306:$AD306)-1,SUM(T306:OFFSET(T306,0,ROUNDDOWN($C$574/30,0)))-T306+OFFSET(T306,0,ROUNDUP($C$574/30,0))*MOD($C$574,30)/30,SUM(T306:OFFSET(T306,0,ROUNDDOWN($C$574/30,0)))-T306+OFFSET(T306,0,ROUNDUP($C$574/30,0)+1)*MOD($C$574,30)/30/12),SUM(T306:$AD306)-T306+($C$574/30-(COLUMNS(T306:$AD306)-1))/12*$AF306))</f>
        <v/>
      </c>
      <c r="U599" s="154">
        <f>IF(U285&lt;=0,0,IF(ROUNDDOWN($C$574/30,0)&lt;=COLUMNS(U306:$AD306)-1,IF(ROUNDUP($C$574/30,0)&lt;=COLUMNS(U306:$AD306)-1,SUM(U306:OFFSET(U306,0,ROUNDDOWN($C$574/30,0)))-U306+OFFSET(U306,0,ROUNDUP($C$574/30,0))*MOD($C$574,30)/30,SUM(U306:OFFSET(U306,0,ROUNDDOWN($C$574/30,0)))-U306+OFFSET(U306,0,ROUNDUP($C$574/30,0)+1)*MOD($C$574,30)/30/12),SUM(U306:$AD306)-U306+($C$574/30-(COLUMNS(U306:$AD306)-1))/12*$AF306))</f>
        <v/>
      </c>
      <c r="V599" s="154">
        <f>IF(V285&lt;=0,0,IF(ROUNDDOWN($C$574/30,0)&lt;=COLUMNS(V306:$AD306)-1,IF(ROUNDUP($C$574/30,0)&lt;=COLUMNS(V306:$AD306)-1,SUM(V306:OFFSET(V306,0,ROUNDDOWN($C$574/30,0)))-V306+OFFSET(V306,0,ROUNDUP($C$574/30,0))*MOD($C$574,30)/30,SUM(V306:OFFSET(V306,0,ROUNDDOWN($C$574/30,0)))-V306+OFFSET(V306,0,ROUNDUP($C$574/30,0)+1)*MOD($C$574,30)/30/12),SUM(V306:$AD306)-V306+($C$574/30-(COLUMNS(V306:$AD306)-1))/12*$AF306))</f>
        <v/>
      </c>
      <c r="W599" s="154">
        <f>IF(W285&lt;=0,0,IF(ROUNDDOWN($C$574/30,0)&lt;=COLUMNS(W306:$AD306)-1,IF(ROUNDUP($C$574/30,0)&lt;=COLUMNS(W306:$AD306)-1,SUM(W306:OFFSET(W306,0,ROUNDDOWN($C$574/30,0)))-W306+OFFSET(W306,0,ROUNDUP($C$574/30,0))*MOD($C$574,30)/30,SUM(W306:OFFSET(W306,0,ROUNDDOWN($C$574/30,0)))-W306+OFFSET(W306,0,ROUNDUP($C$574/30,0)+1)*MOD($C$574,30)/30/12),SUM(W306:$AD306)-W306+($C$574/30-(COLUMNS(W306:$AD306)-1))/12*$AF306))</f>
        <v/>
      </c>
      <c r="X599" s="154">
        <f>IF(X285&lt;=0,0,IF(ROUNDDOWN($C$574/30,0)&lt;=COLUMNS(X306:$AD306)-1,IF(ROUNDUP($C$574/30,0)&lt;=COLUMNS(X306:$AD306)-1,SUM(X306:OFFSET(X306,0,ROUNDDOWN($C$574/30,0)))-X306+OFFSET(X306,0,ROUNDUP($C$574/30,0))*MOD($C$574,30)/30,SUM(X306:OFFSET(X306,0,ROUNDDOWN($C$574/30,0)))-X306+OFFSET(X306,0,ROUNDUP($C$574/30,0)+1)*MOD($C$574,30)/30/12),SUM(X306:$AD306)-X306+($C$574/30-(COLUMNS(X306:$AD306)-1))/12*$AF306))</f>
        <v/>
      </c>
      <c r="Y599" s="154">
        <f>IF(Y285&lt;=0,0,IF(ROUNDDOWN($C$574/30,0)&lt;=COLUMNS(Y306:$AD306)-1,IF(ROUNDUP($C$574/30,0)&lt;=COLUMNS(Y306:$AD306)-1,SUM(Y306:OFFSET(Y306,0,ROUNDDOWN($C$574/30,0)))-Y306+OFFSET(Y306,0,ROUNDUP($C$574/30,0))*MOD($C$574,30)/30,SUM(Y306:OFFSET(Y306,0,ROUNDDOWN($C$574/30,0)))-Y306+OFFSET(Y306,0,ROUNDUP($C$574/30,0)+1)*MOD($C$574,30)/30/12),SUM(Y306:$AD306)-Y306+($C$574/30-(COLUMNS(Y306:$AD306)-1))/12*$AF306))</f>
        <v/>
      </c>
      <c r="Z599" s="154">
        <f>IF(Z285&lt;=0,0,IF(ROUNDDOWN($C$574/30,0)&lt;=COLUMNS(Z306:$AD306)-1,IF(ROUNDUP($C$574/30,0)&lt;=COLUMNS(Z306:$AD306)-1,SUM(Z306:OFFSET(Z306,0,ROUNDDOWN($C$574/30,0)))-Z306+OFFSET(Z306,0,ROUNDUP($C$574/30,0))*MOD($C$574,30)/30,SUM(Z306:OFFSET(Z306,0,ROUNDDOWN($C$574/30,0)))-Z306+OFFSET(Z306,0,ROUNDUP($C$574/30,0)+1)*MOD($C$574,30)/30/12),SUM(Z306:$AD306)-Z306+($C$574/30-(COLUMNS(Z306:$AD306)-1))/12*$AF306))</f>
        <v/>
      </c>
      <c r="AA599" s="154">
        <f>IF(AA285&lt;=0,0,IF(ROUNDDOWN($C$574/30,0)&lt;=COLUMNS(AA306:$AD306)-1,IF(ROUNDUP($C$574/30,0)&lt;=COLUMNS(AA306:$AD306)-1,SUM(AA306:OFFSET(AA306,0,ROUNDDOWN($C$574/30,0)))-AA306+OFFSET(AA306,0,ROUNDUP($C$574/30,0))*MOD($C$574,30)/30,SUM(AA306:OFFSET(AA306,0,ROUNDDOWN($C$574/30,0)))-AA306+OFFSET(AA306,0,ROUNDUP($C$574/30,0)+1)*MOD($C$574,30)/30/12),SUM(AA306:$AD306)-AA306+($C$574/30-(COLUMNS(AA306:$AD306)-1))/12*$AF306))</f>
        <v/>
      </c>
      <c r="AB599" s="154">
        <f>IF(AB285&lt;=0,0,IF(ROUNDDOWN($C$574/30,0)&lt;=COLUMNS(AB306:$AD306)-1,IF(ROUNDUP($C$574/30,0)&lt;=COLUMNS(AB306:$AD306)-1,SUM(AB306:OFFSET(AB306,0,ROUNDDOWN($C$574/30,0)))-AB306+OFFSET(AB306,0,ROUNDUP($C$574/30,0))*MOD($C$574,30)/30,SUM(AB306:OFFSET(AB306,0,ROUNDDOWN($C$574/30,0)))-AB306+OFFSET(AB306,0,ROUNDUP($C$574/30,0)+1)*MOD($C$574,30)/30/12),SUM(AB306:$AD306)-AB306+($C$574/30-(COLUMNS(AB306:$AD306)-1))/12*$AF306))</f>
        <v/>
      </c>
      <c r="AC599" s="154">
        <f>IF(AC285&lt;=0,0,IF(ROUNDDOWN($C$574/30,0)&lt;=COLUMNS(AC306:$AD306)-1,IF(ROUNDUP($C$574/30,0)&lt;=COLUMNS(AC306:$AD306)-1,SUM(AC306:OFFSET(AC306,0,ROUNDDOWN($C$574/30,0)))-AC306+OFFSET(AC306,0,ROUNDUP($C$574/30,0))*MOD($C$574,30)/30,SUM(AC306:OFFSET(AC306,0,ROUNDDOWN($C$574/30,0)))-AC306+OFFSET(AC306,0,ROUNDUP($C$574/30,0)+1)*MOD($C$574,30)/30/12),SUM(AC306:$AD306)-AC306+($C$574/30-(COLUMNS(AC306:$AD306)-1))/12*$AF306))</f>
        <v/>
      </c>
      <c r="AD599" s="154">
        <f>IF(AD285&lt;=0,0,IF(ROUNDDOWN($C$574/30,0)&lt;=COLUMNS(AD306:$AD306)-1,IF(ROUNDUP($C$574/30,0)&lt;=COLUMNS(AD306:$AD306)-1,SUM(AD306:OFFSET(AD306,0,ROUNDDOWN($C$574/30,0)))-AD306+OFFSET(AD306,0,ROUNDUP($C$574/30,0))*MOD($C$574,30)/30,SUM(AD306:OFFSET(AD306,0,ROUNDDOWN($C$574/30,0)))-AD306+OFFSET(AD306,0,ROUNDUP($C$574/30,0)+1)*MOD($C$574,30)/30/12),SUM(AD306:$AD306)-AD306+($C$574/30-(COLUMNS(AD306:$AD306)-1))/12*$AF306))</f>
        <v/>
      </c>
      <c r="AE599" s="229">
        <f>AD599</f>
        <v/>
      </c>
      <c r="AF599" s="229">
        <f>$C$574/360*AG306</f>
        <v/>
      </c>
      <c r="AG599" s="229">
        <f>$C$574/360*AH306</f>
        <v/>
      </c>
      <c r="AH599" s="229">
        <f>$C$574/360*FORECAST(6,AE306:AH306,{2,3,4,5})</f>
        <v/>
      </c>
    </row>
    <row r="600" ht="8.25" customHeight="1" s="277">
      <c r="A600" s="225" t="n"/>
      <c r="B600" s="225">
        <f>$B$91</f>
        <v/>
      </c>
      <c r="C600" s="154" t="n"/>
      <c r="D600" s="154" t="n"/>
      <c r="E600" s="154" t="n"/>
      <c r="F600" s="154">
        <f>IF(F324&lt;=0,0,IF(ROUNDDOWN($C$574/30,0)&lt;=COLUMNS(F345:$Q345)-1,IF(ROUNDUP($C$574/30,0)&lt;=COLUMNS(F345:$Q345)-1,SUM(F345:OFFSET(F345,0,ROUNDDOWN($C$574/30,0)))-F345+OFFSET(F345,0,ROUNDUP($C$574/30,0))*MOD($C$574,30)/30,SUM(F345:OFFSET(F345,0,ROUNDDOWN($C$574/30,0)))-F345+OFFSET(F345,0,ROUNDUP($C$574/30,0)+1)*MOD($C$574,30)/30),IF(ROUNDUP($C$574/30,0)+1&lt;=COLUMNS(F345:$AD345)-1,SUM(F345:OFFSET(F345,0,ROUNDDOWN($C$574/30,0)+1))-F345-$R345+OFFSET(F345,0,ROUNDUP($C$574/30,0)+1)*MOD($C$574,30)/30,SUM(F345:OFFSET(F345,0,ROUNDDOWN($C$574/30,0)+1))-F345-$R345+OFFSET(F345,0,ROUNDUP($C$574/30,0)+2)*MOD($C$574,30)/30)))</f>
        <v/>
      </c>
      <c r="G600" s="154">
        <f>IF(G324&lt;=0,0,IF(ROUNDDOWN($C$574/30,0)&lt;=COLUMNS(G345:$Q345)-1,IF(ROUNDUP($C$574/30,0)&lt;=COLUMNS(G345:$Q345)-1,SUM(G345:OFFSET(G345,0,ROUNDDOWN($C$574/30,0)))-G345+OFFSET(G345,0,ROUNDUP($C$574/30,0))*MOD($C$574,30)/30,SUM(G345:OFFSET(G345,0,ROUNDDOWN($C$574/30,0)))-G345+OFFSET(G345,0,ROUNDUP($C$574/30,0)+1)*MOD($C$574,30)/30),IF(ROUNDUP($C$574/30,0)+1&lt;=COLUMNS(G345:$AD345)-1,SUM(G345:OFFSET(G345,0,ROUNDDOWN($C$574/30,0)+1))-G345-$R345+OFFSET(G345,0,ROUNDUP($C$574/30,0)+1)*MOD($C$574,30)/30,SUM(G345:OFFSET(G345,0,ROUNDDOWN($C$574/30,0)+1))-G345-$R345+OFFSET(G345,0,ROUNDUP($C$574/30,0)+2)*MOD($C$574,30)/30)))</f>
        <v/>
      </c>
      <c r="H600" s="154">
        <f>IF(H324&lt;=0,0,IF(ROUNDDOWN($C$574/30,0)&lt;=COLUMNS(H345:$Q345)-1,IF(ROUNDUP($C$574/30,0)&lt;=COLUMNS(H345:$Q345)-1,SUM(H345:OFFSET(H345,0,ROUNDDOWN($C$574/30,0)))-H345+OFFSET(H345,0,ROUNDUP($C$574/30,0))*MOD($C$574,30)/30,SUM(H345:OFFSET(H345,0,ROUNDDOWN($C$574/30,0)))-H345+OFFSET(H345,0,ROUNDUP($C$574/30,0)+1)*MOD($C$574,30)/30),IF(ROUNDUP($C$574/30,0)+1&lt;=COLUMNS(H345:$AD345)-1,SUM(H345:OFFSET(H345,0,ROUNDDOWN($C$574/30,0)+1))-H345-$R345+OFFSET(H345,0,ROUNDUP($C$574/30,0)+1)*MOD($C$574,30)/30,SUM(H345:OFFSET(H345,0,ROUNDDOWN($C$574/30,0)+1))-H345-$R345+OFFSET(H345,0,ROUNDUP($C$574/30,0)+2)*MOD($C$574,30)/30)))</f>
        <v/>
      </c>
      <c r="I600" s="154">
        <f>IF(I324&lt;=0,0,IF(ROUNDDOWN($C$574/30,0)&lt;=COLUMNS(I345:$Q345)-1,IF(ROUNDUP($C$574/30,0)&lt;=COLUMNS(I345:$Q345)-1,SUM(I345:OFFSET(I345,0,ROUNDDOWN($C$574/30,0)))-I345+OFFSET(I345,0,ROUNDUP($C$574/30,0))*MOD($C$574,30)/30,SUM(I345:OFFSET(I345,0,ROUNDDOWN($C$574/30,0)))-I345+OFFSET(I345,0,ROUNDUP($C$574/30,0)+1)*MOD($C$574,30)/30),IF(ROUNDUP($C$574/30,0)+1&lt;=COLUMNS(I345:$AD345)-1,SUM(I345:OFFSET(I345,0,ROUNDDOWN($C$574/30,0)+1))-I345-$R345+OFFSET(I345,0,ROUNDUP($C$574/30,0)+1)*MOD($C$574,30)/30,SUM(I345:OFFSET(I345,0,ROUNDDOWN($C$574/30,0)+1))-I345-$R345+OFFSET(I345,0,ROUNDUP($C$574/30,0)+2)*MOD($C$574,30)/30)))</f>
        <v/>
      </c>
      <c r="J600" s="154">
        <f>IF(J324&lt;=0,0,IF(ROUNDDOWN($C$574/30,0)&lt;=COLUMNS(J345:$Q345)-1,IF(ROUNDUP($C$574/30,0)&lt;=COLUMNS(J345:$Q345)-1,SUM(J345:OFFSET(J345,0,ROUNDDOWN($C$574/30,0)))-J345+OFFSET(J345,0,ROUNDUP($C$574/30,0))*MOD($C$574,30)/30,SUM(J345:OFFSET(J345,0,ROUNDDOWN($C$574/30,0)))-J345+OFFSET(J345,0,ROUNDUP($C$574/30,0)+1)*MOD($C$574,30)/30),IF(ROUNDUP($C$574/30,0)+1&lt;=COLUMNS(J345:$AD345)-1,SUM(J345:OFFSET(J345,0,ROUNDDOWN($C$574/30,0)+1))-J345-$R345+OFFSET(J345,0,ROUNDUP($C$574/30,0)+1)*MOD($C$574,30)/30,SUM(J345:OFFSET(J345,0,ROUNDDOWN($C$574/30,0)+1))-J345-$R345+OFFSET(J345,0,ROUNDUP($C$574/30,0)+2)*MOD($C$574,30)/30)))</f>
        <v/>
      </c>
      <c r="K600" s="154">
        <f>IF(K324&lt;=0,0,IF(ROUNDDOWN($C$574/30,0)&lt;=COLUMNS(K345:$Q345)-1,IF(ROUNDUP($C$574/30,0)&lt;=COLUMNS(K345:$Q345)-1,SUM(K345:OFFSET(K345,0,ROUNDDOWN($C$574/30,0)))-K345+OFFSET(K345,0,ROUNDUP($C$574/30,0))*MOD($C$574,30)/30,SUM(K345:OFFSET(K345,0,ROUNDDOWN($C$574/30,0)))-K345+OFFSET(K345,0,ROUNDUP($C$574/30,0)+1)*MOD($C$574,30)/30),IF(ROUNDUP($C$574/30,0)+1&lt;=COLUMNS(K345:$AD345)-1,SUM(K345:OFFSET(K345,0,ROUNDDOWN($C$574/30,0)+1))-K345-$R345+OFFSET(K345,0,ROUNDUP($C$574/30,0)+1)*MOD($C$574,30)/30,SUM(K345:OFFSET(K345,0,ROUNDDOWN($C$574/30,0)+1))-K345-$R345+OFFSET(K345,0,ROUNDUP($C$574/30,0)+2)*MOD($C$574,30)/30)))</f>
        <v/>
      </c>
      <c r="L600" s="154">
        <f>IF(L324&lt;=0,0,IF(ROUNDDOWN($C$574/30,0)&lt;=COLUMNS(L345:$Q345)-1,IF(ROUNDUP($C$574/30,0)&lt;=COLUMNS(L345:$Q345)-1,SUM(L345:OFFSET(L345,0,ROUNDDOWN($C$574/30,0)))-L345+OFFSET(L345,0,ROUNDUP($C$574/30,0))*MOD($C$574,30)/30,SUM(L345:OFFSET(L345,0,ROUNDDOWN($C$574/30,0)))-L345+OFFSET(L345,0,ROUNDUP($C$574/30,0)+1)*MOD($C$574,30)/30),IF(ROUNDUP($C$574/30,0)+1&lt;=COLUMNS(L345:$AD345)-1,SUM(L345:OFFSET(L345,0,ROUNDDOWN($C$574/30,0)+1))-L345-$R345+OFFSET(L345,0,ROUNDUP($C$574/30,0)+1)*MOD($C$574,30)/30,SUM(L345:OFFSET(L345,0,ROUNDDOWN($C$574/30,0)+1))-L345-$R345+OFFSET(L345,0,ROUNDUP($C$574/30,0)+2)*MOD($C$574,30)/30)))</f>
        <v/>
      </c>
      <c r="M600" s="154">
        <f>IF(M324&lt;=0,0,IF(ROUNDDOWN($C$574/30,0)&lt;=COLUMNS(M345:$Q345)-1,IF(ROUNDUP($C$574/30,0)&lt;=COLUMNS(M345:$Q345)-1,SUM(M345:OFFSET(M345,0,ROUNDDOWN($C$574/30,0)))-M345+OFFSET(M345,0,ROUNDUP($C$574/30,0))*MOD($C$574,30)/30,SUM(M345:OFFSET(M345,0,ROUNDDOWN($C$574/30,0)))-M345+OFFSET(M345,0,ROUNDUP($C$574/30,0)+1)*MOD($C$574,30)/30),IF(ROUNDUP($C$574/30,0)+1&lt;=COLUMNS(M345:$AD345)-1,SUM(M345:OFFSET(M345,0,ROUNDDOWN($C$574/30,0)+1))-M345-$R345+OFFSET(M345,0,ROUNDUP($C$574/30,0)+1)*MOD($C$574,30)/30,SUM(M345:OFFSET(M345,0,ROUNDDOWN($C$574/30,0)+1))-M345-$R345+OFFSET(M345,0,ROUNDUP($C$574/30,0)+2)*MOD($C$574,30)/30)))</f>
        <v/>
      </c>
      <c r="N600" s="154">
        <f>IF(N324&lt;=0,0,IF(ROUNDDOWN($C$574/30,0)&lt;=COLUMNS(N345:$Q345)-1,IF(ROUNDUP($C$574/30,0)&lt;=COLUMNS(N345:$Q345)-1,SUM(N345:OFFSET(N345,0,ROUNDDOWN($C$574/30,0)))-N345+OFFSET(N345,0,ROUNDUP($C$574/30,0))*MOD($C$574,30)/30,SUM(N345:OFFSET(N345,0,ROUNDDOWN($C$574/30,0)))-N345+OFFSET(N345,0,ROUNDUP($C$574/30,0)+1)*MOD($C$574,30)/30),IF(ROUNDUP($C$574/30,0)+1&lt;=COLUMNS(N345:$AD345)-1,SUM(N345:OFFSET(N345,0,ROUNDDOWN($C$574/30,0)+1))-N345-$R345+OFFSET(N345,0,ROUNDUP($C$574/30,0)+1)*MOD($C$574,30)/30,SUM(N345:OFFSET(N345,0,ROUNDDOWN($C$574/30,0)+1))-N345-$R345+OFFSET(N345,0,ROUNDUP($C$574/30,0)+2)*MOD($C$574,30)/30)))</f>
        <v/>
      </c>
      <c r="O600" s="154">
        <f>IF(O324&lt;=0,0,IF(ROUNDDOWN($C$574/30,0)&lt;=COLUMNS(O345:$Q345)-1,IF(ROUNDUP($C$574/30,0)&lt;=COLUMNS(O345:$Q345)-1,SUM(O345:OFFSET(O345,0,ROUNDDOWN($C$574/30,0)))-O345+OFFSET(O345,0,ROUNDUP($C$574/30,0))*MOD($C$574,30)/30,SUM(O345:OFFSET(O345,0,ROUNDDOWN($C$574/30,0)))-O345+OFFSET(O345,0,ROUNDUP($C$574/30,0)+1)*MOD($C$574,30)/30),IF(ROUNDUP($C$574/30,0)+1&lt;=COLUMNS(O345:$AD345)-1,SUM(O345:OFFSET(O345,0,ROUNDDOWN($C$574/30,0)+1))-O345-$R345+OFFSET(O345,0,ROUNDUP($C$574/30,0)+1)*MOD($C$574,30)/30,SUM(O345:OFFSET(O345,0,ROUNDDOWN($C$574/30,0)+1))-O345-$R345+OFFSET(O345,0,ROUNDUP($C$574/30,0)+2)*MOD($C$574,30)/30)))</f>
        <v/>
      </c>
      <c r="P600" s="154">
        <f>IF(P324&lt;=0,0,IF(ROUNDDOWN($C$574/30,0)&lt;=COLUMNS(P345:$Q345)-1,IF(ROUNDUP($C$574/30,0)&lt;=COLUMNS(P345:$Q345)-1,SUM(P345:OFFSET(P345,0,ROUNDDOWN($C$574/30,0)))-P345+OFFSET(P345,0,ROUNDUP($C$574/30,0))*MOD($C$574,30)/30,SUM(P345:OFFSET(P345,0,ROUNDDOWN($C$574/30,0)))-P345+OFFSET(P345,0,ROUNDUP($C$574/30,0)+1)*MOD($C$574,30)/30),IF(ROUNDUP($C$574/30,0)+1&lt;=COLUMNS(P345:$AD345)-1,SUM(P345:OFFSET(P345,0,ROUNDDOWN($C$574/30,0)+1))-P345-$R345+OFFSET(P345,0,ROUNDUP($C$574/30,0)+1)*MOD($C$574,30)/30,SUM(P345:OFFSET(P345,0,ROUNDDOWN($C$574/30,0)+1))-P345-$R345+OFFSET(P345,0,ROUNDUP($C$574/30,0)+2)*MOD($C$574,30)/30)))</f>
        <v/>
      </c>
      <c r="Q600" s="154">
        <f>IF(Q324&lt;=0,0,IF(ROUNDDOWN($C$574/30,0)&lt;=COLUMNS(Q345:$Q345)-1,IF(ROUNDUP($C$574/30,0)&lt;=COLUMNS(Q345:$Q345)-1,SUM(Q345:OFFSET(Q345,0,ROUNDDOWN($C$574/30,0)))-Q345+OFFSET(Q345,0,ROUNDUP($C$574/30,0))*MOD($C$574,30)/30,SUM(Q345:OFFSET(Q345,0,ROUNDDOWN($C$574/30,0)))-Q345+OFFSET(Q345,0,ROUNDUP($C$574/30,0)+1)*MOD($C$574,30)/30),IF(ROUNDUP($C$574/30,0)+1&lt;=COLUMNS(Q345:$AD345)-1,SUM(Q345:OFFSET(Q345,0,ROUNDDOWN($C$574/30,0)+1))-Q345-$R345+OFFSET(Q345,0,ROUNDUP($C$574/30,0)+1)*MOD($C$574,30)/30,SUM(Q345:OFFSET(Q345,0,ROUNDDOWN($C$574/30,0)+1))-Q345-$R345+OFFSET(Q345,0,ROUNDUP($C$574/30,0)+2)*MOD($C$574,30)/30)))</f>
        <v/>
      </c>
      <c r="R600" s="229">
        <f>Q600</f>
        <v/>
      </c>
      <c r="S600" s="154">
        <f>IF(S324&lt;=0,0,IF(ROUNDDOWN($C$574/30,0)&lt;=COLUMNS(S345:$AD345)-1,IF(ROUNDUP($C$574/30,0)&lt;=COLUMNS(S345:$AD345)-1,SUM(S345:OFFSET(S345,0,ROUNDDOWN($C$574/30,0)))-S345+OFFSET(S345,0,ROUNDUP($C$574/30,0))*MOD($C$574,30)/30,SUM(S345:OFFSET(S345,0,ROUNDDOWN($C$574/30,0)))-S345+OFFSET(S345,0,ROUNDUP($C$574/30,0)+1)*MOD($C$574,30)/30/12),SUM(S345:$AD345)-S345+($C$574/30-(COLUMNS(S345:$AD345)-1))/12*$AF345))</f>
        <v/>
      </c>
      <c r="T600" s="154">
        <f>IF(T324&lt;=0,0,IF(ROUNDDOWN($C$574/30,0)&lt;=COLUMNS(T345:$AD345)-1,IF(ROUNDUP($C$574/30,0)&lt;=COLUMNS(T345:$AD345)-1,SUM(T345:OFFSET(T345,0,ROUNDDOWN($C$574/30,0)))-T345+OFFSET(T345,0,ROUNDUP($C$574/30,0))*MOD($C$574,30)/30,SUM(T345:OFFSET(T345,0,ROUNDDOWN($C$574/30,0)))-T345+OFFSET(T345,0,ROUNDUP($C$574/30,0)+1)*MOD($C$574,30)/30/12),SUM(T345:$AD345)-T345+($C$574/30-(COLUMNS(T345:$AD345)-1))/12*$AF345))</f>
        <v/>
      </c>
      <c r="U600" s="154">
        <f>IF(U324&lt;=0,0,IF(ROUNDDOWN($C$574/30,0)&lt;=COLUMNS(U345:$AD345)-1,IF(ROUNDUP($C$574/30,0)&lt;=COLUMNS(U345:$AD345)-1,SUM(U345:OFFSET(U345,0,ROUNDDOWN($C$574/30,0)))-U345+OFFSET(U345,0,ROUNDUP($C$574/30,0))*MOD($C$574,30)/30,SUM(U345:OFFSET(U345,0,ROUNDDOWN($C$574/30,0)))-U345+OFFSET(U345,0,ROUNDUP($C$574/30,0)+1)*MOD($C$574,30)/30/12),SUM(U345:$AD345)-U345+($C$574/30-(COLUMNS(U345:$AD345)-1))/12*$AF345))</f>
        <v/>
      </c>
      <c r="V600" s="154">
        <f>IF(V324&lt;=0,0,IF(ROUNDDOWN($C$574/30,0)&lt;=COLUMNS(V345:$AD345)-1,IF(ROUNDUP($C$574/30,0)&lt;=COLUMNS(V345:$AD345)-1,SUM(V345:OFFSET(V345,0,ROUNDDOWN($C$574/30,0)))-V345+OFFSET(V345,0,ROUNDUP($C$574/30,0))*MOD($C$574,30)/30,SUM(V345:OFFSET(V345,0,ROUNDDOWN($C$574/30,0)))-V345+OFFSET(V345,0,ROUNDUP($C$574/30,0)+1)*MOD($C$574,30)/30/12),SUM(V345:$AD345)-V345+($C$574/30-(COLUMNS(V345:$AD345)-1))/12*$AF345))</f>
        <v/>
      </c>
      <c r="W600" s="154">
        <f>IF(W324&lt;=0,0,IF(ROUNDDOWN($C$574/30,0)&lt;=COLUMNS(W345:$AD345)-1,IF(ROUNDUP($C$574/30,0)&lt;=COLUMNS(W345:$AD345)-1,SUM(W345:OFFSET(W345,0,ROUNDDOWN($C$574/30,0)))-W345+OFFSET(W345,0,ROUNDUP($C$574/30,0))*MOD($C$574,30)/30,SUM(W345:OFFSET(W345,0,ROUNDDOWN($C$574/30,0)))-W345+OFFSET(W345,0,ROUNDUP($C$574/30,0)+1)*MOD($C$574,30)/30/12),SUM(W345:$AD345)-W345+($C$574/30-(COLUMNS(W345:$AD345)-1))/12*$AF345))</f>
        <v/>
      </c>
      <c r="X600" s="154">
        <f>IF(X324&lt;=0,0,IF(ROUNDDOWN($C$574/30,0)&lt;=COLUMNS(X345:$AD345)-1,IF(ROUNDUP($C$574/30,0)&lt;=COLUMNS(X345:$AD345)-1,SUM(X345:OFFSET(X345,0,ROUNDDOWN($C$574/30,0)))-X345+OFFSET(X345,0,ROUNDUP($C$574/30,0))*MOD($C$574,30)/30,SUM(X345:OFFSET(X345,0,ROUNDDOWN($C$574/30,0)))-X345+OFFSET(X345,0,ROUNDUP($C$574/30,0)+1)*MOD($C$574,30)/30/12),SUM(X345:$AD345)-X345+($C$574/30-(COLUMNS(X345:$AD345)-1))/12*$AF345))</f>
        <v/>
      </c>
      <c r="Y600" s="154">
        <f>IF(Y324&lt;=0,0,IF(ROUNDDOWN($C$574/30,0)&lt;=COLUMNS(Y345:$AD345)-1,IF(ROUNDUP($C$574/30,0)&lt;=COLUMNS(Y345:$AD345)-1,SUM(Y345:OFFSET(Y345,0,ROUNDDOWN($C$574/30,0)))-Y345+OFFSET(Y345,0,ROUNDUP($C$574/30,0))*MOD($C$574,30)/30,SUM(Y345:OFFSET(Y345,0,ROUNDDOWN($C$574/30,0)))-Y345+OFFSET(Y345,0,ROUNDUP($C$574/30,0)+1)*MOD($C$574,30)/30/12),SUM(Y345:$AD345)-Y345+($C$574/30-(COLUMNS(Y345:$AD345)-1))/12*$AF345))</f>
        <v/>
      </c>
      <c r="Z600" s="154">
        <f>IF(Z324&lt;=0,0,IF(ROUNDDOWN($C$574/30,0)&lt;=COLUMNS(Z345:$AD345)-1,IF(ROUNDUP($C$574/30,0)&lt;=COLUMNS(Z345:$AD345)-1,SUM(Z345:OFFSET(Z345,0,ROUNDDOWN($C$574/30,0)))-Z345+OFFSET(Z345,0,ROUNDUP($C$574/30,0))*MOD($C$574,30)/30,SUM(Z345:OFFSET(Z345,0,ROUNDDOWN($C$574/30,0)))-Z345+OFFSET(Z345,0,ROUNDUP($C$574/30,0)+1)*MOD($C$574,30)/30/12),SUM(Z345:$AD345)-Z345+($C$574/30-(COLUMNS(Z345:$AD345)-1))/12*$AF345))</f>
        <v/>
      </c>
      <c r="AA600" s="154">
        <f>IF(AA324&lt;=0,0,IF(ROUNDDOWN($C$574/30,0)&lt;=COLUMNS(AA345:$AD345)-1,IF(ROUNDUP($C$574/30,0)&lt;=COLUMNS(AA345:$AD345)-1,SUM(AA345:OFFSET(AA345,0,ROUNDDOWN($C$574/30,0)))-AA345+OFFSET(AA345,0,ROUNDUP($C$574/30,0))*MOD($C$574,30)/30,SUM(AA345:OFFSET(AA345,0,ROUNDDOWN($C$574/30,0)))-AA345+OFFSET(AA345,0,ROUNDUP($C$574/30,0)+1)*MOD($C$574,30)/30/12),SUM(AA345:$AD345)-AA345+($C$574/30-(COLUMNS(AA345:$AD345)-1))/12*$AF345))</f>
        <v/>
      </c>
      <c r="AB600" s="154">
        <f>IF(AB324&lt;=0,0,IF(ROUNDDOWN($C$574/30,0)&lt;=COLUMNS(AB345:$AD345)-1,IF(ROUNDUP($C$574/30,0)&lt;=COLUMNS(AB345:$AD345)-1,SUM(AB345:OFFSET(AB345,0,ROUNDDOWN($C$574/30,0)))-AB345+OFFSET(AB345,0,ROUNDUP($C$574/30,0))*MOD($C$574,30)/30,SUM(AB345:OFFSET(AB345,0,ROUNDDOWN($C$574/30,0)))-AB345+OFFSET(AB345,0,ROUNDUP($C$574/30,0)+1)*MOD($C$574,30)/30/12),SUM(AB345:$AD345)-AB345+($C$574/30-(COLUMNS(AB345:$AD345)-1))/12*$AF345))</f>
        <v/>
      </c>
      <c r="AC600" s="154">
        <f>IF(AC324&lt;=0,0,IF(ROUNDDOWN($C$574/30,0)&lt;=COLUMNS(AC345:$AD345)-1,IF(ROUNDUP($C$574/30,0)&lt;=COLUMNS(AC345:$AD345)-1,SUM(AC345:OFFSET(AC345,0,ROUNDDOWN($C$574/30,0)))-AC345+OFFSET(AC345,0,ROUNDUP($C$574/30,0))*MOD($C$574,30)/30,SUM(AC345:OFFSET(AC345,0,ROUNDDOWN($C$574/30,0)))-AC345+OFFSET(AC345,0,ROUNDUP($C$574/30,0)+1)*MOD($C$574,30)/30/12),SUM(AC345:$AD345)-AC345+($C$574/30-(COLUMNS(AC345:$AD345)-1))/12*$AF345))</f>
        <v/>
      </c>
      <c r="AD600" s="154">
        <f>IF(AD324&lt;=0,0,IF(ROUNDDOWN($C$574/30,0)&lt;=COLUMNS(AD345:$AD345)-1,IF(ROUNDUP($C$574/30,0)&lt;=COLUMNS(AD345:$AD345)-1,SUM(AD345:OFFSET(AD345,0,ROUNDDOWN($C$574/30,0)))-AD345+OFFSET(AD345,0,ROUNDUP($C$574/30,0))*MOD($C$574,30)/30,SUM(AD345:OFFSET(AD345,0,ROUNDDOWN($C$574/30,0)))-AD345+OFFSET(AD345,0,ROUNDUP($C$574/30,0)+1)*MOD($C$574,30)/30/12),SUM(AD345:$AD345)-AD345+($C$574/30-(COLUMNS(AD345:$AD345)-1))/12*$AF345))</f>
        <v/>
      </c>
      <c r="AE600" s="229">
        <f>AD600</f>
        <v/>
      </c>
      <c r="AF600" s="229">
        <f>$C$574/360*AG345</f>
        <v/>
      </c>
      <c r="AG600" s="229">
        <f>$C$574/360*AH345</f>
        <v/>
      </c>
      <c r="AH600" s="229">
        <f>$C$574/360*FORECAST(6,AE345:AH345,{2,3,4,5})</f>
        <v/>
      </c>
    </row>
    <row r="601" ht="8.25" customHeight="1" s="277">
      <c r="A601" s="225" t="n"/>
      <c r="B601" s="225">
        <f>$B$92</f>
        <v/>
      </c>
      <c r="C601" s="154" t="n"/>
      <c r="D601" s="154" t="n"/>
      <c r="E601" s="154" t="n"/>
      <c r="F601" s="154">
        <f>IF(F363&lt;=0,0,IF(ROUNDDOWN($C$574/30,0)&lt;=COLUMNS(F384:$Q384)-1,IF(ROUNDUP($C$574/30,0)&lt;=COLUMNS(F384:$Q384)-1,SUM(F384:OFFSET(F384,0,ROUNDDOWN($C$574/30,0)))-F384+OFFSET(F384,0,ROUNDUP($C$574/30,0))*MOD($C$574,30)/30,SUM(F384:OFFSET(F384,0,ROUNDDOWN($C$574/30,0)))-F384+OFFSET(F384,0,ROUNDUP($C$574/30,0)+1)*MOD($C$574,30)/30),IF(ROUNDUP($C$574/30,0)+1&lt;=COLUMNS(F384:$AD384)-1,SUM(F384:OFFSET(F384,0,ROUNDDOWN($C$574/30,0)+1))-F384-$R384+OFFSET(F384,0,ROUNDUP($C$574/30,0)+1)*MOD($C$574,30)/30,SUM(F384:OFFSET(F384,0,ROUNDDOWN($C$574/30,0)+1))-F384-$R384+OFFSET(F384,0,ROUNDUP($C$574/30,0)+2)*MOD($C$574,30)/30)))</f>
        <v/>
      </c>
      <c r="G601" s="154">
        <f>IF(G363&lt;=0,0,IF(ROUNDDOWN($C$574/30,0)&lt;=COLUMNS(G384:$Q384)-1,IF(ROUNDUP($C$574/30,0)&lt;=COLUMNS(G384:$Q384)-1,SUM(G384:OFFSET(G384,0,ROUNDDOWN($C$574/30,0)))-G384+OFFSET(G384,0,ROUNDUP($C$574/30,0))*MOD($C$574,30)/30,SUM(G384:OFFSET(G384,0,ROUNDDOWN($C$574/30,0)))-G384+OFFSET(G384,0,ROUNDUP($C$574/30,0)+1)*MOD($C$574,30)/30),IF(ROUNDUP($C$574/30,0)+1&lt;=COLUMNS(G384:$AD384)-1,SUM(G384:OFFSET(G384,0,ROUNDDOWN($C$574/30,0)+1))-G384-$R384+OFFSET(G384,0,ROUNDUP($C$574/30,0)+1)*MOD($C$574,30)/30,SUM(G384:OFFSET(G384,0,ROUNDDOWN($C$574/30,0)+1))-G384-$R384+OFFSET(G384,0,ROUNDUP($C$574/30,0)+2)*MOD($C$574,30)/30)))</f>
        <v/>
      </c>
      <c r="H601" s="154">
        <f>IF(H363&lt;=0,0,IF(ROUNDDOWN($C$574/30,0)&lt;=COLUMNS(H384:$Q384)-1,IF(ROUNDUP($C$574/30,0)&lt;=COLUMNS(H384:$Q384)-1,SUM(H384:OFFSET(H384,0,ROUNDDOWN($C$574/30,0)))-H384+OFFSET(H384,0,ROUNDUP($C$574/30,0))*MOD($C$574,30)/30,SUM(H384:OFFSET(H384,0,ROUNDDOWN($C$574/30,0)))-H384+OFFSET(H384,0,ROUNDUP($C$574/30,0)+1)*MOD($C$574,30)/30),IF(ROUNDUP($C$574/30,0)+1&lt;=COLUMNS(H384:$AD384)-1,SUM(H384:OFFSET(H384,0,ROUNDDOWN($C$574/30,0)+1))-H384-$R384+OFFSET(H384,0,ROUNDUP($C$574/30,0)+1)*MOD($C$574,30)/30,SUM(H384:OFFSET(H384,0,ROUNDDOWN($C$574/30,0)+1))-H384-$R384+OFFSET(H384,0,ROUNDUP($C$574/30,0)+2)*MOD($C$574,30)/30)))</f>
        <v/>
      </c>
      <c r="I601" s="154">
        <f>IF(I363&lt;=0,0,IF(ROUNDDOWN($C$574/30,0)&lt;=COLUMNS(I384:$Q384)-1,IF(ROUNDUP($C$574/30,0)&lt;=COLUMNS(I384:$Q384)-1,SUM(I384:OFFSET(I384,0,ROUNDDOWN($C$574/30,0)))-I384+OFFSET(I384,0,ROUNDUP($C$574/30,0))*MOD($C$574,30)/30,SUM(I384:OFFSET(I384,0,ROUNDDOWN($C$574/30,0)))-I384+OFFSET(I384,0,ROUNDUP($C$574/30,0)+1)*MOD($C$574,30)/30),IF(ROUNDUP($C$574/30,0)+1&lt;=COLUMNS(I384:$AD384)-1,SUM(I384:OFFSET(I384,0,ROUNDDOWN($C$574/30,0)+1))-I384-$R384+OFFSET(I384,0,ROUNDUP($C$574/30,0)+1)*MOD($C$574,30)/30,SUM(I384:OFFSET(I384,0,ROUNDDOWN($C$574/30,0)+1))-I384-$R384+OFFSET(I384,0,ROUNDUP($C$574/30,0)+2)*MOD($C$574,30)/30)))</f>
        <v/>
      </c>
      <c r="J601" s="154">
        <f>IF(J363&lt;=0,0,IF(ROUNDDOWN($C$574/30,0)&lt;=COLUMNS(J384:$Q384)-1,IF(ROUNDUP($C$574/30,0)&lt;=COLUMNS(J384:$Q384)-1,SUM(J384:OFFSET(J384,0,ROUNDDOWN($C$574/30,0)))-J384+OFFSET(J384,0,ROUNDUP($C$574/30,0))*MOD($C$574,30)/30,SUM(J384:OFFSET(J384,0,ROUNDDOWN($C$574/30,0)))-J384+OFFSET(J384,0,ROUNDUP($C$574/30,0)+1)*MOD($C$574,30)/30),IF(ROUNDUP($C$574/30,0)+1&lt;=COLUMNS(J384:$AD384)-1,SUM(J384:OFFSET(J384,0,ROUNDDOWN($C$574/30,0)+1))-J384-$R384+OFFSET(J384,0,ROUNDUP($C$574/30,0)+1)*MOD($C$574,30)/30,SUM(J384:OFFSET(J384,0,ROUNDDOWN($C$574/30,0)+1))-J384-$R384+OFFSET(J384,0,ROUNDUP($C$574/30,0)+2)*MOD($C$574,30)/30)))</f>
        <v/>
      </c>
      <c r="K601" s="154">
        <f>IF(K363&lt;=0,0,IF(ROUNDDOWN($C$574/30,0)&lt;=COLUMNS(K384:$Q384)-1,IF(ROUNDUP($C$574/30,0)&lt;=COLUMNS(K384:$Q384)-1,SUM(K384:OFFSET(K384,0,ROUNDDOWN($C$574/30,0)))-K384+OFFSET(K384,0,ROUNDUP($C$574/30,0))*MOD($C$574,30)/30,SUM(K384:OFFSET(K384,0,ROUNDDOWN($C$574/30,0)))-K384+OFFSET(K384,0,ROUNDUP($C$574/30,0)+1)*MOD($C$574,30)/30),IF(ROUNDUP($C$574/30,0)+1&lt;=COLUMNS(K384:$AD384)-1,SUM(K384:OFFSET(K384,0,ROUNDDOWN($C$574/30,0)+1))-K384-$R384+OFFSET(K384,0,ROUNDUP($C$574/30,0)+1)*MOD($C$574,30)/30,SUM(K384:OFFSET(K384,0,ROUNDDOWN($C$574/30,0)+1))-K384-$R384+OFFSET(K384,0,ROUNDUP($C$574/30,0)+2)*MOD($C$574,30)/30)))</f>
        <v/>
      </c>
      <c r="L601" s="154">
        <f>IF(L363&lt;=0,0,IF(ROUNDDOWN($C$574/30,0)&lt;=COLUMNS(L384:$Q384)-1,IF(ROUNDUP($C$574/30,0)&lt;=COLUMNS(L384:$Q384)-1,SUM(L384:OFFSET(L384,0,ROUNDDOWN($C$574/30,0)))-L384+OFFSET(L384,0,ROUNDUP($C$574/30,0))*MOD($C$574,30)/30,SUM(L384:OFFSET(L384,0,ROUNDDOWN($C$574/30,0)))-L384+OFFSET(L384,0,ROUNDUP($C$574/30,0)+1)*MOD($C$574,30)/30),IF(ROUNDUP($C$574/30,0)+1&lt;=COLUMNS(L384:$AD384)-1,SUM(L384:OFFSET(L384,0,ROUNDDOWN($C$574/30,0)+1))-L384-$R384+OFFSET(L384,0,ROUNDUP($C$574/30,0)+1)*MOD($C$574,30)/30,SUM(L384:OFFSET(L384,0,ROUNDDOWN($C$574/30,0)+1))-L384-$R384+OFFSET(L384,0,ROUNDUP($C$574/30,0)+2)*MOD($C$574,30)/30)))</f>
        <v/>
      </c>
      <c r="M601" s="154">
        <f>IF(M363&lt;=0,0,IF(ROUNDDOWN($C$574/30,0)&lt;=COLUMNS(M384:$Q384)-1,IF(ROUNDUP($C$574/30,0)&lt;=COLUMNS(M384:$Q384)-1,SUM(M384:OFFSET(M384,0,ROUNDDOWN($C$574/30,0)))-M384+OFFSET(M384,0,ROUNDUP($C$574/30,0))*MOD($C$574,30)/30,SUM(M384:OFFSET(M384,0,ROUNDDOWN($C$574/30,0)))-M384+OFFSET(M384,0,ROUNDUP($C$574/30,0)+1)*MOD($C$574,30)/30),IF(ROUNDUP($C$574/30,0)+1&lt;=COLUMNS(M384:$AD384)-1,SUM(M384:OFFSET(M384,0,ROUNDDOWN($C$574/30,0)+1))-M384-$R384+OFFSET(M384,0,ROUNDUP($C$574/30,0)+1)*MOD($C$574,30)/30,SUM(M384:OFFSET(M384,0,ROUNDDOWN($C$574/30,0)+1))-M384-$R384+OFFSET(M384,0,ROUNDUP($C$574/30,0)+2)*MOD($C$574,30)/30)))</f>
        <v/>
      </c>
      <c r="N601" s="154">
        <f>IF(N363&lt;=0,0,IF(ROUNDDOWN($C$574/30,0)&lt;=COLUMNS(N384:$Q384)-1,IF(ROUNDUP($C$574/30,0)&lt;=COLUMNS(N384:$Q384)-1,SUM(N384:OFFSET(N384,0,ROUNDDOWN($C$574/30,0)))-N384+OFFSET(N384,0,ROUNDUP($C$574/30,0))*MOD($C$574,30)/30,SUM(N384:OFFSET(N384,0,ROUNDDOWN($C$574/30,0)))-N384+OFFSET(N384,0,ROUNDUP($C$574/30,0)+1)*MOD($C$574,30)/30),IF(ROUNDUP($C$574/30,0)+1&lt;=COLUMNS(N384:$AD384)-1,SUM(N384:OFFSET(N384,0,ROUNDDOWN($C$574/30,0)+1))-N384-$R384+OFFSET(N384,0,ROUNDUP($C$574/30,0)+1)*MOD($C$574,30)/30,SUM(N384:OFFSET(N384,0,ROUNDDOWN($C$574/30,0)+1))-N384-$R384+OFFSET(N384,0,ROUNDUP($C$574/30,0)+2)*MOD($C$574,30)/30)))</f>
        <v/>
      </c>
      <c r="O601" s="154">
        <f>IF(O363&lt;=0,0,IF(ROUNDDOWN($C$574/30,0)&lt;=COLUMNS(O384:$Q384)-1,IF(ROUNDUP($C$574/30,0)&lt;=COLUMNS(O384:$Q384)-1,SUM(O384:OFFSET(O384,0,ROUNDDOWN($C$574/30,0)))-O384+OFFSET(O384,0,ROUNDUP($C$574/30,0))*MOD($C$574,30)/30,SUM(O384:OFFSET(O384,0,ROUNDDOWN($C$574/30,0)))-O384+OFFSET(O384,0,ROUNDUP($C$574/30,0)+1)*MOD($C$574,30)/30),IF(ROUNDUP($C$574/30,0)+1&lt;=COLUMNS(O384:$AD384)-1,SUM(O384:OFFSET(O384,0,ROUNDDOWN($C$574/30,0)+1))-O384-$R384+OFFSET(O384,0,ROUNDUP($C$574/30,0)+1)*MOD($C$574,30)/30,SUM(O384:OFFSET(O384,0,ROUNDDOWN($C$574/30,0)+1))-O384-$R384+OFFSET(O384,0,ROUNDUP($C$574/30,0)+2)*MOD($C$574,30)/30)))</f>
        <v/>
      </c>
      <c r="P601" s="154">
        <f>IF(P363&lt;=0,0,IF(ROUNDDOWN($C$574/30,0)&lt;=COLUMNS(P384:$Q384)-1,IF(ROUNDUP($C$574/30,0)&lt;=COLUMNS(P384:$Q384)-1,SUM(P384:OFFSET(P384,0,ROUNDDOWN($C$574/30,0)))-P384+OFFSET(P384,0,ROUNDUP($C$574/30,0))*MOD($C$574,30)/30,SUM(P384:OFFSET(P384,0,ROUNDDOWN($C$574/30,0)))-P384+OFFSET(P384,0,ROUNDUP($C$574/30,0)+1)*MOD($C$574,30)/30),IF(ROUNDUP($C$574/30,0)+1&lt;=COLUMNS(P384:$AD384)-1,SUM(P384:OFFSET(P384,0,ROUNDDOWN($C$574/30,0)+1))-P384-$R384+OFFSET(P384,0,ROUNDUP($C$574/30,0)+1)*MOD($C$574,30)/30,SUM(P384:OFFSET(P384,0,ROUNDDOWN($C$574/30,0)+1))-P384-$R384+OFFSET(P384,0,ROUNDUP($C$574/30,0)+2)*MOD($C$574,30)/30)))</f>
        <v/>
      </c>
      <c r="Q601" s="154">
        <f>IF(Q363&lt;=0,0,IF(ROUNDDOWN($C$574/30,0)&lt;=COLUMNS(Q384:$Q384)-1,IF(ROUNDUP($C$574/30,0)&lt;=COLUMNS(Q384:$Q384)-1,SUM(Q384:OFFSET(Q384,0,ROUNDDOWN($C$574/30,0)))-Q384+OFFSET(Q384,0,ROUNDUP($C$574/30,0))*MOD($C$574,30)/30,SUM(Q384:OFFSET(Q384,0,ROUNDDOWN($C$574/30,0)))-Q384+OFFSET(Q384,0,ROUNDUP($C$574/30,0)+1)*MOD($C$574,30)/30),IF(ROUNDUP($C$574/30,0)+1&lt;=COLUMNS(Q384:$AD384)-1,SUM(Q384:OFFSET(Q384,0,ROUNDDOWN($C$574/30,0)+1))-Q384-$R384+OFFSET(Q384,0,ROUNDUP($C$574/30,0)+1)*MOD($C$574,30)/30,SUM(Q384:OFFSET(Q384,0,ROUNDDOWN($C$574/30,0)+1))-Q384-$R384+OFFSET(Q384,0,ROUNDUP($C$574/30,0)+2)*MOD($C$574,30)/30)))</f>
        <v/>
      </c>
      <c r="R601" s="229">
        <f>Q601</f>
        <v/>
      </c>
      <c r="S601" s="154">
        <f>IF(S363&lt;=0,0,IF(ROUNDDOWN($C$574/30,0)&lt;=COLUMNS(S384:$AD384)-1,IF(ROUNDUP($C$574/30,0)&lt;=COLUMNS(S384:$AD384)-1,SUM(S384:OFFSET(S384,0,ROUNDDOWN($C$574/30,0)))-S384+OFFSET(S384,0,ROUNDUP($C$574/30,0))*MOD($C$574,30)/30,SUM(S384:OFFSET(S384,0,ROUNDDOWN($C$574/30,0)))-S384+OFFSET(S384,0,ROUNDUP($C$574/30,0)+1)*MOD($C$574,30)/30/12),SUM(S384:$AD384)-S384+($C$574/30-(COLUMNS(S384:$AD384)-1))/12*$AF384))</f>
        <v/>
      </c>
      <c r="T601" s="154">
        <f>IF(T363&lt;=0,0,IF(ROUNDDOWN($C$574/30,0)&lt;=COLUMNS(T384:$AD384)-1,IF(ROUNDUP($C$574/30,0)&lt;=COLUMNS(T384:$AD384)-1,SUM(T384:OFFSET(T384,0,ROUNDDOWN($C$574/30,0)))-T384+OFFSET(T384,0,ROUNDUP($C$574/30,0))*MOD($C$574,30)/30,SUM(T384:OFFSET(T384,0,ROUNDDOWN($C$574/30,0)))-T384+OFFSET(T384,0,ROUNDUP($C$574/30,0)+1)*MOD($C$574,30)/30/12),SUM(T384:$AD384)-T384+($C$574/30-(COLUMNS(T384:$AD384)-1))/12*$AF384))</f>
        <v/>
      </c>
      <c r="U601" s="154">
        <f>IF(U363&lt;=0,0,IF(ROUNDDOWN($C$574/30,0)&lt;=COLUMNS(U384:$AD384)-1,IF(ROUNDUP($C$574/30,0)&lt;=COLUMNS(U384:$AD384)-1,SUM(U384:OFFSET(U384,0,ROUNDDOWN($C$574/30,0)))-U384+OFFSET(U384,0,ROUNDUP($C$574/30,0))*MOD($C$574,30)/30,SUM(U384:OFFSET(U384,0,ROUNDDOWN($C$574/30,0)))-U384+OFFSET(U384,0,ROUNDUP($C$574/30,0)+1)*MOD($C$574,30)/30/12),SUM(U384:$AD384)-U384+($C$574/30-(COLUMNS(U384:$AD384)-1))/12*$AF384))</f>
        <v/>
      </c>
      <c r="V601" s="154">
        <f>IF(V363&lt;=0,0,IF(ROUNDDOWN($C$574/30,0)&lt;=COLUMNS(V384:$AD384)-1,IF(ROUNDUP($C$574/30,0)&lt;=COLUMNS(V384:$AD384)-1,SUM(V384:OFFSET(V384,0,ROUNDDOWN($C$574/30,0)))-V384+OFFSET(V384,0,ROUNDUP($C$574/30,0))*MOD($C$574,30)/30,SUM(V384:OFFSET(V384,0,ROUNDDOWN($C$574/30,0)))-V384+OFFSET(V384,0,ROUNDUP($C$574/30,0)+1)*MOD($C$574,30)/30/12),SUM(V384:$AD384)-V384+($C$574/30-(COLUMNS(V384:$AD384)-1))/12*$AF384))</f>
        <v/>
      </c>
      <c r="W601" s="154">
        <f>IF(W363&lt;=0,0,IF(ROUNDDOWN($C$574/30,0)&lt;=COLUMNS(W384:$AD384)-1,IF(ROUNDUP($C$574/30,0)&lt;=COLUMNS(W384:$AD384)-1,SUM(W384:OFFSET(W384,0,ROUNDDOWN($C$574/30,0)))-W384+OFFSET(W384,0,ROUNDUP($C$574/30,0))*MOD($C$574,30)/30,SUM(W384:OFFSET(W384,0,ROUNDDOWN($C$574/30,0)))-W384+OFFSET(W384,0,ROUNDUP($C$574/30,0)+1)*MOD($C$574,30)/30/12),SUM(W384:$AD384)-W384+($C$574/30-(COLUMNS(W384:$AD384)-1))/12*$AF384))</f>
        <v/>
      </c>
      <c r="X601" s="154">
        <f>IF(X363&lt;=0,0,IF(ROUNDDOWN($C$574/30,0)&lt;=COLUMNS(X384:$AD384)-1,IF(ROUNDUP($C$574/30,0)&lt;=COLUMNS(X384:$AD384)-1,SUM(X384:OFFSET(X384,0,ROUNDDOWN($C$574/30,0)))-X384+OFFSET(X384,0,ROUNDUP($C$574/30,0))*MOD($C$574,30)/30,SUM(X384:OFFSET(X384,0,ROUNDDOWN($C$574/30,0)))-X384+OFFSET(X384,0,ROUNDUP($C$574/30,0)+1)*MOD($C$574,30)/30/12),SUM(X384:$AD384)-X384+($C$574/30-(COLUMNS(X384:$AD384)-1))/12*$AF384))</f>
        <v/>
      </c>
      <c r="Y601" s="154">
        <f>IF(Y363&lt;=0,0,IF(ROUNDDOWN($C$574/30,0)&lt;=COLUMNS(Y384:$AD384)-1,IF(ROUNDUP($C$574/30,0)&lt;=COLUMNS(Y384:$AD384)-1,SUM(Y384:OFFSET(Y384,0,ROUNDDOWN($C$574/30,0)))-Y384+OFFSET(Y384,0,ROUNDUP($C$574/30,0))*MOD($C$574,30)/30,SUM(Y384:OFFSET(Y384,0,ROUNDDOWN($C$574/30,0)))-Y384+OFFSET(Y384,0,ROUNDUP($C$574/30,0)+1)*MOD($C$574,30)/30/12),SUM(Y384:$AD384)-Y384+($C$574/30-(COLUMNS(Y384:$AD384)-1))/12*$AF384))</f>
        <v/>
      </c>
      <c r="Z601" s="154">
        <f>IF(Z363&lt;=0,0,IF(ROUNDDOWN($C$574/30,0)&lt;=COLUMNS(Z384:$AD384)-1,IF(ROUNDUP($C$574/30,0)&lt;=COLUMNS(Z384:$AD384)-1,SUM(Z384:OFFSET(Z384,0,ROUNDDOWN($C$574/30,0)))-Z384+OFFSET(Z384,0,ROUNDUP($C$574/30,0))*MOD($C$574,30)/30,SUM(Z384:OFFSET(Z384,0,ROUNDDOWN($C$574/30,0)))-Z384+OFFSET(Z384,0,ROUNDUP($C$574/30,0)+1)*MOD($C$574,30)/30/12),SUM(Z384:$AD384)-Z384+($C$574/30-(COLUMNS(Z384:$AD384)-1))/12*$AF384))</f>
        <v/>
      </c>
      <c r="AA601" s="154">
        <f>IF(AA363&lt;=0,0,IF(ROUNDDOWN($C$574/30,0)&lt;=COLUMNS(AA384:$AD384)-1,IF(ROUNDUP($C$574/30,0)&lt;=COLUMNS(AA384:$AD384)-1,SUM(AA384:OFFSET(AA384,0,ROUNDDOWN($C$574/30,0)))-AA384+OFFSET(AA384,0,ROUNDUP($C$574/30,0))*MOD($C$574,30)/30,SUM(AA384:OFFSET(AA384,0,ROUNDDOWN($C$574/30,0)))-AA384+OFFSET(AA384,0,ROUNDUP($C$574/30,0)+1)*MOD($C$574,30)/30/12),SUM(AA384:$AD384)-AA384+($C$574/30-(COLUMNS(AA384:$AD384)-1))/12*$AF384))</f>
        <v/>
      </c>
      <c r="AB601" s="154">
        <f>IF(AB363&lt;=0,0,IF(ROUNDDOWN($C$574/30,0)&lt;=COLUMNS(AB384:$AD384)-1,IF(ROUNDUP($C$574/30,0)&lt;=COLUMNS(AB384:$AD384)-1,SUM(AB384:OFFSET(AB384,0,ROUNDDOWN($C$574/30,0)))-AB384+OFFSET(AB384,0,ROUNDUP($C$574/30,0))*MOD($C$574,30)/30,SUM(AB384:OFFSET(AB384,0,ROUNDDOWN($C$574/30,0)))-AB384+OFFSET(AB384,0,ROUNDUP($C$574/30,0)+1)*MOD($C$574,30)/30/12),SUM(AB384:$AD384)-AB384+($C$574/30-(COLUMNS(AB384:$AD384)-1))/12*$AF384))</f>
        <v/>
      </c>
      <c r="AC601" s="154">
        <f>IF(AC363&lt;=0,0,IF(ROUNDDOWN($C$574/30,0)&lt;=COLUMNS(AC384:$AD384)-1,IF(ROUNDUP($C$574/30,0)&lt;=COLUMNS(AC384:$AD384)-1,SUM(AC384:OFFSET(AC384,0,ROUNDDOWN($C$574/30,0)))-AC384+OFFSET(AC384,0,ROUNDUP($C$574/30,0))*MOD($C$574,30)/30,SUM(AC384:OFFSET(AC384,0,ROUNDDOWN($C$574/30,0)))-AC384+OFFSET(AC384,0,ROUNDUP($C$574/30,0)+1)*MOD($C$574,30)/30/12),SUM(AC384:$AD384)-AC384+($C$574/30-(COLUMNS(AC384:$AD384)-1))/12*$AF384))</f>
        <v/>
      </c>
      <c r="AD601" s="154">
        <f>IF(AD363&lt;=0,0,IF(ROUNDDOWN($C$574/30,0)&lt;=COLUMNS(AD384:$AD384)-1,IF(ROUNDUP($C$574/30,0)&lt;=COLUMNS(AD384:$AD384)-1,SUM(AD384:OFFSET(AD384,0,ROUNDDOWN($C$574/30,0)))-AD384+OFFSET(AD384,0,ROUNDUP($C$574/30,0))*MOD($C$574,30)/30,SUM(AD384:OFFSET(AD384,0,ROUNDDOWN($C$574/30,0)))-AD384+OFFSET(AD384,0,ROUNDUP($C$574/30,0)+1)*MOD($C$574,30)/30/12),SUM(AD384:$AD384)-AD384+($C$574/30-(COLUMNS(AD384:$AD384)-1))/12*$AF384))</f>
        <v/>
      </c>
      <c r="AE601" s="229">
        <f>AD601</f>
        <v/>
      </c>
      <c r="AF601" s="229">
        <f>$C$574/360*AG384</f>
        <v/>
      </c>
      <c r="AG601" s="229">
        <f>$C$574/360*AH384</f>
        <v/>
      </c>
      <c r="AH601" s="229">
        <f>$C$574/360*FORECAST(6,AE384:AH384,{2,3,4,5})</f>
        <v/>
      </c>
    </row>
    <row r="602" ht="8.25" customFormat="1" customHeight="1" s="228">
      <c r="A602" s="156" t="inlineStr">
        <is>
          <t>Total Ending Inventory</t>
        </is>
      </c>
      <c r="B602" s="156" t="n"/>
      <c r="F602" s="228">
        <f>SUM(F598:F601)</f>
        <v/>
      </c>
      <c r="G602" s="228">
        <f>SUM(G598:G601)</f>
        <v/>
      </c>
      <c r="H602" s="228">
        <f>SUM(H598:H601)</f>
        <v/>
      </c>
      <c r="I602" s="228">
        <f>SUM(I598:I601)</f>
        <v/>
      </c>
      <c r="J602" s="228">
        <f>SUM(J598:J601)</f>
        <v/>
      </c>
      <c r="K602" s="228">
        <f>SUM(K598:K601)</f>
        <v/>
      </c>
      <c r="L602" s="228">
        <f>SUM(L598:L601)</f>
        <v/>
      </c>
      <c r="M602" s="228">
        <f>SUM(M598:M601)</f>
        <v/>
      </c>
      <c r="N602" s="228">
        <f>SUM(N598:N601)</f>
        <v/>
      </c>
      <c r="O602" s="228">
        <f>SUM(O598:O601)</f>
        <v/>
      </c>
      <c r="P602" s="228">
        <f>SUM(P598:P601)</f>
        <v/>
      </c>
      <c r="Q602" s="228">
        <f>SUM(Q598:Q601)</f>
        <v/>
      </c>
      <c r="R602" s="158">
        <f>SUM(R598:R601)</f>
        <v/>
      </c>
      <c r="S602" s="228">
        <f>SUM(S598:S601)</f>
        <v/>
      </c>
      <c r="T602" s="228">
        <f>SUM(T598:T601)</f>
        <v/>
      </c>
      <c r="U602" s="228">
        <f>SUM(U598:U601)</f>
        <v/>
      </c>
      <c r="V602" s="228">
        <f>SUM(V598:V601)</f>
        <v/>
      </c>
      <c r="W602" s="228">
        <f>SUM(W598:W601)</f>
        <v/>
      </c>
      <c r="X602" s="228">
        <f>SUM(X598:X601)</f>
        <v/>
      </c>
      <c r="Y602" s="228">
        <f>SUM(Y598:Y601)</f>
        <v/>
      </c>
      <c r="Z602" s="228">
        <f>SUM(Z598:Z601)</f>
        <v/>
      </c>
      <c r="AA602" s="228">
        <f>SUM(AA598:AA601)</f>
        <v/>
      </c>
      <c r="AB602" s="228">
        <f>SUM(AB598:AB601)</f>
        <v/>
      </c>
      <c r="AC602" s="228">
        <f>SUM(AC598:AC601)</f>
        <v/>
      </c>
      <c r="AD602" s="228">
        <f>SUM(AD598:AD601)</f>
        <v/>
      </c>
      <c r="AE602" s="158">
        <f>SUM(AE598:AE601)</f>
        <v/>
      </c>
      <c r="AF602" s="158">
        <f>SUM(AF598:AF601)</f>
        <v/>
      </c>
      <c r="AG602" s="158">
        <f>SUM(AG598:AG601)</f>
        <v/>
      </c>
      <c r="AH602" s="158">
        <f>SUM(AH598:AH601)</f>
        <v/>
      </c>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f>$A$1</f>
        <v/>
      </c>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f>NOW()</f>
        <v/>
      </c>
      <c r="C606" s="230" t="n"/>
      <c r="D606" s="230" t="n"/>
      <c r="E606" s="230" t="inlineStr">
        <is>
          <t>Existing</t>
        </is>
      </c>
      <c r="F606" s="142">
        <f>F$7</f>
        <v/>
      </c>
      <c r="G606" s="142">
        <f>G$7</f>
        <v/>
      </c>
      <c r="H606" s="142">
        <f>H$7</f>
        <v/>
      </c>
      <c r="I606" s="142">
        <f>I$7</f>
        <v/>
      </c>
      <c r="J606" s="142">
        <f>J$7</f>
        <v/>
      </c>
      <c r="K606" s="142">
        <f>K$7</f>
        <v/>
      </c>
      <c r="L606" s="142">
        <f>L$7</f>
        <v/>
      </c>
      <c r="M606" s="142">
        <f>M$7</f>
        <v/>
      </c>
      <c r="N606" s="142">
        <f>N$7</f>
        <v/>
      </c>
      <c r="O606" s="142">
        <f>O$7</f>
        <v/>
      </c>
      <c r="P606" s="142">
        <f>P$7</f>
        <v/>
      </c>
      <c r="Q606" s="142">
        <f>Q$7</f>
        <v/>
      </c>
      <c r="R606" s="143" t="inlineStr">
        <is>
          <t>Total</t>
        </is>
      </c>
      <c r="S606" s="142">
        <f>S$7</f>
        <v/>
      </c>
      <c r="T606" s="142">
        <f>T$7</f>
        <v/>
      </c>
      <c r="U606" s="142">
        <f>U$7</f>
        <v/>
      </c>
      <c r="V606" s="142">
        <f>V$7</f>
        <v/>
      </c>
      <c r="W606" s="142">
        <f>W$7</f>
        <v/>
      </c>
      <c r="X606" s="142">
        <f>X$7</f>
        <v/>
      </c>
      <c r="Y606" s="142">
        <f>Y$7</f>
        <v/>
      </c>
      <c r="Z606" s="142">
        <f>Z$7</f>
        <v/>
      </c>
      <c r="AA606" s="142">
        <f>AA$7</f>
        <v/>
      </c>
      <c r="AB606" s="142">
        <f>AB$7</f>
        <v/>
      </c>
      <c r="AC606" s="142">
        <f>AC$7</f>
        <v/>
      </c>
      <c r="AD606" s="142">
        <f>AD$7</f>
        <v/>
      </c>
      <c r="AE606" s="143" t="inlineStr">
        <is>
          <t>Total</t>
        </is>
      </c>
      <c r="AF606" s="143">
        <f>AF$7</f>
        <v/>
      </c>
      <c r="AG606" s="143">
        <f>AG$7</f>
        <v/>
      </c>
      <c r="AH606" s="143">
        <f>AH$7</f>
        <v/>
      </c>
    </row>
    <row r="607" ht="8.25" customHeight="1" s="277">
      <c r="A607" s="328" t="n"/>
      <c r="B607" s="329">
        <f>NOW()</f>
        <v/>
      </c>
      <c r="C607" s="330" t="n"/>
      <c r="D607" s="330" t="n"/>
      <c r="E607" s="330" t="n"/>
      <c r="F607" s="324">
        <f>F$1</f>
        <v/>
      </c>
      <c r="G607" s="324">
        <f>G$1</f>
        <v/>
      </c>
      <c r="H607" s="324">
        <f>H$1</f>
        <v/>
      </c>
      <c r="I607" s="324">
        <f>I$1</f>
        <v/>
      </c>
      <c r="J607" s="324">
        <f>J$1</f>
        <v/>
      </c>
      <c r="K607" s="324">
        <f>K$1</f>
        <v/>
      </c>
      <c r="L607" s="324">
        <f>L$1</f>
        <v/>
      </c>
      <c r="M607" s="324">
        <f>M$1</f>
        <v/>
      </c>
      <c r="N607" s="324">
        <f>N$1</f>
        <v/>
      </c>
      <c r="O607" s="324">
        <f>O$1</f>
        <v/>
      </c>
      <c r="P607" s="324">
        <f>P$1</f>
        <v/>
      </c>
      <c r="Q607" s="324">
        <f>Q$1</f>
        <v/>
      </c>
      <c r="R607" s="325">
        <f>R$1</f>
        <v/>
      </c>
      <c r="S607" s="324">
        <f>S$1</f>
        <v/>
      </c>
      <c r="T607" s="324">
        <f>T$1</f>
        <v/>
      </c>
      <c r="U607" s="324">
        <f>U$1</f>
        <v/>
      </c>
      <c r="V607" s="324">
        <f>V$1</f>
        <v/>
      </c>
      <c r="W607" s="324">
        <f>W$1</f>
        <v/>
      </c>
      <c r="X607" s="324">
        <f>X$1</f>
        <v/>
      </c>
      <c r="Y607" s="324">
        <f>Y$1</f>
        <v/>
      </c>
      <c r="Z607" s="324">
        <f>Z$1</f>
        <v/>
      </c>
      <c r="AA607" s="324">
        <f>AA$1</f>
        <v/>
      </c>
      <c r="AB607" s="324">
        <f>AB$1</f>
        <v/>
      </c>
      <c r="AC607" s="324">
        <f>AC$1</f>
        <v/>
      </c>
      <c r="AD607" s="324">
        <f>AD$1</f>
        <v/>
      </c>
      <c r="AE607" s="325">
        <f>AE$1</f>
        <v/>
      </c>
      <c r="AF607" s="325">
        <f>AF$1</f>
        <v/>
      </c>
      <c r="AG607" s="325">
        <f>AG$1</f>
        <v/>
      </c>
      <c r="AH607" s="325">
        <f>AH$1</f>
        <v/>
      </c>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f>IF((F415+F426+F435)&lt;=0,E610,IF(E610/(F415+F426+F435)&gt;=$C$611,E610,IF($D$612/12&gt;=4,$C$611*($AH415+$AH426+$AH435),IF($D$612/12&gt;=3,$C$611*($AG415+$AG426+$AG435),IF($D$612&gt;COLUMNS(F610:$AE610)-2,$C$611*($AF415+$AF426+$AF435),IF($D$612&gt;COLUMNS(F610:$AD610)-1,$C$611*(OFFSET(F415,0,$D$612+1)+OFFSET(F426,0,$D$612+1)+OFFSET(F435,0,$D$612+1)),$C$611*(OFFSET(F415,0,$D$612)+OFFSET(F426,0,$D$612)+OFFSET(F435,0,$D$612))))))))</f>
        <v/>
      </c>
      <c r="G610" s="154">
        <f>IF((G415+G426+G435)&lt;=0,F610,IF(F610/(G415+G426+G435)&gt;=$C$611,F610,IF($D$612/12&gt;=4,$C$611*($AH415+$AH426+$AH435),IF($D$612/12&gt;=3,$C$611*($AG415+$AG426+$AG435),IF($D$612&gt;COLUMNS(G610:$AE610)-2,$C$611*($AF415+$AF426+$AF435),IF($D$612&gt;COLUMNS(G610:$AD610)-1,$C$611*(OFFSET(G415,0,$D$612+1)+OFFSET(G426,0,$D$612+1)+OFFSET(G435,0,$D$612+1)),$C$611*(OFFSET(G415,0,$D$612)+OFFSET(G426,0,$D$612)+OFFSET(G435,0,$D$612))))))))</f>
        <v/>
      </c>
      <c r="H610" s="154">
        <f>IF((H415+H426+H435)&lt;=0,G610,IF(G610/(H415+H426+H435)&gt;=$C$611,G610,IF($D$612/12&gt;=4,$C$611*($AH415+$AH426+$AH435),IF($D$612/12&gt;=3,$C$611*($AG415+$AG426+$AG435),IF($D$612&gt;COLUMNS(H610:$AE610)-2,$C$611*($AF415+$AF426+$AF435),IF($D$612&gt;COLUMNS(H610:$AD610)-1,$C$611*(OFFSET(H415,0,$D$612+1)+OFFSET(H426,0,$D$612+1)+OFFSET(H435,0,$D$612+1)),$C$611*(OFFSET(H415,0,$D$612)+OFFSET(H426,0,$D$612)+OFFSET(H435,0,$D$612))))))))</f>
        <v/>
      </c>
      <c r="I610" s="154">
        <f>IF((I415+I426+I435)&lt;=0,H610,IF(H610/(I415+I426+I435)&gt;=$C$611,H610,IF($D$612/12&gt;=4,$C$611*($AH415+$AH426+$AH435),IF($D$612/12&gt;=3,$C$611*($AG415+$AG426+$AG435),IF($D$612&gt;COLUMNS(I610:$AE610)-2,$C$611*($AF415+$AF426+$AF435),IF($D$612&gt;COLUMNS(I610:$AD610)-1,$C$611*(OFFSET(I415,0,$D$612+1)+OFFSET(I426,0,$D$612+1)+OFFSET(I435,0,$D$612+1)),$C$611*(OFFSET(I415,0,$D$612)+OFFSET(I426,0,$D$612)+OFFSET(I435,0,$D$612))))))))</f>
        <v/>
      </c>
      <c r="J610" s="154">
        <f>IF((J415+J426+J435)&lt;=0,I610,IF(I610/(J415+J426+J435)&gt;=$C$611,I610,IF($D$612/12&gt;=4,$C$611*($AH415+$AH426+$AH435),IF($D$612/12&gt;=3,$C$611*($AG415+$AG426+$AG435),IF($D$612&gt;COLUMNS(J610:$AE610)-2,$C$611*($AF415+$AF426+$AF435),IF($D$612&gt;COLUMNS(J610:$AD610)-1,$C$611*(OFFSET(J415,0,$D$612+1)+OFFSET(J426,0,$D$612+1)+OFFSET(J435,0,$D$612+1)),$C$611*(OFFSET(J415,0,$D$612)+OFFSET(J426,0,$D$612)+OFFSET(J435,0,$D$612))))))))</f>
        <v/>
      </c>
      <c r="K610" s="154">
        <f>IF((K415+K426+K435)&lt;=0,J610,IF(J610/(K415+K426+K435)&gt;=$C$611,J610,IF($D$612/12&gt;=4,$C$611*($AH415+$AH426+$AH435),IF($D$612/12&gt;=3,$C$611*($AG415+$AG426+$AG435),IF($D$612&gt;COLUMNS(K610:$AE610)-2,$C$611*($AF415+$AF426+$AF435),IF($D$612&gt;COLUMNS(K610:$AD610)-1,$C$611*(OFFSET(K415,0,$D$612+1)+OFFSET(K426,0,$D$612+1)+OFFSET(K435,0,$D$612+1)),$C$611*(OFFSET(K415,0,$D$612)+OFFSET(K426,0,$D$612)+OFFSET(K435,0,$D$612))))))))</f>
        <v/>
      </c>
      <c r="L610" s="154">
        <f>IF((L415+L426+L435)&lt;=0,K610,IF(K610/(L415+L426+L435)&gt;=$C$611,K610,IF($D$612/12&gt;=4,$C$611*($AH415+$AH426+$AH435),IF($D$612/12&gt;=3,$C$611*($AG415+$AG426+$AG435),IF($D$612&gt;COLUMNS(L610:$AE610)-2,$C$611*($AF415+$AF426+$AF435),IF($D$612&gt;COLUMNS(L610:$AD610)-1,$C$611*(OFFSET(L415,0,$D$612+1)+OFFSET(L426,0,$D$612+1)+OFFSET(L435,0,$D$612+1)),$C$611*(OFFSET(L415,0,$D$612)+OFFSET(L426,0,$D$612)+OFFSET(L435,0,$D$612))))))))</f>
        <v/>
      </c>
      <c r="M610" s="154">
        <f>IF((M415+M426+M435)&lt;=0,L610,IF(L610/(M415+M426+M435)&gt;=$C$611,L610,IF($D$612/12&gt;=4,$C$611*($AH415+$AH426+$AH435),IF($D$612/12&gt;=3,$C$611*($AG415+$AG426+$AG435),IF($D$612&gt;COLUMNS(M610:$AE610)-2,$C$611*($AF415+$AF426+$AF435),IF($D$612&gt;COLUMNS(M610:$AD610)-1,$C$611*(OFFSET(M415,0,$D$612+1)+OFFSET(M426,0,$D$612+1)+OFFSET(M435,0,$D$612+1)),$C$611*(OFFSET(M415,0,$D$612)+OFFSET(M426,0,$D$612)+OFFSET(M435,0,$D$612))))))))</f>
        <v/>
      </c>
      <c r="N610" s="154">
        <f>IF((N415+N426+N435)&lt;=0,M610,IF(M610/(N415+N426+N435)&gt;=$C$611,M610,IF($D$612/12&gt;=4,$C$611*($AH415+$AH426+$AH435),IF($D$612/12&gt;=3,$C$611*($AG415+$AG426+$AG435),IF($D$612&gt;COLUMNS(N610:$AE610)-2,$C$611*($AF415+$AF426+$AF435),IF($D$612&gt;COLUMNS(N610:$AD610)-1,$C$611*(OFFSET(N415,0,$D$612+1)+OFFSET(N426,0,$D$612+1)+OFFSET(N435,0,$D$612+1)),$C$611*(OFFSET(N415,0,$D$612)+OFFSET(N426,0,$D$612)+OFFSET(N435,0,$D$612))))))))</f>
        <v/>
      </c>
      <c r="O610" s="154">
        <f>IF((O415+O426+O435)&lt;=0,N610,IF(N610/(O415+O426+O435)&gt;=$C$611,N610,IF($D$612/12&gt;=4,$C$611*($AH415+$AH426+$AH435),IF($D$612/12&gt;=3,$C$611*($AG415+$AG426+$AG435),IF($D$612&gt;COLUMNS(O610:$AE610)-2,$C$611*($AF415+$AF426+$AF435),IF($D$612&gt;COLUMNS(O610:$AD610)-1,$C$611*(OFFSET(O415,0,$D$612+1)+OFFSET(O426,0,$D$612+1)+OFFSET(O435,0,$D$612+1)),$C$611*(OFFSET(O415,0,$D$612)+OFFSET(O426,0,$D$612)+OFFSET(O435,0,$D$612))))))))</f>
        <v/>
      </c>
      <c r="P610" s="154">
        <f>IF((P415+P426+P435)&lt;=0,O610,IF(O610/(P415+P426+P435)&gt;=$C$611,O610,IF($D$612/12&gt;=4,$C$611*($AH415+$AH426+$AH435),IF($D$612/12&gt;=3,$C$611*($AG415+$AG426+$AG435),IF($D$612&gt;COLUMNS(P610:$AE610)-2,$C$611*($AF415+$AF426+$AF435),IF($D$612&gt;COLUMNS(P610:$AD610)-1,$C$611*(OFFSET(P415,0,$D$612+1)+OFFSET(P426,0,$D$612+1)+OFFSET(P435,0,$D$612+1)),$C$611*(OFFSET(P415,0,$D$612)+OFFSET(P426,0,$D$612)+OFFSET(P435,0,$D$612))))))))</f>
        <v/>
      </c>
      <c r="Q610" s="154">
        <f>IF((Q415+Q426+Q435)&lt;=0,P610,IF(P610/(Q415+Q426+Q435)&gt;=$C$611,P610,IF($D$612/12&gt;=4,$C$611*($AH415+$AH426+$AH435),IF($D$612/12&gt;=3,$C$611*($AG415+$AG426+$AG435),IF($D$612&gt;COLUMNS(Q610:$AE610)-2,$C$611*($AF415+$AF426+$AF435),IF($D$612&gt;COLUMNS(Q610:$AD610)-1,$C$611*(OFFSET(Q415,0,$D$612+1)+OFFSET(Q426,0,$D$612+1)+OFFSET(Q435,0,$D$612+1)),$C$611*(OFFSET(Q415,0,$D$612)+OFFSET(Q426,0,$D$612)+OFFSET(Q435,0,$D$612))))))))</f>
        <v/>
      </c>
      <c r="R610" s="229">
        <f>Q610</f>
        <v/>
      </c>
      <c r="S610" s="154">
        <f>IF((S415+S426+S435)&lt;=0,R610,IF(R610/(S415+S426+S435)&gt;=$C$611,R610,IF($D$612/12&gt;=3,$C$611*($AH415+$AH426+$AH435),IF($D$612&gt;COLUMNS(S610:$AE610)-1,$C$611*($AG415+$AG426+$AG435),IF($D$612&gt;COLUMNS(S610:$AD610),$C$611*(OFFSET(S415,0,$D$612+1)+OFFSET(S426,0,$D$612+1)+OFFSET(S435,0,$D$612+1)),$C$611*(OFFSET(S415,0,$D$612)+OFFSET(S426,0,$D$612)+OFFSET(S435,0,$D$612)))))))</f>
        <v/>
      </c>
      <c r="T610" s="154">
        <f>IF((T415+T426+T435)&lt;=0,S610,IF(S610/(T415+T426+T435)&gt;=$C$611,S610,IF($D$612/12&gt;=3,$C$611*($AH415+$AH426+$AH435),IF($D$612&gt;COLUMNS(T610:$AE610)-1,$C$611*($AG415+$AG426+$AG435),IF($D$612&gt;COLUMNS(T610:$AD610),$C$611*(OFFSET(T415,0,$D$612+1)+OFFSET(T426,0,$D$612+1)+OFFSET(T435,0,$D$612+1)),$C$611*(OFFSET(T415,0,$D$612)+OFFSET(T426,0,$D$612)+OFFSET(T435,0,$D$612)))))))</f>
        <v/>
      </c>
      <c r="U610" s="154">
        <f>IF((U415+U426+U435)&lt;=0,T610,IF(T610/(U415+U426+U435)&gt;=$C$611,T610,IF($D$612/12&gt;=3,$C$611*($AH415+$AH426+$AH435),IF($D$612&gt;COLUMNS(U610:$AE610)-1,$C$611*($AG415+$AG426+$AG435),IF($D$612&gt;COLUMNS(U610:$AD610),$C$611*(OFFSET(U415,0,$D$612+1)+OFFSET(U426,0,$D$612+1)+OFFSET(U435,0,$D$612+1)),$C$611*(OFFSET(U415,0,$D$612)+OFFSET(U426,0,$D$612)+OFFSET(U435,0,$D$612)))))))</f>
        <v/>
      </c>
      <c r="V610" s="154">
        <f>IF((V415+V426+V435)&lt;=0,U610,IF(U610/(V415+V426+V435)&gt;=$C$611,U610,IF($D$612/12&gt;=3,$C$611*($AH415+$AH426+$AH435),IF($D$612&gt;COLUMNS(V610:$AE610)-1,$C$611*($AG415+$AG426+$AG435),IF($D$612&gt;COLUMNS(V610:$AD610),$C$611*(OFFSET(V415,0,$D$612+1)+OFFSET(V426,0,$D$612+1)+OFFSET(V435,0,$D$612+1)),$C$611*(OFFSET(V415,0,$D$612)+OFFSET(V426,0,$D$612)+OFFSET(V435,0,$D$612)))))))</f>
        <v/>
      </c>
      <c r="W610" s="154">
        <f>IF((W415+W426+W435)&lt;=0,V610,IF(V610/(W415+W426+W435)&gt;=$C$611,V610,IF($D$612/12&gt;=3,$C$611*($AH415+$AH426+$AH435),IF($D$612&gt;COLUMNS(W610:$AE610)-1,$C$611*($AG415+$AG426+$AG435),IF($D$612&gt;COLUMNS(W610:$AD610),$C$611*(OFFSET(W415,0,$D$612+1)+OFFSET(W426,0,$D$612+1)+OFFSET(W435,0,$D$612+1)),$C$611*(OFFSET(W415,0,$D$612)+OFFSET(W426,0,$D$612)+OFFSET(W435,0,$D$612)))))))</f>
        <v/>
      </c>
      <c r="X610" s="154">
        <f>IF((X415+X426+X435)&lt;=0,W610,IF(W610/(X415+X426+X435)&gt;=$C$611,W610,IF($D$612/12&gt;=3,$C$611*($AH415+$AH426+$AH435),IF($D$612&gt;COLUMNS(X610:$AE610)-1,$C$611*($AG415+$AG426+$AG435),IF($D$612&gt;COLUMNS(X610:$AD610),$C$611*(OFFSET(X415,0,$D$612+1)+OFFSET(X426,0,$D$612+1)+OFFSET(X435,0,$D$612+1)),$C$611*(OFFSET(X415,0,$D$612)+OFFSET(X426,0,$D$612)+OFFSET(X435,0,$D$612)))))))</f>
        <v/>
      </c>
      <c r="Y610" s="154">
        <f>IF((Y415+Y426+Y435)&lt;=0,X610,IF(X610/(Y415+Y426+Y435)&gt;=$C$611,X610,IF($D$612/12&gt;=3,$C$611*($AH415+$AH426+$AH435),IF($D$612&gt;COLUMNS(Y610:$AE610)-1,$C$611*($AG415+$AG426+$AG435),IF($D$612&gt;COLUMNS(Y610:$AD610),$C$611*(OFFSET(Y415,0,$D$612+1)+OFFSET(Y426,0,$D$612+1)+OFFSET(Y435,0,$D$612+1)),$C$611*(OFFSET(Y415,0,$D$612)+OFFSET(Y426,0,$D$612)+OFFSET(Y435,0,$D$612)))))))</f>
        <v/>
      </c>
      <c r="Z610" s="154">
        <f>IF((Z415+Z426+Z435)&lt;=0,Y610,IF(Y610/(Z415+Z426+Z435)&gt;=$C$611,Y610,IF($D$612/12&gt;=3,$C$611*($AH415+$AH426+$AH435),IF($D$612&gt;COLUMNS(Z610:$AE610)-1,$C$611*($AG415+$AG426+$AG435),IF($D$612&gt;COLUMNS(Z610:$AD610),$C$611*(OFFSET(Z415,0,$D$612+1)+OFFSET(Z426,0,$D$612+1)+OFFSET(Z435,0,$D$612+1)),$C$611*(OFFSET(Z415,0,$D$612)+OFFSET(Z426,0,$D$612)+OFFSET(Z435,0,$D$612)))))))</f>
        <v/>
      </c>
      <c r="AA610" s="154">
        <f>IF((AA415+AA426+AA435)&lt;=0,Z610,IF(Z610/(AA415+AA426+AA435)&gt;=$C$611,Z610,IF($D$612/12&gt;=3,$C$611*($AH415+$AH426+$AH435),IF($D$612&gt;COLUMNS(AA610:$AE610)-1,$C$611*($AG415+$AG426+$AG435),IF($D$612&gt;COLUMNS(AA610:$AD610),$C$611*(OFFSET(AA415,0,$D$612+1)+OFFSET(AA426,0,$D$612+1)+OFFSET(AA435,0,$D$612+1)),$C$611*(OFFSET(AA415,0,$D$612)+OFFSET(AA426,0,$D$612)+OFFSET(AA435,0,$D$612)))))))</f>
        <v/>
      </c>
      <c r="AB610" s="154">
        <f>IF((AB415+AB426+AB435)&lt;=0,AA610,IF(AA610/(AB415+AB426+AB435)&gt;=$C$611,AA610,IF($D$612/12&gt;=3,$C$611*($AH415+$AH426+$AH435),IF($D$612&gt;COLUMNS(AB610:$AE610)-1,$C$611*($AG415+$AG426+$AG435),IF($D$612&gt;COLUMNS(AB610:$AD610),$C$611*(OFFSET(AB415,0,$D$612+1)+OFFSET(AB426,0,$D$612+1)+OFFSET(AB435,0,$D$612+1)),$C$611*(OFFSET(AB415,0,$D$612)+OFFSET(AB426,0,$D$612)+OFFSET(AB435,0,$D$612)))))))</f>
        <v/>
      </c>
      <c r="AC610" s="154">
        <f>IF((AC415+AC426+AC435)&lt;=0,AB610,IF(AB610/(AC415+AC426+AC435)&gt;=$C$611,AB610,IF($D$612/12&gt;=3,$C$611*($AH415+$AH426+$AH435),IF($D$612&gt;COLUMNS(AC610:$AE610)-1,$C$611*($AG415+$AG426+$AG435),IF($D$612&gt;COLUMNS(AC610:$AD610),$C$611*(OFFSET(AC415,0,$D$612+1)+OFFSET(AC426,0,$D$612+1)+OFFSET(AC435,0,$D$612+1)),$C$611*(OFFSET(AC415,0,$D$612)+OFFSET(AC426,0,$D$612)+OFFSET(AC435,0,$D$612)))))))</f>
        <v/>
      </c>
      <c r="AD610" s="154">
        <f>IF((AD415+AD426+AD435)&lt;=0,AC610,IF(AC610/(AD415+AD426+AD435)&gt;=$C$611,AC610,IF($D$612/12&gt;=3,$C$611*($AH415+$AH426+$AH435),IF($D$612&gt;COLUMNS(AD610:$AE610)-1,$C$611*($AG415+$AG426+$AG435),IF($D$612&gt;COLUMNS(AD610:$AD610),$C$611*(OFFSET(AD415,0,$D$612+1)+OFFSET(AD426,0,$D$612+1)+OFFSET(AD435,0,$D$612+1)),$C$611*(OFFSET(AD415,0,$D$612)+OFFSET(AD426,0,$D$612)+OFFSET(AD435,0,$D$612)))))))</f>
        <v/>
      </c>
      <c r="AE610" s="229">
        <f>AD610</f>
        <v/>
      </c>
      <c r="AF610" s="229">
        <f>IF((AF415+AF426+AF435)=0,AE610,IF(AE610/(AF415+AF426+AF435)&gt;=$C$611,AE610,$C$611*($AH415+$AH426+$AH435)))</f>
        <v/>
      </c>
      <c r="AG610" s="229">
        <f>IF((AG415+AG426+AG435)=0,AF610,IF(AF610/(AG415+AG426+AG435)&gt;=$C$611,AF610,$C$611*($AH415+$AH426+$AH435)))</f>
        <v/>
      </c>
      <c r="AH610" s="229">
        <f>IF((AH415+AH426+AH435)=0,AG610,IF(AG610/(AH415+AH426+AH435)&gt;=$C$611,AG610,$C$611*($AH415+$AH426+$AH435)))</f>
        <v/>
      </c>
    </row>
    <row r="611" ht="8.25" customHeight="1" s="277">
      <c r="A611" s="224" t="n"/>
      <c r="B611" s="225">
        <f>"Square Footage per Person ("&amp;$C$611&amp;" ft. minimum)"</f>
        <v/>
      </c>
      <c r="C611" s="367">
        <f>Assumptions!I116</f>
        <v/>
      </c>
      <c r="F611" s="154">
        <f>IF((F415+F426+F435)=0,0,F610/(F415+F426+F435))</f>
        <v/>
      </c>
      <c r="G611" s="154">
        <f>IF((G415+G426+G435)=0,0,G610/(G415+G426+G435))</f>
        <v/>
      </c>
      <c r="H611" s="154">
        <f>IF((H415+H426+H435)=0,0,H610/(H415+H426+H435))</f>
        <v/>
      </c>
      <c r="I611" s="154">
        <f>IF((I415+I426+I435)=0,0,I610/(I415+I426+I435))</f>
        <v/>
      </c>
      <c r="J611" s="154">
        <f>IF((J415+J426+J435)=0,0,J610/(J415+J426+J435))</f>
        <v/>
      </c>
      <c r="K611" s="154">
        <f>IF((K415+K426+K435)=0,0,K610/(K415+K426+K435))</f>
        <v/>
      </c>
      <c r="L611" s="154">
        <f>IF((L415+L426+L435)=0,0,L610/(L415+L426+L435))</f>
        <v/>
      </c>
      <c r="M611" s="154">
        <f>IF((M415+M426+M435)=0,0,M610/(M415+M426+M435))</f>
        <v/>
      </c>
      <c r="N611" s="154">
        <f>IF((N415+N426+N435)=0,0,N610/(N415+N426+N435))</f>
        <v/>
      </c>
      <c r="O611" s="154">
        <f>IF((O415+O426+O435)=0,0,O610/(O415+O426+O435))</f>
        <v/>
      </c>
      <c r="P611" s="154">
        <f>IF((P415+P426+P435)=0,0,P610/(P415+P426+P435))</f>
        <v/>
      </c>
      <c r="Q611" s="154">
        <f>IF((Q415+Q426+Q435)=0,0,Q610/(Q415+Q426+Q435))</f>
        <v/>
      </c>
      <c r="R611" s="229">
        <f>Q611</f>
        <v/>
      </c>
      <c r="S611" s="154">
        <f>IF((S415+S426+S435)=0,0,S610/(S415+S426+S435))</f>
        <v/>
      </c>
      <c r="T611" s="154">
        <f>IF((T415+T426+T435)=0,0,T610/(T415+T426+T435))</f>
        <v/>
      </c>
      <c r="U611" s="154">
        <f>IF((U415+U426+U435)=0,0,U610/(U415+U426+U435))</f>
        <v/>
      </c>
      <c r="V611" s="154">
        <f>IF((V415+V426+V435)=0,0,V610/(V415+V426+V435))</f>
        <v/>
      </c>
      <c r="W611" s="154">
        <f>IF((W415+W426+W435)=0,0,W610/(W415+W426+W435))</f>
        <v/>
      </c>
      <c r="X611" s="154">
        <f>IF((X415+X426+X435)=0,0,X610/(X415+X426+X435))</f>
        <v/>
      </c>
      <c r="Y611" s="154">
        <f>IF((Y415+Y426+Y435)=0,0,Y610/(Y415+Y426+Y435))</f>
        <v/>
      </c>
      <c r="Z611" s="154">
        <f>IF((Z415+Z426+Z435)=0,0,Z610/(Z415+Z426+Z435))</f>
        <v/>
      </c>
      <c r="AA611" s="154">
        <f>IF((AA415+AA426+AA435)=0,0,AA610/(AA415+AA426+AA435))</f>
        <v/>
      </c>
      <c r="AB611" s="154">
        <f>IF((AB415+AB426+AB435)=0,0,AB610/(AB415+AB426+AB435))</f>
        <v/>
      </c>
      <c r="AC611" s="154">
        <f>IF((AC415+AC426+AC435)=0,0,AC610/(AC415+AC426+AC435))</f>
        <v/>
      </c>
      <c r="AD611" s="154">
        <f>IF((AD415+AD426+AD435)=0,0,AD610/(AD415+AD426+AD435))</f>
        <v/>
      </c>
      <c r="AE611" s="229">
        <f>AD611</f>
        <v/>
      </c>
      <c r="AF611" s="229">
        <f>IF((AF415+AF426+AF435)=0,0,AF610/(AF415+AF426+AF435))</f>
        <v/>
      </c>
      <c r="AG611" s="229">
        <f>IF((AG415+AG426+AG435)=0,0,AG610/(AG415+AG426+AG435))</f>
        <v/>
      </c>
      <c r="AH611" s="229">
        <f>IF((AH415+AH426+AH435)=0,0,AH610/(AH415+AH426+AH435))</f>
        <v/>
      </c>
    </row>
    <row r="612" ht="8.25" customFormat="1" customHeight="1" s="348">
      <c r="A612" s="349" t="n"/>
      <c r="B612" s="350" t="inlineStr">
        <is>
          <t>Price per Square Foot</t>
        </is>
      </c>
      <c r="C612" s="342">
        <f>Assumptions!I115</f>
        <v/>
      </c>
      <c r="D612" s="347">
        <f>Assumptions!I117</f>
        <v/>
      </c>
      <c r="E612" s="348" t="n"/>
      <c r="F612" s="348">
        <f>$C612</f>
        <v/>
      </c>
      <c r="G612" s="348">
        <f>F612</f>
        <v/>
      </c>
      <c r="H612" s="348">
        <f>G612</f>
        <v/>
      </c>
      <c r="I612" s="348">
        <f>H612</f>
        <v/>
      </c>
      <c r="J612" s="348">
        <f>I612</f>
        <v/>
      </c>
      <c r="K612" s="348">
        <f>J612</f>
        <v/>
      </c>
      <c r="L612" s="348">
        <f>K612</f>
        <v/>
      </c>
      <c r="M612" s="348">
        <f>L612</f>
        <v/>
      </c>
      <c r="N612" s="348">
        <f>M612</f>
        <v/>
      </c>
      <c r="O612" s="348">
        <f>N612</f>
        <v/>
      </c>
      <c r="P612" s="348">
        <f>O612</f>
        <v/>
      </c>
      <c r="Q612" s="348">
        <f>P612</f>
        <v/>
      </c>
      <c r="R612" s="368">
        <f>Q612</f>
        <v/>
      </c>
      <c r="S612" s="348">
        <f>Q612</f>
        <v/>
      </c>
      <c r="T612" s="348">
        <f>S612</f>
        <v/>
      </c>
      <c r="U612" s="348">
        <f>T612</f>
        <v/>
      </c>
      <c r="V612" s="348">
        <f>U612</f>
        <v/>
      </c>
      <c r="W612" s="348">
        <f>V612</f>
        <v/>
      </c>
      <c r="X612" s="348">
        <f>W612</f>
        <v/>
      </c>
      <c r="Y612" s="348">
        <f>X612</f>
        <v/>
      </c>
      <c r="Z612" s="348">
        <f>Y612</f>
        <v/>
      </c>
      <c r="AA612" s="348">
        <f>Z612</f>
        <v/>
      </c>
      <c r="AB612" s="348">
        <f>AA612</f>
        <v/>
      </c>
      <c r="AC612" s="348">
        <f>AB612</f>
        <v/>
      </c>
      <c r="AD612" s="348">
        <f>AC612</f>
        <v/>
      </c>
      <c r="AE612" s="368">
        <f>AD612</f>
        <v/>
      </c>
      <c r="AF612" s="368">
        <f>AE612</f>
        <v/>
      </c>
      <c r="AG612" s="368">
        <f>AF612</f>
        <v/>
      </c>
      <c r="AH612" s="368">
        <f>AG612</f>
        <v/>
      </c>
    </row>
    <row r="613" ht="9" customHeight="1" s="277">
      <c r="A613" s="224" t="n"/>
      <c r="B613" s="225">
        <f>"Total Office Rent ("&amp;$D$612&amp;" month lease)"</f>
        <v/>
      </c>
      <c r="C613" s="0" t="n"/>
      <c r="D613" s="154" t="n"/>
      <c r="E613" s="154" t="n"/>
      <c r="F613" s="154">
        <f>F610*F612</f>
        <v/>
      </c>
      <c r="G613" s="154">
        <f>G610*G612</f>
        <v/>
      </c>
      <c r="H613" s="154">
        <f>H610*H612</f>
        <v/>
      </c>
      <c r="I613" s="154">
        <f>I610*I612</f>
        <v/>
      </c>
      <c r="J613" s="154">
        <f>J610*J612</f>
        <v/>
      </c>
      <c r="K613" s="154">
        <f>K610*K612</f>
        <v/>
      </c>
      <c r="L613" s="154">
        <f>L610*L612</f>
        <v/>
      </c>
      <c r="M613" s="154">
        <f>M610*M612</f>
        <v/>
      </c>
      <c r="N613" s="154">
        <f>N610*N612</f>
        <v/>
      </c>
      <c r="O613" s="154">
        <f>O610*O612</f>
        <v/>
      </c>
      <c r="P613" s="154">
        <f>P610*P612</f>
        <v/>
      </c>
      <c r="Q613" s="154">
        <f>Q610*Q612</f>
        <v/>
      </c>
      <c r="R613" s="229">
        <f>SUM(F613:Q613)</f>
        <v/>
      </c>
      <c r="S613" s="154">
        <f>S610*S612</f>
        <v/>
      </c>
      <c r="T613" s="154">
        <f>T610*T612</f>
        <v/>
      </c>
      <c r="U613" s="154">
        <f>U610*U612</f>
        <v/>
      </c>
      <c r="V613" s="154">
        <f>V610*V612</f>
        <v/>
      </c>
      <c r="W613" s="154">
        <f>W610*W612</f>
        <v/>
      </c>
      <c r="X613" s="154">
        <f>X610*X612</f>
        <v/>
      </c>
      <c r="Y613" s="154">
        <f>Y610*Y612</f>
        <v/>
      </c>
      <c r="Z613" s="154">
        <f>Z610*Z612</f>
        <v/>
      </c>
      <c r="AA613" s="154">
        <f>AA610*AA612</f>
        <v/>
      </c>
      <c r="AB613" s="154">
        <f>AB610*AB612</f>
        <v/>
      </c>
      <c r="AC613" s="154">
        <f>AC610*AC612</f>
        <v/>
      </c>
      <c r="AD613" s="154">
        <f>AD610*AD612</f>
        <v/>
      </c>
      <c r="AE613" s="229">
        <f>SUM(S613:AD613)</f>
        <v/>
      </c>
      <c r="AF613" s="229">
        <f>AF610*AF612*12</f>
        <v/>
      </c>
      <c r="AG613" s="229">
        <f>AG610*AG612*12</f>
        <v/>
      </c>
      <c r="AH613" s="229">
        <f>AH610*AH612*12</f>
        <v/>
      </c>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f>IF(+F175+E617&lt;0,+F175+E617,0)</f>
        <v/>
      </c>
      <c r="G617" s="154">
        <f>IF(+G175+F617&lt;0,+G175+F617,0)</f>
        <v/>
      </c>
      <c r="H617" s="154">
        <f>IF(+H175+G617&lt;0,+H175+G617,0)</f>
        <v/>
      </c>
      <c r="I617" s="154">
        <f>IF(+I175+H617&lt;0,+I175+H617,0)</f>
        <v/>
      </c>
      <c r="J617" s="154">
        <f>IF(+J175+I617&lt;0,+J175+I617,0)</f>
        <v/>
      </c>
      <c r="K617" s="154">
        <f>IF(+K175+J617&lt;0,+K175+J617,0)</f>
        <v/>
      </c>
      <c r="L617" s="154">
        <f>IF(+L175+K617&lt;0,+L175+K617,0)</f>
        <v/>
      </c>
      <c r="M617" s="154">
        <f>IF(+M175+L617&lt;0,+M175+L617,0)</f>
        <v/>
      </c>
      <c r="N617" s="154">
        <f>IF(+N175+M617&lt;0,+N175+M617,0)</f>
        <v/>
      </c>
      <c r="O617" s="154">
        <f>IF(+O175+N617&lt;0,+O175+N617,0)</f>
        <v/>
      </c>
      <c r="P617" s="154">
        <f>IF(+P175+O617&lt;0,+P175+O617,0)</f>
        <v/>
      </c>
      <c r="Q617" s="154">
        <f>IF(+Q175+P617&lt;0,+Q175+P617,0)</f>
        <v/>
      </c>
      <c r="R617" s="229">
        <f>Q617</f>
        <v/>
      </c>
      <c r="S617" s="154">
        <f>IF(+S175+Q617&lt;0,+S175+Q617,0)</f>
        <v/>
      </c>
      <c r="T617" s="154">
        <f>IF(+T175+S617&lt;0,+T175+S617,0)</f>
        <v/>
      </c>
      <c r="U617" s="154">
        <f>IF(+U175+T617&lt;0,+U175+T617,0)</f>
        <v/>
      </c>
      <c r="V617" s="154">
        <f>IF(+V175+U617&lt;0,+V175+U617,0)</f>
        <v/>
      </c>
      <c r="W617" s="154">
        <f>IF(+W175+V617&lt;0,+W175+V617,0)</f>
        <v/>
      </c>
      <c r="X617" s="154">
        <f>IF(+X175+W617&lt;0,+X175+W617,0)</f>
        <v/>
      </c>
      <c r="Y617" s="154">
        <f>IF(+Y175+X617&lt;0,+Y175+X617,0)</f>
        <v/>
      </c>
      <c r="Z617" s="154">
        <f>IF(+Z175+Y617&lt;0,+Z175+Y617,0)</f>
        <v/>
      </c>
      <c r="AA617" s="154">
        <f>IF(+AA175+Z617&lt;0,+AA175+Z617,0)</f>
        <v/>
      </c>
      <c r="AB617" s="154">
        <f>IF(+AB175+AA617&lt;0,+AB175+AA617,0)</f>
        <v/>
      </c>
      <c r="AC617" s="154">
        <f>IF(+AC175+AB617&lt;0,+AC175+AB617,0)</f>
        <v/>
      </c>
      <c r="AD617" s="154">
        <f>IF(+AD175+AC617&lt;0,+AD175+AC617,0)</f>
        <v/>
      </c>
      <c r="AE617" s="229">
        <f>AD617</f>
        <v/>
      </c>
      <c r="AF617" s="229">
        <f>IF(+AF175+AE617&lt;0,+AF175+AE617,0)</f>
        <v/>
      </c>
      <c r="AG617" s="229">
        <f>IF(+AG175+AF617&lt;0,+AG175+AF617,0)</f>
        <v/>
      </c>
      <c r="AH617" s="229">
        <f>IF(+AH175+AG617&lt;0,+AH175+AG617,0)</f>
        <v/>
      </c>
    </row>
    <row r="618" ht="8.25" customHeight="1" s="277">
      <c r="A618" s="224" t="n"/>
      <c r="B618" s="225" t="inlineStr">
        <is>
          <t>Taxable Income</t>
        </is>
      </c>
      <c r="C618" s="154" t="n"/>
      <c r="D618" s="154" t="n"/>
      <c r="E618" s="154" t="n"/>
      <c r="F618" s="154">
        <f>IF(F617&lt;0,0,F175+E617)</f>
        <v/>
      </c>
      <c r="G618" s="154">
        <f>IF(G617&lt;0,0,G175+F617)</f>
        <v/>
      </c>
      <c r="H618" s="154">
        <f>IF(H617&lt;0,0,H175+G617)</f>
        <v/>
      </c>
      <c r="I618" s="154">
        <f>IF(I617&lt;0,0,I175+H617)</f>
        <v/>
      </c>
      <c r="J618" s="154">
        <f>IF(J617&lt;0,0,J175+I617)</f>
        <v/>
      </c>
      <c r="K618" s="154">
        <f>IF(K617&lt;0,0,K175+J617)</f>
        <v/>
      </c>
      <c r="L618" s="154">
        <f>IF(L617&lt;0,0,L175+K617)</f>
        <v/>
      </c>
      <c r="M618" s="154">
        <f>IF(M617&lt;0,0,M175+L617)</f>
        <v/>
      </c>
      <c r="N618" s="154">
        <f>IF(N617&lt;0,0,N175+M617)</f>
        <v/>
      </c>
      <c r="O618" s="154">
        <f>IF(O617&lt;0,0,O175+N617)</f>
        <v/>
      </c>
      <c r="P618" s="154">
        <f>IF(P617&lt;0,0,P175+O617)</f>
        <v/>
      </c>
      <c r="Q618" s="154">
        <f>IF(Q617&lt;0,0,Q175+P617)</f>
        <v/>
      </c>
      <c r="R618" s="229">
        <f>Q618</f>
        <v/>
      </c>
      <c r="S618" s="154">
        <f>IF(S617&lt;0,0,S175+R617)</f>
        <v/>
      </c>
      <c r="T618" s="154">
        <f>IF(T617&lt;0,0,T175+S617)</f>
        <v/>
      </c>
      <c r="U618" s="154">
        <f>IF(U617&lt;0,0,U175+T617)</f>
        <v/>
      </c>
      <c r="V618" s="154">
        <f>IF(V617&lt;0,0,V175+U617)</f>
        <v/>
      </c>
      <c r="W618" s="154">
        <f>IF(W617&lt;0,0,W175+V617)</f>
        <v/>
      </c>
      <c r="X618" s="154">
        <f>IF(X617&lt;0,0,X175+W617)</f>
        <v/>
      </c>
      <c r="Y618" s="154">
        <f>IF(Y617&lt;0,0,Y175+X617)</f>
        <v/>
      </c>
      <c r="Z618" s="154">
        <f>IF(Z617&lt;0,0,Z175+Y617)</f>
        <v/>
      </c>
      <c r="AA618" s="154">
        <f>IF(AA617&lt;0,0,AA175+Z617)</f>
        <v/>
      </c>
      <c r="AB618" s="154">
        <f>IF(AB617&lt;0,0,AB175+AA617)</f>
        <v/>
      </c>
      <c r="AC618" s="154">
        <f>IF(AC617&lt;0,0,AC175+AB617)</f>
        <v/>
      </c>
      <c r="AD618" s="154">
        <f>IF(AD617&lt;0,0,AD175+AC617)</f>
        <v/>
      </c>
      <c r="AE618" s="229">
        <f>AD618</f>
        <v/>
      </c>
      <c r="AF618" s="229">
        <f>IF(AF617&lt;0,0,AF175+AE617)</f>
        <v/>
      </c>
      <c r="AG618" s="229">
        <f>IF(AG617&lt;0,0,AG175+AF617)</f>
        <v/>
      </c>
      <c r="AH618" s="229">
        <f>IF(AH617&lt;0,0,AH175+AG617)</f>
        <v/>
      </c>
    </row>
    <row r="619" ht="8.25" customHeight="1" s="277">
      <c r="A619" s="224" t="n"/>
      <c r="B619" s="225">
        <f>"Tax Expense ("&amp;$C$619*100&amp;"%)"</f>
        <v/>
      </c>
      <c r="C619" s="369">
        <f>Assumptions!I114</f>
        <v/>
      </c>
      <c r="D619" s="154" t="n"/>
      <c r="E619" s="154" t="n"/>
      <c r="F619" s="154">
        <f>IF($R175&lt;0,0,$C$619*F618)</f>
        <v/>
      </c>
      <c r="G619" s="154">
        <f>IF($R175&lt;0,0,$C$619*G618)</f>
        <v/>
      </c>
      <c r="H619" s="154">
        <f>IF($R175&lt;0,0,$C$619*H618)</f>
        <v/>
      </c>
      <c r="I619" s="154">
        <f>IF($R175&lt;0,0,$C$619*I618)</f>
        <v/>
      </c>
      <c r="J619" s="154">
        <f>IF($R175&lt;0,0,$C$619*J618)</f>
        <v/>
      </c>
      <c r="K619" s="154">
        <f>IF($R175&lt;0,0,$C$619*K618)</f>
        <v/>
      </c>
      <c r="L619" s="154">
        <f>IF($R175&lt;0,0,$C$619*L618)</f>
        <v/>
      </c>
      <c r="M619" s="154">
        <f>IF($R175&lt;0,0,$C$619*M618)</f>
        <v/>
      </c>
      <c r="N619" s="154">
        <f>IF($R175&lt;0,0,$C$619*N618)</f>
        <v/>
      </c>
      <c r="O619" s="154">
        <f>IF($R175&lt;0,0,$C$619*O618)</f>
        <v/>
      </c>
      <c r="P619" s="154">
        <f>IF($R175&lt;0,0,$C$619*P618)</f>
        <v/>
      </c>
      <c r="Q619" s="154">
        <f>IF($R175&lt;0,0,$C$619*Q618)</f>
        <v/>
      </c>
      <c r="R619" s="229">
        <f>SUM(F619:Q619)</f>
        <v/>
      </c>
      <c r="S619" s="154">
        <f>IF($AE175&lt;0,0,$C$619*S618)</f>
        <v/>
      </c>
      <c r="T619" s="154">
        <f>IF($AE175&lt;0,0,$C$619*T618)</f>
        <v/>
      </c>
      <c r="U619" s="154">
        <f>IF($AE175&lt;0,0,$C$619*U618)</f>
        <v/>
      </c>
      <c r="V619" s="154">
        <f>IF($AE175&lt;0,0,$C$619*V618)</f>
        <v/>
      </c>
      <c r="W619" s="154">
        <f>IF($AE175&lt;0,0,$C$619*W618)</f>
        <v/>
      </c>
      <c r="X619" s="154">
        <f>IF($AE175&lt;0,0,$C$619*X618)</f>
        <v/>
      </c>
      <c r="Y619" s="154">
        <f>IF($AE175&lt;0,0,$C$619*Y618)</f>
        <v/>
      </c>
      <c r="Z619" s="154">
        <f>IF($AE175&lt;0,0,$C$619*Z618)</f>
        <v/>
      </c>
      <c r="AA619" s="154">
        <f>IF($AE175&lt;0,0,$C$619*AA618)</f>
        <v/>
      </c>
      <c r="AB619" s="154">
        <f>IF($AE175&lt;0,0,$C$619*AB618)</f>
        <v/>
      </c>
      <c r="AC619" s="154">
        <f>IF($AE175&lt;0,0,$C$619*AC618)</f>
        <v/>
      </c>
      <c r="AD619" s="154">
        <f>IF($AE175&lt;0,0,$C$619*AD618)</f>
        <v/>
      </c>
      <c r="AE619" s="229">
        <f>SUM(S619:AD619)</f>
        <v/>
      </c>
      <c r="AF619" s="229">
        <f>$C$619*AF618</f>
        <v/>
      </c>
      <c r="AG619" s="229">
        <f>$C$619*AG618</f>
        <v/>
      </c>
      <c r="AH619" s="229">
        <f>$C$619*AH618</f>
        <v/>
      </c>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f>$A$1</f>
        <v/>
      </c>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f>NOW()</f>
        <v/>
      </c>
      <c r="C623" s="228" t="n"/>
      <c r="D623" s="228" t="n"/>
      <c r="E623" s="228" t="n"/>
      <c r="F623" s="142">
        <f>F$7</f>
        <v/>
      </c>
      <c r="G623" s="142">
        <f>G$7</f>
        <v/>
      </c>
      <c r="H623" s="142">
        <f>H$7</f>
        <v/>
      </c>
      <c r="I623" s="142">
        <f>I$7</f>
        <v/>
      </c>
      <c r="J623" s="142">
        <f>J$7</f>
        <v/>
      </c>
      <c r="K623" s="142">
        <f>K$7</f>
        <v/>
      </c>
      <c r="L623" s="142">
        <f>L$7</f>
        <v/>
      </c>
      <c r="M623" s="142">
        <f>M$7</f>
        <v/>
      </c>
      <c r="N623" s="142">
        <f>N$7</f>
        <v/>
      </c>
      <c r="O623" s="142">
        <f>O$7</f>
        <v/>
      </c>
      <c r="P623" s="142">
        <f>P$7</f>
        <v/>
      </c>
      <c r="Q623" s="142">
        <f>Q$7</f>
        <v/>
      </c>
      <c r="R623" s="143" t="inlineStr">
        <is>
          <t>Total</t>
        </is>
      </c>
      <c r="S623" s="142">
        <f>S$7</f>
        <v/>
      </c>
      <c r="T623" s="142">
        <f>T$7</f>
        <v/>
      </c>
      <c r="U623" s="142">
        <f>U$7</f>
        <v/>
      </c>
      <c r="V623" s="142">
        <f>V$7</f>
        <v/>
      </c>
      <c r="W623" s="142">
        <f>W$7</f>
        <v/>
      </c>
      <c r="X623" s="142">
        <f>X$7</f>
        <v/>
      </c>
      <c r="Y623" s="142">
        <f>Y$7</f>
        <v/>
      </c>
      <c r="Z623" s="142">
        <f>Z$7</f>
        <v/>
      </c>
      <c r="AA623" s="142">
        <f>AA$7</f>
        <v/>
      </c>
      <c r="AB623" s="142">
        <f>AB$7</f>
        <v/>
      </c>
      <c r="AC623" s="142">
        <f>AC$7</f>
        <v/>
      </c>
      <c r="AD623" s="142">
        <f>AD$7</f>
        <v/>
      </c>
      <c r="AE623" s="143" t="inlineStr">
        <is>
          <t>Total</t>
        </is>
      </c>
      <c r="AF623" s="143">
        <f>AF$7</f>
        <v/>
      </c>
      <c r="AG623" s="143">
        <f>AG$7</f>
        <v/>
      </c>
      <c r="AH623" s="143">
        <f>AH$7</f>
        <v/>
      </c>
    </row>
    <row r="624" ht="8.25" customHeight="1" s="277">
      <c r="A624" s="328" t="n"/>
      <c r="B624" s="329">
        <f>NOW()</f>
        <v/>
      </c>
      <c r="C624" s="330" t="n"/>
      <c r="D624" s="330" t="n"/>
      <c r="E624" s="330" t="n"/>
      <c r="F624" s="324">
        <f>F$1</f>
        <v/>
      </c>
      <c r="G624" s="324">
        <f>G$1</f>
        <v/>
      </c>
      <c r="H624" s="324">
        <f>H$1</f>
        <v/>
      </c>
      <c r="I624" s="324">
        <f>I$1</f>
        <v/>
      </c>
      <c r="J624" s="324">
        <f>J$1</f>
        <v/>
      </c>
      <c r="K624" s="324">
        <f>K$1</f>
        <v/>
      </c>
      <c r="L624" s="324">
        <f>L$1</f>
        <v/>
      </c>
      <c r="M624" s="324">
        <f>M$1</f>
        <v/>
      </c>
      <c r="N624" s="324">
        <f>N$1</f>
        <v/>
      </c>
      <c r="O624" s="324">
        <f>O$1</f>
        <v/>
      </c>
      <c r="P624" s="324">
        <f>P$1</f>
        <v/>
      </c>
      <c r="Q624" s="324">
        <f>Q$1</f>
        <v/>
      </c>
      <c r="R624" s="325">
        <f>R$1</f>
        <v/>
      </c>
      <c r="S624" s="324">
        <f>S$1</f>
        <v/>
      </c>
      <c r="T624" s="324">
        <f>T$1</f>
        <v/>
      </c>
      <c r="U624" s="324">
        <f>U$1</f>
        <v/>
      </c>
      <c r="V624" s="324">
        <f>V$1</f>
        <v/>
      </c>
      <c r="W624" s="324">
        <f>W$1</f>
        <v/>
      </c>
      <c r="X624" s="324">
        <f>X$1</f>
        <v/>
      </c>
      <c r="Y624" s="324">
        <f>Y$1</f>
        <v/>
      </c>
      <c r="Z624" s="324">
        <f>Z$1</f>
        <v/>
      </c>
      <c r="AA624" s="324">
        <f>AA$1</f>
        <v/>
      </c>
      <c r="AB624" s="324">
        <f>AB$1</f>
        <v/>
      </c>
      <c r="AC624" s="324">
        <f>AC$1</f>
        <v/>
      </c>
      <c r="AD624" s="324">
        <f>AD$1</f>
        <v/>
      </c>
      <c r="AE624" s="325">
        <f>AE$1</f>
        <v/>
      </c>
      <c r="AF624" s="325">
        <f>AF$1</f>
        <v/>
      </c>
      <c r="AG624" s="325">
        <f>AG$1</f>
        <v/>
      </c>
      <c r="AH624" s="325">
        <f>AH$1</f>
        <v/>
      </c>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f>IF(F218-E218&gt;0,F218-E218,0)</f>
        <v/>
      </c>
      <c r="G629" s="154">
        <f>IF(G218-F218&gt;0,G218-F218,0)</f>
        <v/>
      </c>
      <c r="H629" s="154">
        <f>IF(H218-G218&gt;0,H218-G218,0)</f>
        <v/>
      </c>
      <c r="I629" s="154">
        <f>IF(I218-H218&gt;0,I218-H218,0)</f>
        <v/>
      </c>
      <c r="J629" s="154">
        <f>IF(J218-I218&gt;0,J218-I218,0)</f>
        <v/>
      </c>
      <c r="K629" s="154">
        <f>IF(K218-J218&gt;0,K218-J218,0)</f>
        <v/>
      </c>
      <c r="L629" s="154">
        <f>IF(L218-K218&gt;0,L218-K218,0)</f>
        <v/>
      </c>
      <c r="M629" s="154">
        <f>IF(M218-L218&gt;0,M218-L218,0)</f>
        <v/>
      </c>
      <c r="N629" s="154">
        <f>IF(N218-M218&gt;0,N218-M218,0)</f>
        <v/>
      </c>
      <c r="O629" s="154">
        <f>IF(O218-N218&gt;0,O218-N218,0)</f>
        <v/>
      </c>
      <c r="P629" s="154">
        <f>IF(P218-O218&gt;0,P218-O218,0)</f>
        <v/>
      </c>
      <c r="Q629" s="154">
        <f>IF(Q218-P218&gt;0,Q218-P218,0)</f>
        <v/>
      </c>
      <c r="R629" s="229">
        <f>SUM(F629:Q629)</f>
        <v/>
      </c>
      <c r="S629" s="154">
        <f>IF(S218-R218&gt;0,S218-R218,0)</f>
        <v/>
      </c>
      <c r="T629" s="154">
        <f>IF(T218-S218&gt;0,T218-S218,0)</f>
        <v/>
      </c>
      <c r="U629" s="154">
        <f>IF(U218-T218&gt;0,U218-T218,0)</f>
        <v/>
      </c>
      <c r="V629" s="154">
        <f>IF(V218-U218&gt;0,V218-U218,0)</f>
        <v/>
      </c>
      <c r="W629" s="154">
        <f>IF(W218-V218&gt;0,W218-V218,0)</f>
        <v/>
      </c>
      <c r="X629" s="154">
        <f>IF(X218-W218&gt;0,X218-W218,0)</f>
        <v/>
      </c>
      <c r="Y629" s="154">
        <f>IF(Y218-X218&gt;0,Y218-X218,0)</f>
        <v/>
      </c>
      <c r="Z629" s="154">
        <f>IF(Z218-Y218&gt;0,Z218-Y218,0)</f>
        <v/>
      </c>
      <c r="AA629" s="154">
        <f>IF(AA218-Z218&gt;0,AA218-Z218,0)</f>
        <v/>
      </c>
      <c r="AB629" s="154">
        <f>IF(AB218-AA218&gt;0,AB218-AA218,0)</f>
        <v/>
      </c>
      <c r="AC629" s="154">
        <f>IF(AC218-AB218&gt;0,AC218-AB218,0)</f>
        <v/>
      </c>
      <c r="AD629" s="154">
        <f>IF(AD218-AC218&gt;0,AD218-AC218,0)</f>
        <v/>
      </c>
      <c r="AE629" s="229">
        <f>SUM(S629:AD629)</f>
        <v/>
      </c>
      <c r="AF629" s="229">
        <f>IF(AF218-AE218&gt;0,AF218-AE218,0)</f>
        <v/>
      </c>
      <c r="AG629" s="229">
        <f>IF(AG218-AF218&gt;0,AG218-AF218,0)</f>
        <v/>
      </c>
      <c r="AH629" s="229">
        <f>IF(AH218-AG218&gt;0,AH218-AG218,0)</f>
        <v/>
      </c>
    </row>
    <row r="630" ht="8.25" customHeight="1" s="277">
      <c r="A630" s="328" t="n"/>
      <c r="B630" s="329" t="inlineStr">
        <is>
          <t>Capital Equipment Lease</t>
        </is>
      </c>
      <c r="C630" s="332" t="n"/>
      <c r="D630" s="332" t="n"/>
      <c r="E630" s="332" t="n"/>
      <c r="F630" s="154">
        <f>F518</f>
        <v/>
      </c>
      <c r="G630" s="154">
        <f>G518</f>
        <v/>
      </c>
      <c r="H630" s="154">
        <f>H518</f>
        <v/>
      </c>
      <c r="I630" s="154">
        <f>I518</f>
        <v/>
      </c>
      <c r="J630" s="154">
        <f>J518</f>
        <v/>
      </c>
      <c r="K630" s="154">
        <f>K518</f>
        <v/>
      </c>
      <c r="L630" s="154">
        <f>L518</f>
        <v/>
      </c>
      <c r="M630" s="154">
        <f>M518</f>
        <v/>
      </c>
      <c r="N630" s="154">
        <f>N518</f>
        <v/>
      </c>
      <c r="O630" s="154">
        <f>O518</f>
        <v/>
      </c>
      <c r="P630" s="154">
        <f>P518</f>
        <v/>
      </c>
      <c r="Q630" s="154">
        <f>Q518</f>
        <v/>
      </c>
      <c r="R630" s="229">
        <f>SUM(F630:Q630)</f>
        <v/>
      </c>
      <c r="S630" s="154">
        <f>S518</f>
        <v/>
      </c>
      <c r="T630" s="154">
        <f>T518</f>
        <v/>
      </c>
      <c r="U630" s="154">
        <f>U518</f>
        <v/>
      </c>
      <c r="V630" s="154">
        <f>V518</f>
        <v/>
      </c>
      <c r="W630" s="154">
        <f>W518</f>
        <v/>
      </c>
      <c r="X630" s="154">
        <f>X518</f>
        <v/>
      </c>
      <c r="Y630" s="154">
        <f>Y518</f>
        <v/>
      </c>
      <c r="Z630" s="154">
        <f>Z518</f>
        <v/>
      </c>
      <c r="AA630" s="154">
        <f>AA518</f>
        <v/>
      </c>
      <c r="AB630" s="154">
        <f>AB518</f>
        <v/>
      </c>
      <c r="AC630" s="154">
        <f>AC518</f>
        <v/>
      </c>
      <c r="AD630" s="154">
        <f>AD518</f>
        <v/>
      </c>
      <c r="AE630" s="229">
        <f>SUM(S630:AD630)</f>
        <v/>
      </c>
      <c r="AF630" s="229">
        <f>AF518</f>
        <v/>
      </c>
      <c r="AG630" s="229">
        <f>AG518</f>
        <v/>
      </c>
      <c r="AH630" s="229">
        <f>AH518</f>
        <v/>
      </c>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f>SUM(F631:Q631)</f>
        <v/>
      </c>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f>SUM(S631:AD631)</f>
        <v/>
      </c>
      <c r="AF631" s="172" t="n">
        <v>0</v>
      </c>
      <c r="AG631" s="172" t="n">
        <v>0</v>
      </c>
      <c r="AH631" s="172" t="n">
        <v>0</v>
      </c>
    </row>
    <row r="632" ht="8.25" customFormat="1" customHeight="1" s="228">
      <c r="A632" s="139" t="inlineStr">
        <is>
          <t>Total Additions</t>
        </is>
      </c>
      <c r="B632" s="156" t="n"/>
      <c r="F632" s="228">
        <f>SUM(F629:F631)</f>
        <v/>
      </c>
      <c r="G632" s="228">
        <f>SUM(G629:G631)</f>
        <v/>
      </c>
      <c r="H632" s="228">
        <f>SUM(H629:H631)</f>
        <v/>
      </c>
      <c r="I632" s="228">
        <f>SUM(I629:I631)</f>
        <v/>
      </c>
      <c r="J632" s="228">
        <f>SUM(J629:J631)</f>
        <v/>
      </c>
      <c r="K632" s="228">
        <f>SUM(K629:K631)</f>
        <v/>
      </c>
      <c r="L632" s="228">
        <f>SUM(L629:L631)</f>
        <v/>
      </c>
      <c r="M632" s="228">
        <f>SUM(M629:M631)</f>
        <v/>
      </c>
      <c r="N632" s="228">
        <f>SUM(N629:N631)</f>
        <v/>
      </c>
      <c r="O632" s="228">
        <f>SUM(O629:O631)</f>
        <v/>
      </c>
      <c r="P632" s="228">
        <f>SUM(P629:P631)</f>
        <v/>
      </c>
      <c r="Q632" s="228">
        <f>SUM(Q629:Q631)</f>
        <v/>
      </c>
      <c r="R632" s="158">
        <f>SUM(R629:R631)</f>
        <v/>
      </c>
      <c r="S632" s="228">
        <f>SUM(S629:S631)</f>
        <v/>
      </c>
      <c r="T632" s="228">
        <f>SUM(T629:T631)</f>
        <v/>
      </c>
      <c r="U632" s="228">
        <f>SUM(U629:U631)</f>
        <v/>
      </c>
      <c r="V632" s="228">
        <f>SUM(V629:V631)</f>
        <v/>
      </c>
      <c r="W632" s="228">
        <f>SUM(W629:W631)</f>
        <v/>
      </c>
      <c r="X632" s="228">
        <f>SUM(X629:X631)</f>
        <v/>
      </c>
      <c r="Y632" s="228">
        <f>SUM(Y629:Y631)</f>
        <v/>
      </c>
      <c r="Z632" s="228">
        <f>SUM(Z629:Z631)</f>
        <v/>
      </c>
      <c r="AA632" s="228">
        <f>SUM(AA629:AA631)</f>
        <v/>
      </c>
      <c r="AB632" s="228">
        <f>SUM(AB629:AB631)</f>
        <v/>
      </c>
      <c r="AC632" s="228">
        <f>SUM(AC629:AC631)</f>
        <v/>
      </c>
      <c r="AD632" s="228">
        <f>SUM(AD629:AD631)</f>
        <v/>
      </c>
      <c r="AE632" s="158">
        <f>SUM(AE629:AE631)</f>
        <v/>
      </c>
      <c r="AF632" s="158">
        <f>SUM(AF629:AF631)</f>
        <v/>
      </c>
      <c r="AG632" s="158">
        <f>SUM(AG629:AG631)</f>
        <v/>
      </c>
      <c r="AH632" s="158">
        <f>SUM(AH629:AH631)</f>
        <v/>
      </c>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f>IF(F218-E218&lt;0,-(F218-E218),0)</f>
        <v/>
      </c>
      <c r="G635" s="154">
        <f>IF(G218-F218&lt;0,-(G218-F218),0)</f>
        <v/>
      </c>
      <c r="H635" s="154">
        <f>IF(H218-G218&lt;0,-(H218-G218),0)</f>
        <v/>
      </c>
      <c r="I635" s="154">
        <f>IF(I218-H218&lt;0,-(I218-H218),0)</f>
        <v/>
      </c>
      <c r="J635" s="154">
        <f>IF(J218-I218&lt;0,-(J218-I218),0)</f>
        <v/>
      </c>
      <c r="K635" s="154">
        <f>IF(K218-J218&lt;0,-(K218-J218),0)</f>
        <v/>
      </c>
      <c r="L635" s="154">
        <f>IF(L218-K218&lt;0,-(L218-K218),0)</f>
        <v/>
      </c>
      <c r="M635" s="154">
        <f>IF(M218-L218&lt;0,-(M218-L218),0)</f>
        <v/>
      </c>
      <c r="N635" s="154">
        <f>IF(N218-M218&lt;0,-(N218-M218),0)</f>
        <v/>
      </c>
      <c r="O635" s="154">
        <f>IF(O218-N218&lt;0,-(O218-N218),0)</f>
        <v/>
      </c>
      <c r="P635" s="154">
        <f>IF(P218-O218&lt;0,-(P218-O218),0)</f>
        <v/>
      </c>
      <c r="Q635" s="154">
        <f>IF(Q218-P218&lt;0,-(Q218-P218),0)</f>
        <v/>
      </c>
      <c r="R635" s="229">
        <f>SUM(F635:Q635)</f>
        <v/>
      </c>
      <c r="S635" s="154">
        <f>IF(S218-R218&lt;0,-(S218-R218),0)</f>
        <v/>
      </c>
      <c r="T635" s="154">
        <f>IF(T218-S218&lt;0,-(T218-S218),0)</f>
        <v/>
      </c>
      <c r="U635" s="154">
        <f>IF(U218-T218&lt;0,-(U218-T218),0)</f>
        <v/>
      </c>
      <c r="V635" s="154">
        <f>IF(V218-U218&lt;0,-(V218-U218),0)</f>
        <v/>
      </c>
      <c r="W635" s="154">
        <f>IF(W218-V218&lt;0,-(W218-V218),0)</f>
        <v/>
      </c>
      <c r="X635" s="154">
        <f>IF(X218-W218&lt;0,-(X218-W218),0)</f>
        <v/>
      </c>
      <c r="Y635" s="154">
        <f>IF(Y218-X218&lt;0,-(Y218-X218),0)</f>
        <v/>
      </c>
      <c r="Z635" s="154">
        <f>IF(Z218-Y218&lt;0,-(Z218-Y218),0)</f>
        <v/>
      </c>
      <c r="AA635" s="154">
        <f>IF(AA218-Z218&lt;0,-(AA218-Z218),0)</f>
        <v/>
      </c>
      <c r="AB635" s="154">
        <f>IF(AB218-AA218&lt;0,-(AB218-AA218),0)</f>
        <v/>
      </c>
      <c r="AC635" s="154">
        <f>IF(AC218-AB218&lt;0,-(AC218-AB218),0)</f>
        <v/>
      </c>
      <c r="AD635" s="154">
        <f>IF(AD218-AC218&lt;0,-(AD218-AC218),0)</f>
        <v/>
      </c>
      <c r="AE635" s="229">
        <f>SUM(S635:AD635)</f>
        <v/>
      </c>
      <c r="AF635" s="229">
        <f>IF(AF218-AE218&lt;0,-(AF218-AE218),0)</f>
        <v/>
      </c>
      <c r="AG635" s="229">
        <f>IF(AG218-AF218&lt;0,-(AG218-AF218),0)</f>
        <v/>
      </c>
      <c r="AH635" s="229">
        <f>IF(AH218-AG218&lt;0,-(AH218-AG218),0)</f>
        <v/>
      </c>
    </row>
    <row r="636" ht="8.25" customHeight="1" s="277">
      <c r="A636" s="224" t="n"/>
      <c r="B636" s="225" t="inlineStr">
        <is>
          <t>Capital Equipment Lease</t>
        </is>
      </c>
      <c r="C636" s="332" t="n"/>
      <c r="D636" s="332" t="n"/>
      <c r="E636" s="332" t="n"/>
      <c r="F636" s="154">
        <f>SUM($F630:F630)/$C$224/12</f>
        <v/>
      </c>
      <c r="G636" s="154">
        <f>SUM($F630:G630)/$C$224/12</f>
        <v/>
      </c>
      <c r="H636" s="154">
        <f>SUM($F630:H630)/$C$224/12</f>
        <v/>
      </c>
      <c r="I636" s="154">
        <f>SUM($F630:I630)/$C$224/12</f>
        <v/>
      </c>
      <c r="J636" s="154">
        <f>SUM($F630:J630)/$C$224/12</f>
        <v/>
      </c>
      <c r="K636" s="154">
        <f>SUM($F630:K630)/$C$224/12</f>
        <v/>
      </c>
      <c r="L636" s="154">
        <f>SUM($F630:L630)/$C$224/12</f>
        <v/>
      </c>
      <c r="M636" s="154">
        <f>SUM($F630:M630)/$C$224/12</f>
        <v/>
      </c>
      <c r="N636" s="154">
        <f>SUM($F630:N630)/$C$224/12</f>
        <v/>
      </c>
      <c r="O636" s="154">
        <f>SUM($F630:O630)/$C$224/12</f>
        <v/>
      </c>
      <c r="P636" s="154">
        <f>SUM($F630:P630)/$C$224/12</f>
        <v/>
      </c>
      <c r="Q636" s="154">
        <f>SUM($F630:Q630)/$C$224/12</f>
        <v/>
      </c>
      <c r="R636" s="229">
        <f>SUM(F636:Q636)</f>
        <v/>
      </c>
      <c r="S636" s="154">
        <f>IF($C$224&gt;1,(SUM($F630:S630)-$R630)/$C$224/12,(SUM(OFFSET(S630,0,-(($C$224*12)+1)):S630)-$R630)/$C$224/12)</f>
        <v/>
      </c>
      <c r="T636" s="154">
        <f>IF($C$224&gt;1,(SUM($F630:T630)-$R630)/$C$224/12,(SUM(OFFSET(T630,0,-(($C$224*12)+1)):T630)-$R630)/$C$224/12)</f>
        <v/>
      </c>
      <c r="U636" s="154">
        <f>IF($C$224&gt;1,(SUM($F630:U630)-$R630)/$C$224/12,(SUM(OFFSET(U630,0,-(($C$224*12)+1)):U630)-$R630)/$C$224/12)</f>
        <v/>
      </c>
      <c r="V636" s="154">
        <f>IF($C$224&gt;1,(SUM($F630:V630)-$R630)/$C$224/12,(SUM(OFFSET(V630,0,-(($C$224*12)+1)):V630)-$R630)/$C$224/12)</f>
        <v/>
      </c>
      <c r="W636" s="154">
        <f>IF($C$224&gt;1,(SUM($F630:W630)-$R630)/$C$224/12,(SUM(OFFSET(W630,0,-(($C$224*12)+1)):W630)-$R630)/$C$224/12)</f>
        <v/>
      </c>
      <c r="X636" s="154">
        <f>IF($C$224&gt;1,(SUM($F630:X630)-$R630)/$C$224/12,(SUM(OFFSET(X630,0,-(($C$224*12)+1)):X630)-$R630)/$C$224/12)</f>
        <v/>
      </c>
      <c r="Y636" s="154">
        <f>IF($C$224&gt;1,(SUM($F630:Y630)-$R630)/$C$224/12,(SUM(OFFSET(Y630,0,-(($C$224*12)+1)):Y630)-$R630)/$C$224/12)</f>
        <v/>
      </c>
      <c r="Z636" s="154">
        <f>IF($C$224&gt;1,(SUM($F630:Z630)-$R630)/$C$224/12,(SUM(OFFSET(Z630,0,-(($C$224*12)+1)):Z630)-$R630)/$C$224/12)</f>
        <v/>
      </c>
      <c r="AA636" s="154">
        <f>IF($C$224&gt;1,(SUM($F630:AA630)-$R630)/$C$224/12,(SUM(OFFSET(AA630,0,-(($C$224*12)+1)):AA630)-$R630)/$C$224/12)</f>
        <v/>
      </c>
      <c r="AB636" s="154">
        <f>IF($C$224&gt;1,(SUM($F630:AB630)-$R630)/$C$224/12,(SUM(OFFSET(AB630,0,-(($C$224*12)+1)):AB630)-$R630)/$C$224/12)</f>
        <v/>
      </c>
      <c r="AC636" s="154">
        <f>IF($C$224&gt;1,(SUM($F630:AC630)-$R630)/$C$224/12,(SUM(OFFSET(AC630,0,-(($C$224*12)+1)):AC630)-$R630)/$C$224/12)</f>
        <v/>
      </c>
      <c r="AD636" s="154">
        <f>IF($C$224&gt;1,(SUM($F630:AD630)-$R630)/$C$224/12,(SUM(OFFSET(AD630,0,-(($C$224*12)+1)):AD630)-$R630)/$C$224/12)</f>
        <v/>
      </c>
      <c r="AE636" s="229">
        <f>SUM(S636:AD636)</f>
        <v/>
      </c>
      <c r="AF636" s="229">
        <f>IF($C$224&gt;=2,($AF630+$AE630+$R630+$F630)/$C$224,IF($C$224&gt;=1,($AF630+$AE630)/$C$224,($AF630)/$C$224))</f>
        <v/>
      </c>
      <c r="AG636" s="229">
        <f>IF($C$224&gt;=3,($AG630+$AF630+$AE630+$R630+$F630)/$C$224,IF($C$224&gt;=2,($AG630+$AF630+$AE630)/$C$224,IF($C$224&gt;=1,($AG630+$AF630)/$C$224,($AG630)/$C$224)))</f>
        <v/>
      </c>
      <c r="AH636" s="229">
        <f>IF($C$224&gt;=4,($AH630+$AG630+$AF630+$AE630+$R630+$F630)/$C$224,IF($C$224&gt;=3,($AH630+$AG630+$AF630+$AE630)/$C$224,IF($C$224&gt;=2,($AH630+$AG630+$AF630)/$C$224,($AH630+$AG630)/$C$224)))</f>
        <v/>
      </c>
    </row>
    <row r="637" ht="8.25" customHeight="1" s="277">
      <c r="A637" s="224" t="n"/>
      <c r="B637" s="225" t="inlineStr">
        <is>
          <t>Long Term Borrowings</t>
        </is>
      </c>
      <c r="C637" s="332" t="n"/>
      <c r="D637" s="332" t="n"/>
      <c r="E637" s="332" t="n"/>
      <c r="F637" s="154">
        <f>SUM($F631:F631)/$C$225/12</f>
        <v/>
      </c>
      <c r="G637" s="154">
        <f>SUM($F631:G631)/$C$225/12</f>
        <v/>
      </c>
      <c r="H637" s="154">
        <f>SUM($F631:H631)/$C$225/12</f>
        <v/>
      </c>
      <c r="I637" s="154">
        <f>SUM($F631:I631)/$C$225/12</f>
        <v/>
      </c>
      <c r="J637" s="154">
        <f>SUM($F631:J631)/$C$225/12</f>
        <v/>
      </c>
      <c r="K637" s="154">
        <f>SUM($F631:K631)/$C$225/12</f>
        <v/>
      </c>
      <c r="L637" s="154">
        <f>SUM($F631:L631)/$C$225/12</f>
        <v/>
      </c>
      <c r="M637" s="154">
        <f>SUM($F631:M631)/$C$225/12</f>
        <v/>
      </c>
      <c r="N637" s="154">
        <f>SUM($F631:N631)/$C$225/12</f>
        <v/>
      </c>
      <c r="O637" s="154">
        <f>SUM($F631:O631)/$C$225/12</f>
        <v/>
      </c>
      <c r="P637" s="154">
        <f>SUM($F631:P631)/$C$225/12</f>
        <v/>
      </c>
      <c r="Q637" s="154">
        <f>SUM($F631:Q631)/$C$225/12</f>
        <v/>
      </c>
      <c r="R637" s="229">
        <f>SUM(F637:Q637)</f>
        <v/>
      </c>
      <c r="S637" s="154">
        <f>IF($C$225&gt;1,(SUM($F631:S631)-$R631)/$C$225/12,(SUM(OFFSET(S631,0,-(($C$225*12)+1)):S631)-$R631)/$C$225/12)</f>
        <v/>
      </c>
      <c r="T637" s="154">
        <f>IF($C$225&gt;1,(SUM($F631:T631)-$R631)/$C$225/12,(SUM(OFFSET(T631,0,-(($C$225*12)+1)):T631)-$R631)/$C$225/12)</f>
        <v/>
      </c>
      <c r="U637" s="154">
        <f>IF($C$225&gt;1,(SUM($F631:U631)-$R631)/$C$225/12,(SUM(OFFSET(U631,0,-(($C$225*12)+1)):U631)-$R631)/$C$225/12)</f>
        <v/>
      </c>
      <c r="V637" s="154">
        <f>IF($C$225&gt;1,(SUM($F631:V631)-$R631)/$C$225/12,(SUM(OFFSET(V631,0,-(($C$225*12)+1)):V631)-$R631)/$C$225/12)</f>
        <v/>
      </c>
      <c r="W637" s="154">
        <f>IF($C$225&gt;1,(SUM($F631:W631)-$R631)/$C$225/12,(SUM(OFFSET(W631,0,-(($C$225*12)+1)):W631)-$R631)/$C$225/12)</f>
        <v/>
      </c>
      <c r="X637" s="154">
        <f>IF($C$225&gt;1,(SUM($F631:X631)-$R631)/$C$225/12,(SUM(OFFSET(X631,0,-(($C$225*12)+1)):X631)-$R631)/$C$225/12)</f>
        <v/>
      </c>
      <c r="Y637" s="154">
        <f>IF($C$225&gt;1,(SUM($F631:Y631)-$R631)/$C$225/12,(SUM(OFFSET(Y631,0,-(($C$225*12)+1)):Y631)-$R631)/$C$225/12)</f>
        <v/>
      </c>
      <c r="Z637" s="154">
        <f>IF($C$225&gt;1,(SUM($F631:Z631)-$R631)/$C$225/12,(SUM(OFFSET(Z631,0,-(($C$225*12)+1)):Z631)-$R631)/$C$225/12)</f>
        <v/>
      </c>
      <c r="AA637" s="154">
        <f>IF($C$225&gt;1,(SUM($F631:AA631)-$R631)/$C$225/12,(SUM(OFFSET(AA631,0,-(($C$225*12)+1)):AA631)-$R631)/$C$225/12)</f>
        <v/>
      </c>
      <c r="AB637" s="154">
        <f>IF($C$225&gt;1,(SUM($F631:AB631)-$R631)/$C$225/12,(SUM(OFFSET(AB631,0,-(($C$225*12)+1)):AB631)-$R631)/$C$225/12)</f>
        <v/>
      </c>
      <c r="AC637" s="154">
        <f>IF($C$225&gt;1,(SUM($F631:AC631)-$R631)/$C$225/12,(SUM(OFFSET(AC631,0,-(($C$225*12)+1)):AC631)-$R631)/$C$225/12)</f>
        <v/>
      </c>
      <c r="AD637" s="154">
        <f>IF($C$225&gt;1,(SUM($F631:AD631)-$R631)/$C$225/12,(SUM(OFFSET(AD631,0,-(($C$225*12)+1)):AD631)-$R631)/$C$225/12)</f>
        <v/>
      </c>
      <c r="AE637" s="229">
        <f>SUM(S637:AD637)</f>
        <v/>
      </c>
      <c r="AF637" s="229">
        <f>IF($C$225&gt;=2,($AF631+$AE631+$R631)/$C$225,IF($C$225&gt;=1,($AF631+$AE631)/$C$225,($AF631)/$C$225))</f>
        <v/>
      </c>
      <c r="AG637" s="229">
        <f>IF($C$225&gt;=3,($AG631+$AF631+$AE631+$R631)/$C$225,IF($C$225&gt;=2,($AG631+$AF631+$AE631)/$C$225,IF($C$225&gt;=1,($AG631+$AF631)/$C$225,($AG631)/$C$225)))</f>
        <v/>
      </c>
      <c r="AH637" s="229">
        <f>IF($C$225&gt;=4,($AH631+$AG631+$AF631+$AE631+$R631)/$C$225,IF($C$225&gt;=3,($AH631+$AG631+$AF631+$AE631)/$C$225,IF($C$225&gt;=2,($AH631+$AG631+$AF631)/$C$225,($AH631+$AG631)/$C$225)))</f>
        <v/>
      </c>
    </row>
    <row r="638" ht="8.25" customFormat="1" customHeight="1" s="228">
      <c r="A638" s="139" t="inlineStr">
        <is>
          <t>Total Payments</t>
        </is>
      </c>
      <c r="B638" s="156" t="n"/>
      <c r="F638" s="228">
        <f>SUM(F635:F637)</f>
        <v/>
      </c>
      <c r="G638" s="228">
        <f>SUM(G635:G637)</f>
        <v/>
      </c>
      <c r="H638" s="228">
        <f>SUM(H635:H637)</f>
        <v/>
      </c>
      <c r="I638" s="228">
        <f>SUM(I635:I637)</f>
        <v/>
      </c>
      <c r="J638" s="228">
        <f>SUM(J635:J637)</f>
        <v/>
      </c>
      <c r="K638" s="228">
        <f>SUM(K635:K637)</f>
        <v/>
      </c>
      <c r="L638" s="228">
        <f>SUM(L635:L637)</f>
        <v/>
      </c>
      <c r="M638" s="228">
        <f>SUM(M635:M637)</f>
        <v/>
      </c>
      <c r="N638" s="228">
        <f>SUM(N635:N637)</f>
        <v/>
      </c>
      <c r="O638" s="228">
        <f>SUM(O635:O637)</f>
        <v/>
      </c>
      <c r="P638" s="228">
        <f>SUM(P635:P637)</f>
        <v/>
      </c>
      <c r="Q638" s="228">
        <f>SUM(Q635:Q637)</f>
        <v/>
      </c>
      <c r="R638" s="158">
        <f>SUM(R635:R637)</f>
        <v/>
      </c>
      <c r="S638" s="228">
        <f>SUM(S635:S637)</f>
        <v/>
      </c>
      <c r="T638" s="228">
        <f>SUM(T635:T637)</f>
        <v/>
      </c>
      <c r="U638" s="228">
        <f>SUM(U635:U637)</f>
        <v/>
      </c>
      <c r="V638" s="228">
        <f>SUM(V635:V637)</f>
        <v/>
      </c>
      <c r="W638" s="228">
        <f>SUM(W635:W637)</f>
        <v/>
      </c>
      <c r="X638" s="228">
        <f>SUM(X635:X637)</f>
        <v/>
      </c>
      <c r="Y638" s="228">
        <f>SUM(Y635:Y637)</f>
        <v/>
      </c>
      <c r="Z638" s="228">
        <f>SUM(Z635:Z637)</f>
        <v/>
      </c>
      <c r="AA638" s="228">
        <f>SUM(AA635:AA637)</f>
        <v/>
      </c>
      <c r="AB638" s="228">
        <f>SUM(AB635:AB637)</f>
        <v/>
      </c>
      <c r="AC638" s="228">
        <f>SUM(AC635:AC637)</f>
        <v/>
      </c>
      <c r="AD638" s="228">
        <f>SUM(AD635:AD637)</f>
        <v/>
      </c>
      <c r="AE638" s="158">
        <f>SUM(AE635:AE637)</f>
        <v/>
      </c>
      <c r="AF638" s="158">
        <f>SUM(AF635:AF637)</f>
        <v/>
      </c>
      <c r="AG638" s="158">
        <f>SUM(AG635:AG637)</f>
        <v/>
      </c>
      <c r="AH638" s="158">
        <f>SUM(AH635:AH637)</f>
        <v/>
      </c>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f>Q644</f>
        <v/>
      </c>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f>AD644</f>
        <v/>
      </c>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f>Q645</f>
        <v/>
      </c>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f>AD645</f>
        <v/>
      </c>
      <c r="AF645" s="172" t="n">
        <v>0</v>
      </c>
      <c r="AG645" s="172" t="n">
        <v>0</v>
      </c>
      <c r="AH645" s="172" t="n">
        <v>0</v>
      </c>
    </row>
    <row r="646" ht="8.25" customFormat="1" customHeight="1" s="228">
      <c r="A646" s="139" t="inlineStr">
        <is>
          <t>Total Equity Investment</t>
        </is>
      </c>
      <c r="B646" s="156" t="n"/>
      <c r="F646" s="228">
        <f>SUM(F644:F645)</f>
        <v/>
      </c>
      <c r="G646" s="228">
        <f>SUM(G644:G645)</f>
        <v/>
      </c>
      <c r="H646" s="228">
        <f>SUM(H644:H645)</f>
        <v/>
      </c>
      <c r="I646" s="228">
        <f>SUM(I644:I645)</f>
        <v/>
      </c>
      <c r="J646" s="228">
        <f>SUM(J644:J645)</f>
        <v/>
      </c>
      <c r="K646" s="228">
        <f>SUM(K644:K645)</f>
        <v/>
      </c>
      <c r="L646" s="228">
        <f>SUM(L644:L645)</f>
        <v/>
      </c>
      <c r="M646" s="228">
        <f>SUM(M644:M645)</f>
        <v/>
      </c>
      <c r="N646" s="228">
        <f>SUM(N644:N645)</f>
        <v/>
      </c>
      <c r="O646" s="228">
        <f>SUM(O644:O645)</f>
        <v/>
      </c>
      <c r="P646" s="228">
        <f>SUM(P644:P645)</f>
        <v/>
      </c>
      <c r="Q646" s="228">
        <f>SUM(Q644:Q645)</f>
        <v/>
      </c>
      <c r="R646" s="158">
        <f>SUM(R644:R645)</f>
        <v/>
      </c>
      <c r="S646" s="228">
        <f>SUM(S644:S645)</f>
        <v/>
      </c>
      <c r="T646" s="228">
        <f>SUM(T644:T645)</f>
        <v/>
      </c>
      <c r="U646" s="228">
        <f>SUM(U644:U645)</f>
        <v/>
      </c>
      <c r="V646" s="228">
        <f>SUM(V644:V645)</f>
        <v/>
      </c>
      <c r="W646" s="228">
        <f>SUM(W644:W645)</f>
        <v/>
      </c>
      <c r="X646" s="228">
        <f>SUM(X644:X645)</f>
        <v/>
      </c>
      <c r="Y646" s="228">
        <f>SUM(Y644:Y645)</f>
        <v/>
      </c>
      <c r="Z646" s="228">
        <f>SUM(Z644:Z645)</f>
        <v/>
      </c>
      <c r="AA646" s="228">
        <f>SUM(AA644:AA645)</f>
        <v/>
      </c>
      <c r="AB646" s="228">
        <f>SUM(AB644:AB645)</f>
        <v/>
      </c>
      <c r="AC646" s="228">
        <f>SUM(AC644:AC645)</f>
        <v/>
      </c>
      <c r="AD646" s="228">
        <f>SUM(AD644:AD645)</f>
        <v/>
      </c>
      <c r="AE646" s="158">
        <f>SUM(AE644:AE645)</f>
        <v/>
      </c>
      <c r="AF646" s="158">
        <f>SUM(AF644:AF645)</f>
        <v/>
      </c>
      <c r="AG646" s="158">
        <f>SUM(AG644:AG645)</f>
        <v/>
      </c>
      <c r="AH646" s="158">
        <f>SUM(AH644:AH645)</f>
        <v/>
      </c>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f>Q649</f>
        <v/>
      </c>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f>AD649</f>
        <v/>
      </c>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f>Q650</f>
        <v/>
      </c>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f>AD650</f>
        <v/>
      </c>
      <c r="AF650" s="172" t="n">
        <v>0</v>
      </c>
      <c r="AG650" s="172" t="n">
        <v>0</v>
      </c>
      <c r="AH650" s="172" t="n">
        <v>0</v>
      </c>
    </row>
    <row r="651" ht="8.25" customFormat="1" customHeight="1" s="228">
      <c r="A651" s="139" t="inlineStr">
        <is>
          <t>Total Stock Buyback</t>
        </is>
      </c>
      <c r="B651" s="156" t="n"/>
      <c r="F651" s="228">
        <f>SUM(F649:F650)</f>
        <v/>
      </c>
      <c r="G651" s="228">
        <f>SUM(G649:G650)</f>
        <v/>
      </c>
      <c r="H651" s="228">
        <f>SUM(H649:H650)</f>
        <v/>
      </c>
      <c r="I651" s="228">
        <f>SUM(I649:I650)</f>
        <v/>
      </c>
      <c r="J651" s="228">
        <f>SUM(J649:J650)</f>
        <v/>
      </c>
      <c r="K651" s="228">
        <f>SUM(K649:K650)</f>
        <v/>
      </c>
      <c r="L651" s="228">
        <f>SUM(L649:L650)</f>
        <v/>
      </c>
      <c r="M651" s="228">
        <f>SUM(M649:M650)</f>
        <v/>
      </c>
      <c r="N651" s="228">
        <f>SUM(N649:N650)</f>
        <v/>
      </c>
      <c r="O651" s="228">
        <f>SUM(O649:O650)</f>
        <v/>
      </c>
      <c r="P651" s="228">
        <f>SUM(P649:P650)</f>
        <v/>
      </c>
      <c r="Q651" s="228">
        <f>SUM(Q649:Q650)</f>
        <v/>
      </c>
      <c r="R651" s="158">
        <f>SUM(R649:R650)</f>
        <v/>
      </c>
      <c r="S651" s="228">
        <f>SUM(S649:S650)</f>
        <v/>
      </c>
      <c r="T651" s="228">
        <f>SUM(T649:T650)</f>
        <v/>
      </c>
      <c r="U651" s="228">
        <f>SUM(U649:U650)</f>
        <v/>
      </c>
      <c r="V651" s="228">
        <f>SUM(V649:V650)</f>
        <v/>
      </c>
      <c r="W651" s="228">
        <f>SUM(W649:W650)</f>
        <v/>
      </c>
      <c r="X651" s="228">
        <f>SUM(X649:X650)</f>
        <v/>
      </c>
      <c r="Y651" s="228">
        <f>SUM(Y649:Y650)</f>
        <v/>
      </c>
      <c r="Z651" s="228">
        <f>SUM(Z649:Z650)</f>
        <v/>
      </c>
      <c r="AA651" s="228">
        <f>SUM(AA649:AA650)</f>
        <v/>
      </c>
      <c r="AB651" s="228">
        <f>SUM(AB649:AB650)</f>
        <v/>
      </c>
      <c r="AC651" s="228">
        <f>SUM(AC649:AC650)</f>
        <v/>
      </c>
      <c r="AD651" s="228">
        <f>SUM(AD649:AD650)</f>
        <v/>
      </c>
      <c r="AE651" s="158">
        <f>SUM(AE649:AE650)</f>
        <v/>
      </c>
      <c r="AF651" s="158">
        <f>SUM(AF649:AF650)</f>
        <v/>
      </c>
      <c r="AG651" s="158">
        <f>SUM(AG649:AG650)</f>
        <v/>
      </c>
      <c r="AH651" s="158">
        <f>SUM(AH649:AH650)</f>
        <v/>
      </c>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f>'DETAIL.XLS'!R1</f>
        <v/>
      </c>
      <c r="D1" s="372">
        <f>'DETAIL.XLS'!AE1</f>
        <v/>
      </c>
      <c r="E1" s="372">
        <f>'DETAIL.XLS'!AF1</f>
        <v/>
      </c>
      <c r="F1" s="372">
        <f>'DETAIL.XLS'!AG1</f>
        <v/>
      </c>
      <c r="G1" s="372">
        <f>'DETAIL.XLS'!AH1</f>
        <v/>
      </c>
    </row>
    <row r="2" ht="9" customFormat="1" customHeight="1" s="373">
      <c r="A2" s="374" t="n"/>
      <c r="B2" s="373" t="inlineStr">
        <is>
          <t>Balance Sheet Check</t>
        </is>
      </c>
      <c r="C2" s="373">
        <f>+C59-C84</f>
        <v/>
      </c>
      <c r="D2" s="373">
        <f>+D59-D84</f>
        <v/>
      </c>
      <c r="E2" s="373">
        <f>+E59-E84</f>
        <v/>
      </c>
      <c r="F2" s="373">
        <f>+F59-F84</f>
        <v/>
      </c>
      <c r="G2" s="373">
        <f>+G59-G84</f>
        <v/>
      </c>
    </row>
    <row r="3" ht="9" customFormat="1" customHeight="1" s="373">
      <c r="A3" s="374" t="n"/>
      <c r="B3" s="373" t="inlineStr">
        <is>
          <t>S &amp; U to Income Stmt</t>
        </is>
      </c>
      <c r="C3" s="373">
        <f>+C41-C93</f>
        <v/>
      </c>
      <c r="D3" s="373">
        <f>+D41-D93</f>
        <v/>
      </c>
      <c r="E3" s="373">
        <f>+E41-E93</f>
        <v/>
      </c>
      <c r="F3" s="373">
        <f>+F41-F93</f>
        <v/>
      </c>
      <c r="G3" s="373">
        <f>+G41-G93</f>
        <v/>
      </c>
    </row>
    <row r="4" ht="9.75" customFormat="1" customHeight="1" s="373">
      <c r="A4" s="374" t="n"/>
      <c r="B4" s="373" t="inlineStr">
        <is>
          <t>S &amp; U to Balance Sheet</t>
        </is>
      </c>
      <c r="C4" s="373">
        <f>+C118-C50</f>
        <v/>
      </c>
      <c r="D4" s="373">
        <f>+D118-D50</f>
        <v/>
      </c>
      <c r="E4" s="373">
        <f>+E118-E50</f>
        <v/>
      </c>
      <c r="F4" s="373">
        <f>+F118-F50</f>
        <v/>
      </c>
      <c r="G4" s="373">
        <f>+G118-G50</f>
        <v/>
      </c>
    </row>
    <row r="5" ht="20.25" customFormat="1" customHeight="1" s="375">
      <c r="A5" s="376">
        <f>'DETAIL.XLS'!$A$1</f>
        <v/>
      </c>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f>C$1</f>
        <v/>
      </c>
      <c r="D8" s="372">
        <f>D$1</f>
        <v/>
      </c>
      <c r="E8" s="372">
        <f>E$1</f>
        <v/>
      </c>
      <c r="F8" s="372">
        <f>F$1</f>
        <v/>
      </c>
      <c r="G8" s="372">
        <f>G$1</f>
        <v/>
      </c>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f>+'DETAIL.XLS'!B89</f>
        <v/>
      </c>
      <c r="C11" s="371">
        <f>+'DETAIL.XLS'!R89</f>
        <v/>
      </c>
      <c r="D11" s="371">
        <f>+'DETAIL.XLS'!AE89</f>
        <v/>
      </c>
      <c r="E11" s="371">
        <f>+'DETAIL.XLS'!AF89</f>
        <v/>
      </c>
      <c r="F11" s="371">
        <f>+'DETAIL.XLS'!AG89</f>
        <v/>
      </c>
      <c r="G11" s="371">
        <f>+'DETAIL.XLS'!AH89</f>
        <v/>
      </c>
    </row>
    <row r="12" ht="12.75" customHeight="1" s="277">
      <c r="A12" s="382" t="n"/>
      <c r="B12" s="380">
        <f>+'DETAIL.XLS'!B90</f>
        <v/>
      </c>
      <c r="C12" s="371">
        <f>+'DETAIL.XLS'!R90</f>
        <v/>
      </c>
      <c r="D12" s="371">
        <f>+'DETAIL.XLS'!AE90</f>
        <v/>
      </c>
      <c r="E12" s="371">
        <f>+'DETAIL.XLS'!AF90</f>
        <v/>
      </c>
      <c r="F12" s="371">
        <f>+'DETAIL.XLS'!AG90</f>
        <v/>
      </c>
      <c r="G12" s="371">
        <f>+'DETAIL.XLS'!AH90</f>
        <v/>
      </c>
    </row>
    <row r="13" ht="12.75" customHeight="1" s="277">
      <c r="A13" s="382" t="n"/>
      <c r="B13" s="380">
        <f>+'DETAIL.XLS'!B91</f>
        <v/>
      </c>
      <c r="C13" s="371">
        <f>+'DETAIL.XLS'!R91</f>
        <v/>
      </c>
      <c r="D13" s="371">
        <f>+'DETAIL.XLS'!AE91</f>
        <v/>
      </c>
      <c r="E13" s="371">
        <f>+'DETAIL.XLS'!AF91</f>
        <v/>
      </c>
      <c r="F13" s="371">
        <f>+'DETAIL.XLS'!AG91</f>
        <v/>
      </c>
      <c r="G13" s="371">
        <f>+'DETAIL.XLS'!AH91</f>
        <v/>
      </c>
    </row>
    <row r="14" ht="12.75" customHeight="1" s="277">
      <c r="A14" s="382" t="n"/>
      <c r="B14" s="380">
        <f>+'DETAIL.XLS'!B92</f>
        <v/>
      </c>
      <c r="C14" s="371">
        <f>+'DETAIL.XLS'!R92</f>
        <v/>
      </c>
      <c r="D14" s="371">
        <f>+'DETAIL.XLS'!AE92</f>
        <v/>
      </c>
      <c r="E14" s="371">
        <f>+'DETAIL.XLS'!AF92</f>
        <v/>
      </c>
      <c r="F14" s="371">
        <f>+'DETAIL.XLS'!AG92</f>
        <v/>
      </c>
      <c r="G14" s="371">
        <f>+'DETAIL.XLS'!AH92</f>
        <v/>
      </c>
    </row>
    <row r="15" ht="12.75" customFormat="1" customHeight="1" s="384">
      <c r="A15" s="382" t="inlineStr">
        <is>
          <t>Total Revenue</t>
        </is>
      </c>
      <c r="B15" s="380" t="n"/>
      <c r="C15" s="384">
        <f>SUM(C11:C14)</f>
        <v/>
      </c>
      <c r="D15" s="384">
        <f>SUM(D11:D14)</f>
        <v/>
      </c>
      <c r="E15" s="384">
        <f>SUM(E11:E14)</f>
        <v/>
      </c>
      <c r="F15" s="384">
        <f>SUM(F11:F14)</f>
        <v/>
      </c>
      <c r="G15" s="384">
        <f>SUM(G11:G14)</f>
        <v/>
      </c>
    </row>
    <row r="16" ht="12.75" customHeight="1" s="277">
      <c r="A16" s="382" t="n"/>
      <c r="B16" s="380" t="n"/>
    </row>
    <row r="17" ht="12.75" customHeight="1" s="277">
      <c r="A17" s="382" t="inlineStr">
        <is>
          <t>Cost of Goods Sold</t>
        </is>
      </c>
      <c r="B17" s="380" t="n"/>
      <c r="C17" s="371">
        <f>+'DETAIL.XLS'!R101</f>
        <v/>
      </c>
      <c r="D17" s="371">
        <f>+'DETAIL.XLS'!AE101</f>
        <v/>
      </c>
      <c r="E17" s="371">
        <f>+'DETAIL.XLS'!AF101</f>
        <v/>
      </c>
      <c r="F17" s="371">
        <f>+'DETAIL.XLS'!AG101</f>
        <v/>
      </c>
      <c r="G17" s="371">
        <f>+'DETAIL.XLS'!AH101</f>
        <v/>
      </c>
    </row>
    <row r="18" ht="12.75" customHeight="1" s="277">
      <c r="A18" s="382" t="n"/>
      <c r="B18" s="380" t="n"/>
    </row>
    <row r="19" ht="12.75" customFormat="1" customHeight="1" s="384">
      <c r="A19" s="382" t="inlineStr">
        <is>
          <t>Gross Margin</t>
        </is>
      </c>
      <c r="B19" s="380" t="n"/>
      <c r="C19" s="385">
        <f>+C15-C17</f>
        <v/>
      </c>
      <c r="D19" s="385">
        <f>+D15-D17</f>
        <v/>
      </c>
      <c r="E19" s="385">
        <f>+E15-E17</f>
        <v/>
      </c>
      <c r="F19" s="385">
        <f>+F15-F17</f>
        <v/>
      </c>
      <c r="G19" s="385">
        <f>+G15-G17</f>
        <v/>
      </c>
    </row>
    <row r="20" ht="12.75" customFormat="1" customHeight="1" s="386">
      <c r="A20" s="387" t="n"/>
      <c r="B20" s="388" t="inlineStr">
        <is>
          <t>% of Revenue</t>
        </is>
      </c>
      <c r="C20" s="389">
        <f>IF(C$15=0,0,C19/C$15)</f>
        <v/>
      </c>
      <c r="D20" s="389">
        <f>IF(D$15=0,0,D19/D$15)</f>
        <v/>
      </c>
      <c r="E20" s="389">
        <f>IF(E$15=0,0,E19/E$15)</f>
        <v/>
      </c>
      <c r="F20" s="389">
        <f>IF(F$15=0,0,F19/F$15)</f>
        <v/>
      </c>
      <c r="G20" s="389">
        <f>IF(G$15=0,0,G19/G$15)</f>
        <v/>
      </c>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f>+'DETAIL.XLS'!R118</f>
        <v/>
      </c>
      <c r="D23" s="383">
        <f>+'DETAIL.XLS'!AE118</f>
        <v/>
      </c>
      <c r="E23" s="383">
        <f>+'DETAIL.XLS'!AF118</f>
        <v/>
      </c>
      <c r="F23" s="383">
        <f>+'DETAIL.XLS'!AG118</f>
        <v/>
      </c>
      <c r="G23" s="383">
        <f>+'DETAIL.XLS'!AH118</f>
        <v/>
      </c>
    </row>
    <row r="24" ht="12.75" customFormat="1" customHeight="1" s="386">
      <c r="A24" s="387" t="n"/>
      <c r="B24" s="388" t="inlineStr">
        <is>
          <t>% of Revenue</t>
        </is>
      </c>
      <c r="C24" s="389">
        <f>IF(C$15=0,0,C23/C$15)</f>
        <v/>
      </c>
      <c r="D24" s="389">
        <f>IF(D$15=0,0,D23/D$15)</f>
        <v/>
      </c>
      <c r="E24" s="389">
        <f>IF(E$15=0,0,E23/E$15)</f>
        <v/>
      </c>
      <c r="F24" s="389">
        <f>IF(F$15=0,0,F23/F$15)</f>
        <v/>
      </c>
      <c r="G24" s="389">
        <f>IF(G$15=0,0,G23/G$15)</f>
        <v/>
      </c>
    </row>
    <row r="25" ht="12.75" customHeight="1" s="277">
      <c r="A25" s="382" t="n"/>
      <c r="B25" s="380" t="inlineStr">
        <is>
          <t>Marketing/Sales</t>
        </is>
      </c>
      <c r="C25" s="383">
        <f>+'DETAIL.XLS'!R130+'DETAIL.XLS'!R141</f>
        <v/>
      </c>
      <c r="D25" s="383">
        <f>+'DETAIL.XLS'!AE130+'DETAIL.XLS'!AE141</f>
        <v/>
      </c>
      <c r="E25" s="383">
        <f>+'DETAIL.XLS'!AF130+'DETAIL.XLS'!AF141</f>
        <v/>
      </c>
      <c r="F25" s="383">
        <f>+'DETAIL.XLS'!AG130+'DETAIL.XLS'!AG141</f>
        <v/>
      </c>
      <c r="G25" s="383">
        <f>+'DETAIL.XLS'!AH130+'DETAIL.XLS'!AH141</f>
        <v/>
      </c>
    </row>
    <row r="26" ht="12.75" customFormat="1" customHeight="1" s="386">
      <c r="A26" s="387" t="n"/>
      <c r="B26" s="388" t="inlineStr">
        <is>
          <t>% of Revenue</t>
        </is>
      </c>
      <c r="C26" s="389">
        <f>IF(C$15=0,0,C25/C$15)</f>
        <v/>
      </c>
      <c r="D26" s="389">
        <f>IF(D$15=0,0,D25/D$15)</f>
        <v/>
      </c>
      <c r="E26" s="389">
        <f>IF(E$15=0,0,E25/E$15)</f>
        <v/>
      </c>
      <c r="F26" s="389">
        <f>IF(F$15=0,0,F25/F$15)</f>
        <v/>
      </c>
      <c r="G26" s="389">
        <f>IF(G$15=0,0,G25/G$15)</f>
        <v/>
      </c>
    </row>
    <row r="27" ht="12.75" customHeight="1" s="277">
      <c r="A27" s="382" t="n"/>
      <c r="B27" s="380" t="inlineStr">
        <is>
          <t>Administration</t>
        </is>
      </c>
      <c r="C27" s="383">
        <f>+'DETAIL.XLS'!R159</f>
        <v/>
      </c>
      <c r="D27" s="383">
        <f>+'DETAIL.XLS'!AE159</f>
        <v/>
      </c>
      <c r="E27" s="383">
        <f>+'DETAIL.XLS'!AF159</f>
        <v/>
      </c>
      <c r="F27" s="383">
        <f>+'DETAIL.XLS'!AG159</f>
        <v/>
      </c>
      <c r="G27" s="383">
        <f>+'DETAIL.XLS'!AH159</f>
        <v/>
      </c>
    </row>
    <row r="28" ht="12.75" customFormat="1" customHeight="1" s="386">
      <c r="A28" s="387" t="n"/>
      <c r="B28" s="388" t="inlineStr">
        <is>
          <t>% of Revenue</t>
        </is>
      </c>
      <c r="C28" s="389">
        <f>IF(C$15=0,0,C27/C$15)</f>
        <v/>
      </c>
      <c r="D28" s="389">
        <f>IF(D$15=0,0,D27/D$15)</f>
        <v/>
      </c>
      <c r="E28" s="389">
        <f>IF(E$15=0,0,E27/E$15)</f>
        <v/>
      </c>
      <c r="F28" s="389">
        <f>IF(F$15=0,0,F27/F$15)</f>
        <v/>
      </c>
      <c r="G28" s="389">
        <f>IF(G$15=0,0,G27/G$15)</f>
        <v/>
      </c>
    </row>
    <row r="29" ht="12.75" customFormat="1" customHeight="1" s="384">
      <c r="A29" s="382" t="inlineStr">
        <is>
          <t>Total Operating Expenses</t>
        </is>
      </c>
      <c r="B29" s="380" t="n"/>
      <c r="C29" s="385">
        <f>+C23+C25+C27</f>
        <v/>
      </c>
      <c r="D29" s="385">
        <f>+D23+D25+D27</f>
        <v/>
      </c>
      <c r="E29" s="385">
        <f>+E23+E25+E27</f>
        <v/>
      </c>
      <c r="F29" s="385">
        <f>+F23+F25+F27</f>
        <v/>
      </c>
      <c r="G29" s="385">
        <f>+G23+G25+G27</f>
        <v/>
      </c>
    </row>
    <row r="30" ht="12.75" customFormat="1" customHeight="1" s="386">
      <c r="A30" s="387" t="n"/>
      <c r="B30" s="388" t="inlineStr">
        <is>
          <t>% of Revenue</t>
        </is>
      </c>
      <c r="C30" s="389">
        <f>IF(C$15=0,0,C29/C$15)</f>
        <v/>
      </c>
      <c r="D30" s="389">
        <f>IF(D$15=0,0,D29/D$15)</f>
        <v/>
      </c>
      <c r="E30" s="389">
        <f>IF(E$15=0,0,E29/E$15)</f>
        <v/>
      </c>
      <c r="F30" s="389">
        <f>IF(F$15=0,0,F29/F$15)</f>
        <v/>
      </c>
      <c r="G30" s="389">
        <f>IF(G$15=0,0,G29/G$15)</f>
        <v/>
      </c>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f>+C19-C29</f>
        <v/>
      </c>
      <c r="D32" s="385">
        <f>+D19-D29</f>
        <v/>
      </c>
      <c r="E32" s="385">
        <f>+E19-E29</f>
        <v/>
      </c>
      <c r="F32" s="385">
        <f>+F19-F29</f>
        <v/>
      </c>
      <c r="G32" s="385">
        <f>+G19-G29</f>
        <v/>
      </c>
    </row>
    <row r="33" ht="12.75" customFormat="1" customHeight="1" s="386">
      <c r="A33" s="387" t="n"/>
      <c r="B33" s="388" t="inlineStr">
        <is>
          <t>% of Revenue</t>
        </is>
      </c>
      <c r="C33" s="389">
        <f>IF(C$15=0,0,C32/C$15)</f>
        <v/>
      </c>
      <c r="D33" s="389">
        <f>IF(D$15=0,0,D32/D$15)</f>
        <v/>
      </c>
      <c r="E33" s="389">
        <f>IF(E$15=0,0,E32/E$15)</f>
        <v/>
      </c>
      <c r="F33" s="389">
        <f>IF(F$15=0,0,F32/F$15)</f>
        <v/>
      </c>
      <c r="G33" s="389">
        <f>IF(G$15=0,0,G32/G$15)</f>
        <v/>
      </c>
    </row>
    <row r="34" ht="12.75" customHeight="1" s="277">
      <c r="A34" s="382" t="n"/>
      <c r="B34" s="380" t="n"/>
      <c r="C34" s="383" t="n"/>
      <c r="D34" s="383" t="n"/>
      <c r="E34" s="383" t="n"/>
      <c r="F34" s="383" t="n"/>
      <c r="G34" s="383" t="n"/>
    </row>
    <row r="35" ht="12.75" customHeight="1" s="277">
      <c r="A35" s="382" t="n"/>
      <c r="B35" s="383" t="inlineStr">
        <is>
          <t>Interest Expense</t>
        </is>
      </c>
      <c r="C35" s="383">
        <f>SUM('DETAIL.XLS'!R170:R172)</f>
        <v/>
      </c>
      <c r="D35" s="383">
        <f>SUM('DETAIL.XLS'!AE170:AE172)</f>
        <v/>
      </c>
      <c r="E35" s="383">
        <f>SUM('DETAIL.XLS'!AF170:AF172)</f>
        <v/>
      </c>
      <c r="F35" s="383">
        <f>SUM('DETAIL.XLS'!AG170:AG172)</f>
        <v/>
      </c>
      <c r="G35" s="383">
        <f>SUM('DETAIL.XLS'!AH170:AH172)</f>
        <v/>
      </c>
    </row>
    <row r="36" ht="12.75" customHeight="1" s="277">
      <c r="A36" s="382" t="n"/>
      <c r="B36" s="383" t="inlineStr">
        <is>
          <t>Interest Revenue</t>
        </is>
      </c>
      <c r="C36" s="383">
        <f>'DETAIL.XLS'!R169</f>
        <v/>
      </c>
      <c r="D36" s="383">
        <f>'DETAIL.XLS'!AE169</f>
        <v/>
      </c>
      <c r="E36" s="383">
        <f>'DETAIL.XLS'!AF169</f>
        <v/>
      </c>
      <c r="F36" s="383">
        <f>'DETAIL.XLS'!AG169</f>
        <v/>
      </c>
      <c r="G36" s="383">
        <f>'DETAIL.XLS'!AH169</f>
        <v/>
      </c>
    </row>
    <row r="37" ht="12.75" customHeight="1" s="277">
      <c r="A37" s="382" t="n"/>
      <c r="B37" s="380" t="n"/>
      <c r="C37" s="383" t="n"/>
      <c r="D37" s="383" t="n"/>
      <c r="E37" s="383" t="n"/>
      <c r="F37" s="383" t="n"/>
      <c r="G37" s="383" t="n"/>
    </row>
    <row r="38" ht="12.75" customFormat="1" customHeight="1" s="384">
      <c r="A38" s="382" t="inlineStr">
        <is>
          <t>Income Before Taxes</t>
        </is>
      </c>
      <c r="B38" s="380" t="n"/>
      <c r="C38" s="385">
        <f>+C32-C35+C36</f>
        <v/>
      </c>
      <c r="D38" s="385">
        <f>+D32-D35+D36</f>
        <v/>
      </c>
      <c r="E38" s="385">
        <f>+E32-E35+E36</f>
        <v/>
      </c>
      <c r="F38" s="385">
        <f>+F32-F35+F36</f>
        <v/>
      </c>
      <c r="G38" s="385">
        <f>+G32-G35+G36</f>
        <v/>
      </c>
    </row>
    <row r="39" ht="12.75" customHeight="1" s="277">
      <c r="A39" s="382" t="n"/>
      <c r="B39" s="383">
        <f>+'DETAIL.XLS'!B176</f>
        <v/>
      </c>
      <c r="C39" s="383">
        <f>+'DETAIL.XLS'!R176</f>
        <v/>
      </c>
      <c r="D39" s="383">
        <f>+'DETAIL.XLS'!AE176</f>
        <v/>
      </c>
      <c r="E39" s="383">
        <f>+'DETAIL.XLS'!AF176</f>
        <v/>
      </c>
      <c r="F39" s="383">
        <f>+'DETAIL.XLS'!AG176</f>
        <v/>
      </c>
      <c r="G39" s="383">
        <f>+'DETAIL.XLS'!AH176</f>
        <v/>
      </c>
    </row>
    <row r="40" ht="12.75" customHeight="1" s="277">
      <c r="A40" s="382" t="n"/>
      <c r="B40" s="380" t="n"/>
      <c r="C40" s="383" t="n"/>
      <c r="D40" s="383" t="n"/>
      <c r="E40" s="383" t="n"/>
      <c r="F40" s="383" t="n"/>
      <c r="G40" s="383" t="n"/>
    </row>
    <row r="41" ht="12.75" customFormat="1" customHeight="1" s="384">
      <c r="A41" s="382" t="inlineStr">
        <is>
          <t>Net Income</t>
        </is>
      </c>
      <c r="B41" s="380" t="n"/>
      <c r="C41" s="385">
        <f>+C38-C39</f>
        <v/>
      </c>
      <c r="D41" s="385">
        <f>+D38-D39</f>
        <v/>
      </c>
      <c r="E41" s="385">
        <f>+E38-E39</f>
        <v/>
      </c>
      <c r="F41" s="385">
        <f>+F38-F39</f>
        <v/>
      </c>
      <c r="G41" s="385">
        <f>+G38-G39</f>
        <v/>
      </c>
    </row>
    <row r="42" ht="12.75" customFormat="1" customHeight="1" s="386">
      <c r="A42" s="387" t="n"/>
      <c r="B42" s="388" t="inlineStr">
        <is>
          <t>% of Revenue</t>
        </is>
      </c>
      <c r="C42" s="389">
        <f>IF(C$15=0,0,C41/C$15)</f>
        <v/>
      </c>
      <c r="D42" s="389">
        <f>IF(D$15=0,0,D41/D$15)</f>
        <v/>
      </c>
      <c r="E42" s="389">
        <f>IF(E$15=0,0,E41/E$15)</f>
        <v/>
      </c>
      <c r="F42" s="389">
        <f>IF(F$15=0,0,F41/F$15)</f>
        <v/>
      </c>
      <c r="G42" s="389">
        <f>IF(G$15=0,0,G41/G$15)</f>
        <v/>
      </c>
    </row>
    <row r="43" ht="13.5" customHeight="1" s="277">
      <c r="A43" s="382" t="n"/>
      <c r="B43" s="380" t="n"/>
      <c r="C43" s="383" t="n"/>
      <c r="D43" s="383" t="n"/>
      <c r="E43" s="383" t="n"/>
      <c r="F43" s="383" t="n"/>
      <c r="G43" s="383" t="n"/>
    </row>
    <row r="44" ht="20.25" customFormat="1" customHeight="1" s="375">
      <c r="A44" s="390">
        <f>+$A$5</f>
        <v/>
      </c>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f>C$1</f>
        <v/>
      </c>
      <c r="D47" s="372">
        <f>D$1</f>
        <v/>
      </c>
      <c r="E47" s="372">
        <f>E$1</f>
        <v/>
      </c>
      <c r="F47" s="372">
        <f>F$1</f>
        <v/>
      </c>
      <c r="G47" s="372">
        <f>G$1</f>
        <v/>
      </c>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f>+'DETAIL.XLS'!B189</f>
        <v/>
      </c>
      <c r="C50" s="395">
        <f>+'DETAIL.XLS'!R189</f>
        <v/>
      </c>
      <c r="D50" s="395">
        <f>+'DETAIL.XLS'!AE189</f>
        <v/>
      </c>
      <c r="E50" s="395">
        <f>+'DETAIL.XLS'!AF189</f>
        <v/>
      </c>
      <c r="F50" s="395">
        <f>+'DETAIL.XLS'!AG189</f>
        <v/>
      </c>
      <c r="G50" s="395">
        <f>+'DETAIL.XLS'!AH189</f>
        <v/>
      </c>
    </row>
    <row r="51" ht="12.75" customHeight="1" s="277">
      <c r="A51" s="382" t="n"/>
      <c r="B51" s="380">
        <f>+'DETAIL.XLS'!B192</f>
        <v/>
      </c>
      <c r="C51" s="395">
        <f>+'DETAIL.XLS'!R192</f>
        <v/>
      </c>
      <c r="D51" s="395">
        <f>+'DETAIL.XLS'!AE192</f>
        <v/>
      </c>
      <c r="E51" s="395">
        <f>+'DETAIL.XLS'!AF192</f>
        <v/>
      </c>
      <c r="F51" s="395">
        <f>+'DETAIL.XLS'!AG192</f>
        <v/>
      </c>
      <c r="G51" s="395">
        <f>+'DETAIL.XLS'!AH192</f>
        <v/>
      </c>
    </row>
    <row r="52" ht="12.75" customHeight="1" s="277">
      <c r="A52" s="382" t="n"/>
      <c r="B52" s="380">
        <f>+'DETAIL.XLS'!B193</f>
        <v/>
      </c>
      <c r="C52" s="395">
        <f>+'DETAIL.XLS'!R193</f>
        <v/>
      </c>
      <c r="D52" s="395">
        <f>+'DETAIL.XLS'!AE193</f>
        <v/>
      </c>
      <c r="E52" s="395">
        <f>+'DETAIL.XLS'!AF193</f>
        <v/>
      </c>
      <c r="F52" s="395">
        <f>+'DETAIL.XLS'!AG193</f>
        <v/>
      </c>
      <c r="G52" s="395">
        <f>+'DETAIL.XLS'!AH193</f>
        <v/>
      </c>
    </row>
    <row r="53" ht="12.75" customFormat="1" customHeight="1" s="384">
      <c r="A53" s="382" t="inlineStr">
        <is>
          <t>Total Current Assets</t>
        </is>
      </c>
      <c r="B53" s="380" t="n"/>
      <c r="C53" s="385">
        <f>SUM(C50:C52)</f>
        <v/>
      </c>
      <c r="D53" s="385">
        <f>SUM(D50:D52)</f>
        <v/>
      </c>
      <c r="E53" s="385">
        <f>SUM(E50:E52)</f>
        <v/>
      </c>
      <c r="F53" s="385">
        <f>SUM(F50:F52)</f>
        <v/>
      </c>
      <c r="G53" s="385">
        <f>SUM(G50:G52)</f>
        <v/>
      </c>
    </row>
    <row r="54" ht="12.75" customHeight="1" s="277">
      <c r="A54" s="382" t="n"/>
      <c r="B54" s="380" t="n"/>
      <c r="C54" s="383" t="n"/>
      <c r="D54" s="383" t="n"/>
      <c r="E54" s="383" t="n"/>
      <c r="F54" s="383" t="n"/>
      <c r="G54" s="383" t="n"/>
    </row>
    <row r="55" ht="12.75" customFormat="1" customHeight="1" s="371">
      <c r="A55" s="382" t="inlineStr">
        <is>
          <t>Gross Fixed Assets</t>
        </is>
      </c>
      <c r="B55" s="380" t="n"/>
      <c r="C55" s="383">
        <f>+'DETAIL.XLS'!R200</f>
        <v/>
      </c>
      <c r="D55" s="383">
        <f>+'DETAIL.XLS'!AE200</f>
        <v/>
      </c>
      <c r="E55" s="383">
        <f>+'DETAIL.XLS'!AF200</f>
        <v/>
      </c>
      <c r="F55" s="383">
        <f>+'DETAIL.XLS'!AG200</f>
        <v/>
      </c>
      <c r="G55" s="383">
        <f>+'DETAIL.XLS'!AH200</f>
        <v/>
      </c>
    </row>
    <row r="56" ht="12.75" customHeight="1" s="277">
      <c r="A56" s="382" t="n"/>
      <c r="B56" s="380" t="inlineStr">
        <is>
          <t>Less Accum Depreciation</t>
        </is>
      </c>
      <c r="C56" s="383">
        <f>+'DETAIL.XLS'!R206</f>
        <v/>
      </c>
      <c r="D56" s="383">
        <f>+'DETAIL.XLS'!AE206</f>
        <v/>
      </c>
      <c r="E56" s="383">
        <f>+'DETAIL.XLS'!AF206</f>
        <v/>
      </c>
      <c r="F56" s="383">
        <f>+'DETAIL.XLS'!AG206</f>
        <v/>
      </c>
      <c r="G56" s="383">
        <f>+'DETAIL.XLS'!AH206</f>
        <v/>
      </c>
    </row>
    <row r="57" ht="12.75" customFormat="1" customHeight="1" s="384">
      <c r="A57" s="382" t="inlineStr">
        <is>
          <t>Net Fixed Assets</t>
        </is>
      </c>
      <c r="B57" s="380" t="n"/>
      <c r="C57" s="385">
        <f>+C55-C56</f>
        <v/>
      </c>
      <c r="D57" s="385">
        <f>+D55-D56</f>
        <v/>
      </c>
      <c r="E57" s="385">
        <f>+E55-E56</f>
        <v/>
      </c>
      <c r="F57" s="385">
        <f>+F55-F56</f>
        <v/>
      </c>
      <c r="G57" s="385">
        <f>+G55-G56</f>
        <v/>
      </c>
    </row>
    <row r="58" ht="12.75" customHeight="1" s="277">
      <c r="A58" s="382" t="n"/>
      <c r="B58" s="380" t="n"/>
      <c r="C58" s="383" t="n"/>
      <c r="D58" s="383" t="n"/>
      <c r="E58" s="383" t="n"/>
      <c r="F58" s="383" t="n"/>
      <c r="G58" s="383" t="n"/>
    </row>
    <row r="59" ht="12.75" customFormat="1" customHeight="1" s="384">
      <c r="A59" s="382" t="inlineStr">
        <is>
          <t>TOTAL ASSETS</t>
        </is>
      </c>
      <c r="B59" s="380" t="n"/>
      <c r="C59" s="385">
        <f>+C53+C57</f>
        <v/>
      </c>
      <c r="D59" s="385">
        <f>+D53+D57</f>
        <v/>
      </c>
      <c r="E59" s="385">
        <f>+E53+E57</f>
        <v/>
      </c>
      <c r="F59" s="385">
        <f>+F53+F57</f>
        <v/>
      </c>
      <c r="G59" s="385">
        <f>+G53+G57</f>
        <v/>
      </c>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f>+'DETAIL.XLS'!B215</f>
        <v/>
      </c>
      <c r="C63" s="383">
        <f>+'DETAIL.XLS'!R215</f>
        <v/>
      </c>
      <c r="D63" s="383">
        <f>+'DETAIL.XLS'!AE215</f>
        <v/>
      </c>
      <c r="E63" s="383">
        <f>+'DETAIL.XLS'!AF215</f>
        <v/>
      </c>
      <c r="F63" s="383">
        <f>+'DETAIL.XLS'!AG215</f>
        <v/>
      </c>
      <c r="G63" s="383">
        <f>+'DETAIL.XLS'!AH215</f>
        <v/>
      </c>
    </row>
    <row r="64" ht="12.75" customHeight="1" s="277">
      <c r="A64" s="382" t="n"/>
      <c r="B64" s="380">
        <f>+'DETAIL.XLS'!B216</f>
        <v/>
      </c>
      <c r="C64" s="383">
        <f>+'DETAIL.XLS'!R216</f>
        <v/>
      </c>
      <c r="D64" s="383">
        <f>+'DETAIL.XLS'!AE216</f>
        <v/>
      </c>
      <c r="E64" s="383">
        <f>+'DETAIL.XLS'!AF216</f>
        <v/>
      </c>
      <c r="F64" s="383">
        <f>+'DETAIL.XLS'!AG216</f>
        <v/>
      </c>
      <c r="G64" s="383">
        <f>+'DETAIL.XLS'!AH216</f>
        <v/>
      </c>
    </row>
    <row r="65" ht="12.75" customHeight="1" s="277">
      <c r="A65" s="382" t="n"/>
      <c r="B65" s="380">
        <f>+'DETAIL.XLS'!B217</f>
        <v/>
      </c>
      <c r="C65" s="383">
        <f>+'DETAIL.XLS'!R217</f>
        <v/>
      </c>
      <c r="D65" s="383">
        <f>+'DETAIL.XLS'!AE217</f>
        <v/>
      </c>
      <c r="E65" s="383">
        <f>+'DETAIL.XLS'!AF217</f>
        <v/>
      </c>
      <c r="F65" s="383">
        <f>+'DETAIL.XLS'!AG217</f>
        <v/>
      </c>
      <c r="G65" s="383">
        <f>+'DETAIL.XLS'!AH217</f>
        <v/>
      </c>
    </row>
    <row r="66" ht="12.75" customHeight="1" s="277">
      <c r="A66" s="382" t="n"/>
      <c r="B66" s="380">
        <f>+'DETAIL.XLS'!B218</f>
        <v/>
      </c>
      <c r="C66" s="383">
        <f>+'DETAIL.XLS'!R218</f>
        <v/>
      </c>
      <c r="D66" s="383">
        <f>+'DETAIL.XLS'!AE218</f>
        <v/>
      </c>
      <c r="E66" s="383">
        <f>+'DETAIL.XLS'!AF218</f>
        <v/>
      </c>
      <c r="F66" s="383">
        <f>+'DETAIL.XLS'!AG218</f>
        <v/>
      </c>
      <c r="G66" s="383">
        <f>+'DETAIL.XLS'!AH218</f>
        <v/>
      </c>
    </row>
    <row r="67" ht="12.75" customHeight="1" s="277">
      <c r="A67" s="382" t="n"/>
      <c r="B67" s="380">
        <f>+'DETAIL.XLS'!B219</f>
        <v/>
      </c>
      <c r="C67" s="383">
        <f>+'DETAIL.XLS'!R219</f>
        <v/>
      </c>
      <c r="D67" s="383">
        <f>+'DETAIL.XLS'!AE219</f>
        <v/>
      </c>
      <c r="E67" s="383">
        <f>+'DETAIL.XLS'!AF219</f>
        <v/>
      </c>
      <c r="F67" s="383">
        <f>+'DETAIL.XLS'!AG219</f>
        <v/>
      </c>
      <c r="G67" s="383">
        <f>+'DETAIL.XLS'!AH219</f>
        <v/>
      </c>
    </row>
    <row r="68" ht="12.75" customHeight="1" s="277">
      <c r="A68" s="382" t="n"/>
      <c r="B68" s="380">
        <f>+'DETAIL.XLS'!B220</f>
        <v/>
      </c>
      <c r="C68" s="383">
        <f>+'DETAIL.XLS'!R220</f>
        <v/>
      </c>
      <c r="D68" s="383">
        <f>+'DETAIL.XLS'!AE220</f>
        <v/>
      </c>
      <c r="E68" s="383">
        <f>+'DETAIL.XLS'!AF220</f>
        <v/>
      </c>
      <c r="F68" s="383">
        <f>+'DETAIL.XLS'!AG220</f>
        <v/>
      </c>
      <c r="G68" s="383">
        <f>+'DETAIL.XLS'!AH220</f>
        <v/>
      </c>
    </row>
    <row r="69" ht="12.75" customFormat="1" customHeight="1" s="384">
      <c r="A69" s="382" t="inlineStr">
        <is>
          <t>Total Short Term Liabilities</t>
        </is>
      </c>
      <c r="B69" s="380" t="n"/>
      <c r="C69" s="385">
        <f>SUM(C63:C68)</f>
        <v/>
      </c>
      <c r="D69" s="385">
        <f>SUM(D63:D68)</f>
        <v/>
      </c>
      <c r="E69" s="385">
        <f>SUM(E63:E68)</f>
        <v/>
      </c>
      <c r="F69" s="385">
        <f>SUM(F63:F68)</f>
        <v/>
      </c>
      <c r="G69" s="385">
        <f>SUM(G63:G68)</f>
        <v/>
      </c>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f>+'DETAIL.XLS'!B224</f>
        <v/>
      </c>
      <c r="C72" s="383">
        <f>+'DETAIL.XLS'!R224</f>
        <v/>
      </c>
      <c r="D72" s="383">
        <f>+'DETAIL.XLS'!AE224</f>
        <v/>
      </c>
      <c r="E72" s="383">
        <f>+'DETAIL.XLS'!AF224</f>
        <v/>
      </c>
      <c r="F72" s="383">
        <f>+'DETAIL.XLS'!AG224</f>
        <v/>
      </c>
      <c r="G72" s="383">
        <f>+'DETAIL.XLS'!AH224</f>
        <v/>
      </c>
    </row>
    <row r="73" ht="12.75" customHeight="1" s="277">
      <c r="A73" s="382" t="n"/>
      <c r="B73" s="380">
        <f>+'DETAIL.XLS'!B225</f>
        <v/>
      </c>
      <c r="C73" s="383">
        <f>+'DETAIL.XLS'!R225</f>
        <v/>
      </c>
      <c r="D73" s="383">
        <f>+'DETAIL.XLS'!AE225</f>
        <v/>
      </c>
      <c r="E73" s="383">
        <f>+'DETAIL.XLS'!AF225</f>
        <v/>
      </c>
      <c r="F73" s="383">
        <f>+'DETAIL.XLS'!AG225</f>
        <v/>
      </c>
      <c r="G73" s="383">
        <f>+'DETAIL.XLS'!AH225</f>
        <v/>
      </c>
    </row>
    <row r="74" ht="12.75" customFormat="1" customHeight="1" s="384">
      <c r="A74" s="382" t="inlineStr">
        <is>
          <t>Total Long Term Liabilities</t>
        </is>
      </c>
      <c r="B74" s="380" t="n"/>
      <c r="C74" s="385">
        <f>SUM(C72:C73)</f>
        <v/>
      </c>
      <c r="D74" s="385">
        <f>SUM(D72:D73)</f>
        <v/>
      </c>
      <c r="E74" s="385">
        <f>SUM(E72:E73)</f>
        <v/>
      </c>
      <c r="F74" s="385">
        <f>SUM(F72:F73)</f>
        <v/>
      </c>
      <c r="G74" s="385">
        <f>SUM(G72:G73)</f>
        <v/>
      </c>
    </row>
    <row r="75" ht="12.75" customHeight="1" s="277">
      <c r="A75" s="382" t="n"/>
      <c r="B75" s="380" t="n"/>
      <c r="C75" s="383" t="n"/>
      <c r="D75" s="383" t="n"/>
      <c r="E75" s="383" t="n"/>
      <c r="F75" s="383" t="n"/>
      <c r="G75" s="383" t="n"/>
    </row>
    <row r="76" ht="12.75" customFormat="1" customHeight="1" s="384">
      <c r="A76" s="382" t="inlineStr">
        <is>
          <t>TOTAL LIABILITIES</t>
        </is>
      </c>
      <c r="B76" s="380" t="n"/>
      <c r="C76" s="385">
        <f>+C69+C74</f>
        <v/>
      </c>
      <c r="D76" s="385">
        <f>+D69+D74</f>
        <v/>
      </c>
      <c r="E76" s="385">
        <f>+E69+E74</f>
        <v/>
      </c>
      <c r="F76" s="385">
        <f>+F69+F74</f>
        <v/>
      </c>
      <c r="G76" s="385">
        <f>+G69+G74</f>
        <v/>
      </c>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f>+'DETAIL.XLS'!B231</f>
        <v/>
      </c>
      <c r="C79" s="383">
        <f>+'DETAIL.XLS'!R231</f>
        <v/>
      </c>
      <c r="D79" s="383">
        <f>+'DETAIL.XLS'!AE231</f>
        <v/>
      </c>
      <c r="E79" s="383">
        <f>+'DETAIL.XLS'!AF231</f>
        <v/>
      </c>
      <c r="F79" s="383">
        <f>+'DETAIL.XLS'!AG231</f>
        <v/>
      </c>
      <c r="G79" s="383">
        <f>+'DETAIL.XLS'!AH231</f>
        <v/>
      </c>
    </row>
    <row r="80" ht="12.75" customHeight="1" s="277">
      <c r="A80" s="382" t="n"/>
      <c r="B80" s="380">
        <f>+'DETAIL.XLS'!B232</f>
        <v/>
      </c>
      <c r="C80" s="383">
        <f>+'DETAIL.XLS'!R232</f>
        <v/>
      </c>
      <c r="D80" s="383">
        <f>+'DETAIL.XLS'!AE232</f>
        <v/>
      </c>
      <c r="E80" s="383">
        <f>+'DETAIL.XLS'!AF232</f>
        <v/>
      </c>
      <c r="F80" s="383">
        <f>+'DETAIL.XLS'!AG232</f>
        <v/>
      </c>
      <c r="G80" s="383">
        <f>+'DETAIL.XLS'!AH232</f>
        <v/>
      </c>
    </row>
    <row r="81" ht="12.75" customHeight="1" s="277">
      <c r="A81" s="382" t="n"/>
      <c r="B81" s="380">
        <f>+'DETAIL.XLS'!B233</f>
        <v/>
      </c>
      <c r="C81" s="383">
        <f>+'DETAIL.XLS'!R233</f>
        <v/>
      </c>
      <c r="D81" s="383">
        <f>+'DETAIL.XLS'!AE233</f>
        <v/>
      </c>
      <c r="E81" s="383">
        <f>+'DETAIL.XLS'!AF233</f>
        <v/>
      </c>
      <c r="F81" s="383">
        <f>+'DETAIL.XLS'!AG233</f>
        <v/>
      </c>
      <c r="G81" s="383">
        <f>+'DETAIL.XLS'!AH233</f>
        <v/>
      </c>
    </row>
    <row r="82" ht="12.75" customFormat="1" customHeight="1" s="384">
      <c r="A82" s="382" t="inlineStr">
        <is>
          <t>Total Equity</t>
        </is>
      </c>
      <c r="B82" s="380" t="n"/>
      <c r="C82" s="385">
        <f>SUM(C79:C81)</f>
        <v/>
      </c>
      <c r="D82" s="385">
        <f>SUM(D79:D81)</f>
        <v/>
      </c>
      <c r="E82" s="385">
        <f>SUM(E79:E81)</f>
        <v/>
      </c>
      <c r="F82" s="385">
        <f>SUM(F79:F81)</f>
        <v/>
      </c>
      <c r="G82" s="385">
        <f>SUM(G79:G81)</f>
        <v/>
      </c>
    </row>
    <row r="83" ht="12.75" customHeight="1" s="277">
      <c r="A83" s="382" t="n"/>
      <c r="B83" s="380" t="n"/>
      <c r="C83" s="383" t="n"/>
      <c r="D83" s="383" t="n"/>
      <c r="E83" s="383" t="n"/>
      <c r="F83" s="383" t="n"/>
      <c r="G83" s="383" t="n"/>
    </row>
    <row r="84" ht="13.5" customFormat="1" customHeight="1" s="384">
      <c r="A84" s="382" t="inlineStr">
        <is>
          <t>LIABILITIES &amp; EQUITY</t>
        </is>
      </c>
      <c r="B84" s="380" t="n"/>
      <c r="C84" s="385">
        <f>+C76+C82</f>
        <v/>
      </c>
      <c r="D84" s="385">
        <f>+D76+D82</f>
        <v/>
      </c>
      <c r="E84" s="385">
        <f>+E76+E82</f>
        <v/>
      </c>
      <c r="F84" s="385">
        <f>+F76+F82</f>
        <v/>
      </c>
      <c r="G84" s="385">
        <f>+G76+G82</f>
        <v/>
      </c>
    </row>
    <row r="85" ht="20.25" customFormat="1" customHeight="1" s="375">
      <c r="A85" s="390">
        <f>+$A$5</f>
        <v/>
      </c>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f>C$1</f>
        <v/>
      </c>
      <c r="D88" s="372">
        <f>D$1</f>
        <v/>
      </c>
      <c r="E88" s="372">
        <f>E$1</f>
        <v/>
      </c>
      <c r="F88" s="372">
        <f>F$1</f>
        <v/>
      </c>
      <c r="G88" s="372">
        <f>G$1</f>
        <v/>
      </c>
    </row>
    <row r="89" ht="12.75" customHeight="1" s="277">
      <c r="A89" s="379" t="n"/>
      <c r="B89" s="380" t="n"/>
      <c r="C89" s="381" t="n"/>
      <c r="D89" s="381" t="n"/>
    </row>
    <row r="90" ht="12.75" customHeight="1" s="277">
      <c r="A90" s="382" t="inlineStr">
        <is>
          <t>BEGINNING CASH</t>
        </is>
      </c>
      <c r="B90" s="380" t="n"/>
      <c r="C90" s="383">
        <f>+'DETAIL.XLS'!R52</f>
        <v/>
      </c>
      <c r="D90" s="383">
        <f>+'DETAIL.XLS'!AE52</f>
        <v/>
      </c>
      <c r="E90" s="383">
        <f>+'DETAIL.XLS'!AF52</f>
        <v/>
      </c>
      <c r="F90" s="383">
        <f>+'DETAIL.XLS'!AG52</f>
        <v/>
      </c>
      <c r="G90" s="383">
        <f>+'DETAIL.XLS'!AH52</f>
        <v/>
      </c>
    </row>
    <row r="91" ht="12.75" customHeight="1" s="277">
      <c r="A91" s="382" t="n"/>
      <c r="B91" s="380" t="n"/>
    </row>
    <row r="92" ht="12.75" customHeight="1" s="277">
      <c r="A92" s="382" t="inlineStr">
        <is>
          <t>Sources of Cash</t>
        </is>
      </c>
      <c r="B92" s="380" t="n"/>
    </row>
    <row r="93" ht="12.75" customHeight="1" s="277">
      <c r="A93" s="382" t="n"/>
      <c r="B93" s="380">
        <f>+'DETAIL.XLS'!B55</f>
        <v/>
      </c>
      <c r="C93" s="395">
        <f>+'DETAIL.XLS'!R55</f>
        <v/>
      </c>
      <c r="D93" s="395">
        <f>+'DETAIL.XLS'!AE55</f>
        <v/>
      </c>
      <c r="E93" s="395">
        <f>+'DETAIL.XLS'!AF55</f>
        <v/>
      </c>
      <c r="F93" s="395">
        <f>+'DETAIL.XLS'!AG55</f>
        <v/>
      </c>
      <c r="G93" s="395">
        <f>+'DETAIL.XLS'!AH55</f>
        <v/>
      </c>
    </row>
    <row r="94" ht="12.75" customHeight="1" s="277">
      <c r="A94" s="382" t="n"/>
      <c r="B94" s="380">
        <f>+'DETAIL.XLS'!B56</f>
        <v/>
      </c>
      <c r="C94" s="395">
        <f>+'DETAIL.XLS'!R56</f>
        <v/>
      </c>
      <c r="D94" s="395">
        <f>+'DETAIL.XLS'!AE56</f>
        <v/>
      </c>
      <c r="E94" s="395">
        <f>+'DETAIL.XLS'!AF56</f>
        <v/>
      </c>
      <c r="F94" s="395">
        <f>+'DETAIL.XLS'!AG56</f>
        <v/>
      </c>
      <c r="G94" s="395">
        <f>+'DETAIL.XLS'!AH56</f>
        <v/>
      </c>
    </row>
    <row r="95" ht="12.75" customHeight="1" s="277">
      <c r="A95" s="382" t="n"/>
      <c r="B95" s="380">
        <f>+'DETAIL.XLS'!B57</f>
        <v/>
      </c>
      <c r="C95" s="395">
        <f>+'DETAIL.XLS'!R57</f>
        <v/>
      </c>
      <c r="D95" s="395">
        <f>+'DETAIL.XLS'!AE57</f>
        <v/>
      </c>
      <c r="E95" s="395">
        <f>+'DETAIL.XLS'!AF57</f>
        <v/>
      </c>
      <c r="F95" s="395">
        <f>+'DETAIL.XLS'!AG57</f>
        <v/>
      </c>
      <c r="G95" s="395">
        <f>+'DETAIL.XLS'!AH57</f>
        <v/>
      </c>
    </row>
    <row r="96" ht="12.75" customHeight="1" s="277">
      <c r="A96" s="382" t="n"/>
      <c r="B96" s="380">
        <f>+'DETAIL.XLS'!B58</f>
        <v/>
      </c>
      <c r="C96" s="395">
        <f>+'DETAIL.XLS'!R58</f>
        <v/>
      </c>
      <c r="D96" s="395">
        <f>+'DETAIL.XLS'!AE58</f>
        <v/>
      </c>
      <c r="E96" s="395">
        <f>+'DETAIL.XLS'!AF58</f>
        <v/>
      </c>
      <c r="F96" s="395">
        <f>+'DETAIL.XLS'!AG58</f>
        <v/>
      </c>
      <c r="G96" s="395">
        <f>+'DETAIL.XLS'!AH58</f>
        <v/>
      </c>
    </row>
    <row r="97" ht="12.75" customHeight="1" s="277">
      <c r="A97" s="396" t="inlineStr">
        <is>
          <t>Plus Changes In:</t>
        </is>
      </c>
      <c r="B97" s="380" t="n"/>
    </row>
    <row r="98" ht="12.75" customHeight="1" s="277">
      <c r="A98" s="382" t="n"/>
      <c r="B98" s="380">
        <f>+'DETAIL.XLS'!B60</f>
        <v/>
      </c>
      <c r="C98" s="395">
        <f>+'DETAIL.XLS'!R60</f>
        <v/>
      </c>
      <c r="D98" s="395">
        <f>+'DETAIL.XLS'!AE60</f>
        <v/>
      </c>
      <c r="E98" s="395">
        <f>+'DETAIL.XLS'!AF60</f>
        <v/>
      </c>
      <c r="F98" s="395">
        <f>+'DETAIL.XLS'!AG60</f>
        <v/>
      </c>
      <c r="G98" s="395">
        <f>+'DETAIL.XLS'!AH60</f>
        <v/>
      </c>
    </row>
    <row r="99" ht="12.75" customHeight="1" s="277">
      <c r="A99" s="382" t="n"/>
      <c r="B99" s="380">
        <f>+'DETAIL.XLS'!B61</f>
        <v/>
      </c>
      <c r="C99" s="395">
        <f>+'DETAIL.XLS'!R61</f>
        <v/>
      </c>
      <c r="D99" s="395">
        <f>+'DETAIL.XLS'!AE61</f>
        <v/>
      </c>
      <c r="E99" s="395">
        <f>+'DETAIL.XLS'!AF61</f>
        <v/>
      </c>
      <c r="F99" s="395">
        <f>+'DETAIL.XLS'!AG61</f>
        <v/>
      </c>
      <c r="G99" s="395">
        <f>+'DETAIL.XLS'!AH61</f>
        <v/>
      </c>
    </row>
    <row r="100" ht="12.75" customHeight="1" s="277">
      <c r="A100" s="382" t="n"/>
      <c r="B100" s="380">
        <f>+'DETAIL.XLS'!B62</f>
        <v/>
      </c>
      <c r="C100" s="395">
        <f>+'DETAIL.XLS'!R62</f>
        <v/>
      </c>
      <c r="D100" s="395">
        <f>+'DETAIL.XLS'!AE62</f>
        <v/>
      </c>
      <c r="E100" s="395">
        <f>+'DETAIL.XLS'!AF62</f>
        <v/>
      </c>
      <c r="F100" s="395">
        <f>+'DETAIL.XLS'!AG62</f>
        <v/>
      </c>
      <c r="G100" s="395">
        <f>+'DETAIL.XLS'!AH62</f>
        <v/>
      </c>
    </row>
    <row r="101" ht="12.75" customHeight="1" s="277">
      <c r="A101" s="382" t="n"/>
      <c r="B101" s="380">
        <f>+'DETAIL.XLS'!B63</f>
        <v/>
      </c>
      <c r="C101" s="395">
        <f>+'DETAIL.XLS'!R63</f>
        <v/>
      </c>
      <c r="D101" s="395">
        <f>+'DETAIL.XLS'!AE63</f>
        <v/>
      </c>
      <c r="E101" s="395">
        <f>+'DETAIL.XLS'!AF63</f>
        <v/>
      </c>
      <c r="F101" s="395">
        <f>+'DETAIL.XLS'!AG63</f>
        <v/>
      </c>
      <c r="G101" s="395">
        <f>+'DETAIL.XLS'!AH63</f>
        <v/>
      </c>
    </row>
    <row r="102" ht="12.75" customHeight="1" s="277">
      <c r="A102" s="382" t="n"/>
      <c r="B102" s="380">
        <f>+'DETAIL.XLS'!B64</f>
        <v/>
      </c>
      <c r="C102" s="395">
        <f>+'DETAIL.XLS'!R64</f>
        <v/>
      </c>
      <c r="D102" s="395">
        <f>+'DETAIL.XLS'!AE64</f>
        <v/>
      </c>
      <c r="E102" s="395">
        <f>+'DETAIL.XLS'!AF64</f>
        <v/>
      </c>
      <c r="F102" s="395">
        <f>+'DETAIL.XLS'!AG64</f>
        <v/>
      </c>
      <c r="G102" s="395">
        <f>+'DETAIL.XLS'!AH64</f>
        <v/>
      </c>
    </row>
    <row r="103" ht="12.75" customHeight="1" s="277">
      <c r="A103" s="382" t="n"/>
      <c r="B103" s="380">
        <f>+'DETAIL.XLS'!B65</f>
        <v/>
      </c>
      <c r="C103" s="395">
        <f>+'DETAIL.XLS'!R65</f>
        <v/>
      </c>
      <c r="D103" s="395">
        <f>+'DETAIL.XLS'!AE65</f>
        <v/>
      </c>
      <c r="E103" s="395">
        <f>+'DETAIL.XLS'!AF65</f>
        <v/>
      </c>
      <c r="F103" s="395">
        <f>+'DETAIL.XLS'!AG65</f>
        <v/>
      </c>
      <c r="G103" s="395">
        <f>+'DETAIL.XLS'!AH65</f>
        <v/>
      </c>
    </row>
    <row r="104" ht="12.75" customFormat="1" customHeight="1" s="384">
      <c r="A104" s="382" t="inlineStr">
        <is>
          <t>Total Sources of Cash</t>
        </is>
      </c>
      <c r="B104" s="380" t="n"/>
      <c r="C104" s="384">
        <f>SUM(C93:C103)</f>
        <v/>
      </c>
      <c r="D104" s="384">
        <f>SUM(D93:D103)</f>
        <v/>
      </c>
      <c r="E104" s="384">
        <f>SUM(E93:E103)</f>
        <v/>
      </c>
      <c r="F104" s="384">
        <f>SUM(F93:F103)</f>
        <v/>
      </c>
      <c r="G104" s="384">
        <f>SUM(G93:G103)</f>
        <v/>
      </c>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f>+'DETAIL.XLS'!B72</f>
        <v/>
      </c>
      <c r="C108" s="395">
        <f>+'DETAIL.XLS'!R72</f>
        <v/>
      </c>
      <c r="D108" s="395">
        <f>+'DETAIL.XLS'!AE72</f>
        <v/>
      </c>
      <c r="E108" s="395">
        <f>+'DETAIL.XLS'!AF72</f>
        <v/>
      </c>
      <c r="F108" s="395">
        <f>+'DETAIL.XLS'!AG72</f>
        <v/>
      </c>
      <c r="G108" s="395">
        <f>+'DETAIL.XLS'!AH72</f>
        <v/>
      </c>
    </row>
    <row r="109" ht="12.75" customHeight="1" s="277">
      <c r="A109" s="382" t="n"/>
      <c r="B109" s="380">
        <f>+'DETAIL.XLS'!B73</f>
        <v/>
      </c>
      <c r="C109" s="395">
        <f>+'DETAIL.XLS'!R73</f>
        <v/>
      </c>
      <c r="D109" s="395">
        <f>+'DETAIL.XLS'!AE73</f>
        <v/>
      </c>
      <c r="E109" s="395">
        <f>+'DETAIL.XLS'!AF73</f>
        <v/>
      </c>
      <c r="F109" s="395">
        <f>+'DETAIL.XLS'!AG73</f>
        <v/>
      </c>
      <c r="G109" s="395">
        <f>+'DETAIL.XLS'!AH73</f>
        <v/>
      </c>
    </row>
    <row r="110" ht="12.75" customHeight="1" s="277">
      <c r="A110" s="382" t="n"/>
      <c r="B110" s="380">
        <f>+'DETAIL.XLS'!B74</f>
        <v/>
      </c>
      <c r="C110" s="395">
        <f>+'DETAIL.XLS'!R74</f>
        <v/>
      </c>
      <c r="D110" s="395">
        <f>+'DETAIL.XLS'!AE74</f>
        <v/>
      </c>
      <c r="E110" s="395">
        <f>+'DETAIL.XLS'!AF74</f>
        <v/>
      </c>
      <c r="F110" s="395">
        <f>+'DETAIL.XLS'!AG74</f>
        <v/>
      </c>
      <c r="G110" s="395">
        <f>+'DETAIL.XLS'!AH74</f>
        <v/>
      </c>
    </row>
    <row r="111" ht="12.75" customHeight="1" s="277">
      <c r="A111" s="382" t="n"/>
      <c r="B111" s="380">
        <f>+'DETAIL.XLS'!B75</f>
        <v/>
      </c>
      <c r="C111" s="395">
        <f>+'DETAIL.XLS'!R75</f>
        <v/>
      </c>
      <c r="D111" s="395">
        <f>+'DETAIL.XLS'!AE75</f>
        <v/>
      </c>
      <c r="E111" s="395">
        <f>+'DETAIL.XLS'!AF75</f>
        <v/>
      </c>
      <c r="F111" s="395">
        <f>+'DETAIL.XLS'!AG75</f>
        <v/>
      </c>
      <c r="G111" s="395">
        <f>+'DETAIL.XLS'!AH75</f>
        <v/>
      </c>
    </row>
    <row r="112" ht="12.75" customHeight="1" s="277">
      <c r="A112" s="382" t="n"/>
      <c r="B112" s="380">
        <f>+'DETAIL.XLS'!B76</f>
        <v/>
      </c>
      <c r="C112" s="395">
        <f>+'DETAIL.XLS'!R76</f>
        <v/>
      </c>
      <c r="D112" s="395">
        <f>+'DETAIL.XLS'!AE76</f>
        <v/>
      </c>
      <c r="E112" s="395">
        <f>+'DETAIL.XLS'!AF76</f>
        <v/>
      </c>
      <c r="F112" s="395">
        <f>+'DETAIL.XLS'!AG76</f>
        <v/>
      </c>
      <c r="G112" s="395">
        <f>+'DETAIL.XLS'!AH76</f>
        <v/>
      </c>
    </row>
    <row r="113" ht="12.75" customHeight="1" s="277">
      <c r="A113" s="382" t="n"/>
      <c r="B113" s="380">
        <f>+'DETAIL.XLS'!B77</f>
        <v/>
      </c>
      <c r="C113" s="395">
        <f>+'DETAIL.XLS'!R77</f>
        <v/>
      </c>
      <c r="D113" s="395">
        <f>+'DETAIL.XLS'!AE77</f>
        <v/>
      </c>
      <c r="E113" s="395">
        <f>+'DETAIL.XLS'!AF77</f>
        <v/>
      </c>
      <c r="F113" s="395">
        <f>+'DETAIL.XLS'!AG77</f>
        <v/>
      </c>
      <c r="G113" s="395">
        <f>+'DETAIL.XLS'!AH77</f>
        <v/>
      </c>
    </row>
    <row r="114" ht="12.75" customFormat="1" customHeight="1" s="384">
      <c r="A114" s="382" t="inlineStr">
        <is>
          <t>Total Uses</t>
        </is>
      </c>
      <c r="B114" s="380" t="n"/>
      <c r="C114" s="384">
        <f>SUM(C108:C113)</f>
        <v/>
      </c>
      <c r="D114" s="384">
        <f>SUM(D108:D113)</f>
        <v/>
      </c>
      <c r="E114" s="384">
        <f>SUM(E108:E113)</f>
        <v/>
      </c>
      <c r="F114" s="384">
        <f>SUM(F108:F113)</f>
        <v/>
      </c>
      <c r="G114" s="384">
        <f>SUM(G108:G113)</f>
        <v/>
      </c>
    </row>
    <row r="115" ht="12.75" customHeight="1" s="277">
      <c r="A115" s="382" t="n"/>
      <c r="B115" s="380" t="n"/>
    </row>
    <row r="116" ht="12.75" customFormat="1" customHeight="1" s="384">
      <c r="A116" s="382" t="inlineStr">
        <is>
          <t>CHANGES IN CASH</t>
        </is>
      </c>
      <c r="B116" s="380" t="n"/>
      <c r="C116" s="384">
        <f>+C104-C114</f>
        <v/>
      </c>
      <c r="D116" s="384">
        <f>+D104-D114</f>
        <v/>
      </c>
      <c r="E116" s="384">
        <f>+E104-E114</f>
        <v/>
      </c>
      <c r="F116" s="384">
        <f>+F104-F114</f>
        <v/>
      </c>
      <c r="G116" s="384">
        <f>+G104-G114</f>
        <v/>
      </c>
    </row>
    <row r="117" ht="12.75" customHeight="1" s="277">
      <c r="A117" s="382" t="n"/>
      <c r="B117" s="380" t="n"/>
    </row>
    <row r="118" ht="12.75" customFormat="1" customHeight="1" s="384">
      <c r="A118" s="382" t="inlineStr">
        <is>
          <t>ENDING CASH</t>
        </is>
      </c>
      <c r="B118" s="380" t="n"/>
      <c r="C118" s="384">
        <f>+C90+C116</f>
        <v/>
      </c>
      <c r="D118" s="384">
        <f>+D90+D116</f>
        <v/>
      </c>
      <c r="E118" s="384">
        <f>+E90+E116</f>
        <v/>
      </c>
      <c r="F118" s="384">
        <f>+F90+F116</f>
        <v/>
      </c>
      <c r="G118" s="384">
        <f>+G90+G116</f>
        <v/>
      </c>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f>+'Summary Statements'!C8</f>
        <v/>
      </c>
      <c r="D2" s="398">
        <f>+'Summary Statements'!D8</f>
        <v/>
      </c>
      <c r="E2" s="398">
        <f>+'Summary Statements'!E8</f>
        <v/>
      </c>
      <c r="F2" s="398">
        <f>+'Summary Statements'!F8</f>
        <v/>
      </c>
      <c r="G2" s="398">
        <f>+'Summary Statements'!G8</f>
        <v/>
      </c>
    </row>
    <row r="3" ht="13.5" customHeight="1" s="277">
      <c r="B3" s="397" t="inlineStr">
        <is>
          <t>Revenue</t>
        </is>
      </c>
      <c r="C3" s="399">
        <f>+'Summary Statements'!C15</f>
        <v/>
      </c>
      <c r="D3" s="399">
        <f>+'Summary Statements'!D15</f>
        <v/>
      </c>
      <c r="E3" s="399">
        <f>+'Summary Statements'!E15</f>
        <v/>
      </c>
      <c r="F3" s="399">
        <f>+'Summary Statements'!F15</f>
        <v/>
      </c>
      <c r="G3" s="399">
        <f>+'Summary Statements'!G15</f>
        <v/>
      </c>
      <c r="H3" s="399" t="n"/>
      <c r="I3" s="400" t="n"/>
    </row>
    <row r="4" ht="12.75" customHeight="1" s="277">
      <c r="B4" s="269" t="inlineStr">
        <is>
          <t>Gross Margin</t>
        </is>
      </c>
      <c r="C4" s="399">
        <f>+'Summary Statements'!C19</f>
        <v/>
      </c>
      <c r="D4" s="399">
        <f>+'Summary Statements'!D19</f>
        <v/>
      </c>
      <c r="E4" s="399">
        <f>+'Summary Statements'!E19</f>
        <v/>
      </c>
      <c r="F4" s="399">
        <f>+'Summary Statements'!F19</f>
        <v/>
      </c>
      <c r="G4" s="399">
        <f>+'Summary Statements'!G19</f>
        <v/>
      </c>
      <c r="H4" s="399" t="n"/>
      <c r="I4" s="400" t="n"/>
    </row>
    <row r="5" ht="12.75" customHeight="1" s="277">
      <c r="B5" s="269" t="inlineStr">
        <is>
          <t>Net Income</t>
        </is>
      </c>
      <c r="C5" s="399">
        <f>+'Summary Statements'!C41</f>
        <v/>
      </c>
      <c r="D5" s="399">
        <f>+'Summary Statements'!D41</f>
        <v/>
      </c>
      <c r="E5" s="399">
        <f>+'Summary Statements'!E41</f>
        <v/>
      </c>
      <c r="F5" s="399">
        <f>+'Summary Statements'!F41</f>
        <v/>
      </c>
      <c r="G5" s="399">
        <f>+'Summary Statements'!G41</f>
        <v/>
      </c>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f>+'DETAIL.XLS'!$F$1</f>
        <v/>
      </c>
      <c r="D9" s="401">
        <f>+C9+31</f>
        <v/>
      </c>
      <c r="E9" s="401">
        <f>+D9+31</f>
        <v/>
      </c>
      <c r="F9" s="401">
        <f>+E9+31</f>
        <v/>
      </c>
      <c r="G9" s="401">
        <f>+F9+31</f>
        <v/>
      </c>
      <c r="H9" s="401">
        <f>+G9+31</f>
        <v/>
      </c>
      <c r="I9" s="401">
        <f>+H9+31</f>
        <v/>
      </c>
      <c r="J9" s="401">
        <f>+I9+31</f>
        <v/>
      </c>
      <c r="K9" s="401">
        <f>+J9+31</f>
        <v/>
      </c>
      <c r="L9" s="401">
        <f>+K9+31</f>
        <v/>
      </c>
      <c r="M9" s="401">
        <f>+L9+31</f>
        <v/>
      </c>
      <c r="N9" s="401">
        <f>+M9+31</f>
        <v/>
      </c>
      <c r="O9" s="401">
        <f>+N9+31</f>
        <v/>
      </c>
      <c r="P9" s="401">
        <f>+O9+31</f>
        <v/>
      </c>
      <c r="Q9" s="401">
        <f>+P9+31</f>
        <v/>
      </c>
      <c r="R9" s="401">
        <f>+Q9+31</f>
        <v/>
      </c>
      <c r="S9" s="401">
        <f>+R9+31</f>
        <v/>
      </c>
      <c r="T9" s="401">
        <f>+S9+31</f>
        <v/>
      </c>
      <c r="U9" s="401">
        <f>+T9+31</f>
        <v/>
      </c>
      <c r="V9" s="401">
        <f>+U9+31</f>
        <v/>
      </c>
      <c r="W9" s="401">
        <f>+V9+31</f>
        <v/>
      </c>
      <c r="X9" s="401">
        <f>+W9+31</f>
        <v/>
      </c>
      <c r="Y9" s="401">
        <f>+X9+31</f>
        <v/>
      </c>
      <c r="Z9" s="401">
        <f>+Y9+31</f>
        <v/>
      </c>
    </row>
    <row r="10" ht="12.75" customHeight="1" s="277">
      <c r="B10" s="269" t="inlineStr">
        <is>
          <t>Receipts</t>
        </is>
      </c>
      <c r="C10" s="400">
        <f>'DETAIL.XLS'!F17</f>
        <v/>
      </c>
      <c r="D10" s="400">
        <f>'DETAIL.XLS'!G17</f>
        <v/>
      </c>
      <c r="E10" s="400">
        <f>'DETAIL.XLS'!H17</f>
        <v/>
      </c>
      <c r="F10" s="400">
        <f>'DETAIL.XLS'!I17</f>
        <v/>
      </c>
      <c r="G10" s="400">
        <f>'DETAIL.XLS'!J17</f>
        <v/>
      </c>
      <c r="H10" s="400">
        <f>'DETAIL.XLS'!K17</f>
        <v/>
      </c>
      <c r="I10" s="400">
        <f>'DETAIL.XLS'!L17</f>
        <v/>
      </c>
      <c r="J10" s="400">
        <f>'DETAIL.XLS'!M17</f>
        <v/>
      </c>
      <c r="K10" s="400">
        <f>'DETAIL.XLS'!N17</f>
        <v/>
      </c>
      <c r="L10" s="400">
        <f>'DETAIL.XLS'!O17</f>
        <v/>
      </c>
      <c r="M10" s="400">
        <f>'DETAIL.XLS'!P17</f>
        <v/>
      </c>
      <c r="N10" s="400">
        <f>'DETAIL.XLS'!Q17</f>
        <v/>
      </c>
      <c r="O10" s="400">
        <f>'DETAIL.XLS'!S17</f>
        <v/>
      </c>
      <c r="P10" s="400">
        <f>'DETAIL.XLS'!T17</f>
        <v/>
      </c>
      <c r="Q10" s="400">
        <f>'DETAIL.XLS'!U17</f>
        <v/>
      </c>
      <c r="R10" s="400">
        <f>'DETAIL.XLS'!V17</f>
        <v/>
      </c>
      <c r="S10" s="400">
        <f>'DETAIL.XLS'!W17</f>
        <v/>
      </c>
      <c r="T10" s="400">
        <f>'DETAIL.XLS'!X17</f>
        <v/>
      </c>
      <c r="U10" s="400">
        <f>'DETAIL.XLS'!Y17</f>
        <v/>
      </c>
      <c r="V10" s="400">
        <f>'DETAIL.XLS'!Z17</f>
        <v/>
      </c>
      <c r="W10" s="400">
        <f>'DETAIL.XLS'!AA17</f>
        <v/>
      </c>
      <c r="X10" s="400">
        <f>'DETAIL.XLS'!AB17</f>
        <v/>
      </c>
      <c r="Y10" s="400">
        <f>'DETAIL.XLS'!AC17</f>
        <v/>
      </c>
      <c r="Z10" s="400">
        <f>'DETAIL.XLS'!AD17</f>
        <v/>
      </c>
    </row>
    <row r="11" ht="12.75" customHeight="1" s="277">
      <c r="B11" s="269" t="inlineStr">
        <is>
          <t>Disbursements</t>
        </is>
      </c>
      <c r="C11" s="400">
        <f>'DETAIL.XLS'!F42</f>
        <v/>
      </c>
      <c r="D11" s="400">
        <f>'DETAIL.XLS'!G42</f>
        <v/>
      </c>
      <c r="E11" s="400">
        <f>'DETAIL.XLS'!H42</f>
        <v/>
      </c>
      <c r="F11" s="400">
        <f>'DETAIL.XLS'!I42</f>
        <v/>
      </c>
      <c r="G11" s="400">
        <f>'DETAIL.XLS'!J42</f>
        <v/>
      </c>
      <c r="H11" s="400">
        <f>'DETAIL.XLS'!K42</f>
        <v/>
      </c>
      <c r="I11" s="400">
        <f>'DETAIL.XLS'!L42</f>
        <v/>
      </c>
      <c r="J11" s="400">
        <f>'DETAIL.XLS'!M42</f>
        <v/>
      </c>
      <c r="K11" s="400">
        <f>'DETAIL.XLS'!N42</f>
        <v/>
      </c>
      <c r="L11" s="400">
        <f>'DETAIL.XLS'!O42</f>
        <v/>
      </c>
      <c r="M11" s="400">
        <f>'DETAIL.XLS'!P42</f>
        <v/>
      </c>
      <c r="N11" s="400">
        <f>'DETAIL.XLS'!Q42</f>
        <v/>
      </c>
      <c r="O11" s="400">
        <f>'DETAIL.XLS'!S42</f>
        <v/>
      </c>
      <c r="P11" s="400">
        <f>'DETAIL.XLS'!T42</f>
        <v/>
      </c>
      <c r="Q11" s="400">
        <f>'DETAIL.XLS'!U42</f>
        <v/>
      </c>
      <c r="R11" s="400">
        <f>'DETAIL.XLS'!V42</f>
        <v/>
      </c>
      <c r="S11" s="400">
        <f>'DETAIL.XLS'!W42</f>
        <v/>
      </c>
      <c r="T11" s="400">
        <f>'DETAIL.XLS'!X42</f>
        <v/>
      </c>
      <c r="U11" s="400">
        <f>'DETAIL.XLS'!Y42</f>
        <v/>
      </c>
      <c r="V11" s="400">
        <f>'DETAIL.XLS'!Z42</f>
        <v/>
      </c>
      <c r="W11" s="400">
        <f>'DETAIL.XLS'!AA42</f>
        <v/>
      </c>
      <c r="X11" s="400">
        <f>'DETAIL.XLS'!AB42</f>
        <v/>
      </c>
      <c r="Y11" s="400">
        <f>'DETAIL.XLS'!AC42</f>
        <v/>
      </c>
      <c r="Z11" s="400">
        <f>'DETAIL.XLS'!AD42</f>
        <v/>
      </c>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2026-03-05T04:06:34Z</dcterms:modified>
  <cp:lastModifiedBy>vacoevansm</cp:lastModifiedBy>
  <cp:revision>0</cp:revision>
  <cp:lastPrinted>1998-11-05T02:36:33Z</cp:lastPrinted>
</cp:coreProperties>
</file>