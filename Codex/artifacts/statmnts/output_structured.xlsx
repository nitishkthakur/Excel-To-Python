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ctions" sheetId="1" state="visible" r:id="rId1"/>
    <sheet name="Operations" sheetId="2" state="visible" r:id="rId2"/>
    <sheet name="Financing" sheetId="3" state="visible" r:id="rId3"/>
    <sheet name="Income" sheetId="4" state="visible" r:id="rId4"/>
    <sheet name="Balance sheet" sheetId="5" state="visible" r:id="rId5"/>
    <sheet name="Cash flows" sheetId="6" state="visible" r:id="rId6"/>
  </sheets>
  <definedNames>
    <definedName name="solver_adj" localSheetId="0" hidden="0" function="0" vbProcedure="0">Financing!$B$10:$E$10</definedName>
    <definedName name="solver_lhs1" localSheetId="0" hidden="0" function="0" vbProcedure="0">Financing!$E$10</definedName>
    <definedName name="solver_lhs2" localSheetId="0" hidden="0" function="0" vbProcedure="0">Financing!$E$34</definedName>
    <definedName name="solver_lhs3" localSheetId="0" hidden="0" function="0" vbProcedure="0">Financing!$B$10</definedName>
    <definedName name="solver_lhs4" localSheetId="0" hidden="0" function="0" vbProcedure="0">Financing!$C$10</definedName>
    <definedName name="solver_lhs5" localSheetId="0" hidden="0" function="0" vbProcedure="0">Financing!$D$10</definedName>
    <definedName name="solver_lhs6" localSheetId="0" hidden="0" function="0" vbProcedure="0">Financing!$B$34</definedName>
    <definedName name="solver_lhs7" localSheetId="0" hidden="0" function="0" vbProcedure="0">Financing!$C$34</definedName>
    <definedName name="solver_lhs8" localSheetId="0" hidden="0" function="0" vbProcedure="0">Financing!$D$34</definedName>
    <definedName name="solver_lhs9" localSheetId="0" hidden="0" function="0" vbProcedure="0">Financing!$E$34</definedName>
    <definedName name="solver_lin" localSheetId="0" hidden="0" function="0" vbProcedure="0">0</definedName>
    <definedName name="solver_num" localSheetId="0" hidden="0" function="0" vbProcedure="0">9</definedName>
    <definedName name="solver_opt" localSheetId="0" hidden="0" function="0" vbProcedure="0">Financing!$B$42</definedName>
    <definedName name="solver_rel1" localSheetId="0" hidden="0" function="0" vbProcedure="0">3</definedName>
    <definedName name="solver_rel2" localSheetId="0" hidden="0" function="0" vbProcedure="0">3</definedName>
    <definedName name="solver_rel3" localSheetId="0" hidden="0" function="0" vbProcedure="0">3</definedName>
    <definedName name="solver_rel4" localSheetId="0" hidden="0" function="0" vbProcedure="0">3</definedName>
    <definedName name="solver_rel5" localSheetId="0" hidden="0" function="0" vbProcedure="0">3</definedName>
    <definedName name="solver_rel6" localSheetId="0" hidden="0" function="0" vbProcedure="0">3</definedName>
    <definedName name="solver_rel7" localSheetId="0" hidden="0" function="0" vbProcedure="0">3</definedName>
    <definedName name="solver_rel8" localSheetId="0" hidden="0" function="0" vbProcedure="0">3</definedName>
    <definedName name="solver_rel9" localSheetId="0" hidden="0" function="0" vbProcedure="0">3</definedName>
    <definedName name="solver_rhs1" localSheetId="0" hidden="0" function="0" vbProcedure="0">0</definedName>
    <definedName name="solver_rhs2" localSheetId="0" hidden="0" function="0" vbProcedure="0">0</definedName>
    <definedName name="solver_rhs3" localSheetId="0" hidden="0" function="0" vbProcedure="0">0</definedName>
    <definedName name="solver_rhs4" localSheetId="0" hidden="0" function="0" vbProcedure="0">0</definedName>
    <definedName name="solver_rhs5" localSheetId="0" hidden="0" function="0" vbProcedure="0">0</definedName>
    <definedName name="solver_rhs6" localSheetId="0" hidden="0" function="0" vbProcedure="0">0</definedName>
    <definedName name="solver_rhs7" localSheetId="0" hidden="0" function="0" vbProcedure="0">0</definedName>
    <definedName name="solver_rhs8" localSheetId="0" hidden="0" function="0" vbProcedure="0">0</definedName>
    <definedName name="solver_rhs9" localSheetId="0" hidden="0" function="0" vbProcedure="0">0</definedName>
    <definedName name="solver_typ" localSheetId="0" hidden="0" function="0" vbProcedure="0">2</definedName>
    <definedName name="solver_val" localSheetId="0" hidden="0" function="0" vbProcedure="0">0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d\-mmm\-yy"/>
    <numFmt numFmtId="165" formatCode="_(* #,##0_);_(* \(#,##0\);_(* \-??_);_(@_)"/>
    <numFmt numFmtId="166" formatCode="_(* #,##0.0_);_(* \(#,##0.0\);_(* \-??_);_(@_)"/>
    <numFmt numFmtId="167" formatCode="_(* #,##0.00_);_(* \(#,##0.00\);_(* \-??_);_(@_)"/>
  </numFmts>
  <fonts count="15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0"/>
      <b val="1"/>
      <i val="1"/>
      <sz val="10"/>
    </font>
    <font>
      <name val="Arial"/>
      <family val="2"/>
      <b val="1"/>
      <sz val="10"/>
      <u val="single"/>
    </font>
    <font>
      <name val="Arial"/>
      <family val="2"/>
      <b val="1"/>
      <color rgb="FF0000FF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8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0000"/>
      <sz val="10"/>
      <u val="single"/>
    </font>
    <font>
      <name val="Arial"/>
      <family val="2"/>
      <b val="1"/>
      <color rgb="FFFF0000"/>
      <sz val="10"/>
    </font>
    <font>
      <name val="Arial"/>
      <family val="0"/>
      <b val="1"/>
      <color rgb="FF008000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4" fillId="0" borderId="0" applyAlignment="1" pivotButton="0" quotePrefix="0" xfId="19">
      <alignment horizontal="general" vertical="bottom"/>
    </xf>
    <xf numFmtId="0" fontId="5" fillId="0" borderId="0" applyAlignment="1" pivotButton="0" quotePrefix="0" xfId="0">
      <alignment horizontal="general" vertical="bottom"/>
    </xf>
    <xf numFmtId="166" fontId="4" fillId="0" borderId="0" applyAlignment="1" pivotButton="0" quotePrefix="0" xfId="15">
      <alignment horizontal="general" vertical="bottom"/>
    </xf>
    <xf numFmtId="166" fontId="6" fillId="0" borderId="0" applyAlignment="1" pivotButton="0" quotePrefix="0" xfId="15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5" fontId="7" fillId="0" borderId="0" applyAlignment="1" pivotButton="0" quotePrefix="0" xfId="15">
      <alignment horizontal="general" vertical="bottom"/>
    </xf>
    <xf numFmtId="0" fontId="8" fillId="0" borderId="0" applyAlignment="1" pivotButton="0" quotePrefix="0" xfId="0">
      <alignment horizontal="general" vertical="bottom"/>
    </xf>
    <xf numFmtId="165" fontId="9" fillId="0" borderId="0" applyAlignment="1" pivotButton="0" quotePrefix="0" xfId="15">
      <alignment horizontal="general" vertical="bottom"/>
    </xf>
    <xf numFmtId="165" fontId="6" fillId="0" borderId="0" applyAlignment="1" pivotButton="0" quotePrefix="0" xfId="15">
      <alignment horizontal="general" vertical="bottom"/>
    </xf>
    <xf numFmtId="166" fontId="7" fillId="0" borderId="0" applyAlignment="1" pivotButton="0" quotePrefix="0" xfId="15">
      <alignment horizontal="general" vertical="bottom"/>
    </xf>
    <xf numFmtId="167" fontId="4" fillId="0" borderId="0" applyAlignment="1" pivotButton="0" quotePrefix="0" xfId="15">
      <alignment horizontal="general" vertical="bottom"/>
    </xf>
    <xf numFmtId="165" fontId="8" fillId="0" borderId="0" applyAlignment="1" pivotButton="0" quotePrefix="0" xfId="15">
      <alignment horizontal="general" vertical="bottom"/>
    </xf>
    <xf numFmtId="0" fontId="10" fillId="0" borderId="0" applyAlignment="1" pivotButton="0" quotePrefix="0" xfId="0">
      <alignment horizontal="general" vertical="bottom"/>
    </xf>
    <xf numFmtId="165" fontId="11" fillId="0" borderId="0" applyAlignment="1" pivotButton="0" quotePrefix="0" xfId="15">
      <alignment horizontal="general" vertical="bottom"/>
    </xf>
    <xf numFmtId="165" fontId="10" fillId="0" borderId="0" applyAlignment="1" pivotButton="0" quotePrefix="0" xfId="15">
      <alignment horizontal="general" vertical="bottom"/>
    </xf>
    <xf numFmtId="0" fontId="12" fillId="0" borderId="0" applyAlignment="1" pivotButton="0" quotePrefix="0" xfId="0">
      <alignment horizontal="general" vertical="bottom"/>
    </xf>
    <xf numFmtId="165" fontId="12" fillId="0" borderId="0" applyAlignment="1" pivotButton="0" quotePrefix="0" xfId="15">
      <alignment horizontal="general" vertical="bottom"/>
    </xf>
    <xf numFmtId="165" fontId="10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4" fillId="0" borderId="0" applyAlignment="1" pivotButton="0" quotePrefix="0" xfId="15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B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32">
      <c r="A1" s="33" t="inlineStr">
        <is>
          <t>There are three steps to using this spreadsheet:</t>
        </is>
      </c>
      <c r="B1" s="33" t="n"/>
    </row>
    <row r="2" ht="14.65" customHeight="1" s="32">
      <c r="A2" s="33" t="n"/>
      <c r="B2" s="33" t="n"/>
    </row>
    <row r="3" ht="14.65" customHeight="1" s="32">
      <c r="A3" s="33" t="inlineStr">
        <is>
          <t xml:space="preserve">(1)  Make assumptions about operations in the Operations worksheet.  </t>
        </is>
      </c>
      <c r="B3" s="33" t="n"/>
    </row>
    <row r="4" ht="14.65" customHeight="1" s="32">
      <c r="A4" s="33" t="inlineStr">
        <is>
          <t>(2)  Make assumptions about financing in the Financing worksheet.</t>
        </is>
      </c>
      <c r="B4" s="33" t="n"/>
    </row>
    <row r="5" ht="14.65" customHeight="1" s="32">
      <c r="A5" s="33" t="inlineStr">
        <is>
          <t>(3)  Use the Solver in the Financing worksheet to minimize bank notes payable subject</t>
        </is>
      </c>
      <c r="B5" s="33" t="n"/>
    </row>
    <row r="6" ht="14.65" customHeight="1" s="32">
      <c r="A6" s="33" t="inlineStr">
        <is>
          <t xml:space="preserve"> to maintaining the minimum cash balance required.  This step is explained in the</t>
        </is>
      </c>
      <c r="B6" s="33" t="n"/>
    </row>
    <row r="7" ht="14.65" customHeight="1" s="32">
      <c r="A7" s="33" t="inlineStr">
        <is>
          <t xml:space="preserve"> Financing worksheet.</t>
        </is>
      </c>
      <c r="B7" s="33" t="n"/>
    </row>
    <row r="8" ht="14.65" customHeight="1" s="32">
      <c r="A8" s="33" t="n"/>
      <c r="B8" s="33" t="n"/>
    </row>
    <row r="9" ht="14.65" customHeight="1" s="32">
      <c r="A9" s="33" t="inlineStr">
        <is>
          <t>The only cells that should be changed are in the Operations Assumptions and Financing</t>
        </is>
      </c>
      <c r="B9" s="33" t="n"/>
    </row>
    <row r="10" ht="14.65" customHeight="1" s="32">
      <c r="A10" s="33" t="inlineStr">
        <is>
          <t xml:space="preserve">Assumptions sections.  The spreadsheet will generate income statements, balance </t>
        </is>
      </c>
      <c r="B10" s="33" t="n"/>
    </row>
    <row r="11" ht="14.65" customHeight="1" s="32">
      <c r="A11" s="33" t="inlineStr">
        <is>
          <t>sheets, and statements of cash flows.</t>
        </is>
      </c>
      <c r="B11" s="33" t="n"/>
    </row>
    <row r="12" ht="14.65" customHeight="1" s="32">
      <c r="A12" s="33" t="n"/>
      <c r="B12" s="33" t="n"/>
    </row>
    <row r="13" ht="14.65" customHeight="1" s="32">
      <c r="A13" s="33" t="n"/>
      <c r="B13" s="33" t="n"/>
    </row>
    <row r="14" ht="14.65" customHeight="1" s="32">
      <c r="A14" s="33" t="inlineStr">
        <is>
          <t>Kerry Back</t>
        </is>
      </c>
      <c r="B14" s="33" t="n"/>
    </row>
    <row r="15" ht="14.65" customHeight="1" s="32">
      <c r="A15" s="33" t="inlineStr">
        <is>
          <t>John M. Olin School of Business</t>
        </is>
      </c>
    </row>
    <row r="16" ht="14.65" customHeight="1" s="32">
      <c r="A16" s="34" t="n">
        <v>35443</v>
      </c>
    </row>
  </sheetData>
  <printOptions horizontalCentered="1" verticalCentered="1" headings="0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O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" activeCellId="0" sqref="E1 E1"/>
    </sheetView>
  </sheetViews>
  <sheetFormatPr baseColWidth="8" defaultColWidth="9.0546875" defaultRowHeight="14.65" zeroHeight="0" outlineLevelRow="0"/>
  <cols>
    <col width="32.56" customWidth="1" style="35" min="1" max="1"/>
  </cols>
  <sheetData>
    <row r="1" ht="14.65" customHeight="1" s="32">
      <c r="A1" s="33" t="inlineStr">
        <is>
          <t>OPERATIONS AND INVESTMENTS ASSUMPTIONS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  <c r="F4" s="36" t="n">
        <v>4</v>
      </c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</row>
    <row r="5" ht="14.65" customHeight="1" s="32">
      <c r="A5" s="33" t="n"/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14.65" customHeight="1" s="32">
      <c r="A6" s="33" t="inlineStr">
        <is>
          <t>Sales</t>
        </is>
      </c>
      <c r="B6" s="37" t="n"/>
      <c r="C6" s="37" t="n">
        <v>400</v>
      </c>
      <c r="D6" s="37" t="n">
        <v>600</v>
      </c>
      <c r="E6" s="37" t="n">
        <v>800</v>
      </c>
      <c r="F6" s="33" t="n">
        <v>900</v>
      </c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14.65" customHeight="1" s="32">
      <c r="A7" s="33" t="inlineStr">
        <is>
          <t>COGS (% of sales)</t>
        </is>
      </c>
      <c r="B7" s="38" t="n"/>
      <c r="C7" s="38" t="n">
        <v>0.5</v>
      </c>
      <c r="D7" s="38" t="n">
        <v>0.5</v>
      </c>
      <c r="E7" s="38" t="n">
        <v>0.5</v>
      </c>
      <c r="F7" s="38" t="n">
        <v>0.5</v>
      </c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14.65" customHeight="1" s="32">
      <c r="A8" s="33" t="inlineStr">
        <is>
          <t>SG&amp;A (% of sales)</t>
        </is>
      </c>
      <c r="B8" s="38" t="n"/>
      <c r="C8" s="38" t="n">
        <v>0.3</v>
      </c>
      <c r="D8" s="38" t="n">
        <v>0.3</v>
      </c>
      <c r="E8" s="38" t="n">
        <v>0.3</v>
      </c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14.65" customHeight="1" s="32">
      <c r="A9" s="33" t="inlineStr">
        <is>
          <t>Income tax rate</t>
        </is>
      </c>
      <c r="B9" s="38" t="n"/>
      <c r="C9" s="38" t="n">
        <v>0.4</v>
      </c>
      <c r="D9" s="38" t="n">
        <v>0.4</v>
      </c>
      <c r="E9" s="38" t="n">
        <v>0.4</v>
      </c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14.65" customHeight="1" s="32">
      <c r="A10" s="33" t="n"/>
      <c r="B10" s="38" t="n"/>
      <c r="C10" s="37" t="n"/>
      <c r="D10" s="37" t="n"/>
      <c r="E10" s="37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</row>
    <row r="11" ht="14.65" customHeight="1" s="32">
      <c r="A11" s="33" t="inlineStr">
        <is>
          <t>Inventory (% of COGS)</t>
        </is>
      </c>
      <c r="B11" s="38" t="n">
        <v>0.1</v>
      </c>
      <c r="C11" s="38" t="n">
        <v>0.1</v>
      </c>
      <c r="D11" s="38" t="n">
        <v>0.1</v>
      </c>
      <c r="E11" s="38" t="n">
        <v>0.1</v>
      </c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</row>
    <row r="12" ht="14.65" customHeight="1" s="32">
      <c r="A12" s="33" t="inlineStr">
        <is>
          <t>Minimum cash balance (% of sales)</t>
        </is>
      </c>
      <c r="B12" s="38" t="n">
        <v>0.04</v>
      </c>
      <c r="C12" s="38" t="n">
        <v>0.04</v>
      </c>
      <c r="D12" s="38" t="n">
        <v>0.04</v>
      </c>
      <c r="E12" s="38" t="n">
        <v>0.04</v>
      </c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</row>
    <row r="13" ht="14.65" customHeight="1" s="32">
      <c r="A13" s="33" t="inlineStr">
        <is>
          <t>Accounts receivable (% of sales)</t>
        </is>
      </c>
      <c r="B13" s="38" t="n">
        <v>0.12</v>
      </c>
      <c r="C13" s="38" t="n">
        <v>0.12</v>
      </c>
      <c r="D13" s="38" t="n">
        <v>0.12</v>
      </c>
      <c r="E13" s="38" t="n">
        <v>0.12</v>
      </c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</row>
    <row r="14" ht="14.65" customHeight="1" s="32">
      <c r="A14" s="33" t="inlineStr">
        <is>
          <t>Accounts payable (% of COGS)</t>
        </is>
      </c>
      <c r="B14" s="38" t="n">
        <v>0.08</v>
      </c>
      <c r="C14" s="38" t="n">
        <v>0.08</v>
      </c>
      <c r="D14" s="38" t="n">
        <v>0.08</v>
      </c>
      <c r="E14" s="38" t="n">
        <v>0.08</v>
      </c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</row>
    <row r="15" ht="14.65" customHeight="1" s="32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</row>
    <row r="16" ht="14.65" customHeight="1" s="32">
      <c r="A16" s="33" t="inlineStr">
        <is>
          <t>Investment in PP&amp;E</t>
        </is>
      </c>
      <c r="B16" s="37" t="n">
        <v>400</v>
      </c>
      <c r="C16" s="33" t="n">
        <v>100</v>
      </c>
      <c r="D16" s="37" t="n">
        <v>100</v>
      </c>
      <c r="E16" s="37" t="n">
        <v>100</v>
      </c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</row>
    <row r="17" ht="14.65" customHeight="1" s="32">
      <c r="A17" s="33" t="inlineStr">
        <is>
          <t>Depreciation</t>
        </is>
      </c>
      <c r="B17" s="37" t="n">
        <v>0</v>
      </c>
      <c r="C17" s="37" t="n">
        <v>100</v>
      </c>
      <c r="D17" s="37" t="n">
        <v>100</v>
      </c>
      <c r="E17" s="37" t="n">
        <v>100</v>
      </c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</row>
    <row r="18" ht="14.65" customHeight="1" s="32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</row>
    <row r="19" ht="14.65" customHeight="1" s="32">
      <c r="F19" s="37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</row>
    <row r="20" ht="14.65" customHeight="1" s="32">
      <c r="A20" s="33" t="inlineStr">
        <is>
          <t>OPERATIONS AND INVESTMENTS CALCULATIONS</t>
        </is>
      </c>
      <c r="F20" s="37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</row>
    <row r="21" ht="14.65" customHeight="1" s="32">
      <c r="F21" s="37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</row>
    <row r="22" ht="14.65" customHeight="1" s="32">
      <c r="A22" s="36" t="inlineStr">
        <is>
          <t>Year</t>
        </is>
      </c>
      <c r="B22" s="36" t="n">
        <v>0</v>
      </c>
      <c r="C22" s="36" t="n">
        <v>1</v>
      </c>
      <c r="D22" s="36" t="n">
        <v>2</v>
      </c>
      <c r="E22" s="36" t="n">
        <v>3</v>
      </c>
      <c r="F22" s="37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</row>
    <row r="23" ht="14.65" customHeight="1" s="32">
      <c r="F23" s="37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</row>
    <row r="24" ht="14.65" customHeight="1" s="32">
      <c r="A24" s="33" t="inlineStr">
        <is>
          <t>Average sales</t>
        </is>
      </c>
      <c r="B24" s="33">
        <f>0.5*B6+0.5*C6</f>
        <v/>
      </c>
      <c r="C24" s="33">
        <f>0.5*C6+0.5*D6</f>
        <v/>
      </c>
      <c r="D24" s="33">
        <f>0.5*D6+0.5*E6</f>
        <v/>
      </c>
      <c r="E24" s="33">
        <f>0.5*E6+0.5*F6</f>
        <v/>
      </c>
      <c r="F24" s="37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</row>
    <row r="25" ht="14.65" customHeight="1" s="32">
      <c r="A25" s="33" t="inlineStr">
        <is>
          <t>Average COGS</t>
        </is>
      </c>
      <c r="B25" s="33">
        <f>0.5*B6*B7+0.5*C6*C7</f>
        <v/>
      </c>
      <c r="C25" s="33">
        <f>0.5*C6*C7+0.5*D6*D7</f>
        <v/>
      </c>
      <c r="D25" s="33">
        <f>0.5*D6*D7+0.5*E6*E7</f>
        <v/>
      </c>
      <c r="E25" s="33">
        <f>0.5*E6*E7+0.5*F6*F7</f>
        <v/>
      </c>
      <c r="F25" s="37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</row>
    <row r="26" ht="14.65" customHeight="1" s="32">
      <c r="A26" s="33" t="inlineStr">
        <is>
          <t>Inventory</t>
        </is>
      </c>
      <c r="B26" s="33">
        <f>B11*B25</f>
        <v/>
      </c>
      <c r="C26" s="33">
        <f>C11*C25</f>
        <v/>
      </c>
      <c r="D26" s="33">
        <f>D11*D25</f>
        <v/>
      </c>
      <c r="E26" s="33">
        <f>E11*E25</f>
        <v/>
      </c>
      <c r="F26" s="37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</row>
    <row r="27" ht="14.65" customHeight="1" s="32">
      <c r="A27" s="33" t="inlineStr">
        <is>
          <t>Minimum cash balance</t>
        </is>
      </c>
      <c r="B27" s="33">
        <f>B12*B24</f>
        <v/>
      </c>
      <c r="C27" s="33">
        <f>C12*C24</f>
        <v/>
      </c>
      <c r="D27" s="33">
        <f>D12*D24</f>
        <v/>
      </c>
      <c r="E27" s="33">
        <f>E12*E24</f>
        <v/>
      </c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</row>
    <row r="28" ht="14.65" customHeight="1" s="32">
      <c r="A28" s="33" t="inlineStr">
        <is>
          <t>Accounts receivable</t>
        </is>
      </c>
      <c r="B28" s="33" t="n">
        <v>0</v>
      </c>
      <c r="C28" s="33">
        <f>C13*C24</f>
        <v/>
      </c>
      <c r="D28" s="33">
        <f>D13*D24</f>
        <v/>
      </c>
      <c r="E28" s="33">
        <f>E13*E24</f>
        <v/>
      </c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</row>
    <row r="29" ht="14.65" customHeight="1" s="32">
      <c r="A29" s="33" t="inlineStr">
        <is>
          <t>Accounts payable</t>
        </is>
      </c>
      <c r="B29" s="33">
        <f>B14*B25</f>
        <v/>
      </c>
      <c r="C29" s="33">
        <f>C14*C25</f>
        <v/>
      </c>
      <c r="D29" s="33">
        <f>D14*D25</f>
        <v/>
      </c>
      <c r="E29" s="33">
        <f>E14*E25</f>
        <v/>
      </c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</row>
    <row r="30" ht="14.65" customHeight="1" s="32"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</row>
    <row r="31" ht="14.65" customHeight="1" s="32">
      <c r="A31" s="33" t="inlineStr">
        <is>
          <t>Note:  There is a timing issue when comparing a balance sheet to an income statement,</t>
        </is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</row>
    <row r="32" ht="14.65" customHeight="1" s="32">
      <c r="A32" s="33" t="inlineStr">
        <is>
          <t>because the balance sheet is at a point in time whereas the income statement is cumulative</t>
        </is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</row>
    <row r="33" ht="14.65" customHeight="1" s="32">
      <c r="A33" s="33" t="inlineStr">
        <is>
          <t xml:space="preserve">over the preceding year.  It is most natural to predict assets and liabilities based on the </t>
        </is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</row>
    <row r="34" ht="14.65" customHeight="1" s="32">
      <c r="A34" s="33" t="inlineStr">
        <is>
          <t>average of the income statement items over the same (=preceding) year and the following</t>
        </is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</row>
    <row r="35" ht="14.65" customHeight="1" s="32">
      <c r="A35" s="33" t="inlineStr">
        <is>
          <t>year.</t>
        </is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</row>
    <row r="42" ht="14.65" customHeight="1" s="3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</row>
    <row r="45" ht="14.65" customHeight="1" s="32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</row>
    <row r="46" ht="14.65" customHeight="1" s="32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</row>
    <row r="47" ht="14.65" customHeight="1" s="32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</row>
    <row r="48" ht="14.65" customHeight="1" s="32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</row>
    <row r="49" ht="14.65" customHeight="1" s="32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</row>
    <row r="50" ht="14.65" customHeight="1" s="32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</row>
    <row r="51" ht="14.65" customHeight="1" s="32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</row>
    <row r="52" ht="14.65" customHeight="1" s="3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</row>
    <row r="53" ht="14.65" customHeight="1" s="32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</row>
    <row r="54" ht="14.65" customHeight="1" s="32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</row>
    <row r="55" ht="14.65" customHeight="1" s="32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</row>
    <row r="56" ht="14.65" customHeight="1" s="32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</row>
    <row r="57" ht="14.65" customHeight="1" s="32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</row>
    <row r="58" ht="14.65" customHeight="1" s="32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</row>
    <row r="59" ht="14.65" customHeight="1" s="32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</row>
    <row r="60" ht="14.65" customHeight="1" s="32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</row>
    <row r="61" ht="14.65" customHeight="1" s="32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</row>
    <row r="62" ht="14.65" customHeight="1" s="32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  <c r="M62" s="33" t="n"/>
      <c r="N62" s="33" t="n"/>
      <c r="O62" s="33" t="n"/>
    </row>
    <row r="63" ht="14.65" customHeight="1" s="32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  <c r="M63" s="33" t="n"/>
      <c r="N63" s="33" t="n"/>
      <c r="O63" s="33" t="n"/>
    </row>
    <row r="64" ht="14.65" customHeight="1" s="32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</row>
    <row r="65" ht="14.65" customHeight="1" s="32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  <c r="M65" s="33" t="n"/>
      <c r="N65" s="33" t="n"/>
      <c r="O65" s="33" t="n"/>
    </row>
    <row r="66" ht="14.65" customHeight="1" s="32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  <c r="M66" s="33" t="n"/>
      <c r="N66" s="33" t="n"/>
      <c r="O66" s="33" t="n"/>
    </row>
    <row r="67" ht="14.65" customHeight="1" s="32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  <c r="M67" s="33" t="n"/>
      <c r="N67" s="33" t="n"/>
      <c r="O67" s="33" t="n"/>
    </row>
    <row r="68" ht="14.65" customHeight="1" s="32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  <c r="M68" s="33" t="n"/>
      <c r="N68" s="33" t="n"/>
      <c r="O68" s="33" t="n"/>
    </row>
    <row r="69" ht="14.65" customHeight="1" s="32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  <c r="M69" s="33" t="n"/>
      <c r="N69" s="33" t="n"/>
      <c r="O69" s="33" t="n"/>
    </row>
    <row r="70" ht="14.65" customHeight="1" s="32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  <c r="M70" s="33" t="n"/>
      <c r="N70" s="33" t="n"/>
      <c r="O70" s="33" t="n"/>
    </row>
    <row r="71" ht="14.65" customHeight="1" s="32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  <c r="M71" s="33" t="n"/>
      <c r="N71" s="33" t="n"/>
      <c r="O71" s="33" t="n"/>
    </row>
    <row r="72" ht="14.65" customHeight="1" s="32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  <c r="M72" s="33" t="n"/>
      <c r="N72" s="33" t="n"/>
      <c r="O72" s="33" t="n"/>
    </row>
    <row r="73" ht="14.65" customHeight="1" s="32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  <c r="M73" s="33" t="n"/>
      <c r="N73" s="33" t="n"/>
      <c r="O73" s="33" t="n"/>
    </row>
    <row r="74" ht="14.65" customHeight="1" s="32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  <c r="M74" s="33" t="n"/>
      <c r="N74" s="33" t="n"/>
      <c r="O74" s="33" t="n"/>
    </row>
    <row r="75" ht="14.65" customHeight="1" s="32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  <c r="M75" s="33" t="n"/>
      <c r="N75" s="33" t="n"/>
      <c r="O75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G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6" activeCellId="0" sqref="E6 E6"/>
    </sheetView>
  </sheetViews>
  <sheetFormatPr baseColWidth="8" defaultColWidth="9.0546875" defaultRowHeight="14.65" zeroHeight="0" outlineLevelRow="0"/>
  <cols>
    <col width="37.14" customWidth="1" style="35" min="1" max="1"/>
  </cols>
  <sheetData>
    <row r="1" ht="14.65" customHeight="1" s="32">
      <c r="A1" s="33" t="inlineStr">
        <is>
          <t>FINANCING ASSUMPTIONS</t>
        </is>
      </c>
    </row>
    <row r="4" ht="14.65" customHeight="1" s="32">
      <c r="A4" s="33" t="inlineStr">
        <is>
          <t>Interest rate on long-term debt</t>
        </is>
      </c>
      <c r="B4" s="38" t="n">
        <v>0.11</v>
      </c>
      <c r="D4" s="38" t="n"/>
      <c r="E4" s="38" t="n"/>
    </row>
    <row r="5" ht="14.65" customHeight="1" s="32">
      <c r="A5" s="33" t="inlineStr">
        <is>
          <t>Interest rate on notes payable</t>
        </is>
      </c>
      <c r="B5" s="38" t="n">
        <v>0.09</v>
      </c>
      <c r="C5" s="37" t="n"/>
      <c r="D5" s="37" t="n"/>
      <c r="E5" s="37" t="n"/>
    </row>
    <row r="7" ht="14.65" customHeight="1" s="32">
      <c r="A7" s="36" t="inlineStr">
        <is>
          <t>Year</t>
        </is>
      </c>
      <c r="B7" s="36" t="n">
        <v>0</v>
      </c>
      <c r="C7" s="36" t="n">
        <v>1</v>
      </c>
      <c r="D7" s="36" t="n">
        <v>2</v>
      </c>
      <c r="E7" s="36" t="n">
        <v>3</v>
      </c>
    </row>
    <row r="9" ht="14.65" customHeight="1" s="32">
      <c r="A9" s="33" t="inlineStr">
        <is>
          <t>Long-term debt outstanding</t>
        </is>
      </c>
      <c r="B9" s="37" t="n">
        <v>200</v>
      </c>
      <c r="C9" s="37" t="n">
        <v>200</v>
      </c>
      <c r="D9" s="37" t="n">
        <v>200</v>
      </c>
      <c r="E9" s="37" t="n">
        <v>200</v>
      </c>
    </row>
    <row r="10" ht="14.65" customHeight="1" s="32">
      <c r="A10" s="33" t="inlineStr">
        <is>
          <t>Bank notes payable</t>
        </is>
      </c>
      <c r="B10" s="37" t="n">
        <v>0</v>
      </c>
      <c r="C10" s="37" t="n">
        <v>28.2722513089005</v>
      </c>
      <c r="D10" s="37" t="n">
        <v>68.6329870343466</v>
      </c>
      <c r="E10" s="37" t="n">
        <v>62.0120119904631</v>
      </c>
    </row>
    <row r="11" ht="14.65" customHeight="1" s="32">
      <c r="A11" s="33" t="n"/>
      <c r="B11" s="37" t="n"/>
      <c r="C11" s="37" t="n"/>
      <c r="D11" s="37" t="n"/>
      <c r="E11" s="37" t="n"/>
    </row>
    <row r="12" ht="14.65" customHeight="1" s="32">
      <c r="A12" s="33" t="inlineStr">
        <is>
          <t>Net new equity capital raised</t>
        </is>
      </c>
      <c r="B12" s="37" t="n">
        <v>300</v>
      </c>
      <c r="C12" s="37" t="n">
        <v>0</v>
      </c>
      <c r="D12" s="37" t="n">
        <v>0</v>
      </c>
      <c r="E12" s="37" t="n">
        <v>0</v>
      </c>
    </row>
    <row r="13" ht="14.65" customHeight="1" s="32">
      <c r="A13" s="33" t="inlineStr">
        <is>
          <t>Dividends paid (as positive number)</t>
        </is>
      </c>
      <c r="B13" s="37" t="n"/>
      <c r="C13" s="37" t="n">
        <v>0</v>
      </c>
      <c r="D13" s="37" t="n">
        <v>0</v>
      </c>
      <c r="E13" s="37" t="n">
        <v>0</v>
      </c>
    </row>
    <row r="14" ht="14.65" customHeight="1" s="32">
      <c r="A14" s="33" t="n"/>
      <c r="B14" s="37" t="n"/>
      <c r="C14" s="37" t="n"/>
      <c r="D14" s="37" t="n"/>
      <c r="E14" s="37" t="n"/>
    </row>
    <row r="16" ht="14.65" customHeight="1" s="32">
      <c r="A16" s="33" t="inlineStr">
        <is>
          <t>FINANCING CALCULATIONS</t>
        </is>
      </c>
    </row>
    <row r="18" ht="14.65" customHeight="1" s="32">
      <c r="A18" s="39" t="inlineStr">
        <is>
          <t>Interest Expense</t>
        </is>
      </c>
    </row>
    <row r="20" ht="14.65" customHeight="1" s="32">
      <c r="A20" s="36" t="inlineStr">
        <is>
          <t>Year</t>
        </is>
      </c>
      <c r="B20" s="36" t="n">
        <v>0</v>
      </c>
      <c r="C20" s="36" t="n">
        <v>1</v>
      </c>
      <c r="D20" s="36" t="n">
        <v>2</v>
      </c>
      <c r="E20" s="36" t="n">
        <v>3</v>
      </c>
    </row>
    <row r="22" ht="14.65" customHeight="1" s="32">
      <c r="A22" s="33" t="inlineStr">
        <is>
          <t>Long-term debt</t>
        </is>
      </c>
      <c r="B22" s="40" t="n"/>
      <c r="C22" s="40">
        <f>$B$4*(B9+C9)/2</f>
        <v/>
      </c>
      <c r="D22" s="40">
        <f>$B$4*(C9+D9)/2</f>
        <v/>
      </c>
      <c r="E22" s="40">
        <f>$B$4*(D9+E9)/2</f>
        <v/>
      </c>
    </row>
    <row r="23" ht="14.65" customHeight="1" s="32">
      <c r="A23" s="33" t="inlineStr">
        <is>
          <t>Bank notes payable</t>
        </is>
      </c>
      <c r="B23" s="40" t="n"/>
      <c r="C23" s="41">
        <f>$B$5*(B10+C10)/2</f>
        <v/>
      </c>
      <c r="D23" s="41">
        <f>$B$5*(C10+D10)/2</f>
        <v/>
      </c>
      <c r="E23" s="41">
        <f>$B$5*(D10+E10)/2</f>
        <v/>
      </c>
    </row>
    <row r="24" ht="14.65" customHeight="1" s="32">
      <c r="A24" s="33" t="inlineStr">
        <is>
          <t>Total</t>
        </is>
      </c>
      <c r="B24" s="42" t="n"/>
      <c r="C24" s="42">
        <f>C22+C23</f>
        <v/>
      </c>
      <c r="D24" s="42">
        <f>D22+D23</f>
        <v/>
      </c>
      <c r="E24" s="42">
        <f>E22+E23</f>
        <v/>
      </c>
    </row>
    <row r="26" ht="14.65" customHeight="1" s="32">
      <c r="A26" s="39" t="inlineStr">
        <is>
          <t xml:space="preserve">Cash Balance </t>
        </is>
      </c>
    </row>
    <row r="28" ht="14.65" customHeight="1" s="32">
      <c r="A28" s="36" t="inlineStr">
        <is>
          <t>Year</t>
        </is>
      </c>
      <c r="B28" s="36" t="n">
        <v>0</v>
      </c>
      <c r="C28" s="36" t="n">
        <v>1</v>
      </c>
      <c r="D28" s="36" t="n">
        <v>2</v>
      </c>
      <c r="E28" s="36" t="n">
        <v>3</v>
      </c>
    </row>
    <row r="30" ht="14.65" customHeight="1" s="32">
      <c r="A30" s="43" t="inlineStr">
        <is>
          <t>Beginning cash balance</t>
        </is>
      </c>
      <c r="B30" s="44" t="n">
        <v>0</v>
      </c>
      <c r="C30" s="44">
        <f>B32</f>
        <v/>
      </c>
      <c r="D30" s="44">
        <f>C32</f>
        <v/>
      </c>
      <c r="E30" s="44">
        <f>D32</f>
        <v/>
      </c>
    </row>
    <row r="31" ht="14.65" customHeight="1" s="32">
      <c r="A31" s="45" t="inlineStr">
        <is>
          <t>Plus cash flow from ops, invests, and fin</t>
        </is>
      </c>
      <c r="B31" s="46">
        <f>'Cash flows'!B18</f>
        <v/>
      </c>
      <c r="C31" s="46">
        <f>'Cash flows'!C18</f>
        <v/>
      </c>
      <c r="D31" s="46">
        <f>'Cash flows'!D18</f>
        <v/>
      </c>
      <c r="E31" s="46">
        <f>'Cash flows'!E18</f>
        <v/>
      </c>
    </row>
    <row r="32" ht="14.65" customHeight="1" s="32">
      <c r="A32" s="43" t="inlineStr">
        <is>
          <t>Ending cash balance</t>
        </is>
      </c>
      <c r="B32" s="44">
        <f>B30+B31</f>
        <v/>
      </c>
      <c r="C32" s="44">
        <f>C30+C31</f>
        <v/>
      </c>
      <c r="D32" s="44">
        <f>D30+D31</f>
        <v/>
      </c>
      <c r="E32" s="44">
        <f>E30+E31</f>
        <v/>
      </c>
    </row>
    <row r="33" ht="14.65" customHeight="1" s="32">
      <c r="A33" s="33" t="inlineStr">
        <is>
          <t>Less minimum cash balance required</t>
        </is>
      </c>
      <c r="B33" s="47">
        <f>-Operations!B27</f>
        <v/>
      </c>
      <c r="C33" s="47">
        <f>-Operations!C27</f>
        <v/>
      </c>
      <c r="D33" s="47">
        <f>-Operations!D27</f>
        <v/>
      </c>
      <c r="E33" s="47">
        <f>-Operations!E27</f>
        <v/>
      </c>
    </row>
    <row r="34" ht="14.65" customHeight="1" s="32">
      <c r="A34" s="43" t="inlineStr">
        <is>
          <t>Excess cash</t>
        </is>
      </c>
      <c r="B34" s="48">
        <f>B32+B33</f>
        <v/>
      </c>
      <c r="C34" s="48">
        <f>C32+C33</f>
        <v/>
      </c>
      <c r="D34" s="48">
        <f>D32+D33</f>
        <v/>
      </c>
      <c r="E34" s="48">
        <f>E32+E33</f>
        <v/>
      </c>
    </row>
    <row r="36" ht="14.65" customHeight="1" s="32">
      <c r="A36" s="33" t="inlineStr">
        <is>
          <t xml:space="preserve">It is undesirable to hold excess cash when there are bank notes outstanding.  </t>
        </is>
      </c>
      <c r="B36" s="33" t="n"/>
      <c r="C36" s="33" t="n"/>
      <c r="D36" s="33" t="n"/>
      <c r="E36" s="33" t="n"/>
      <c r="F36" s="33" t="n"/>
      <c r="G36" s="33" t="n"/>
    </row>
    <row r="37" ht="14.65" customHeight="1" s="32">
      <c r="A37" s="33" t="inlineStr">
        <is>
          <t xml:space="preserve">The cash should be used to reduce the bank loan.  To do this, minimize the </t>
        </is>
      </c>
      <c r="B37" s="33" t="n"/>
      <c r="C37" s="33" t="n"/>
      <c r="D37" s="33" t="n"/>
      <c r="E37" s="33" t="n"/>
      <c r="F37" s="33" t="n"/>
      <c r="G37" s="33" t="n"/>
    </row>
    <row r="38" ht="14.65" customHeight="1" s="32">
      <c r="A38" s="33" t="inlineStr">
        <is>
          <t xml:space="preserve">present value of the interest expense subject to excess cash being </t>
        </is>
      </c>
      <c r="B38" s="33" t="n"/>
      <c r="C38" s="33" t="n"/>
      <c r="D38" s="33" t="n"/>
      <c r="E38" s="33" t="n"/>
      <c r="F38" s="33" t="n"/>
      <c r="G38" s="33" t="n"/>
    </row>
    <row r="39" ht="14.65" customHeight="1" s="32">
      <c r="A39" s="33" t="inlineStr">
        <is>
          <t xml:space="preserve">nonnegative.  Click on Solver (from the Tools menu), click on Solve in the next box </t>
        </is>
      </c>
      <c r="B39" s="33" t="n"/>
      <c r="C39" s="33" t="n"/>
      <c r="D39" s="33" t="n"/>
      <c r="E39" s="33" t="n"/>
      <c r="F39" s="33" t="n"/>
      <c r="G39" s="33" t="n"/>
    </row>
    <row r="40" ht="14.65" customHeight="1" s="32">
      <c r="A40" s="33" t="inlineStr">
        <is>
          <t>that appears, and click on OK in the next box.</t>
        </is>
      </c>
      <c r="B40" s="33" t="n"/>
      <c r="C40" s="33" t="n"/>
      <c r="D40" s="33" t="n"/>
      <c r="E40" s="33" t="n"/>
      <c r="F40" s="33" t="n"/>
      <c r="G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</row>
    <row r="42" ht="14.65" customHeight="1" s="32">
      <c r="A42" s="33" t="inlineStr">
        <is>
          <t>Present value of interest on bank notes</t>
        </is>
      </c>
      <c r="B42" s="49">
        <f>NPV(B5,C23:E23)</f>
        <v/>
      </c>
      <c r="C42" s="33" t="n"/>
      <c r="D42" s="33" t="n"/>
      <c r="E42" s="33" t="n"/>
      <c r="F42" s="33" t="n"/>
      <c r="G42" s="33" t="n"/>
    </row>
    <row r="43" ht="14.65" customHeight="1" s="32">
      <c r="A43" s="33" t="n"/>
      <c r="B43" s="33" t="n"/>
      <c r="C43" s="33" t="n"/>
      <c r="D43" s="33" t="n"/>
      <c r="E43" s="33" t="n"/>
      <c r="F43" s="33" t="n"/>
      <c r="G43" s="33" t="n"/>
    </row>
    <row r="44" ht="14.65" customHeight="1" s="32">
      <c r="A44" s="33" t="n"/>
      <c r="B44" s="33" t="n"/>
      <c r="C44" s="33" t="n"/>
      <c r="D44" s="33" t="n"/>
      <c r="E44" s="33" t="n"/>
      <c r="F44" s="33" t="n"/>
      <c r="G44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I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INCOME STATEMENTS</t>
        </is>
      </c>
    </row>
    <row r="3" ht="14.65" customHeight="1" s="32">
      <c r="A3" s="36" t="inlineStr">
        <is>
          <t>Year</t>
        </is>
      </c>
      <c r="B3" s="36" t="n">
        <v>0</v>
      </c>
      <c r="C3" s="36" t="n">
        <v>1</v>
      </c>
      <c r="D3" s="36" t="n">
        <v>2</v>
      </c>
      <c r="E3" s="36" t="n">
        <v>3</v>
      </c>
    </row>
    <row r="4" ht="14.65" customHeight="1" s="32">
      <c r="A4" s="33" t="n"/>
      <c r="B4" s="33" t="n"/>
      <c r="C4" s="33" t="n"/>
      <c r="D4" s="33" t="n"/>
      <c r="E4" s="33" t="n"/>
    </row>
    <row r="5" ht="14.65" customHeight="1" s="32">
      <c r="A5" s="33" t="inlineStr">
        <is>
          <t>Sales</t>
        </is>
      </c>
      <c r="B5" s="37" t="n"/>
      <c r="C5" s="37">
        <f>Operations!C6</f>
        <v/>
      </c>
      <c r="D5" s="37">
        <f>Operations!D6</f>
        <v/>
      </c>
      <c r="E5" s="37">
        <f>Operations!E6</f>
        <v/>
      </c>
      <c r="F5" s="37" t="n"/>
      <c r="G5" s="33" t="n"/>
      <c r="H5" s="33" t="n"/>
      <c r="I5" s="33" t="n"/>
    </row>
    <row r="6" ht="14.65" customHeight="1" s="32">
      <c r="A6" s="33" t="inlineStr">
        <is>
          <t xml:space="preserve">Less COGS </t>
        </is>
      </c>
      <c r="B6" s="37" t="n"/>
      <c r="C6" s="47">
        <f>-Operations!C7*Operations!C6</f>
        <v/>
      </c>
      <c r="D6" s="47">
        <f>-Operations!D7*Operations!D6</f>
        <v/>
      </c>
      <c r="E6" s="47">
        <f>-Operations!E7*Operations!E6</f>
        <v/>
      </c>
      <c r="F6" s="37" t="n"/>
      <c r="G6" s="33" t="n"/>
      <c r="H6" s="33" t="n"/>
      <c r="I6" s="33" t="n"/>
    </row>
    <row r="7" ht="14.65" customHeight="1" s="32">
      <c r="A7" s="33" t="inlineStr">
        <is>
          <t>Gross profit</t>
        </is>
      </c>
      <c r="B7" s="37" t="n"/>
      <c r="C7" s="37">
        <f>C5+C6</f>
        <v/>
      </c>
      <c r="D7" s="37">
        <f>D5+D6</f>
        <v/>
      </c>
      <c r="E7" s="37">
        <f>E5+E6</f>
        <v/>
      </c>
      <c r="F7" s="37" t="n"/>
      <c r="G7" s="33" t="n"/>
      <c r="H7" s="33" t="n"/>
      <c r="I7" s="33" t="n"/>
    </row>
    <row r="8" ht="14.65" customHeight="1" s="32">
      <c r="A8" s="33" t="inlineStr">
        <is>
          <t>Less SG&amp;A expenses</t>
        </is>
      </c>
      <c r="B8" s="37" t="n"/>
      <c r="C8" s="37">
        <f>-Operations!C8*Operations!C6</f>
        <v/>
      </c>
      <c r="D8" s="37">
        <f>-Operations!D8*Operations!D6</f>
        <v/>
      </c>
      <c r="E8" s="37">
        <f>-Operations!E8*Operations!E6</f>
        <v/>
      </c>
      <c r="F8" s="37" t="n"/>
      <c r="G8" s="33" t="n"/>
      <c r="H8" s="33" t="n"/>
      <c r="I8" s="33" t="n"/>
    </row>
    <row r="9" ht="14.65" customHeight="1" s="32">
      <c r="A9" s="33" t="inlineStr">
        <is>
          <t>Less depreciation</t>
        </is>
      </c>
      <c r="B9" s="47" t="n"/>
      <c r="C9" s="47">
        <f>-Operations!C17</f>
        <v/>
      </c>
      <c r="D9" s="47">
        <f>-Operations!D17</f>
        <v/>
      </c>
      <c r="E9" s="47">
        <f>-Operations!E17</f>
        <v/>
      </c>
      <c r="F9" s="37" t="n"/>
      <c r="G9" s="33" t="n"/>
      <c r="H9" s="33" t="n"/>
      <c r="I9" s="33" t="n"/>
    </row>
    <row r="10" ht="14.65" customHeight="1" s="32">
      <c r="A10" s="33" t="inlineStr">
        <is>
          <t>Earnings before interest and taxes</t>
        </is>
      </c>
      <c r="B10" s="37" t="n"/>
      <c r="C10" s="37">
        <f>SUM(C7:C9)</f>
        <v/>
      </c>
      <c r="D10" s="37">
        <f>SUM(D7:D9)</f>
        <v/>
      </c>
      <c r="E10" s="37">
        <f>SUM(E7:E9)</f>
        <v/>
      </c>
      <c r="F10" s="37" t="n"/>
      <c r="G10" s="33" t="n"/>
      <c r="H10" s="33" t="n"/>
      <c r="I10" s="33" t="n"/>
    </row>
    <row r="11" ht="14.65" customHeight="1" s="32">
      <c r="A11" s="33" t="inlineStr">
        <is>
          <t>Less interest expense</t>
        </is>
      </c>
      <c r="B11" s="37" t="n"/>
      <c r="C11" s="47">
        <f>-Financing!C24</f>
        <v/>
      </c>
      <c r="D11" s="47">
        <f>-Financing!D24</f>
        <v/>
      </c>
      <c r="E11" s="47">
        <f>-Financing!E24</f>
        <v/>
      </c>
      <c r="F11" s="37" t="n"/>
      <c r="G11" s="33" t="n"/>
      <c r="H11" s="33" t="n"/>
      <c r="I11" s="33" t="n"/>
    </row>
    <row r="12" ht="14.65" customHeight="1" s="32">
      <c r="A12" s="45" t="inlineStr">
        <is>
          <t>Pre-tax income</t>
        </is>
      </c>
      <c r="B12" s="50" t="n"/>
      <c r="C12" s="50">
        <f>C10+C11</f>
        <v/>
      </c>
      <c r="D12" s="50">
        <f>D10+D11</f>
        <v/>
      </c>
      <c r="E12" s="50">
        <f>E10+E11</f>
        <v/>
      </c>
      <c r="F12" s="37" t="n"/>
      <c r="G12" s="33" t="n"/>
      <c r="H12" s="33" t="n"/>
      <c r="I12" s="33" t="n"/>
    </row>
    <row r="13" ht="14.65" customHeight="1" s="32">
      <c r="A13" s="51" t="n"/>
      <c r="B13" s="52" t="n"/>
      <c r="C13" s="52" t="n"/>
      <c r="D13" s="52" t="n"/>
      <c r="E13" s="52" t="n"/>
      <c r="F13" s="53" t="n"/>
      <c r="G13" s="51" t="n"/>
      <c r="H13" s="33" t="n"/>
      <c r="I13" s="33" t="n"/>
    </row>
    <row r="14" ht="14.65" customHeight="1" s="32">
      <c r="A14" s="51" t="inlineStr">
        <is>
          <t>Cumulative pre-tax income (NOL)</t>
        </is>
      </c>
      <c r="B14" s="53" t="n"/>
      <c r="C14" s="53">
        <f>C12</f>
        <v/>
      </c>
      <c r="D14" s="53">
        <f>C14+D12</f>
        <v/>
      </c>
      <c r="E14" s="53">
        <f>D14+E12</f>
        <v/>
      </c>
      <c r="F14" s="53" t="n"/>
      <c r="G14" s="51" t="n"/>
      <c r="H14" s="33" t="n"/>
      <c r="I14" s="33" t="n"/>
    </row>
    <row r="15" ht="14.65" customHeight="1" s="32">
      <c r="A15" s="54" t="inlineStr">
        <is>
          <t>Taxes</t>
        </is>
      </c>
      <c r="B15" s="55" t="n"/>
      <c r="C15" s="55">
        <f>IF(B14&gt;=0,MAX(Operations!C9*Income!C12,-Operations!C9*Income!B14),MAX(0,Operations!C9*(Income!C12+Income!B14)))</f>
        <v/>
      </c>
      <c r="D15" s="55">
        <f>IF(C14&gt;=0,MAX(Operations!D9*Income!D12,-Operations!D9*Income!C14),MAX(0,Operations!D9*(Income!D12+Income!C14)))</f>
        <v/>
      </c>
      <c r="E15" s="55">
        <f>IF(D14&gt;=0,MAX(Operations!E9*Income!E12,-Operations!E9*Income!D14),MAX(0,Operations!E9*(Income!E12+Income!D14)))</f>
        <v/>
      </c>
      <c r="F15" s="53" t="n"/>
      <c r="G15" s="51" t="n"/>
      <c r="H15" s="33" t="n"/>
      <c r="I15" s="33" t="n"/>
    </row>
    <row r="16" ht="14.65" customHeight="1" s="32">
      <c r="A16" s="51" t="n"/>
      <c r="B16" s="53" t="n"/>
      <c r="C16" s="53" t="n"/>
      <c r="D16" s="53" t="n"/>
      <c r="E16" s="53" t="n"/>
      <c r="F16" s="53" t="n"/>
      <c r="G16" s="51" t="n"/>
      <c r="H16" s="33" t="n"/>
      <c r="I16" s="33" t="n"/>
    </row>
    <row r="17" ht="14.65" customHeight="1" s="32">
      <c r="A17" s="51" t="inlineStr">
        <is>
          <t>Pre-tax income</t>
        </is>
      </c>
      <c r="B17" s="53" t="n"/>
      <c r="C17" s="53">
        <f>C12</f>
        <v/>
      </c>
      <c r="D17" s="53">
        <f>D12</f>
        <v/>
      </c>
      <c r="E17" s="53">
        <f>E12</f>
        <v/>
      </c>
      <c r="F17" s="53" t="n"/>
      <c r="G17" s="51" t="n"/>
      <c r="H17" s="33" t="n"/>
      <c r="I17" s="33" t="n"/>
    </row>
    <row r="18" ht="14.65" customHeight="1" s="32">
      <c r="A18" s="51" t="inlineStr">
        <is>
          <t>Less taxes</t>
        </is>
      </c>
      <c r="B18" s="53" t="n"/>
      <c r="C18" s="52">
        <f>-C15</f>
        <v/>
      </c>
      <c r="D18" s="52">
        <f>-D15</f>
        <v/>
      </c>
      <c r="E18" s="52">
        <f>-E15</f>
        <v/>
      </c>
      <c r="F18" s="53" t="n"/>
      <c r="G18" s="51" t="n"/>
      <c r="H18" s="33" t="n"/>
      <c r="I18" s="33" t="n"/>
    </row>
    <row r="19" ht="14.65" customHeight="1" s="32">
      <c r="A19" s="43" t="inlineStr">
        <is>
          <t>Net income</t>
        </is>
      </c>
      <c r="B19" s="44" t="n"/>
      <c r="C19" s="44">
        <f>C17+C18</f>
        <v/>
      </c>
      <c r="D19" s="44">
        <f>D17+D18</f>
        <v/>
      </c>
      <c r="E19" s="44">
        <f>E17+E18</f>
        <v/>
      </c>
      <c r="F19" s="53" t="n"/>
      <c r="G19" s="51" t="n"/>
      <c r="H19" s="33" t="n"/>
      <c r="I19" s="33" t="n"/>
    </row>
    <row r="20" ht="14.65" customHeight="1" s="32">
      <c r="A20" s="51" t="n"/>
      <c r="B20" s="53" t="n"/>
      <c r="C20" s="53" t="n"/>
      <c r="D20" s="53" t="n"/>
      <c r="E20" s="53" t="n"/>
      <c r="F20" s="53" t="n"/>
      <c r="G20" s="51" t="n"/>
      <c r="H20" s="33" t="n"/>
      <c r="I20" s="33" t="n"/>
    </row>
    <row r="21" ht="14.65" customHeight="1" s="32">
      <c r="A21" s="51" t="inlineStr">
        <is>
          <t>Note:  Net operating losses can be carried forward or backwards.  There is a limit on the</t>
        </is>
      </c>
      <c r="B21" s="56" t="n"/>
      <c r="C21" s="56" t="n"/>
      <c r="D21" s="56" t="n"/>
      <c r="E21" s="56" t="n"/>
      <c r="F21" s="51" t="n"/>
      <c r="G21" s="51" t="n"/>
      <c r="H21" s="33" t="n"/>
      <c r="I21" s="33" t="n"/>
    </row>
    <row r="22" ht="14.65" customHeight="1" s="32">
      <c r="A22" s="51" t="inlineStr">
        <is>
          <t xml:space="preserve">number of years they can be carried forward or backwards, but this is not incorporated </t>
        </is>
      </c>
      <c r="B22" s="56" t="n"/>
      <c r="C22" s="56" t="n"/>
      <c r="D22" s="56" t="n"/>
      <c r="E22" s="56" t="n"/>
      <c r="F22" s="51" t="n"/>
      <c r="G22" s="51" t="n"/>
      <c r="H22" s="33" t="n"/>
      <c r="I22" s="33" t="n"/>
    </row>
    <row r="23" ht="14.65" customHeight="1" s="32">
      <c r="A23" s="51" t="inlineStr">
        <is>
          <t>into the spreadsheet.</t>
        </is>
      </c>
      <c r="B23" s="51" t="n"/>
      <c r="C23" s="51" t="n"/>
      <c r="D23" s="51" t="n"/>
      <c r="E23" s="51" t="n"/>
      <c r="F23" s="51" t="n"/>
      <c r="G23" s="51" t="n"/>
      <c r="H23" s="33" t="n"/>
      <c r="I23" s="33" t="n"/>
    </row>
    <row r="24" ht="14.65" customHeight="1" s="32">
      <c r="A24" s="51" t="n"/>
      <c r="B24" s="51" t="n"/>
      <c r="C24" s="51" t="n"/>
      <c r="D24" s="51" t="n"/>
      <c r="E24" s="51" t="n"/>
      <c r="F24" s="51" t="n"/>
      <c r="G24" s="51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  <row r="37" ht="14.65" customHeight="1" s="32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</row>
    <row r="38" ht="14.65" customHeight="1" s="32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</row>
    <row r="39" ht="14.65" customHeight="1" s="32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</row>
    <row r="40" ht="14.65" customHeight="1" s="32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</row>
    <row r="41" ht="14.65" customHeight="1" s="32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" activeCellId="0" sqref="D1 D1"/>
    </sheetView>
  </sheetViews>
  <sheetFormatPr baseColWidth="8" defaultColWidth="9.0546875" defaultRowHeight="14.65" zeroHeight="0" outlineLevelRow="0"/>
  <cols>
    <col width="41.85" customWidth="1" style="35" min="1" max="1"/>
  </cols>
  <sheetData>
    <row r="1" ht="14.65" customHeight="1" s="32">
      <c r="A1" s="33" t="inlineStr">
        <is>
          <t>BALANCE SHEETS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7" t="n"/>
      <c r="C5" s="37" t="n"/>
      <c r="D5" s="37" t="n"/>
      <c r="E5" s="37" t="n"/>
      <c r="F5" s="37" t="n"/>
      <c r="G5" s="37" t="n"/>
      <c r="H5" s="37" t="n"/>
    </row>
    <row r="6" ht="14.65" customHeight="1" s="32">
      <c r="A6" s="33" t="inlineStr">
        <is>
          <t>Cash</t>
        </is>
      </c>
      <c r="B6" s="37">
        <f>Financing!B32</f>
        <v/>
      </c>
      <c r="C6" s="37">
        <f>Financing!C32</f>
        <v/>
      </c>
      <c r="D6" s="37">
        <f>Financing!D32</f>
        <v/>
      </c>
      <c r="E6" s="37">
        <f>Financing!E32</f>
        <v/>
      </c>
      <c r="F6" s="37" t="n"/>
      <c r="G6" s="37" t="n"/>
      <c r="H6" s="37" t="n"/>
    </row>
    <row r="7" ht="14.65" customHeight="1" s="32">
      <c r="A7" s="33" t="inlineStr">
        <is>
          <t>Inventory</t>
        </is>
      </c>
      <c r="B7" s="37">
        <f>Operations!B26</f>
        <v/>
      </c>
      <c r="C7" s="37">
        <f>Operations!C26</f>
        <v/>
      </c>
      <c r="D7" s="37">
        <f>Operations!D26</f>
        <v/>
      </c>
      <c r="E7" s="37">
        <f>Operations!E26</f>
        <v/>
      </c>
      <c r="F7" s="37" t="n"/>
      <c r="G7" s="37" t="n"/>
      <c r="H7" s="37" t="n"/>
    </row>
    <row r="8" ht="14.65" customHeight="1" s="32">
      <c r="A8" s="33" t="inlineStr">
        <is>
          <t>Accounts receivable</t>
        </is>
      </c>
      <c r="B8" s="47">
        <f>Operations!B28</f>
        <v/>
      </c>
      <c r="C8" s="47">
        <f>Operations!C28</f>
        <v/>
      </c>
      <c r="D8" s="47">
        <f>Operations!D28</f>
        <v/>
      </c>
      <c r="E8" s="47">
        <f>Operations!E28</f>
        <v/>
      </c>
      <c r="F8" s="37" t="n"/>
      <c r="G8" s="37" t="n"/>
      <c r="H8" s="37" t="n"/>
    </row>
    <row r="9" ht="14.65" customHeight="1" s="32">
      <c r="A9" s="45" t="inlineStr">
        <is>
          <t>Total current assets</t>
        </is>
      </c>
      <c r="B9" s="50">
        <f>SUM(B6:B8)</f>
        <v/>
      </c>
      <c r="C9" s="50">
        <f>SUM(C6:C8)</f>
        <v/>
      </c>
      <c r="D9" s="50">
        <f>SUM(D6:D8)</f>
        <v/>
      </c>
      <c r="E9" s="50">
        <f>SUM(E6:E8)</f>
        <v/>
      </c>
      <c r="F9" s="37" t="n"/>
      <c r="G9" s="37" t="n"/>
      <c r="H9" s="37" t="n"/>
    </row>
    <row r="10" ht="14.65" customHeight="1" s="32">
      <c r="A10" s="51" t="n"/>
      <c r="B10" s="53" t="n"/>
      <c r="C10" s="53" t="n"/>
      <c r="D10" s="53" t="n"/>
      <c r="E10" s="53" t="n"/>
      <c r="F10" s="37" t="n"/>
      <c r="G10" s="37" t="n"/>
      <c r="H10" s="37" t="n"/>
    </row>
    <row r="11" ht="14.65" customHeight="1" s="32">
      <c r="A11" s="33" t="inlineStr">
        <is>
          <t>Gross property, plant &amp; equipment</t>
        </is>
      </c>
      <c r="B11" s="37">
        <f>Operations!B16</f>
        <v/>
      </c>
      <c r="C11" s="37">
        <f>B11+Operations!C16</f>
        <v/>
      </c>
      <c r="D11" s="37">
        <f>C11+Operations!D16</f>
        <v/>
      </c>
      <c r="E11" s="37">
        <f>D11+Operations!E16</f>
        <v/>
      </c>
      <c r="F11" s="37" t="n"/>
      <c r="G11" s="37" t="n"/>
      <c r="H11" s="37" t="n"/>
    </row>
    <row r="12" ht="14.65" customHeight="1" s="32">
      <c r="A12" s="33" t="inlineStr">
        <is>
          <t>Less accumulated depreciation</t>
        </is>
      </c>
      <c r="B12" s="47">
        <f>-Operations!B17</f>
        <v/>
      </c>
      <c r="C12" s="47">
        <f>B12-Operations!C17</f>
        <v/>
      </c>
      <c r="D12" s="47">
        <f>C12-Operations!D17</f>
        <v/>
      </c>
      <c r="E12" s="47">
        <f>D12-Operations!E17</f>
        <v/>
      </c>
      <c r="F12" s="37" t="n"/>
      <c r="G12" s="37" t="n"/>
      <c r="H12" s="37" t="n"/>
    </row>
    <row r="13" ht="14.65" customHeight="1" s="32">
      <c r="A13" s="45" t="inlineStr">
        <is>
          <t>Net property, plant &amp; equipment</t>
        </is>
      </c>
      <c r="B13" s="50">
        <f>B11+B12</f>
        <v/>
      </c>
      <c r="C13" s="50">
        <f>C11+C12</f>
        <v/>
      </c>
      <c r="D13" s="50">
        <f>D11+D12</f>
        <v/>
      </c>
      <c r="E13" s="50">
        <f>E11+E12</f>
        <v/>
      </c>
      <c r="F13" s="37" t="n"/>
      <c r="G13" s="37" t="n"/>
      <c r="H13" s="37" t="n"/>
    </row>
    <row r="14" ht="14.65" customHeight="1" s="32">
      <c r="F14" s="37" t="n"/>
      <c r="G14" s="37" t="n"/>
      <c r="H14" s="37" t="n"/>
    </row>
    <row r="15" ht="14.65" customHeight="1" s="32">
      <c r="A15" s="57" t="inlineStr">
        <is>
          <t>Total assets</t>
        </is>
      </c>
      <c r="B15" s="58">
        <f>B9+B13</f>
        <v/>
      </c>
      <c r="C15" s="58">
        <f>C9+C13</f>
        <v/>
      </c>
      <c r="D15" s="58">
        <f>D9+D13</f>
        <v/>
      </c>
      <c r="E15" s="58">
        <f>E9+E13</f>
        <v/>
      </c>
    </row>
    <row r="16" ht="14.65" customHeight="1" s="32">
      <c r="B16" s="59" t="n"/>
      <c r="C16" s="59" t="n"/>
      <c r="D16" s="59" t="n"/>
      <c r="E16" s="59" t="n"/>
    </row>
    <row r="17" ht="14.65" customHeight="1" s="32">
      <c r="A17" s="33" t="inlineStr">
        <is>
          <t>Accounts payable</t>
        </is>
      </c>
      <c r="B17" s="60">
        <f>Operations!B29</f>
        <v/>
      </c>
      <c r="C17" s="60">
        <f>Operations!C29</f>
        <v/>
      </c>
      <c r="D17" s="60">
        <f>Operations!D29</f>
        <v/>
      </c>
      <c r="E17" s="60">
        <f>Operations!E29</f>
        <v/>
      </c>
    </row>
    <row r="18" ht="14.65" customHeight="1" s="32">
      <c r="A18" s="33" t="inlineStr">
        <is>
          <t>Bank notes payable</t>
        </is>
      </c>
      <c r="B18" s="47">
        <f>Financing!B10</f>
        <v/>
      </c>
      <c r="C18" s="47">
        <f>Financing!C10</f>
        <v/>
      </c>
      <c r="D18" s="47">
        <f>Financing!D10</f>
        <v/>
      </c>
      <c r="E18" s="47">
        <f>Financing!E10</f>
        <v/>
      </c>
    </row>
    <row r="19" ht="14.65" customHeight="1" s="32">
      <c r="A19" s="54" t="inlineStr">
        <is>
          <t>Total current liabilities</t>
        </is>
      </c>
      <c r="B19" s="55">
        <f>B17+B18</f>
        <v/>
      </c>
      <c r="C19" s="55">
        <f>C17+C18</f>
        <v/>
      </c>
      <c r="D19" s="55">
        <f>D17+D18</f>
        <v/>
      </c>
      <c r="E19" s="55">
        <f>E17+E18</f>
        <v/>
      </c>
    </row>
    <row r="20" ht="14.65" customHeight="1" s="32">
      <c r="A20" s="43" t="n"/>
      <c r="B20" s="44" t="n"/>
      <c r="C20" s="44" t="n"/>
      <c r="D20" s="44" t="n"/>
      <c r="E20" s="44" t="n"/>
    </row>
    <row r="21" ht="14.65" customHeight="1" s="32">
      <c r="A21" s="51" t="inlineStr">
        <is>
          <t>Long-term debt</t>
        </is>
      </c>
      <c r="B21" s="53">
        <f>Financing!B9</f>
        <v/>
      </c>
      <c r="C21" s="53">
        <f>Financing!C9</f>
        <v/>
      </c>
      <c r="D21" s="53">
        <f>Financing!D9</f>
        <v/>
      </c>
      <c r="E21" s="53">
        <f>Financing!E9</f>
        <v/>
      </c>
    </row>
    <row r="22" ht="14.65" customHeight="1" s="32">
      <c r="A22" s="51" t="inlineStr">
        <is>
          <t>Shareholders equity</t>
        </is>
      </c>
      <c r="B22" s="52">
        <f>Financing!B12-Financing!B13</f>
        <v/>
      </c>
      <c r="C22" s="52">
        <f>B22+Financing!C12-Financing!C13+Income!C19</f>
        <v/>
      </c>
      <c r="D22" s="52">
        <f>C22+Financing!D12-Financing!D13+Income!D19</f>
        <v/>
      </c>
      <c r="E22" s="52">
        <f>D22+Financing!E12-Financing!E13+Income!E19</f>
        <v/>
      </c>
    </row>
    <row r="23" ht="14.65" customHeight="1" s="32">
      <c r="A23" s="54" t="inlineStr">
        <is>
          <t>Total long-term debt and shareholders equity</t>
        </is>
      </c>
      <c r="B23" s="61">
        <f>B21+B22</f>
        <v/>
      </c>
      <c r="C23" s="61">
        <f>C21+C22</f>
        <v/>
      </c>
      <c r="D23" s="61">
        <f>D21+D22</f>
        <v/>
      </c>
      <c r="E23" s="61">
        <f>E21+E22</f>
        <v/>
      </c>
    </row>
    <row r="24" ht="14.65" customHeight="1" s="32">
      <c r="A24" s="54" t="n"/>
      <c r="B24" s="55" t="n"/>
      <c r="C24" s="55" t="n"/>
      <c r="D24" s="55" t="n"/>
      <c r="E24" s="55" t="n"/>
    </row>
    <row r="25" ht="14.65" customHeight="1" s="32">
      <c r="A25" s="54" t="inlineStr">
        <is>
          <t>Total liabilities</t>
        </is>
      </c>
      <c r="B25" s="61">
        <f>B19+B23</f>
        <v/>
      </c>
      <c r="C25" s="61">
        <f>C19+C23</f>
        <v/>
      </c>
      <c r="D25" s="61">
        <f>D19+D23</f>
        <v/>
      </c>
      <c r="E25" s="61">
        <f>E19+E23</f>
        <v/>
      </c>
    </row>
    <row r="26" ht="14.65" customHeight="1" s="32">
      <c r="A26" s="33" t="n"/>
      <c r="B26" s="33" t="n"/>
      <c r="C26" s="33" t="n"/>
      <c r="D26" s="33" t="n"/>
      <c r="E2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15" activeCellId="0" sqref="F15:G15 F15:G15"/>
    </sheetView>
  </sheetViews>
  <sheetFormatPr baseColWidth="8" defaultColWidth="9.0546875" defaultRowHeight="14.65" zeroHeight="0" outlineLevelRow="0"/>
  <cols>
    <col width="36.28" customWidth="1" style="35" min="1" max="1"/>
  </cols>
  <sheetData>
    <row r="1" ht="14.65" customHeight="1" s="32">
      <c r="A1" s="33" t="inlineStr">
        <is>
          <t>STATEMENTS OF CASH FLOWS</t>
        </is>
      </c>
    </row>
    <row r="4" ht="14.65" customHeight="1" s="32">
      <c r="A4" s="36" t="inlineStr">
        <is>
          <t>Year</t>
        </is>
      </c>
      <c r="B4" s="36" t="n">
        <v>0</v>
      </c>
      <c r="C4" s="36" t="n">
        <v>1</v>
      </c>
      <c r="D4" s="36" t="n">
        <v>2</v>
      </c>
      <c r="E4" s="36" t="n">
        <v>3</v>
      </c>
    </row>
    <row r="5" ht="14.65" customHeight="1" s="32">
      <c r="A5" s="33" t="n"/>
      <c r="B5" s="33" t="n"/>
      <c r="C5" s="33" t="n"/>
      <c r="D5" s="33" t="n"/>
      <c r="E5" s="33" t="n"/>
    </row>
    <row r="6" ht="14.65" customHeight="1" s="32">
      <c r="A6" s="51" t="inlineStr">
        <is>
          <t>Net income</t>
        </is>
      </c>
      <c r="B6" s="53" t="n"/>
      <c r="C6" s="53">
        <f>Income!C19</f>
        <v/>
      </c>
      <c r="D6" s="53">
        <f>Income!D19</f>
        <v/>
      </c>
      <c r="E6" s="53">
        <f>Income!E19</f>
        <v/>
      </c>
      <c r="F6" s="37" t="n"/>
      <c r="G6" s="33" t="n"/>
      <c r="H6" s="33" t="n"/>
      <c r="I6" s="33" t="n"/>
    </row>
    <row r="7" ht="14.65" customHeight="1" s="32">
      <c r="A7" s="33" t="inlineStr">
        <is>
          <t>Plus depreciation</t>
        </is>
      </c>
      <c r="B7" s="37" t="n"/>
      <c r="C7" s="37">
        <f>Operations!C17</f>
        <v/>
      </c>
      <c r="D7" s="37">
        <f>Operations!D17</f>
        <v/>
      </c>
      <c r="E7" s="37">
        <f>Operations!E17</f>
        <v/>
      </c>
      <c r="F7" s="37" t="n"/>
      <c r="G7" s="33" t="n"/>
      <c r="H7" s="33" t="n"/>
      <c r="I7" s="33" t="n"/>
    </row>
    <row r="8" ht="14.65" customHeight="1" s="32">
      <c r="A8" s="33" t="inlineStr">
        <is>
          <t xml:space="preserve">Less increase in inventory </t>
        </is>
      </c>
      <c r="B8" s="37">
        <f>-'Balance sheet'!B7</f>
        <v/>
      </c>
      <c r="C8" s="37">
        <f>-('Balance sheet'!C7-'Balance sheet'!B7)</f>
        <v/>
      </c>
      <c r="D8" s="37">
        <f>-('Balance sheet'!D7-'Balance sheet'!C7)</f>
        <v/>
      </c>
      <c r="E8" s="37">
        <f>-('Balance sheet'!E7-'Balance sheet'!D7)</f>
        <v/>
      </c>
      <c r="F8" s="37" t="n"/>
      <c r="G8" s="33" t="n"/>
      <c r="H8" s="33" t="n"/>
      <c r="I8" s="33" t="n"/>
    </row>
    <row r="9" ht="14.65" customHeight="1" s="32">
      <c r="A9" s="33" t="inlineStr">
        <is>
          <t>Less increase in accounts receivable</t>
        </is>
      </c>
      <c r="B9" s="37">
        <f>-'Balance sheet'!B8</f>
        <v/>
      </c>
      <c r="C9" s="37">
        <f>-('Balance sheet'!C8-'Balance sheet'!B8)</f>
        <v/>
      </c>
      <c r="D9" s="37">
        <f>-('Balance sheet'!D8-'Balance sheet'!C8)</f>
        <v/>
      </c>
      <c r="E9" s="37">
        <f>-('Balance sheet'!E8-'Balance sheet'!D8)</f>
        <v/>
      </c>
      <c r="F9" s="37" t="n"/>
      <c r="G9" s="33" t="n"/>
      <c r="H9" s="33" t="n"/>
      <c r="I9" s="33" t="n"/>
    </row>
    <row r="10" ht="14.65" customHeight="1" s="32">
      <c r="A10" s="33" t="inlineStr">
        <is>
          <t>Plus increase in accounts payable</t>
        </is>
      </c>
      <c r="B10" s="47">
        <f>'Balance sheet'!B17</f>
        <v/>
      </c>
      <c r="C10" s="47">
        <f>'Balance sheet'!C17-'Balance sheet'!B17</f>
        <v/>
      </c>
      <c r="D10" s="47">
        <f>'Balance sheet'!D17-'Balance sheet'!C17</f>
        <v/>
      </c>
      <c r="E10" s="47">
        <f>'Balance sheet'!E17-'Balance sheet'!D17</f>
        <v/>
      </c>
      <c r="F10" s="37" t="n"/>
      <c r="G10" s="33" t="n"/>
      <c r="H10" s="33" t="n"/>
      <c r="I10" s="33" t="n"/>
    </row>
    <row r="11" ht="14.65" customHeight="1" s="32">
      <c r="A11" s="45" t="inlineStr">
        <is>
          <t>Cash flow from operations</t>
        </is>
      </c>
      <c r="B11" s="50">
        <f>SUM(B6:B10)</f>
        <v/>
      </c>
      <c r="C11" s="50">
        <f>SUM(C6:C10)</f>
        <v/>
      </c>
      <c r="D11" s="50">
        <f>SUM(D6:D10)</f>
        <v/>
      </c>
      <c r="E11" s="50">
        <f>SUM(E6:E10)</f>
        <v/>
      </c>
      <c r="F11" s="37" t="n"/>
      <c r="G11" s="33" t="n"/>
      <c r="H11" s="33" t="n"/>
      <c r="I11" s="33" t="n"/>
    </row>
    <row r="12" ht="14.65" customHeight="1" s="32">
      <c r="A12" s="33" t="inlineStr">
        <is>
          <t>Less investment</t>
        </is>
      </c>
      <c r="B12" s="47">
        <f>-Operations!B16</f>
        <v/>
      </c>
      <c r="C12" s="47">
        <f>-Operations!C16</f>
        <v/>
      </c>
      <c r="D12" s="47">
        <f>-Operations!D16</f>
        <v/>
      </c>
      <c r="E12" s="47">
        <f>-Operations!E16</f>
        <v/>
      </c>
      <c r="F12" s="37" t="n"/>
      <c r="G12" s="33" t="n"/>
      <c r="H12" s="33" t="n"/>
      <c r="I12" s="33" t="n"/>
    </row>
    <row r="13" ht="14.65" customHeight="1" s="32">
      <c r="A13" s="45" t="inlineStr">
        <is>
          <t>Cash flow from operations and invests</t>
        </is>
      </c>
      <c r="B13" s="50">
        <f>B11+B12</f>
        <v/>
      </c>
      <c r="C13" s="50">
        <f>C11+C12</f>
        <v/>
      </c>
      <c r="D13" s="50">
        <f>D11+D12</f>
        <v/>
      </c>
      <c r="E13" s="50">
        <f>E11+E12</f>
        <v/>
      </c>
      <c r="F13" s="37" t="n"/>
      <c r="G13" s="33" t="n"/>
      <c r="H13" s="33" t="n"/>
      <c r="I13" s="33" t="n"/>
    </row>
    <row r="14" ht="14.65" customHeight="1" s="32">
      <c r="A14" s="33" t="inlineStr">
        <is>
          <t>Plus net new equity capital raised</t>
        </is>
      </c>
      <c r="B14" s="37">
        <f>Financing!B12</f>
        <v/>
      </c>
      <c r="C14" s="37">
        <f>Financing!C12</f>
        <v/>
      </c>
      <c r="D14" s="37">
        <f>Financing!D12</f>
        <v/>
      </c>
      <c r="E14" s="37">
        <f>Financing!E12</f>
        <v/>
      </c>
      <c r="F14" s="37" t="n"/>
      <c r="G14" s="33" t="n"/>
      <c r="H14" s="33" t="n"/>
      <c r="I14" s="33" t="n"/>
    </row>
    <row r="15" ht="14.65" customHeight="1" s="32">
      <c r="A15" s="33" t="inlineStr">
        <is>
          <t>Less dividends paid</t>
        </is>
      </c>
      <c r="B15" s="37" t="n">
        <v>0</v>
      </c>
      <c r="C15" s="37">
        <f>-Financing!C13</f>
        <v/>
      </c>
      <c r="D15" s="37">
        <f>-Financing!D13</f>
        <v/>
      </c>
      <c r="E15" s="37">
        <f>-Financing!E13</f>
        <v/>
      </c>
      <c r="F15" s="37" t="n"/>
      <c r="G15" s="33" t="n"/>
      <c r="H15" s="33" t="n"/>
      <c r="I15" s="33" t="n"/>
    </row>
    <row r="16" ht="14.65" customHeight="1" s="32">
      <c r="A16" s="33" t="inlineStr">
        <is>
          <t>Plus net new long-term debt</t>
        </is>
      </c>
      <c r="B16" s="62">
        <f>Financing!B9</f>
        <v/>
      </c>
      <c r="C16" s="62">
        <f>Financing!C9-Financing!B9</f>
        <v/>
      </c>
      <c r="D16" s="62">
        <f>Financing!D9-Financing!C9</f>
        <v/>
      </c>
      <c r="E16" s="62">
        <f>Financing!E9-Financing!D9</f>
        <v/>
      </c>
      <c r="F16" s="33" t="n"/>
      <c r="G16" s="33" t="n"/>
      <c r="H16" s="33" t="n"/>
      <c r="I16" s="33" t="n"/>
    </row>
    <row r="17" ht="14.65" customHeight="1" s="32">
      <c r="A17" s="33" t="inlineStr">
        <is>
          <t>Plus net new bank borrowings</t>
        </is>
      </c>
      <c r="B17" s="63">
        <f>Financing!B10</f>
        <v/>
      </c>
      <c r="C17" s="63">
        <f>Financing!C10-Financing!B10</f>
        <v/>
      </c>
      <c r="D17" s="63">
        <f>Financing!D10-Financing!C10</f>
        <v/>
      </c>
      <c r="E17" s="63">
        <f>Financing!E10-Financing!D10</f>
        <v/>
      </c>
      <c r="F17" s="33" t="n"/>
      <c r="G17" s="33" t="n"/>
      <c r="H17" s="33" t="n"/>
      <c r="I17" s="33" t="n"/>
    </row>
    <row r="18" ht="14.65" customHeight="1" s="32">
      <c r="A18" s="45" t="inlineStr">
        <is>
          <t>Cash flow from ops, invests, and fin</t>
        </is>
      </c>
      <c r="B18" s="64">
        <f>SUM(B13:B17)</f>
        <v/>
      </c>
      <c r="C18" s="64">
        <f>SUM(C13:C17)</f>
        <v/>
      </c>
      <c r="D18" s="64">
        <f>SUM(D13:D17)</f>
        <v/>
      </c>
      <c r="E18" s="64">
        <f>SUM(E13:E17)</f>
        <v/>
      </c>
      <c r="F18" s="33" t="n"/>
      <c r="G18" s="33" t="n"/>
      <c r="H18" s="33" t="n"/>
      <c r="I18" s="33" t="n"/>
    </row>
    <row r="19" ht="14.65" customHeight="1" s="32">
      <c r="A19" s="33" t="inlineStr">
        <is>
          <t>Beginning cash balance</t>
        </is>
      </c>
      <c r="B19" s="47" t="n">
        <v>0</v>
      </c>
      <c r="C19" s="47">
        <f>B20</f>
        <v/>
      </c>
      <c r="D19" s="47">
        <f>C20</f>
        <v/>
      </c>
      <c r="E19" s="47">
        <f>D20</f>
        <v/>
      </c>
      <c r="F19" s="33" t="n"/>
      <c r="G19" s="33" t="n"/>
      <c r="H19" s="33" t="n"/>
      <c r="I19" s="33" t="n"/>
    </row>
    <row r="20" ht="14.65" customHeight="1" s="32">
      <c r="A20" s="33" t="inlineStr">
        <is>
          <t>Ending cash balance</t>
        </is>
      </c>
      <c r="B20" s="37">
        <f>B18+B19</f>
        <v/>
      </c>
      <c r="C20" s="37">
        <f>C18+C19</f>
        <v/>
      </c>
      <c r="D20" s="37">
        <f>D18+D19</f>
        <v/>
      </c>
      <c r="E20" s="37">
        <f>E18+E19</f>
        <v/>
      </c>
      <c r="F20" s="33" t="n"/>
      <c r="G20" s="33" t="n"/>
      <c r="H20" s="33" t="n"/>
      <c r="I20" s="33" t="n"/>
    </row>
    <row r="21" ht="14.65" customHeight="1" s="32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</row>
    <row r="22" ht="14.65" customHeight="1" s="3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</row>
    <row r="23" ht="14.65" customHeight="1" s="32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</row>
    <row r="24" ht="14.65" customHeight="1" s="32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</row>
    <row r="25" ht="14.65" customHeight="1" s="32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</row>
    <row r="26" ht="14.65" customHeight="1" s="32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</row>
    <row r="27" ht="14.65" customHeight="1" s="32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</row>
    <row r="28" ht="14.65" customHeight="1" s="32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</row>
    <row r="29" ht="14.65" customHeight="1" s="32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</row>
    <row r="30" ht="14.65" customHeight="1" s="32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</row>
    <row r="31" ht="14.65" customHeight="1" s="32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</row>
    <row r="32" ht="14.65" customHeight="1" s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</row>
    <row r="33" ht="14.65" customHeight="1" s="32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</row>
    <row r="34" ht="14.65" customHeight="1" s="32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</row>
    <row r="35" ht="14.65" customHeight="1" s="32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</row>
    <row r="36" ht="14.65" customHeight="1" s="32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2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2026-03-05T04:05:51Z</dcterms:created>
  <dcterms:modified xsi:type="dcterms:W3CDTF">2026-03-05T04:05:51Z</dcterms:modified>
  <cp:revision>0</cp:revision>
</cp:coreProperties>
</file>