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erations" sheetId="2" state="visible" r:id="rId2"/>
    <sheet name="Financing" sheetId="3" state="visible" r:id="rId3"/>
    <sheet name="Income" sheetId="4" state="visible" r:id="rId4"/>
    <sheet name="Balance sheet" sheetId="5" state="visible" r:id="rId5"/>
    <sheet name="Cash flows" sheetId="6" state="visible" r:id="rId6"/>
    <sheet name="_Metadata" sheetId="7" state="visible" r:id="rId7"/>
    <sheet name="_FormulaGro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Instructions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G2" t="inlineStr">
        <is>
          <t>There are three steps to using this spreadsheet: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</row>
    <row r="3">
      <c r="A3" t="inlineStr">
        <is>
          <t>Instructions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0</v>
      </c>
      <c r="V3" t="b">
        <v>0</v>
      </c>
      <c r="W3" t="inlineStr"/>
    </row>
    <row r="4">
      <c r="A4" t="inlineStr">
        <is>
          <t>Instructions</t>
        </is>
      </c>
      <c r="B4" t="inlineStr">
        <is>
          <t>A2</t>
        </is>
      </c>
      <c r="C4" t="n">
        <v>2</v>
      </c>
      <c r="D4" t="n">
        <v>1</v>
      </c>
      <c r="E4" t="inlineStr">
        <is>
          <t>Input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0</v>
      </c>
      <c r="V4" t="b">
        <v>0</v>
      </c>
      <c r="W4" t="inlineStr"/>
    </row>
    <row r="5">
      <c r="A5" t="inlineStr">
        <is>
          <t>Instructions</t>
        </is>
      </c>
      <c r="B5" t="inlineStr">
        <is>
          <t>B2</t>
        </is>
      </c>
      <c r="C5" t="n">
        <v>2</v>
      </c>
      <c r="D5" t="n">
        <v>2</v>
      </c>
      <c r="E5" t="inlineStr">
        <is>
          <t>Input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V5" t="b">
        <v>0</v>
      </c>
      <c r="W5" t="inlineStr"/>
    </row>
    <row r="6">
      <c r="A6" t="inlineStr">
        <is>
          <t>Instructions</t>
        </is>
      </c>
      <c r="B6" t="inlineStr">
        <is>
          <t>A3</t>
        </is>
      </c>
      <c r="C6" t="n">
        <v>3</v>
      </c>
      <c r="D6" t="n">
        <v>1</v>
      </c>
      <c r="E6" t="inlineStr">
        <is>
          <t>Input</t>
        </is>
      </c>
      <c r="G6" t="inlineStr">
        <is>
          <t xml:space="preserve">(1)  Make assumptions about operations in the Operations worksheet.  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V6" t="b">
        <v>0</v>
      </c>
      <c r="W6" t="inlineStr"/>
    </row>
    <row r="7">
      <c r="A7" t="inlineStr">
        <is>
          <t>Instructions</t>
        </is>
      </c>
      <c r="B7" t="inlineStr">
        <is>
          <t>B3</t>
        </is>
      </c>
      <c r="C7" t="n">
        <v>3</v>
      </c>
      <c r="D7" t="n">
        <v>2</v>
      </c>
      <c r="E7" t="inlineStr">
        <is>
          <t>Input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0</v>
      </c>
      <c r="V7" t="b">
        <v>0</v>
      </c>
      <c r="W7" t="inlineStr"/>
    </row>
    <row r="8">
      <c r="A8" t="inlineStr">
        <is>
          <t>Instructions</t>
        </is>
      </c>
      <c r="B8" t="inlineStr">
        <is>
          <t>A4</t>
        </is>
      </c>
      <c r="C8" t="n">
        <v>4</v>
      </c>
      <c r="D8" t="n">
        <v>1</v>
      </c>
      <c r="E8" t="inlineStr">
        <is>
          <t>Input</t>
        </is>
      </c>
      <c r="G8" t="inlineStr">
        <is>
          <t>(2)  Make assumptions about financing in the Financing worksheet.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V8" t="b">
        <v>0</v>
      </c>
      <c r="W8" t="inlineStr"/>
    </row>
    <row r="9">
      <c r="A9" t="inlineStr">
        <is>
          <t>Instructions</t>
        </is>
      </c>
      <c r="B9" t="inlineStr">
        <is>
          <t>B4</t>
        </is>
      </c>
      <c r="C9" t="n">
        <v>4</v>
      </c>
      <c r="D9" t="n">
        <v>2</v>
      </c>
      <c r="E9" t="inlineStr">
        <is>
          <t>Input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10</v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V9" t="b">
        <v>0</v>
      </c>
      <c r="W9" t="inlineStr"/>
    </row>
    <row r="10">
      <c r="A10" t="inlineStr">
        <is>
          <t>Instructions</t>
        </is>
      </c>
      <c r="B10" t="inlineStr">
        <is>
          <t>A5</t>
        </is>
      </c>
      <c r="C10" t="n">
        <v>5</v>
      </c>
      <c r="D10" t="n">
        <v>1</v>
      </c>
      <c r="E10" t="inlineStr">
        <is>
          <t>Input</t>
        </is>
      </c>
      <c r="G10" t="inlineStr">
        <is>
          <t>(3)  Use the Solver in the Financing worksheet to minimize bank notes payable subject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1</v>
      </c>
      <c r="V10" t="b">
        <v>0</v>
      </c>
      <c r="W10" t="inlineStr"/>
    </row>
    <row r="11">
      <c r="A11" t="inlineStr">
        <is>
          <t>Instructions</t>
        </is>
      </c>
      <c r="B11" t="inlineStr">
        <is>
          <t>B5</t>
        </is>
      </c>
      <c r="C11" t="n">
        <v>5</v>
      </c>
      <c r="D11" t="n">
        <v>2</v>
      </c>
      <c r="E11" t="inlineStr">
        <is>
          <t>Input</t>
        </is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V11" t="b">
        <v>0</v>
      </c>
      <c r="W11" t="inlineStr"/>
    </row>
    <row r="12">
      <c r="A12" t="inlineStr">
        <is>
          <t>Instructions</t>
        </is>
      </c>
      <c r="B12" t="inlineStr">
        <is>
          <t>A6</t>
        </is>
      </c>
      <c r="C12" t="n">
        <v>6</v>
      </c>
      <c r="D12" t="n">
        <v>1</v>
      </c>
      <c r="E12" t="inlineStr">
        <is>
          <t>Input</t>
        </is>
      </c>
      <c r="G12" t="inlineStr">
        <is>
          <t xml:space="preserve"> to maintaining the minimum cash balance required.  This step is explained in the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1</v>
      </c>
      <c r="V12" t="b">
        <v>0</v>
      </c>
      <c r="W12" t="inlineStr"/>
    </row>
    <row r="13">
      <c r="A13" t="inlineStr">
        <is>
          <t>Instructions</t>
        </is>
      </c>
      <c r="B13" t="inlineStr">
        <is>
          <t>B6</t>
        </is>
      </c>
      <c r="C13" t="n">
        <v>6</v>
      </c>
      <c r="D13" t="n">
        <v>2</v>
      </c>
      <c r="E13" t="inlineStr">
        <is>
          <t>Input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V13" t="b">
        <v>0</v>
      </c>
      <c r="W13" t="inlineStr"/>
    </row>
    <row r="14">
      <c r="A14" t="inlineStr">
        <is>
          <t>Instructions</t>
        </is>
      </c>
      <c r="B14" t="inlineStr">
        <is>
          <t>A7</t>
        </is>
      </c>
      <c r="C14" t="n">
        <v>7</v>
      </c>
      <c r="D14" t="n">
        <v>1</v>
      </c>
      <c r="E14" t="inlineStr">
        <is>
          <t>Input</t>
        </is>
      </c>
      <c r="G14" t="inlineStr">
        <is>
          <t xml:space="preserve"> Financing worksheet.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1</v>
      </c>
      <c r="V14" t="b">
        <v>0</v>
      </c>
      <c r="W14" t="inlineStr"/>
    </row>
    <row r="15">
      <c r="A15" t="inlineStr">
        <is>
          <t>Instructions</t>
        </is>
      </c>
      <c r="B15" t="inlineStr">
        <is>
          <t>B7</t>
        </is>
      </c>
      <c r="C15" t="n">
        <v>7</v>
      </c>
      <c r="D15" t="n">
        <v>2</v>
      </c>
      <c r="E15" t="inlineStr">
        <is>
          <t>Input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</row>
    <row r="16">
      <c r="A16" t="inlineStr">
        <is>
          <t>Instructions</t>
        </is>
      </c>
      <c r="B16" t="inlineStr">
        <is>
          <t>A8</t>
        </is>
      </c>
      <c r="C16" t="n">
        <v>8</v>
      </c>
      <c r="D16" t="n">
        <v>1</v>
      </c>
      <c r="E16" t="inlineStr">
        <is>
          <t>Input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V16" t="b">
        <v>0</v>
      </c>
      <c r="W16" t="inlineStr"/>
    </row>
    <row r="17">
      <c r="A17" t="inlineStr">
        <is>
          <t>Instructions</t>
        </is>
      </c>
      <c r="B17" t="inlineStr">
        <is>
          <t>B8</t>
        </is>
      </c>
      <c r="C17" t="n">
        <v>8</v>
      </c>
      <c r="D17" t="n">
        <v>2</v>
      </c>
      <c r="E17" t="inlineStr">
        <is>
          <t>Input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10</v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V17" t="b">
        <v>0</v>
      </c>
      <c r="W17" t="inlineStr"/>
    </row>
    <row r="18">
      <c r="A18" t="inlineStr">
        <is>
          <t>Instructions</t>
        </is>
      </c>
      <c r="B18" t="inlineStr">
        <is>
          <t>A9</t>
        </is>
      </c>
      <c r="C18" t="n">
        <v>9</v>
      </c>
      <c r="D18" t="n">
        <v>1</v>
      </c>
      <c r="E18" t="inlineStr">
        <is>
          <t>Input</t>
        </is>
      </c>
      <c r="G18" t="inlineStr">
        <is>
          <t>The only cells that should be changed are in the Operations Assumptions and Financing</t>
        </is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10</v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V18" t="b">
        <v>0</v>
      </c>
      <c r="W18" t="inlineStr"/>
    </row>
    <row r="19">
      <c r="A19" t="inlineStr">
        <is>
          <t>Instructions</t>
        </is>
      </c>
      <c r="B19" t="inlineStr">
        <is>
          <t>B9</t>
        </is>
      </c>
      <c r="C19" t="n">
        <v>9</v>
      </c>
      <c r="D19" t="n">
        <v>2</v>
      </c>
      <c r="E19" t="inlineStr">
        <is>
          <t>Input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V19" t="b">
        <v>0</v>
      </c>
      <c r="W19" t="inlineStr"/>
    </row>
    <row r="20">
      <c r="A20" t="inlineStr">
        <is>
          <t>Instructions</t>
        </is>
      </c>
      <c r="B20" t="inlineStr">
        <is>
          <t>A10</t>
        </is>
      </c>
      <c r="C20" t="n">
        <v>10</v>
      </c>
      <c r="D20" t="n">
        <v>1</v>
      </c>
      <c r="E20" t="inlineStr">
        <is>
          <t>Input</t>
        </is>
      </c>
      <c r="G20" t="inlineStr">
        <is>
          <t xml:space="preserve">Assumptions sections.  The spreadsheet will generate income statements, balance </t>
        </is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V20" t="b">
        <v>0</v>
      </c>
      <c r="W20" t="inlineStr"/>
    </row>
    <row r="21">
      <c r="A21" t="inlineStr">
        <is>
          <t>Instructions</t>
        </is>
      </c>
      <c r="B21" t="inlineStr">
        <is>
          <t>B10</t>
        </is>
      </c>
      <c r="C21" t="n">
        <v>10</v>
      </c>
      <c r="D21" t="n">
        <v>2</v>
      </c>
      <c r="E21" t="inlineStr">
        <is>
          <t>Input</t>
        </is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V21" t="b">
        <v>0</v>
      </c>
      <c r="W21" t="inlineStr"/>
    </row>
    <row r="22">
      <c r="A22" t="inlineStr">
        <is>
          <t>Instructions</t>
        </is>
      </c>
      <c r="B22" t="inlineStr">
        <is>
          <t>A11</t>
        </is>
      </c>
      <c r="C22" t="n">
        <v>11</v>
      </c>
      <c r="D22" t="n">
        <v>1</v>
      </c>
      <c r="E22" t="inlineStr">
        <is>
          <t>Input</t>
        </is>
      </c>
      <c r="G22" t="inlineStr">
        <is>
          <t>sheets, and statements of cash flows.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1</v>
      </c>
      <c r="V22" t="b">
        <v>0</v>
      </c>
      <c r="W22" t="inlineStr"/>
    </row>
    <row r="23">
      <c r="A23" t="inlineStr">
        <is>
          <t>Instructions</t>
        </is>
      </c>
      <c r="B23" t="inlineStr">
        <is>
          <t>B11</t>
        </is>
      </c>
      <c r="C23" t="n">
        <v>11</v>
      </c>
      <c r="D23" t="n">
        <v>2</v>
      </c>
      <c r="E23" t="inlineStr">
        <is>
          <t>Input</t>
        </is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V23" t="b">
        <v>0</v>
      </c>
      <c r="W23" t="inlineStr"/>
    </row>
    <row r="24">
      <c r="A24" t="inlineStr">
        <is>
          <t>Instructions</t>
        </is>
      </c>
      <c r="B24" t="inlineStr">
        <is>
          <t>A12</t>
        </is>
      </c>
      <c r="C24" t="n">
        <v>12</v>
      </c>
      <c r="D24" t="n">
        <v>1</v>
      </c>
      <c r="E24" t="inlineStr">
        <is>
          <t>Input</t>
        </is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V24" t="b">
        <v>0</v>
      </c>
      <c r="W24" t="inlineStr"/>
    </row>
    <row r="25">
      <c r="A25" t="inlineStr">
        <is>
          <t>Instructions</t>
        </is>
      </c>
      <c r="B25" t="inlineStr">
        <is>
          <t>B12</t>
        </is>
      </c>
      <c r="C25" t="n">
        <v>12</v>
      </c>
      <c r="D25" t="n">
        <v>2</v>
      </c>
      <c r="E25" t="inlineStr">
        <is>
          <t>Input</t>
        </is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V25" t="b">
        <v>0</v>
      </c>
      <c r="W25" t="inlineStr"/>
    </row>
    <row r="26">
      <c r="A26" t="inlineStr">
        <is>
          <t>Instructions</t>
        </is>
      </c>
      <c r="B26" t="inlineStr">
        <is>
          <t>A13</t>
        </is>
      </c>
      <c r="C26" t="n">
        <v>13</v>
      </c>
      <c r="D26" t="n">
        <v>1</v>
      </c>
      <c r="E26" t="inlineStr">
        <is>
          <t>Input</t>
        </is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V26" t="b">
        <v>0</v>
      </c>
      <c r="W26" t="inlineStr"/>
    </row>
    <row r="27">
      <c r="A27" t="inlineStr">
        <is>
          <t>Instructions</t>
        </is>
      </c>
      <c r="B27" t="inlineStr">
        <is>
          <t>B13</t>
        </is>
      </c>
      <c r="C27" t="n">
        <v>13</v>
      </c>
      <c r="D27" t="n">
        <v>2</v>
      </c>
      <c r="E27" t="inlineStr">
        <is>
          <t>Input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V27" t="b">
        <v>0</v>
      </c>
      <c r="W27" t="inlineStr"/>
    </row>
    <row r="28">
      <c r="A28" t="inlineStr">
        <is>
          <t>Instructions</t>
        </is>
      </c>
      <c r="B28" t="inlineStr">
        <is>
          <t>A14</t>
        </is>
      </c>
      <c r="C28" t="n">
        <v>14</v>
      </c>
      <c r="D28" t="n">
        <v>1</v>
      </c>
      <c r="E28" t="inlineStr">
        <is>
          <t>Input</t>
        </is>
      </c>
      <c r="G28" t="inlineStr">
        <is>
          <t>Kerry Back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V28" t="b">
        <v>0</v>
      </c>
      <c r="W28" t="inlineStr"/>
    </row>
    <row r="29">
      <c r="A29" t="inlineStr">
        <is>
          <t>Instructions</t>
        </is>
      </c>
      <c r="B29" t="inlineStr">
        <is>
          <t>B14</t>
        </is>
      </c>
      <c r="C29" t="n">
        <v>14</v>
      </c>
      <c r="D29" t="n">
        <v>2</v>
      </c>
      <c r="E29" t="inlineStr">
        <is>
          <t>Input</t>
        </is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V29" t="b">
        <v>0</v>
      </c>
      <c r="W29" t="inlineStr"/>
    </row>
    <row r="30">
      <c r="A30" t="inlineStr">
        <is>
          <t>Instructions</t>
        </is>
      </c>
      <c r="B30" t="inlineStr">
        <is>
          <t>A15</t>
        </is>
      </c>
      <c r="C30" t="n">
        <v>15</v>
      </c>
      <c r="D30" t="n">
        <v>1</v>
      </c>
      <c r="E30" t="inlineStr">
        <is>
          <t>Input</t>
        </is>
      </c>
      <c r="G30" t="inlineStr">
        <is>
          <t>John M. Olin School of Business</t>
        </is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1</v>
      </c>
      <c r="V30" t="b">
        <v>0</v>
      </c>
      <c r="W30" t="inlineStr"/>
    </row>
    <row r="31">
      <c r="A31" t="inlineStr">
        <is>
          <t>Instructions</t>
        </is>
      </c>
      <c r="B31" t="inlineStr">
        <is>
          <t>A16</t>
        </is>
      </c>
      <c r="C31" t="n">
        <v>16</v>
      </c>
      <c r="D31" t="n">
        <v>1</v>
      </c>
      <c r="E31" t="inlineStr">
        <is>
          <t>Input</t>
        </is>
      </c>
      <c r="G31" s="1" t="n">
        <v>35443</v>
      </c>
      <c r="H31" t="inlineStr"/>
      <c r="I31" t="inlineStr">
        <is>
          <t>[$-409]d\-mmm\-yy</t>
        </is>
      </c>
      <c r="J31" t="b">
        <v>1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1</v>
      </c>
      <c r="V31" t="b">
        <v>0</v>
      </c>
      <c r="W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Operations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OPERATIONS AND INVESTMENTS ASSUMPTIONS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Operations</t>
        </is>
      </c>
      <c r="B3" t="inlineStr">
        <is>
          <t>A4</t>
        </is>
      </c>
      <c r="C3" t="n">
        <v>4</v>
      </c>
      <c r="D3" t="n">
        <v>1</v>
      </c>
      <c r="E3" t="inlineStr">
        <is>
          <t>Input</t>
        </is>
      </c>
      <c r="F3" t="n">
        <v/>
      </c>
      <c r="G3" t="inlineStr">
        <is>
          <t>Year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Operations</t>
        </is>
      </c>
      <c r="B4" t="inlineStr">
        <is>
          <t>B4</t>
        </is>
      </c>
      <c r="C4" t="n">
        <v>4</v>
      </c>
      <c r="D4" t="n">
        <v>2</v>
      </c>
      <c r="E4" t="inlineStr">
        <is>
          <t>Input</t>
        </is>
      </c>
      <c r="F4" t="n">
        <v/>
      </c>
      <c r="G4" t="n">
        <v>0</v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Operations</t>
        </is>
      </c>
      <c r="B5" t="inlineStr">
        <is>
          <t>C4</t>
        </is>
      </c>
      <c r="C5" t="n">
        <v>4</v>
      </c>
      <c r="D5" t="n">
        <v>3</v>
      </c>
      <c r="E5" t="inlineStr">
        <is>
          <t>Input</t>
        </is>
      </c>
      <c r="F5" t="n">
        <v/>
      </c>
      <c r="G5" t="n">
        <v>1</v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Operations</t>
        </is>
      </c>
      <c r="B6" t="inlineStr">
        <is>
          <t>D4</t>
        </is>
      </c>
      <c r="C6" t="n">
        <v>4</v>
      </c>
      <c r="D6" t="n">
        <v>4</v>
      </c>
      <c r="E6" t="inlineStr">
        <is>
          <t>Input</t>
        </is>
      </c>
      <c r="F6" t="n">
        <v/>
      </c>
      <c r="G6" t="n">
        <v>2</v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Operations</t>
        </is>
      </c>
      <c r="B7" t="inlineStr">
        <is>
          <t>E4</t>
        </is>
      </c>
      <c r="C7" t="n">
        <v>4</v>
      </c>
      <c r="D7" t="n">
        <v>5</v>
      </c>
      <c r="E7" t="inlineStr">
        <is>
          <t>Input</t>
        </is>
      </c>
      <c r="F7" t="n">
        <v/>
      </c>
      <c r="G7" t="n">
        <v>3</v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Operations</t>
        </is>
      </c>
      <c r="B8" t="inlineStr">
        <is>
          <t>F4</t>
        </is>
      </c>
      <c r="C8" t="n">
        <v>4</v>
      </c>
      <c r="D8" t="n">
        <v>6</v>
      </c>
      <c r="E8" t="inlineStr">
        <is>
          <t>Input</t>
        </is>
      </c>
      <c r="F8" t="n">
        <v/>
      </c>
      <c r="G8" t="n">
        <v>4</v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Operations</t>
        </is>
      </c>
      <c r="B9" t="inlineStr">
        <is>
          <t>G4</t>
        </is>
      </c>
      <c r="C9" t="n">
        <v>4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1</v>
      </c>
      <c r="K9" t="b">
        <v>0</v>
      </c>
      <c r="L9" t="n">
        <v>10</v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Operations</t>
        </is>
      </c>
      <c r="B10" t="inlineStr">
        <is>
          <t>H4</t>
        </is>
      </c>
      <c r="C10" t="n">
        <v>4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Operations</t>
        </is>
      </c>
      <c r="B11" t="inlineStr">
        <is>
          <t>I4</t>
        </is>
      </c>
      <c r="C11" t="n">
        <v>4</v>
      </c>
      <c r="D11" t="n">
        <v>9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Operations</t>
        </is>
      </c>
      <c r="B12" t="inlineStr">
        <is>
          <t>J4</t>
        </is>
      </c>
      <c r="C12" t="n">
        <v>4</v>
      </c>
      <c r="D12" t="n">
        <v>10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Operations</t>
        </is>
      </c>
      <c r="B13" t="inlineStr">
        <is>
          <t>K4</t>
        </is>
      </c>
      <c r="C13" t="n">
        <v>4</v>
      </c>
      <c r="D13" t="n">
        <v>11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Operations</t>
        </is>
      </c>
      <c r="B14" t="inlineStr">
        <is>
          <t>L4</t>
        </is>
      </c>
      <c r="C14" t="n">
        <v>4</v>
      </c>
      <c r="D14" t="n">
        <v>12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Operations</t>
        </is>
      </c>
      <c r="B15" t="inlineStr">
        <is>
          <t>M4</t>
        </is>
      </c>
      <c r="C15" t="n">
        <v>4</v>
      </c>
      <c r="D15" t="n">
        <v>13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Operations</t>
        </is>
      </c>
      <c r="B16" t="inlineStr">
        <is>
          <t>N4</t>
        </is>
      </c>
      <c r="C16" t="n">
        <v>4</v>
      </c>
      <c r="D16" t="n">
        <v>14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Operations</t>
        </is>
      </c>
      <c r="B17" t="inlineStr">
        <is>
          <t>O4</t>
        </is>
      </c>
      <c r="C17" t="n">
        <v>4</v>
      </c>
      <c r="D17" t="n">
        <v>15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10</v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Operations</t>
        </is>
      </c>
      <c r="B18" t="inlineStr">
        <is>
          <t>A5</t>
        </is>
      </c>
      <c r="C18" t="n">
        <v>5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10</v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Operations</t>
        </is>
      </c>
      <c r="B19" t="inlineStr">
        <is>
          <t>B5</t>
        </is>
      </c>
      <c r="C19" t="n">
        <v>5</v>
      </c>
      <c r="D19" t="n">
        <v>2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Operations</t>
        </is>
      </c>
      <c r="B20" t="inlineStr">
        <is>
          <t>C5</t>
        </is>
      </c>
      <c r="C20" t="n">
        <v>5</v>
      </c>
      <c r="D20" t="n">
        <v>3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Operations</t>
        </is>
      </c>
      <c r="B21" t="inlineStr">
        <is>
          <t>D5</t>
        </is>
      </c>
      <c r="C21" t="n">
        <v>5</v>
      </c>
      <c r="D21" t="n">
        <v>4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Operations</t>
        </is>
      </c>
      <c r="B22" t="inlineStr">
        <is>
          <t>E5</t>
        </is>
      </c>
      <c r="C22" t="n">
        <v>5</v>
      </c>
      <c r="D22" t="n">
        <v>5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Operations</t>
        </is>
      </c>
      <c r="B23" t="inlineStr">
        <is>
          <t>F5</t>
        </is>
      </c>
      <c r="C23" t="n">
        <v>5</v>
      </c>
      <c r="D23" t="n">
        <v>6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Operations</t>
        </is>
      </c>
      <c r="B24" t="inlineStr">
        <is>
          <t>G5</t>
        </is>
      </c>
      <c r="C24" t="n">
        <v>5</v>
      </c>
      <c r="D24" t="n">
        <v>7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Operations</t>
        </is>
      </c>
      <c r="B25" t="inlineStr">
        <is>
          <t>H5</t>
        </is>
      </c>
      <c r="C25" t="n">
        <v>5</v>
      </c>
      <c r="D25" t="n">
        <v>8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Operations</t>
        </is>
      </c>
      <c r="B26" t="inlineStr">
        <is>
          <t>I5</t>
        </is>
      </c>
      <c r="C26" t="n">
        <v>5</v>
      </c>
      <c r="D26" t="n">
        <v>9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Operations</t>
        </is>
      </c>
      <c r="B27" t="inlineStr">
        <is>
          <t>J5</t>
        </is>
      </c>
      <c r="C27" t="n">
        <v>5</v>
      </c>
      <c r="D27" t="n">
        <v>10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Operations</t>
        </is>
      </c>
      <c r="B28" t="inlineStr">
        <is>
          <t>K5</t>
        </is>
      </c>
      <c r="C28" t="n">
        <v>5</v>
      </c>
      <c r="D28" t="n">
        <v>11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Operations</t>
        </is>
      </c>
      <c r="B29" t="inlineStr">
        <is>
          <t>L5</t>
        </is>
      </c>
      <c r="C29" t="n">
        <v>5</v>
      </c>
      <c r="D29" t="n">
        <v>12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Operations</t>
        </is>
      </c>
      <c r="B30" t="inlineStr">
        <is>
          <t>M5</t>
        </is>
      </c>
      <c r="C30" t="n">
        <v>5</v>
      </c>
      <c r="D30" t="n">
        <v>13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Operations</t>
        </is>
      </c>
      <c r="B31" t="inlineStr">
        <is>
          <t>N5</t>
        </is>
      </c>
      <c r="C31" t="n">
        <v>5</v>
      </c>
      <c r="D31" t="n">
        <v>14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Operations</t>
        </is>
      </c>
      <c r="B32" t="inlineStr">
        <is>
          <t>O5</t>
        </is>
      </c>
      <c r="C32" t="n">
        <v>5</v>
      </c>
      <c r="D32" t="n">
        <v>15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Operations</t>
        </is>
      </c>
      <c r="B33" t="inlineStr">
        <is>
          <t>A6</t>
        </is>
      </c>
      <c r="C33" t="n">
        <v>6</v>
      </c>
      <c r="D33" t="n">
        <v>1</v>
      </c>
      <c r="E33" t="inlineStr">
        <is>
          <t>Input</t>
        </is>
      </c>
      <c r="F33" t="n">
        <v/>
      </c>
      <c r="G33" t="inlineStr">
        <is>
          <t>Sales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10</v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Operations</t>
        </is>
      </c>
      <c r="B34" t="inlineStr">
        <is>
          <t>B6</t>
        </is>
      </c>
      <c r="C34" t="n">
        <v>6</v>
      </c>
      <c r="D34" t="n">
        <v>2</v>
      </c>
      <c r="E34" t="inlineStr">
        <is>
          <t>Input</t>
        </is>
      </c>
      <c r="F34" t="n">
        <v/>
      </c>
      <c r="H34" t="inlineStr"/>
      <c r="I34" t="inlineStr">
        <is>
          <t>_(* #,##0_);_(* \(#,##0\);_(* \-??_);_(@_)</t>
        </is>
      </c>
      <c r="J34" t="b">
        <v>1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Operations</t>
        </is>
      </c>
      <c r="B35" t="inlineStr">
        <is>
          <t>C6</t>
        </is>
      </c>
      <c r="C35" t="n">
        <v>6</v>
      </c>
      <c r="D35" t="n">
        <v>3</v>
      </c>
      <c r="E35" t="inlineStr">
        <is>
          <t>Input</t>
        </is>
      </c>
      <c r="F35" t="n">
        <v/>
      </c>
      <c r="G35" t="n">
        <v>400</v>
      </c>
      <c r="H35" t="inlineStr"/>
      <c r="I35" t="inlineStr">
        <is>
          <t>_(* #,##0_);_(* \(#,##0\);_(* \-??_);_(@_)</t>
        </is>
      </c>
      <c r="J35" t="b">
        <v>1</v>
      </c>
      <c r="K35" t="b">
        <v>0</v>
      </c>
      <c r="L35" t="n">
        <v>10</v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Operations</t>
        </is>
      </c>
      <c r="B36" t="inlineStr">
        <is>
          <t>D6</t>
        </is>
      </c>
      <c r="C36" t="n">
        <v>6</v>
      </c>
      <c r="D36" t="n">
        <v>4</v>
      </c>
      <c r="E36" t="inlineStr">
        <is>
          <t>Input</t>
        </is>
      </c>
      <c r="F36" t="n">
        <v/>
      </c>
      <c r="G36" t="n">
        <v>600</v>
      </c>
      <c r="H36" t="inlineStr"/>
      <c r="I36" t="inlineStr">
        <is>
          <t>_(* #,##0_);_(* \(#,##0\);_(* \-??_);_(@_)</t>
        </is>
      </c>
      <c r="J36" t="b">
        <v>1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Operations</t>
        </is>
      </c>
      <c r="B37" t="inlineStr">
        <is>
          <t>E6</t>
        </is>
      </c>
      <c r="C37" t="n">
        <v>6</v>
      </c>
      <c r="D37" t="n">
        <v>5</v>
      </c>
      <c r="E37" t="inlineStr">
        <is>
          <t>Input</t>
        </is>
      </c>
      <c r="F37" t="n">
        <v/>
      </c>
      <c r="G37" t="n">
        <v>800</v>
      </c>
      <c r="H37" t="inlineStr"/>
      <c r="I37" t="inlineStr">
        <is>
          <t>_(* #,##0_);_(* \(#,##0\);_(* \-??_);_(@_)</t>
        </is>
      </c>
      <c r="J37" t="b">
        <v>1</v>
      </c>
      <c r="K37" t="b">
        <v>0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Operations</t>
        </is>
      </c>
      <c r="B38" t="inlineStr">
        <is>
          <t>F6</t>
        </is>
      </c>
      <c r="C38" t="n">
        <v>6</v>
      </c>
      <c r="D38" t="n">
        <v>6</v>
      </c>
      <c r="E38" t="inlineStr">
        <is>
          <t>Input</t>
        </is>
      </c>
      <c r="F38" t="n">
        <v/>
      </c>
      <c r="G38" t="n">
        <v>900</v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Operations</t>
        </is>
      </c>
      <c r="B39" t="inlineStr">
        <is>
          <t>G6</t>
        </is>
      </c>
      <c r="C39" t="n">
        <v>6</v>
      </c>
      <c r="D39" t="n">
        <v>7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10</v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Operations</t>
        </is>
      </c>
      <c r="B40" t="inlineStr">
        <is>
          <t>H6</t>
        </is>
      </c>
      <c r="C40" t="n">
        <v>6</v>
      </c>
      <c r="D40" t="n">
        <v>8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Operations</t>
        </is>
      </c>
      <c r="B41" t="inlineStr">
        <is>
          <t>I6</t>
        </is>
      </c>
      <c r="C41" t="n">
        <v>6</v>
      </c>
      <c r="D41" t="n">
        <v>9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Operations</t>
        </is>
      </c>
      <c r="B42" t="inlineStr">
        <is>
          <t>J6</t>
        </is>
      </c>
      <c r="C42" t="n">
        <v>6</v>
      </c>
      <c r="D42" t="n">
        <v>10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10</v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Operations</t>
        </is>
      </c>
      <c r="B43" t="inlineStr">
        <is>
          <t>K6</t>
        </is>
      </c>
      <c r="C43" t="n">
        <v>6</v>
      </c>
      <c r="D43" t="n">
        <v>11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10</v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Operations</t>
        </is>
      </c>
      <c r="B44" t="inlineStr">
        <is>
          <t>L6</t>
        </is>
      </c>
      <c r="C44" t="n">
        <v>6</v>
      </c>
      <c r="D44" t="n">
        <v>12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10</v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Operations</t>
        </is>
      </c>
      <c r="B45" t="inlineStr">
        <is>
          <t>M6</t>
        </is>
      </c>
      <c r="C45" t="n">
        <v>6</v>
      </c>
      <c r="D45" t="n">
        <v>13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1</v>
      </c>
      <c r="K45" t="b">
        <v>0</v>
      </c>
      <c r="L45" t="n">
        <v>10</v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Operations</t>
        </is>
      </c>
      <c r="B46" t="inlineStr">
        <is>
          <t>N6</t>
        </is>
      </c>
      <c r="C46" t="n">
        <v>6</v>
      </c>
      <c r="D46" t="n">
        <v>14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Operations</t>
        </is>
      </c>
      <c r="B47" t="inlineStr">
        <is>
          <t>O6</t>
        </is>
      </c>
      <c r="C47" t="n">
        <v>6</v>
      </c>
      <c r="D47" t="n">
        <v>15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Operations</t>
        </is>
      </c>
      <c r="B48" t="inlineStr">
        <is>
          <t>A7</t>
        </is>
      </c>
      <c r="C48" t="n">
        <v>7</v>
      </c>
      <c r="D48" t="n">
        <v>1</v>
      </c>
      <c r="E48" t="inlineStr">
        <is>
          <t>Input</t>
        </is>
      </c>
      <c r="F48" t="n">
        <v/>
      </c>
      <c r="G48" t="inlineStr">
        <is>
          <t>COGS (% of sales)</t>
        </is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Operations</t>
        </is>
      </c>
      <c r="B49" t="inlineStr">
        <is>
          <t>B7</t>
        </is>
      </c>
      <c r="C49" t="n">
        <v>7</v>
      </c>
      <c r="D49" t="n">
        <v>2</v>
      </c>
      <c r="E49" t="inlineStr">
        <is>
          <t>Input</t>
        </is>
      </c>
      <c r="F49" t="n">
        <v/>
      </c>
      <c r="H49" t="inlineStr"/>
      <c r="I49" t="inlineStr">
        <is>
          <t>0%</t>
        </is>
      </c>
      <c r="J49" t="b">
        <v>1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Operations</t>
        </is>
      </c>
      <c r="B50" t="inlineStr">
        <is>
          <t>C7</t>
        </is>
      </c>
      <c r="C50" t="n">
        <v>7</v>
      </c>
      <c r="D50" t="n">
        <v>3</v>
      </c>
      <c r="E50" t="inlineStr">
        <is>
          <t>Input</t>
        </is>
      </c>
      <c r="F50" t="n">
        <v/>
      </c>
      <c r="G50" t="n">
        <v>0.5</v>
      </c>
      <c r="H50" t="inlineStr"/>
      <c r="I50" t="inlineStr">
        <is>
          <t>0%</t>
        </is>
      </c>
      <c r="J50" t="b">
        <v>1</v>
      </c>
      <c r="K50" t="b">
        <v>0</v>
      </c>
      <c r="L50" t="n">
        <v>10</v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Operations</t>
        </is>
      </c>
      <c r="B51" t="inlineStr">
        <is>
          <t>D7</t>
        </is>
      </c>
      <c r="C51" t="n">
        <v>7</v>
      </c>
      <c r="D51" t="n">
        <v>4</v>
      </c>
      <c r="E51" t="inlineStr">
        <is>
          <t>Input</t>
        </is>
      </c>
      <c r="F51" t="n">
        <v/>
      </c>
      <c r="G51" t="n">
        <v>0.5</v>
      </c>
      <c r="H51" t="inlineStr"/>
      <c r="I51" t="inlineStr">
        <is>
          <t>0%</t>
        </is>
      </c>
      <c r="J51" t="b">
        <v>1</v>
      </c>
      <c r="K51" t="b">
        <v>0</v>
      </c>
      <c r="L51" t="n">
        <v>10</v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Operations</t>
        </is>
      </c>
      <c r="B52" t="inlineStr">
        <is>
          <t>E7</t>
        </is>
      </c>
      <c r="C52" t="n">
        <v>7</v>
      </c>
      <c r="D52" t="n">
        <v>5</v>
      </c>
      <c r="E52" t="inlineStr">
        <is>
          <t>Input</t>
        </is>
      </c>
      <c r="F52" t="n">
        <v/>
      </c>
      <c r="G52" t="n">
        <v>0.5</v>
      </c>
      <c r="H52" t="inlineStr"/>
      <c r="I52" t="inlineStr">
        <is>
          <t>0%</t>
        </is>
      </c>
      <c r="J52" t="b">
        <v>1</v>
      </c>
      <c r="K52" t="b">
        <v>0</v>
      </c>
      <c r="L52" t="n">
        <v>10</v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Operations</t>
        </is>
      </c>
      <c r="B53" t="inlineStr">
        <is>
          <t>F7</t>
        </is>
      </c>
      <c r="C53" t="n">
        <v>7</v>
      </c>
      <c r="D53" t="n">
        <v>6</v>
      </c>
      <c r="E53" t="inlineStr">
        <is>
          <t>Input</t>
        </is>
      </c>
      <c r="F53" t="n">
        <v/>
      </c>
      <c r="G53" t="n">
        <v>0.5</v>
      </c>
      <c r="H53" t="inlineStr"/>
      <c r="I53" t="inlineStr">
        <is>
          <t>0%</t>
        </is>
      </c>
      <c r="J53" t="b">
        <v>1</v>
      </c>
      <c r="K53" t="b">
        <v>0</v>
      </c>
      <c r="L53" t="n">
        <v>10</v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Operations</t>
        </is>
      </c>
      <c r="B54" t="inlineStr">
        <is>
          <t>G7</t>
        </is>
      </c>
      <c r="C54" t="n">
        <v>7</v>
      </c>
      <c r="D54" t="n">
        <v>7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10</v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Operations</t>
        </is>
      </c>
      <c r="B55" t="inlineStr">
        <is>
          <t>H7</t>
        </is>
      </c>
      <c r="C55" t="n">
        <v>7</v>
      </c>
      <c r="D55" t="n">
        <v>8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Operations</t>
        </is>
      </c>
      <c r="B56" t="inlineStr">
        <is>
          <t>I7</t>
        </is>
      </c>
      <c r="C56" t="n">
        <v>7</v>
      </c>
      <c r="D56" t="n">
        <v>9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Operations</t>
        </is>
      </c>
      <c r="B57" t="inlineStr">
        <is>
          <t>J7</t>
        </is>
      </c>
      <c r="C57" t="n">
        <v>7</v>
      </c>
      <c r="D57" t="n">
        <v>10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Operations</t>
        </is>
      </c>
      <c r="B58" t="inlineStr">
        <is>
          <t>K7</t>
        </is>
      </c>
      <c r="C58" t="n">
        <v>7</v>
      </c>
      <c r="D58" t="n">
        <v>11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10</v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Operations</t>
        </is>
      </c>
      <c r="B59" t="inlineStr">
        <is>
          <t>L7</t>
        </is>
      </c>
      <c r="C59" t="n">
        <v>7</v>
      </c>
      <c r="D59" t="n">
        <v>12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10</v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Operations</t>
        </is>
      </c>
      <c r="B60" t="inlineStr">
        <is>
          <t>M7</t>
        </is>
      </c>
      <c r="C60" t="n">
        <v>7</v>
      </c>
      <c r="D60" t="n">
        <v>13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1</v>
      </c>
      <c r="K60" t="b">
        <v>0</v>
      </c>
      <c r="L60" t="n">
        <v>10</v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Operations</t>
        </is>
      </c>
      <c r="B61" t="inlineStr">
        <is>
          <t>N7</t>
        </is>
      </c>
      <c r="C61" t="n">
        <v>7</v>
      </c>
      <c r="D61" t="n">
        <v>14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Operations</t>
        </is>
      </c>
      <c r="B62" t="inlineStr">
        <is>
          <t>O7</t>
        </is>
      </c>
      <c r="C62" t="n">
        <v>7</v>
      </c>
      <c r="D62" t="n">
        <v>15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1</v>
      </c>
      <c r="K62" t="b">
        <v>0</v>
      </c>
      <c r="L62" t="n">
        <v>10</v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Operations</t>
        </is>
      </c>
      <c r="B63" t="inlineStr">
        <is>
          <t>A8</t>
        </is>
      </c>
      <c r="C63" t="n">
        <v>8</v>
      </c>
      <c r="D63" t="n">
        <v>1</v>
      </c>
      <c r="E63" t="inlineStr">
        <is>
          <t>Input</t>
        </is>
      </c>
      <c r="F63" t="n">
        <v/>
      </c>
      <c r="G63" t="inlineStr">
        <is>
          <t>SG&amp;A (% of sales)</t>
        </is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10</v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Operations</t>
        </is>
      </c>
      <c r="B64" t="inlineStr">
        <is>
          <t>B8</t>
        </is>
      </c>
      <c r="C64" t="n">
        <v>8</v>
      </c>
      <c r="D64" t="n">
        <v>2</v>
      </c>
      <c r="E64" t="inlineStr">
        <is>
          <t>Input</t>
        </is>
      </c>
      <c r="F64" t="n">
        <v/>
      </c>
      <c r="H64" t="inlineStr"/>
      <c r="I64" t="inlineStr">
        <is>
          <t>0%</t>
        </is>
      </c>
      <c r="J64" t="b">
        <v>1</v>
      </c>
      <c r="K64" t="b">
        <v>0</v>
      </c>
      <c r="L64" t="n">
        <v>10</v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Operations</t>
        </is>
      </c>
      <c r="B65" t="inlineStr">
        <is>
          <t>C8</t>
        </is>
      </c>
      <c r="C65" t="n">
        <v>8</v>
      </c>
      <c r="D65" t="n">
        <v>3</v>
      </c>
      <c r="E65" t="inlineStr">
        <is>
          <t>Input</t>
        </is>
      </c>
      <c r="F65" t="n">
        <v/>
      </c>
      <c r="G65" t="n">
        <v>0.3</v>
      </c>
      <c r="H65" t="inlineStr"/>
      <c r="I65" t="inlineStr">
        <is>
          <t>0%</t>
        </is>
      </c>
      <c r="J65" t="b">
        <v>1</v>
      </c>
      <c r="K65" t="b">
        <v>0</v>
      </c>
      <c r="L65" t="n">
        <v>10</v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Operations</t>
        </is>
      </c>
      <c r="B66" t="inlineStr">
        <is>
          <t>D8</t>
        </is>
      </c>
      <c r="C66" t="n">
        <v>8</v>
      </c>
      <c r="D66" t="n">
        <v>4</v>
      </c>
      <c r="E66" t="inlineStr">
        <is>
          <t>Input</t>
        </is>
      </c>
      <c r="F66" t="n">
        <v/>
      </c>
      <c r="G66" t="n">
        <v>0.3</v>
      </c>
      <c r="H66" t="inlineStr"/>
      <c r="I66" t="inlineStr">
        <is>
          <t>0%</t>
        </is>
      </c>
      <c r="J66" t="b">
        <v>1</v>
      </c>
      <c r="K66" t="b">
        <v>0</v>
      </c>
      <c r="L66" t="n">
        <v>10</v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Operations</t>
        </is>
      </c>
      <c r="B67" t="inlineStr">
        <is>
          <t>E8</t>
        </is>
      </c>
      <c r="C67" t="n">
        <v>8</v>
      </c>
      <c r="D67" t="n">
        <v>5</v>
      </c>
      <c r="E67" t="inlineStr">
        <is>
          <t>Input</t>
        </is>
      </c>
      <c r="F67" t="n">
        <v/>
      </c>
      <c r="G67" t="n">
        <v>0.3</v>
      </c>
      <c r="H67" t="inlineStr"/>
      <c r="I67" t="inlineStr">
        <is>
          <t>0%</t>
        </is>
      </c>
      <c r="J67" t="b">
        <v>1</v>
      </c>
      <c r="K67" t="b">
        <v>0</v>
      </c>
      <c r="L67" t="n">
        <v>10</v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Operations</t>
        </is>
      </c>
      <c r="B68" t="inlineStr">
        <is>
          <t>F8</t>
        </is>
      </c>
      <c r="C68" t="n">
        <v>8</v>
      </c>
      <c r="D68" t="n">
        <v>6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10</v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Operations</t>
        </is>
      </c>
      <c r="B69" t="inlineStr">
        <is>
          <t>G8</t>
        </is>
      </c>
      <c r="C69" t="n">
        <v>8</v>
      </c>
      <c r="D69" t="n">
        <v>7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1</v>
      </c>
      <c r="K69" t="b">
        <v>0</v>
      </c>
      <c r="L69" t="n">
        <v>10</v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Operations</t>
        </is>
      </c>
      <c r="B70" t="inlineStr">
        <is>
          <t>H8</t>
        </is>
      </c>
      <c r="C70" t="n">
        <v>8</v>
      </c>
      <c r="D70" t="n">
        <v>8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1</v>
      </c>
      <c r="K70" t="b">
        <v>0</v>
      </c>
      <c r="L70" t="n">
        <v>10</v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Operations</t>
        </is>
      </c>
      <c r="B71" t="inlineStr">
        <is>
          <t>I8</t>
        </is>
      </c>
      <c r="C71" t="n">
        <v>8</v>
      </c>
      <c r="D71" t="n">
        <v>9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10</v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Operations</t>
        </is>
      </c>
      <c r="B72" t="inlineStr">
        <is>
          <t>J8</t>
        </is>
      </c>
      <c r="C72" t="n">
        <v>8</v>
      </c>
      <c r="D72" t="n">
        <v>10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10</v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Operations</t>
        </is>
      </c>
      <c r="B73" t="inlineStr">
        <is>
          <t>K8</t>
        </is>
      </c>
      <c r="C73" t="n">
        <v>8</v>
      </c>
      <c r="D73" t="n">
        <v>11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Operations</t>
        </is>
      </c>
      <c r="B74" t="inlineStr">
        <is>
          <t>L8</t>
        </is>
      </c>
      <c r="C74" t="n">
        <v>8</v>
      </c>
      <c r="D74" t="n">
        <v>12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Operations</t>
        </is>
      </c>
      <c r="B75" t="inlineStr">
        <is>
          <t>M8</t>
        </is>
      </c>
      <c r="C75" t="n">
        <v>8</v>
      </c>
      <c r="D75" t="n">
        <v>13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Operations</t>
        </is>
      </c>
      <c r="B76" t="inlineStr">
        <is>
          <t>N8</t>
        </is>
      </c>
      <c r="C76" t="n">
        <v>8</v>
      </c>
      <c r="D76" t="n">
        <v>14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Operations</t>
        </is>
      </c>
      <c r="B77" t="inlineStr">
        <is>
          <t>O8</t>
        </is>
      </c>
      <c r="C77" t="n">
        <v>8</v>
      </c>
      <c r="D77" t="n">
        <v>15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1</v>
      </c>
      <c r="K77" t="b">
        <v>0</v>
      </c>
      <c r="L77" t="n">
        <v>10</v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Operations</t>
        </is>
      </c>
      <c r="B78" t="inlineStr">
        <is>
          <t>A9</t>
        </is>
      </c>
      <c r="C78" t="n">
        <v>9</v>
      </c>
      <c r="D78" t="n">
        <v>1</v>
      </c>
      <c r="E78" t="inlineStr">
        <is>
          <t>Input</t>
        </is>
      </c>
      <c r="F78" t="n">
        <v/>
      </c>
      <c r="G78" t="inlineStr">
        <is>
          <t>Income tax rate</t>
        </is>
      </c>
      <c r="H78" t="inlineStr"/>
      <c r="I78" t="inlineStr">
        <is>
          <t>General</t>
        </is>
      </c>
      <c r="J78" t="b">
        <v>1</v>
      </c>
      <c r="K78" t="b">
        <v>0</v>
      </c>
      <c r="L78" t="n">
        <v>10</v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Operations</t>
        </is>
      </c>
      <c r="B79" t="inlineStr">
        <is>
          <t>B9</t>
        </is>
      </c>
      <c r="C79" t="n">
        <v>9</v>
      </c>
      <c r="D79" t="n">
        <v>2</v>
      </c>
      <c r="E79" t="inlineStr">
        <is>
          <t>Input</t>
        </is>
      </c>
      <c r="F79" t="n">
        <v/>
      </c>
      <c r="H79" t="inlineStr"/>
      <c r="I79" t="inlineStr">
        <is>
          <t>0%</t>
        </is>
      </c>
      <c r="J79" t="b">
        <v>1</v>
      </c>
      <c r="K79" t="b">
        <v>0</v>
      </c>
      <c r="L79" t="n">
        <v>10</v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Operations</t>
        </is>
      </c>
      <c r="B80" t="inlineStr">
        <is>
          <t>C9</t>
        </is>
      </c>
      <c r="C80" t="n">
        <v>9</v>
      </c>
      <c r="D80" t="n">
        <v>3</v>
      </c>
      <c r="E80" t="inlineStr">
        <is>
          <t>Input</t>
        </is>
      </c>
      <c r="F80" t="n">
        <v/>
      </c>
      <c r="G80" t="n">
        <v>0.4</v>
      </c>
      <c r="H80" t="inlineStr"/>
      <c r="I80" t="inlineStr">
        <is>
          <t>0%</t>
        </is>
      </c>
      <c r="J80" t="b">
        <v>1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Operations</t>
        </is>
      </c>
      <c r="B81" t="inlineStr">
        <is>
          <t>D9</t>
        </is>
      </c>
      <c r="C81" t="n">
        <v>9</v>
      </c>
      <c r="D81" t="n">
        <v>4</v>
      </c>
      <c r="E81" t="inlineStr">
        <is>
          <t>Input</t>
        </is>
      </c>
      <c r="F81" t="n">
        <v/>
      </c>
      <c r="G81" t="n">
        <v>0.4</v>
      </c>
      <c r="H81" t="inlineStr"/>
      <c r="I81" t="inlineStr">
        <is>
          <t>0%</t>
        </is>
      </c>
      <c r="J81" t="b">
        <v>1</v>
      </c>
      <c r="K81" t="b">
        <v>0</v>
      </c>
      <c r="L81" t="n">
        <v>10</v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Operations</t>
        </is>
      </c>
      <c r="B82" t="inlineStr">
        <is>
          <t>E9</t>
        </is>
      </c>
      <c r="C82" t="n">
        <v>9</v>
      </c>
      <c r="D82" t="n">
        <v>5</v>
      </c>
      <c r="E82" t="inlineStr">
        <is>
          <t>Input</t>
        </is>
      </c>
      <c r="F82" t="n">
        <v/>
      </c>
      <c r="G82" t="n">
        <v>0.4</v>
      </c>
      <c r="H82" t="inlineStr"/>
      <c r="I82" t="inlineStr">
        <is>
          <t>0%</t>
        </is>
      </c>
      <c r="J82" t="b">
        <v>1</v>
      </c>
      <c r="K82" t="b">
        <v>0</v>
      </c>
      <c r="L82" t="n">
        <v>10</v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Operations</t>
        </is>
      </c>
      <c r="B83" t="inlineStr">
        <is>
          <t>F9</t>
        </is>
      </c>
      <c r="C83" t="n">
        <v>9</v>
      </c>
      <c r="D83" t="n">
        <v>6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Operations</t>
        </is>
      </c>
      <c r="B84" t="inlineStr">
        <is>
          <t>G9</t>
        </is>
      </c>
      <c r="C84" t="n">
        <v>9</v>
      </c>
      <c r="D84" t="n">
        <v>7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10</v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Operations</t>
        </is>
      </c>
      <c r="B85" t="inlineStr">
        <is>
          <t>H9</t>
        </is>
      </c>
      <c r="C85" t="n">
        <v>9</v>
      </c>
      <c r="D85" t="n">
        <v>8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Operations</t>
        </is>
      </c>
      <c r="B86" t="inlineStr">
        <is>
          <t>I9</t>
        </is>
      </c>
      <c r="C86" t="n">
        <v>9</v>
      </c>
      <c r="D86" t="n">
        <v>9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1</v>
      </c>
      <c r="K86" t="b">
        <v>0</v>
      </c>
      <c r="L86" t="n">
        <v>10</v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Operations</t>
        </is>
      </c>
      <c r="B87" t="inlineStr">
        <is>
          <t>J9</t>
        </is>
      </c>
      <c r="C87" t="n">
        <v>9</v>
      </c>
      <c r="D87" t="n">
        <v>10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10</v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Operations</t>
        </is>
      </c>
      <c r="B88" t="inlineStr">
        <is>
          <t>K9</t>
        </is>
      </c>
      <c r="C88" t="n">
        <v>9</v>
      </c>
      <c r="D88" t="n">
        <v>11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1</v>
      </c>
      <c r="K88" t="b">
        <v>0</v>
      </c>
      <c r="L88" t="n">
        <v>10</v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Operations</t>
        </is>
      </c>
      <c r="B89" t="inlineStr">
        <is>
          <t>L9</t>
        </is>
      </c>
      <c r="C89" t="n">
        <v>9</v>
      </c>
      <c r="D89" t="n">
        <v>12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1</v>
      </c>
      <c r="K89" t="b">
        <v>0</v>
      </c>
      <c r="L89" t="n">
        <v>10</v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Operations</t>
        </is>
      </c>
      <c r="B90" t="inlineStr">
        <is>
          <t>M9</t>
        </is>
      </c>
      <c r="C90" t="n">
        <v>9</v>
      </c>
      <c r="D90" t="n">
        <v>13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10</v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Operations</t>
        </is>
      </c>
      <c r="B91" t="inlineStr">
        <is>
          <t>N9</t>
        </is>
      </c>
      <c r="C91" t="n">
        <v>9</v>
      </c>
      <c r="D91" t="n">
        <v>14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0</v>
      </c>
      <c r="L91" t="n">
        <v>10</v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Operations</t>
        </is>
      </c>
      <c r="B92" t="inlineStr">
        <is>
          <t>O9</t>
        </is>
      </c>
      <c r="C92" t="n">
        <v>9</v>
      </c>
      <c r="D92" t="n">
        <v>15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Operations</t>
        </is>
      </c>
      <c r="B93" t="inlineStr">
        <is>
          <t>A10</t>
        </is>
      </c>
      <c r="C93" t="n">
        <v>10</v>
      </c>
      <c r="D93" t="n">
        <v>1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Operations</t>
        </is>
      </c>
      <c r="B94" t="inlineStr">
        <is>
          <t>B10</t>
        </is>
      </c>
      <c r="C94" t="n">
        <v>10</v>
      </c>
      <c r="D94" t="n">
        <v>2</v>
      </c>
      <c r="E94" t="inlineStr">
        <is>
          <t>Input</t>
        </is>
      </c>
      <c r="F94" t="n">
        <v/>
      </c>
      <c r="H94" t="inlineStr"/>
      <c r="I94" t="inlineStr">
        <is>
          <t>0%</t>
        </is>
      </c>
      <c r="J94" t="b">
        <v>1</v>
      </c>
      <c r="K94" t="b">
        <v>0</v>
      </c>
      <c r="L94" t="n">
        <v>10</v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Operations</t>
        </is>
      </c>
      <c r="B95" t="inlineStr">
        <is>
          <t>C10</t>
        </is>
      </c>
      <c r="C95" t="n">
        <v>10</v>
      </c>
      <c r="D95" t="n">
        <v>3</v>
      </c>
      <c r="E95" t="inlineStr">
        <is>
          <t>Input</t>
        </is>
      </c>
      <c r="F95" t="n">
        <v/>
      </c>
      <c r="H95" t="inlineStr"/>
      <c r="I95" t="inlineStr">
        <is>
          <t>_(* #,##0_);_(* \(#,##0\);_(* \-??_);_(@_)</t>
        </is>
      </c>
      <c r="J95" t="b">
        <v>1</v>
      </c>
      <c r="K95" t="b">
        <v>0</v>
      </c>
      <c r="L95" t="n">
        <v>10</v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Operations</t>
        </is>
      </c>
      <c r="B96" t="inlineStr">
        <is>
          <t>D10</t>
        </is>
      </c>
      <c r="C96" t="n">
        <v>10</v>
      </c>
      <c r="D96" t="n">
        <v>4</v>
      </c>
      <c r="E96" t="inlineStr">
        <is>
          <t>Input</t>
        </is>
      </c>
      <c r="F96" t="n">
        <v/>
      </c>
      <c r="H96" t="inlineStr"/>
      <c r="I96" t="inlineStr">
        <is>
          <t>_(* #,##0_);_(* \(#,##0\);_(* \-??_);_(@_)</t>
        </is>
      </c>
      <c r="J96" t="b">
        <v>1</v>
      </c>
      <c r="K96" t="b">
        <v>0</v>
      </c>
      <c r="L96" t="n">
        <v>10</v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Operations</t>
        </is>
      </c>
      <c r="B97" t="inlineStr">
        <is>
          <t>E10</t>
        </is>
      </c>
      <c r="C97" t="n">
        <v>10</v>
      </c>
      <c r="D97" t="n">
        <v>5</v>
      </c>
      <c r="E97" t="inlineStr">
        <is>
          <t>Input</t>
        </is>
      </c>
      <c r="F97" t="n">
        <v/>
      </c>
      <c r="H97" t="inlineStr"/>
      <c r="I97" t="inlineStr">
        <is>
          <t>_(* #,##0_);_(* \(#,##0\);_(* \-??_);_(@_)</t>
        </is>
      </c>
      <c r="J97" t="b">
        <v>1</v>
      </c>
      <c r="K97" t="b">
        <v>0</v>
      </c>
      <c r="L97" t="n">
        <v>10</v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Operations</t>
        </is>
      </c>
      <c r="B98" t="inlineStr">
        <is>
          <t>F10</t>
        </is>
      </c>
      <c r="C98" t="n">
        <v>10</v>
      </c>
      <c r="D98" t="n">
        <v>6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10</v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Operations</t>
        </is>
      </c>
      <c r="B99" t="inlineStr">
        <is>
          <t>G10</t>
        </is>
      </c>
      <c r="C99" t="n">
        <v>10</v>
      </c>
      <c r="D99" t="n">
        <v>7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1</v>
      </c>
      <c r="K99" t="b">
        <v>0</v>
      </c>
      <c r="L99" t="n">
        <v>10</v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Operations</t>
        </is>
      </c>
      <c r="B100" t="inlineStr">
        <is>
          <t>H10</t>
        </is>
      </c>
      <c r="C100" t="n">
        <v>10</v>
      </c>
      <c r="D100" t="n">
        <v>8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Operations</t>
        </is>
      </c>
      <c r="B101" t="inlineStr">
        <is>
          <t>I10</t>
        </is>
      </c>
      <c r="C101" t="n">
        <v>10</v>
      </c>
      <c r="D101" t="n">
        <v>9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0</v>
      </c>
      <c r="L101" t="n">
        <v>10</v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Operations</t>
        </is>
      </c>
      <c r="B102" t="inlineStr">
        <is>
          <t>J10</t>
        </is>
      </c>
      <c r="C102" t="n">
        <v>10</v>
      </c>
      <c r="D102" t="n">
        <v>10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Operations</t>
        </is>
      </c>
      <c r="B103" t="inlineStr">
        <is>
          <t>K10</t>
        </is>
      </c>
      <c r="C103" t="n">
        <v>10</v>
      </c>
      <c r="D103" t="n">
        <v>11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1</v>
      </c>
      <c r="K103" t="b">
        <v>0</v>
      </c>
      <c r="L103" t="n">
        <v>10</v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Operations</t>
        </is>
      </c>
      <c r="B104" t="inlineStr">
        <is>
          <t>L10</t>
        </is>
      </c>
      <c r="C104" t="n">
        <v>10</v>
      </c>
      <c r="D104" t="n">
        <v>12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10</v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Operations</t>
        </is>
      </c>
      <c r="B105" t="inlineStr">
        <is>
          <t>M10</t>
        </is>
      </c>
      <c r="C105" t="n">
        <v>10</v>
      </c>
      <c r="D105" t="n">
        <v>13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10</v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Operations</t>
        </is>
      </c>
      <c r="B106" t="inlineStr">
        <is>
          <t>N10</t>
        </is>
      </c>
      <c r="C106" t="n">
        <v>10</v>
      </c>
      <c r="D106" t="n">
        <v>14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10</v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Operations</t>
        </is>
      </c>
      <c r="B107" t="inlineStr">
        <is>
          <t>O10</t>
        </is>
      </c>
      <c r="C107" t="n">
        <v>10</v>
      </c>
      <c r="D107" t="n">
        <v>15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10</v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Operations</t>
        </is>
      </c>
      <c r="B108" t="inlineStr">
        <is>
          <t>A11</t>
        </is>
      </c>
      <c r="C108" t="n">
        <v>11</v>
      </c>
      <c r="D108" t="n">
        <v>1</v>
      </c>
      <c r="E108" t="inlineStr">
        <is>
          <t>Input</t>
        </is>
      </c>
      <c r="F108" t="n">
        <v/>
      </c>
      <c r="G108" t="inlineStr">
        <is>
          <t>Inventory (% of COGS)</t>
        </is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10</v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Operations</t>
        </is>
      </c>
      <c r="B109" t="inlineStr">
        <is>
          <t>B11</t>
        </is>
      </c>
      <c r="C109" t="n">
        <v>11</v>
      </c>
      <c r="D109" t="n">
        <v>2</v>
      </c>
      <c r="E109" t="inlineStr">
        <is>
          <t>Input</t>
        </is>
      </c>
      <c r="F109" t="n">
        <v/>
      </c>
      <c r="G109" t="n">
        <v>0.1</v>
      </c>
      <c r="H109" t="inlineStr"/>
      <c r="I109" t="inlineStr">
        <is>
          <t>0%</t>
        </is>
      </c>
      <c r="J109" t="b">
        <v>1</v>
      </c>
      <c r="K109" t="b">
        <v>0</v>
      </c>
      <c r="L109" t="n">
        <v>10</v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Operations</t>
        </is>
      </c>
      <c r="B110" t="inlineStr">
        <is>
          <t>C11</t>
        </is>
      </c>
      <c r="C110" t="n">
        <v>11</v>
      </c>
      <c r="D110" t="n">
        <v>3</v>
      </c>
      <c r="E110" t="inlineStr">
        <is>
          <t>Input</t>
        </is>
      </c>
      <c r="F110" t="n">
        <v/>
      </c>
      <c r="G110" t="n">
        <v>0.1</v>
      </c>
      <c r="H110" t="inlineStr"/>
      <c r="I110" t="inlineStr">
        <is>
          <t>0%</t>
        </is>
      </c>
      <c r="J110" t="b">
        <v>1</v>
      </c>
      <c r="K110" t="b">
        <v>0</v>
      </c>
      <c r="L110" t="n">
        <v>10</v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Operations</t>
        </is>
      </c>
      <c r="B111" t="inlineStr">
        <is>
          <t>D11</t>
        </is>
      </c>
      <c r="C111" t="n">
        <v>11</v>
      </c>
      <c r="D111" t="n">
        <v>4</v>
      </c>
      <c r="E111" t="inlineStr">
        <is>
          <t>Input</t>
        </is>
      </c>
      <c r="F111" t="n">
        <v/>
      </c>
      <c r="G111" t="n">
        <v>0.1</v>
      </c>
      <c r="H111" t="inlineStr"/>
      <c r="I111" t="inlineStr">
        <is>
          <t>0%</t>
        </is>
      </c>
      <c r="J111" t="b">
        <v>1</v>
      </c>
      <c r="K111" t="b">
        <v>0</v>
      </c>
      <c r="L111" t="n">
        <v>10</v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Operations</t>
        </is>
      </c>
      <c r="B112" t="inlineStr">
        <is>
          <t>E11</t>
        </is>
      </c>
      <c r="C112" t="n">
        <v>11</v>
      </c>
      <c r="D112" t="n">
        <v>5</v>
      </c>
      <c r="E112" t="inlineStr">
        <is>
          <t>Input</t>
        </is>
      </c>
      <c r="F112" t="n">
        <v/>
      </c>
      <c r="G112" t="n">
        <v>0.1</v>
      </c>
      <c r="H112" t="inlineStr"/>
      <c r="I112" t="inlineStr">
        <is>
          <t>0%</t>
        </is>
      </c>
      <c r="J112" t="b">
        <v>1</v>
      </c>
      <c r="K112" t="b">
        <v>0</v>
      </c>
      <c r="L112" t="n">
        <v>10</v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Operations</t>
        </is>
      </c>
      <c r="B113" t="inlineStr">
        <is>
          <t>F11</t>
        </is>
      </c>
      <c r="C113" t="n">
        <v>11</v>
      </c>
      <c r="D113" t="n">
        <v>6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10</v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Operations</t>
        </is>
      </c>
      <c r="B114" t="inlineStr">
        <is>
          <t>G11</t>
        </is>
      </c>
      <c r="C114" t="n">
        <v>11</v>
      </c>
      <c r="D114" t="n">
        <v>7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10</v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Operations</t>
        </is>
      </c>
      <c r="B115" t="inlineStr">
        <is>
          <t>H11</t>
        </is>
      </c>
      <c r="C115" t="n">
        <v>11</v>
      </c>
      <c r="D115" t="n">
        <v>8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10</v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Operations</t>
        </is>
      </c>
      <c r="B116" t="inlineStr">
        <is>
          <t>I11</t>
        </is>
      </c>
      <c r="C116" t="n">
        <v>11</v>
      </c>
      <c r="D116" t="n">
        <v>9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1</v>
      </c>
      <c r="K116" t="b">
        <v>0</v>
      </c>
      <c r="L116" t="n">
        <v>10</v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Operations</t>
        </is>
      </c>
      <c r="B117" t="inlineStr">
        <is>
          <t>J11</t>
        </is>
      </c>
      <c r="C117" t="n">
        <v>11</v>
      </c>
      <c r="D117" t="n">
        <v>10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10</v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Operations</t>
        </is>
      </c>
      <c r="B118" t="inlineStr">
        <is>
          <t>K11</t>
        </is>
      </c>
      <c r="C118" t="n">
        <v>11</v>
      </c>
      <c r="D118" t="n">
        <v>11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Operations</t>
        </is>
      </c>
      <c r="B119" t="inlineStr">
        <is>
          <t>L11</t>
        </is>
      </c>
      <c r="C119" t="n">
        <v>11</v>
      </c>
      <c r="D119" t="n">
        <v>12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Operations</t>
        </is>
      </c>
      <c r="B120" t="inlineStr">
        <is>
          <t>M11</t>
        </is>
      </c>
      <c r="C120" t="n">
        <v>11</v>
      </c>
      <c r="D120" t="n">
        <v>13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Operations</t>
        </is>
      </c>
      <c r="B121" t="inlineStr">
        <is>
          <t>N11</t>
        </is>
      </c>
      <c r="C121" t="n">
        <v>11</v>
      </c>
      <c r="D121" t="n">
        <v>14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Operations</t>
        </is>
      </c>
      <c r="B122" t="inlineStr">
        <is>
          <t>O11</t>
        </is>
      </c>
      <c r="C122" t="n">
        <v>11</v>
      </c>
      <c r="D122" t="n">
        <v>15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1</v>
      </c>
      <c r="K122" t="b">
        <v>0</v>
      </c>
      <c r="L122" t="n">
        <v>10</v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Operations</t>
        </is>
      </c>
      <c r="B123" t="inlineStr">
        <is>
          <t>A12</t>
        </is>
      </c>
      <c r="C123" t="n">
        <v>12</v>
      </c>
      <c r="D123" t="n">
        <v>1</v>
      </c>
      <c r="E123" t="inlineStr">
        <is>
          <t>Input</t>
        </is>
      </c>
      <c r="F123" t="n">
        <v/>
      </c>
      <c r="G123" t="inlineStr">
        <is>
          <t>Minimum cash balance (% of sales)</t>
        </is>
      </c>
      <c r="H123" t="inlineStr"/>
      <c r="I123" t="inlineStr">
        <is>
          <t>General</t>
        </is>
      </c>
      <c r="J123" t="b">
        <v>1</v>
      </c>
      <c r="K123" t="b">
        <v>0</v>
      </c>
      <c r="L123" t="n">
        <v>10</v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Operations</t>
        </is>
      </c>
      <c r="B124" t="inlineStr">
        <is>
          <t>B12</t>
        </is>
      </c>
      <c r="C124" t="n">
        <v>12</v>
      </c>
      <c r="D124" t="n">
        <v>2</v>
      </c>
      <c r="E124" t="inlineStr">
        <is>
          <t>Input</t>
        </is>
      </c>
      <c r="F124" t="n">
        <v/>
      </c>
      <c r="G124" t="n">
        <v>0.04</v>
      </c>
      <c r="H124" t="inlineStr"/>
      <c r="I124" t="inlineStr">
        <is>
          <t>0%</t>
        </is>
      </c>
      <c r="J124" t="b">
        <v>1</v>
      </c>
      <c r="K124" t="b">
        <v>0</v>
      </c>
      <c r="L124" t="n">
        <v>10</v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Operations</t>
        </is>
      </c>
      <c r="B125" t="inlineStr">
        <is>
          <t>C12</t>
        </is>
      </c>
      <c r="C125" t="n">
        <v>12</v>
      </c>
      <c r="D125" t="n">
        <v>3</v>
      </c>
      <c r="E125" t="inlineStr">
        <is>
          <t>Input</t>
        </is>
      </c>
      <c r="F125" t="n">
        <v/>
      </c>
      <c r="G125" t="n">
        <v>0.04</v>
      </c>
      <c r="H125" t="inlineStr"/>
      <c r="I125" t="inlineStr">
        <is>
          <t>0%</t>
        </is>
      </c>
      <c r="J125" t="b">
        <v>1</v>
      </c>
      <c r="K125" t="b">
        <v>0</v>
      </c>
      <c r="L125" t="n">
        <v>10</v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Operations</t>
        </is>
      </c>
      <c r="B126" t="inlineStr">
        <is>
          <t>D12</t>
        </is>
      </c>
      <c r="C126" t="n">
        <v>12</v>
      </c>
      <c r="D126" t="n">
        <v>4</v>
      </c>
      <c r="E126" t="inlineStr">
        <is>
          <t>Input</t>
        </is>
      </c>
      <c r="F126" t="n">
        <v/>
      </c>
      <c r="G126" t="n">
        <v>0.04</v>
      </c>
      <c r="H126" t="inlineStr"/>
      <c r="I126" t="inlineStr">
        <is>
          <t>0%</t>
        </is>
      </c>
      <c r="J126" t="b">
        <v>1</v>
      </c>
      <c r="K126" t="b">
        <v>0</v>
      </c>
      <c r="L126" t="n">
        <v>10</v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Operations</t>
        </is>
      </c>
      <c r="B127" t="inlineStr">
        <is>
          <t>E12</t>
        </is>
      </c>
      <c r="C127" t="n">
        <v>12</v>
      </c>
      <c r="D127" t="n">
        <v>5</v>
      </c>
      <c r="E127" t="inlineStr">
        <is>
          <t>Input</t>
        </is>
      </c>
      <c r="F127" t="n">
        <v/>
      </c>
      <c r="G127" t="n">
        <v>0.04</v>
      </c>
      <c r="H127" t="inlineStr"/>
      <c r="I127" t="inlineStr">
        <is>
          <t>0%</t>
        </is>
      </c>
      <c r="J127" t="b">
        <v>1</v>
      </c>
      <c r="K127" t="b">
        <v>0</v>
      </c>
      <c r="L127" t="n">
        <v>10</v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Operations</t>
        </is>
      </c>
      <c r="B128" t="inlineStr">
        <is>
          <t>F12</t>
        </is>
      </c>
      <c r="C128" t="n">
        <v>12</v>
      </c>
      <c r="D128" t="n">
        <v>6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1</v>
      </c>
      <c r="K128" t="b">
        <v>0</v>
      </c>
      <c r="L128" t="n">
        <v>10</v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Operations</t>
        </is>
      </c>
      <c r="B129" t="inlineStr">
        <is>
          <t>G12</t>
        </is>
      </c>
      <c r="C129" t="n">
        <v>12</v>
      </c>
      <c r="D129" t="n">
        <v>7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Operations</t>
        </is>
      </c>
      <c r="B130" t="inlineStr">
        <is>
          <t>H12</t>
        </is>
      </c>
      <c r="C130" t="n">
        <v>12</v>
      </c>
      <c r="D130" t="n">
        <v>8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Operations</t>
        </is>
      </c>
      <c r="B131" t="inlineStr">
        <is>
          <t>I12</t>
        </is>
      </c>
      <c r="C131" t="n">
        <v>12</v>
      </c>
      <c r="D131" t="n">
        <v>9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1</v>
      </c>
      <c r="K131" t="b">
        <v>0</v>
      </c>
      <c r="L131" t="n">
        <v>10</v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Operations</t>
        </is>
      </c>
      <c r="B132" t="inlineStr">
        <is>
          <t>J12</t>
        </is>
      </c>
      <c r="C132" t="n">
        <v>12</v>
      </c>
      <c r="D132" t="n">
        <v>10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1</v>
      </c>
      <c r="K132" t="b">
        <v>0</v>
      </c>
      <c r="L132" t="n">
        <v>10</v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Operations</t>
        </is>
      </c>
      <c r="B133" t="inlineStr">
        <is>
          <t>K12</t>
        </is>
      </c>
      <c r="C133" t="n">
        <v>12</v>
      </c>
      <c r="D133" t="n">
        <v>11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1</v>
      </c>
      <c r="K133" t="b">
        <v>0</v>
      </c>
      <c r="L133" t="n">
        <v>10</v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Operations</t>
        </is>
      </c>
      <c r="B134" t="inlineStr">
        <is>
          <t>L12</t>
        </is>
      </c>
      <c r="C134" t="n">
        <v>12</v>
      </c>
      <c r="D134" t="n">
        <v>12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1</v>
      </c>
      <c r="K134" t="b">
        <v>0</v>
      </c>
      <c r="L134" t="n">
        <v>10</v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Operations</t>
        </is>
      </c>
      <c r="B135" t="inlineStr">
        <is>
          <t>M12</t>
        </is>
      </c>
      <c r="C135" t="n">
        <v>12</v>
      </c>
      <c r="D135" t="n">
        <v>13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1</v>
      </c>
      <c r="K135" t="b">
        <v>0</v>
      </c>
      <c r="L135" t="n">
        <v>10</v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Operations</t>
        </is>
      </c>
      <c r="B136" t="inlineStr">
        <is>
          <t>N12</t>
        </is>
      </c>
      <c r="C136" t="n">
        <v>12</v>
      </c>
      <c r="D136" t="n">
        <v>14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0</v>
      </c>
      <c r="L136" t="n">
        <v>10</v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Operations</t>
        </is>
      </c>
      <c r="B137" t="inlineStr">
        <is>
          <t>O12</t>
        </is>
      </c>
      <c r="C137" t="n">
        <v>12</v>
      </c>
      <c r="D137" t="n">
        <v>15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Operations</t>
        </is>
      </c>
      <c r="B138" t="inlineStr">
        <is>
          <t>A13</t>
        </is>
      </c>
      <c r="C138" t="n">
        <v>13</v>
      </c>
      <c r="D138" t="n">
        <v>1</v>
      </c>
      <c r="E138" t="inlineStr">
        <is>
          <t>Input</t>
        </is>
      </c>
      <c r="F138" t="n">
        <v/>
      </c>
      <c r="G138" t="inlineStr">
        <is>
          <t>Accounts receivable (% of sales)</t>
        </is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Operations</t>
        </is>
      </c>
      <c r="B139" t="inlineStr">
        <is>
          <t>B13</t>
        </is>
      </c>
      <c r="C139" t="n">
        <v>13</v>
      </c>
      <c r="D139" t="n">
        <v>2</v>
      </c>
      <c r="E139" t="inlineStr">
        <is>
          <t>Input</t>
        </is>
      </c>
      <c r="F139" t="n">
        <v/>
      </c>
      <c r="G139" t="n">
        <v>0.12</v>
      </c>
      <c r="H139" t="inlineStr"/>
      <c r="I139" t="inlineStr">
        <is>
          <t>0%</t>
        </is>
      </c>
      <c r="J139" t="b">
        <v>1</v>
      </c>
      <c r="K139" t="b">
        <v>0</v>
      </c>
      <c r="L139" t="n">
        <v>10</v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Operations</t>
        </is>
      </c>
      <c r="B140" t="inlineStr">
        <is>
          <t>C13</t>
        </is>
      </c>
      <c r="C140" t="n">
        <v>13</v>
      </c>
      <c r="D140" t="n">
        <v>3</v>
      </c>
      <c r="E140" t="inlineStr">
        <is>
          <t>Input</t>
        </is>
      </c>
      <c r="F140" t="n">
        <v/>
      </c>
      <c r="G140" t="n">
        <v>0.12</v>
      </c>
      <c r="H140" t="inlineStr"/>
      <c r="I140" t="inlineStr">
        <is>
          <t>0%</t>
        </is>
      </c>
      <c r="J140" t="b">
        <v>1</v>
      </c>
      <c r="K140" t="b">
        <v>0</v>
      </c>
      <c r="L140" t="n">
        <v>10</v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Operations</t>
        </is>
      </c>
      <c r="B141" t="inlineStr">
        <is>
          <t>D13</t>
        </is>
      </c>
      <c r="C141" t="n">
        <v>13</v>
      </c>
      <c r="D141" t="n">
        <v>4</v>
      </c>
      <c r="E141" t="inlineStr">
        <is>
          <t>Input</t>
        </is>
      </c>
      <c r="F141" t="n">
        <v/>
      </c>
      <c r="G141" t="n">
        <v>0.12</v>
      </c>
      <c r="H141" t="inlineStr"/>
      <c r="I141" t="inlineStr">
        <is>
          <t>0%</t>
        </is>
      </c>
      <c r="J141" t="b">
        <v>1</v>
      </c>
      <c r="K141" t="b">
        <v>0</v>
      </c>
      <c r="L141" t="n">
        <v>10</v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Operations</t>
        </is>
      </c>
      <c r="B142" t="inlineStr">
        <is>
          <t>E13</t>
        </is>
      </c>
      <c r="C142" t="n">
        <v>13</v>
      </c>
      <c r="D142" t="n">
        <v>5</v>
      </c>
      <c r="E142" t="inlineStr">
        <is>
          <t>Input</t>
        </is>
      </c>
      <c r="F142" t="n">
        <v/>
      </c>
      <c r="G142" t="n">
        <v>0.12</v>
      </c>
      <c r="H142" t="inlineStr"/>
      <c r="I142" t="inlineStr">
        <is>
          <t>0%</t>
        </is>
      </c>
      <c r="J142" t="b">
        <v>1</v>
      </c>
      <c r="K142" t="b">
        <v>0</v>
      </c>
      <c r="L142" t="n">
        <v>10</v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Operations</t>
        </is>
      </c>
      <c r="B143" t="inlineStr">
        <is>
          <t>F13</t>
        </is>
      </c>
      <c r="C143" t="n">
        <v>13</v>
      </c>
      <c r="D143" t="n">
        <v>6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1</v>
      </c>
      <c r="K143" t="b">
        <v>0</v>
      </c>
      <c r="L143" t="n">
        <v>10</v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Operations</t>
        </is>
      </c>
      <c r="B144" t="inlineStr">
        <is>
          <t>G13</t>
        </is>
      </c>
      <c r="C144" t="n">
        <v>13</v>
      </c>
      <c r="D144" t="n">
        <v>7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Operations</t>
        </is>
      </c>
      <c r="B145" t="inlineStr">
        <is>
          <t>H13</t>
        </is>
      </c>
      <c r="C145" t="n">
        <v>13</v>
      </c>
      <c r="D145" t="n">
        <v>8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Operations</t>
        </is>
      </c>
      <c r="B146" t="inlineStr">
        <is>
          <t>I13</t>
        </is>
      </c>
      <c r="C146" t="n">
        <v>13</v>
      </c>
      <c r="D146" t="n">
        <v>9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Operations</t>
        </is>
      </c>
      <c r="B147" t="inlineStr">
        <is>
          <t>J13</t>
        </is>
      </c>
      <c r="C147" t="n">
        <v>13</v>
      </c>
      <c r="D147" t="n">
        <v>10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Operations</t>
        </is>
      </c>
      <c r="B148" t="inlineStr">
        <is>
          <t>K13</t>
        </is>
      </c>
      <c r="C148" t="n">
        <v>13</v>
      </c>
      <c r="D148" t="n">
        <v>11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Operations</t>
        </is>
      </c>
      <c r="B149" t="inlineStr">
        <is>
          <t>L13</t>
        </is>
      </c>
      <c r="C149" t="n">
        <v>13</v>
      </c>
      <c r="D149" t="n">
        <v>12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10</v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Operations</t>
        </is>
      </c>
      <c r="B150" t="inlineStr">
        <is>
          <t>M13</t>
        </is>
      </c>
      <c r="C150" t="n">
        <v>13</v>
      </c>
      <c r="D150" t="n">
        <v>13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10</v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Operations</t>
        </is>
      </c>
      <c r="B151" t="inlineStr">
        <is>
          <t>N13</t>
        </is>
      </c>
      <c r="C151" t="n">
        <v>13</v>
      </c>
      <c r="D151" t="n">
        <v>14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10</v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Operations</t>
        </is>
      </c>
      <c r="B152" t="inlineStr">
        <is>
          <t>O13</t>
        </is>
      </c>
      <c r="C152" t="n">
        <v>13</v>
      </c>
      <c r="D152" t="n">
        <v>15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1</v>
      </c>
      <c r="K152" t="b">
        <v>0</v>
      </c>
      <c r="L152" t="n">
        <v>10</v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Operations</t>
        </is>
      </c>
      <c r="B153" t="inlineStr">
        <is>
          <t>A14</t>
        </is>
      </c>
      <c r="C153" t="n">
        <v>14</v>
      </c>
      <c r="D153" t="n">
        <v>1</v>
      </c>
      <c r="E153" t="inlineStr">
        <is>
          <t>Input</t>
        </is>
      </c>
      <c r="F153" t="n">
        <v/>
      </c>
      <c r="G153" t="inlineStr">
        <is>
          <t>Accounts payable (% of COGS)</t>
        </is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10</v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Operations</t>
        </is>
      </c>
      <c r="B154" t="inlineStr">
        <is>
          <t>B14</t>
        </is>
      </c>
      <c r="C154" t="n">
        <v>14</v>
      </c>
      <c r="D154" t="n">
        <v>2</v>
      </c>
      <c r="E154" t="inlineStr">
        <is>
          <t>Input</t>
        </is>
      </c>
      <c r="F154" t="n">
        <v/>
      </c>
      <c r="G154" t="n">
        <v>0.08</v>
      </c>
      <c r="H154" t="inlineStr"/>
      <c r="I154" t="inlineStr">
        <is>
          <t>0%</t>
        </is>
      </c>
      <c r="J154" t="b">
        <v>1</v>
      </c>
      <c r="K154" t="b">
        <v>0</v>
      </c>
      <c r="L154" t="n">
        <v>10</v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Operations</t>
        </is>
      </c>
      <c r="B155" t="inlineStr">
        <is>
          <t>C14</t>
        </is>
      </c>
      <c r="C155" t="n">
        <v>14</v>
      </c>
      <c r="D155" t="n">
        <v>3</v>
      </c>
      <c r="E155" t="inlineStr">
        <is>
          <t>Input</t>
        </is>
      </c>
      <c r="F155" t="n">
        <v/>
      </c>
      <c r="G155" t="n">
        <v>0.08</v>
      </c>
      <c r="H155" t="inlineStr"/>
      <c r="I155" t="inlineStr">
        <is>
          <t>0%</t>
        </is>
      </c>
      <c r="J155" t="b">
        <v>1</v>
      </c>
      <c r="K155" t="b">
        <v>0</v>
      </c>
      <c r="L155" t="n">
        <v>10</v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Operations</t>
        </is>
      </c>
      <c r="B156" t="inlineStr">
        <is>
          <t>D14</t>
        </is>
      </c>
      <c r="C156" t="n">
        <v>14</v>
      </c>
      <c r="D156" t="n">
        <v>4</v>
      </c>
      <c r="E156" t="inlineStr">
        <is>
          <t>Input</t>
        </is>
      </c>
      <c r="F156" t="n">
        <v/>
      </c>
      <c r="G156" t="n">
        <v>0.08</v>
      </c>
      <c r="H156" t="inlineStr"/>
      <c r="I156" t="inlineStr">
        <is>
          <t>0%</t>
        </is>
      </c>
      <c r="J156" t="b">
        <v>1</v>
      </c>
      <c r="K156" t="b">
        <v>0</v>
      </c>
      <c r="L156" t="n">
        <v>10</v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Operations</t>
        </is>
      </c>
      <c r="B157" t="inlineStr">
        <is>
          <t>E14</t>
        </is>
      </c>
      <c r="C157" t="n">
        <v>14</v>
      </c>
      <c r="D157" t="n">
        <v>5</v>
      </c>
      <c r="E157" t="inlineStr">
        <is>
          <t>Input</t>
        </is>
      </c>
      <c r="F157" t="n">
        <v/>
      </c>
      <c r="G157" t="n">
        <v>0.08</v>
      </c>
      <c r="H157" t="inlineStr"/>
      <c r="I157" t="inlineStr">
        <is>
          <t>0%</t>
        </is>
      </c>
      <c r="J157" t="b">
        <v>1</v>
      </c>
      <c r="K157" t="b">
        <v>0</v>
      </c>
      <c r="L157" t="n">
        <v>10</v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Operations</t>
        </is>
      </c>
      <c r="B158" t="inlineStr">
        <is>
          <t>F14</t>
        </is>
      </c>
      <c r="C158" t="n">
        <v>14</v>
      </c>
      <c r="D158" t="n">
        <v>6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10</v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Operations</t>
        </is>
      </c>
      <c r="B159" t="inlineStr">
        <is>
          <t>G14</t>
        </is>
      </c>
      <c r="C159" t="n">
        <v>14</v>
      </c>
      <c r="D159" t="n">
        <v>7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10</v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Operations</t>
        </is>
      </c>
      <c r="B160" t="inlineStr">
        <is>
          <t>H14</t>
        </is>
      </c>
      <c r="C160" t="n">
        <v>14</v>
      </c>
      <c r="D160" t="n">
        <v>8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10</v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Operations</t>
        </is>
      </c>
      <c r="B161" t="inlineStr">
        <is>
          <t>I14</t>
        </is>
      </c>
      <c r="C161" t="n">
        <v>14</v>
      </c>
      <c r="D161" t="n">
        <v>9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1</v>
      </c>
      <c r="K161" t="b">
        <v>0</v>
      </c>
      <c r="L161" t="n">
        <v>10</v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Operations</t>
        </is>
      </c>
      <c r="B162" t="inlineStr">
        <is>
          <t>J14</t>
        </is>
      </c>
      <c r="C162" t="n">
        <v>14</v>
      </c>
      <c r="D162" t="n">
        <v>10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Operations</t>
        </is>
      </c>
      <c r="B163" t="inlineStr">
        <is>
          <t>K14</t>
        </is>
      </c>
      <c r="C163" t="n">
        <v>14</v>
      </c>
      <c r="D163" t="n">
        <v>11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10</v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Operations</t>
        </is>
      </c>
      <c r="B164" t="inlineStr">
        <is>
          <t>L14</t>
        </is>
      </c>
      <c r="C164" t="n">
        <v>14</v>
      </c>
      <c r="D164" t="n">
        <v>12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10</v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Operations</t>
        </is>
      </c>
      <c r="B165" t="inlineStr">
        <is>
          <t>M14</t>
        </is>
      </c>
      <c r="C165" t="n">
        <v>14</v>
      </c>
      <c r="D165" t="n">
        <v>13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Operations</t>
        </is>
      </c>
      <c r="B166" t="inlineStr">
        <is>
          <t>N14</t>
        </is>
      </c>
      <c r="C166" t="n">
        <v>14</v>
      </c>
      <c r="D166" t="n">
        <v>14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Operations</t>
        </is>
      </c>
      <c r="B167" t="inlineStr">
        <is>
          <t>O14</t>
        </is>
      </c>
      <c r="C167" t="n">
        <v>14</v>
      </c>
      <c r="D167" t="n">
        <v>15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10</v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Operations</t>
        </is>
      </c>
      <c r="B168" t="inlineStr">
        <is>
          <t>A15</t>
        </is>
      </c>
      <c r="C168" t="n">
        <v>15</v>
      </c>
      <c r="D168" t="n">
        <v>1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1</v>
      </c>
      <c r="K168" t="b">
        <v>0</v>
      </c>
      <c r="L168" t="n">
        <v>10</v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Operations</t>
        </is>
      </c>
      <c r="B169" t="inlineStr">
        <is>
          <t>B15</t>
        </is>
      </c>
      <c r="C169" t="n">
        <v>15</v>
      </c>
      <c r="D169" t="n">
        <v>2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1</v>
      </c>
      <c r="K169" t="b">
        <v>0</v>
      </c>
      <c r="L169" t="n">
        <v>10</v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Operations</t>
        </is>
      </c>
      <c r="B170" t="inlineStr">
        <is>
          <t>C15</t>
        </is>
      </c>
      <c r="C170" t="n">
        <v>15</v>
      </c>
      <c r="D170" t="n">
        <v>3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1</v>
      </c>
      <c r="K170" t="b">
        <v>0</v>
      </c>
      <c r="L170" t="n">
        <v>10</v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Operations</t>
        </is>
      </c>
      <c r="B171" t="inlineStr">
        <is>
          <t>D15</t>
        </is>
      </c>
      <c r="C171" t="n">
        <v>15</v>
      </c>
      <c r="D171" t="n">
        <v>4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1</v>
      </c>
      <c r="K171" t="b">
        <v>0</v>
      </c>
      <c r="L171" t="n">
        <v>10</v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Operations</t>
        </is>
      </c>
      <c r="B172" t="inlineStr">
        <is>
          <t>E15</t>
        </is>
      </c>
      <c r="C172" t="n">
        <v>15</v>
      </c>
      <c r="D172" t="n">
        <v>5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1</v>
      </c>
      <c r="K172" t="b">
        <v>0</v>
      </c>
      <c r="L172" t="n">
        <v>10</v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Operations</t>
        </is>
      </c>
      <c r="B173" t="inlineStr">
        <is>
          <t>F15</t>
        </is>
      </c>
      <c r="C173" t="n">
        <v>15</v>
      </c>
      <c r="D173" t="n">
        <v>6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10</v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Operations</t>
        </is>
      </c>
      <c r="B174" t="inlineStr">
        <is>
          <t>G15</t>
        </is>
      </c>
      <c r="C174" t="n">
        <v>15</v>
      </c>
      <c r="D174" t="n">
        <v>7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1</v>
      </c>
      <c r="K174" t="b">
        <v>0</v>
      </c>
      <c r="L174" t="n">
        <v>10</v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Operations</t>
        </is>
      </c>
      <c r="B175" t="inlineStr">
        <is>
          <t>H15</t>
        </is>
      </c>
      <c r="C175" t="n">
        <v>15</v>
      </c>
      <c r="D175" t="n">
        <v>8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10</v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Operations</t>
        </is>
      </c>
      <c r="B176" t="inlineStr">
        <is>
          <t>I15</t>
        </is>
      </c>
      <c r="C176" t="n">
        <v>15</v>
      </c>
      <c r="D176" t="n">
        <v>9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10</v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Operations</t>
        </is>
      </c>
      <c r="B177" t="inlineStr">
        <is>
          <t>J15</t>
        </is>
      </c>
      <c r="C177" t="n">
        <v>15</v>
      </c>
      <c r="D177" t="n">
        <v>10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10</v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Operations</t>
        </is>
      </c>
      <c r="B178" t="inlineStr">
        <is>
          <t>K15</t>
        </is>
      </c>
      <c r="C178" t="n">
        <v>15</v>
      </c>
      <c r="D178" t="n">
        <v>11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1</v>
      </c>
      <c r="K178" t="b">
        <v>0</v>
      </c>
      <c r="L178" t="n">
        <v>10</v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Operations</t>
        </is>
      </c>
      <c r="B179" t="inlineStr">
        <is>
          <t>L15</t>
        </is>
      </c>
      <c r="C179" t="n">
        <v>15</v>
      </c>
      <c r="D179" t="n">
        <v>12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1</v>
      </c>
      <c r="K179" t="b">
        <v>0</v>
      </c>
      <c r="L179" t="n">
        <v>10</v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Operations</t>
        </is>
      </c>
      <c r="B180" t="inlineStr">
        <is>
          <t>M15</t>
        </is>
      </c>
      <c r="C180" t="n">
        <v>15</v>
      </c>
      <c r="D180" t="n">
        <v>13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1</v>
      </c>
      <c r="K180" t="b">
        <v>0</v>
      </c>
      <c r="L180" t="n">
        <v>10</v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Operations</t>
        </is>
      </c>
      <c r="B181" t="inlineStr">
        <is>
          <t>N15</t>
        </is>
      </c>
      <c r="C181" t="n">
        <v>15</v>
      </c>
      <c r="D181" t="n">
        <v>14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1</v>
      </c>
      <c r="K181" t="b">
        <v>0</v>
      </c>
      <c r="L181" t="n">
        <v>10</v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Operations</t>
        </is>
      </c>
      <c r="B182" t="inlineStr">
        <is>
          <t>O15</t>
        </is>
      </c>
      <c r="C182" t="n">
        <v>15</v>
      </c>
      <c r="D182" t="n">
        <v>15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10</v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Operations</t>
        </is>
      </c>
      <c r="B183" t="inlineStr">
        <is>
          <t>A16</t>
        </is>
      </c>
      <c r="C183" t="n">
        <v>16</v>
      </c>
      <c r="D183" t="n">
        <v>1</v>
      </c>
      <c r="E183" t="inlineStr">
        <is>
          <t>Input</t>
        </is>
      </c>
      <c r="F183" t="n">
        <v/>
      </c>
      <c r="G183" t="inlineStr">
        <is>
          <t>Investment in PP&amp;E</t>
        </is>
      </c>
      <c r="H183" t="inlineStr"/>
      <c r="I183" t="inlineStr">
        <is>
          <t>General</t>
        </is>
      </c>
      <c r="J183" t="b">
        <v>1</v>
      </c>
      <c r="K183" t="b">
        <v>0</v>
      </c>
      <c r="L183" t="n">
        <v>10</v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Operations</t>
        </is>
      </c>
      <c r="B184" t="inlineStr">
        <is>
          <t>B16</t>
        </is>
      </c>
      <c r="C184" t="n">
        <v>16</v>
      </c>
      <c r="D184" t="n">
        <v>2</v>
      </c>
      <c r="E184" t="inlineStr">
        <is>
          <t>Input</t>
        </is>
      </c>
      <c r="F184" t="n">
        <v/>
      </c>
      <c r="G184" t="n">
        <v>400</v>
      </c>
      <c r="H184" t="inlineStr"/>
      <c r="I184" t="inlineStr">
        <is>
          <t>_(* #,##0_);_(* \(#,##0\);_(* \-??_);_(@_)</t>
        </is>
      </c>
      <c r="J184" t="b">
        <v>1</v>
      </c>
      <c r="K184" t="b">
        <v>0</v>
      </c>
      <c r="L184" t="n">
        <v>10</v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Operations</t>
        </is>
      </c>
      <c r="B185" t="inlineStr">
        <is>
          <t>C16</t>
        </is>
      </c>
      <c r="C185" t="n">
        <v>16</v>
      </c>
      <c r="D185" t="n">
        <v>3</v>
      </c>
      <c r="E185" t="inlineStr">
        <is>
          <t>Input</t>
        </is>
      </c>
      <c r="F185" t="n">
        <v/>
      </c>
      <c r="G185" t="n">
        <v>100</v>
      </c>
      <c r="H185" t="inlineStr"/>
      <c r="I185" t="inlineStr">
        <is>
          <t>General</t>
        </is>
      </c>
      <c r="J185" t="b">
        <v>1</v>
      </c>
      <c r="K185" t="b">
        <v>0</v>
      </c>
      <c r="L185" t="n">
        <v>10</v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Operations</t>
        </is>
      </c>
      <c r="B186" t="inlineStr">
        <is>
          <t>D16</t>
        </is>
      </c>
      <c r="C186" t="n">
        <v>16</v>
      </c>
      <c r="D186" t="n">
        <v>4</v>
      </c>
      <c r="E186" t="inlineStr">
        <is>
          <t>Input</t>
        </is>
      </c>
      <c r="F186" t="n">
        <v/>
      </c>
      <c r="G186" t="n">
        <v>100</v>
      </c>
      <c r="H186" t="inlineStr"/>
      <c r="I186" t="inlineStr">
        <is>
          <t>_(* #,##0_);_(* \(#,##0\);_(* \-??_);_(@_)</t>
        </is>
      </c>
      <c r="J186" t="b">
        <v>1</v>
      </c>
      <c r="K186" t="b">
        <v>0</v>
      </c>
      <c r="L186" t="n">
        <v>10</v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Operations</t>
        </is>
      </c>
      <c r="B187" t="inlineStr">
        <is>
          <t>E16</t>
        </is>
      </c>
      <c r="C187" t="n">
        <v>16</v>
      </c>
      <c r="D187" t="n">
        <v>5</v>
      </c>
      <c r="E187" t="inlineStr">
        <is>
          <t>Input</t>
        </is>
      </c>
      <c r="F187" t="n">
        <v/>
      </c>
      <c r="G187" t="n">
        <v>100</v>
      </c>
      <c r="H187" t="inlineStr"/>
      <c r="I187" t="inlineStr">
        <is>
          <t>_(* #,##0_);_(* \(#,##0\);_(* \-??_);_(@_)</t>
        </is>
      </c>
      <c r="J187" t="b">
        <v>1</v>
      </c>
      <c r="K187" t="b">
        <v>0</v>
      </c>
      <c r="L187" t="n">
        <v>10</v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Operations</t>
        </is>
      </c>
      <c r="B188" t="inlineStr">
        <is>
          <t>F16</t>
        </is>
      </c>
      <c r="C188" t="n">
        <v>16</v>
      </c>
      <c r="D188" t="n">
        <v>6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10</v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Operations</t>
        </is>
      </c>
      <c r="B189" t="inlineStr">
        <is>
          <t>G16</t>
        </is>
      </c>
      <c r="C189" t="n">
        <v>16</v>
      </c>
      <c r="D189" t="n">
        <v>7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10</v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Operations</t>
        </is>
      </c>
      <c r="B190" t="inlineStr">
        <is>
          <t>H16</t>
        </is>
      </c>
      <c r="C190" t="n">
        <v>16</v>
      </c>
      <c r="D190" t="n">
        <v>8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10</v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Operations</t>
        </is>
      </c>
      <c r="B191" t="inlineStr">
        <is>
          <t>I16</t>
        </is>
      </c>
      <c r="C191" t="n">
        <v>16</v>
      </c>
      <c r="D191" t="n">
        <v>9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10</v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Operations</t>
        </is>
      </c>
      <c r="B192" t="inlineStr">
        <is>
          <t>J16</t>
        </is>
      </c>
      <c r="C192" t="n">
        <v>16</v>
      </c>
      <c r="D192" t="n">
        <v>10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10</v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Operations</t>
        </is>
      </c>
      <c r="B193" t="inlineStr">
        <is>
          <t>K16</t>
        </is>
      </c>
      <c r="C193" t="n">
        <v>16</v>
      </c>
      <c r="D193" t="n">
        <v>11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10</v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Operations</t>
        </is>
      </c>
      <c r="B194" t="inlineStr">
        <is>
          <t>L16</t>
        </is>
      </c>
      <c r="C194" t="n">
        <v>16</v>
      </c>
      <c r="D194" t="n">
        <v>12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10</v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Operations</t>
        </is>
      </c>
      <c r="B195" t="inlineStr">
        <is>
          <t>M16</t>
        </is>
      </c>
      <c r="C195" t="n">
        <v>16</v>
      </c>
      <c r="D195" t="n">
        <v>13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10</v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Operations</t>
        </is>
      </c>
      <c r="B196" t="inlineStr">
        <is>
          <t>N16</t>
        </is>
      </c>
      <c r="C196" t="n">
        <v>16</v>
      </c>
      <c r="D196" t="n">
        <v>14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10</v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Operations</t>
        </is>
      </c>
      <c r="B197" t="inlineStr">
        <is>
          <t>O16</t>
        </is>
      </c>
      <c r="C197" t="n">
        <v>16</v>
      </c>
      <c r="D197" t="n">
        <v>15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10</v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Operations</t>
        </is>
      </c>
      <c r="B198" t="inlineStr">
        <is>
          <t>A17</t>
        </is>
      </c>
      <c r="C198" t="n">
        <v>17</v>
      </c>
      <c r="D198" t="n">
        <v>1</v>
      </c>
      <c r="E198" t="inlineStr">
        <is>
          <t>Input</t>
        </is>
      </c>
      <c r="F198" t="n">
        <v/>
      </c>
      <c r="G198" t="inlineStr">
        <is>
          <t>Depreciation</t>
        </is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10</v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Operations</t>
        </is>
      </c>
      <c r="B199" t="inlineStr">
        <is>
          <t>B17</t>
        </is>
      </c>
      <c r="C199" t="n">
        <v>17</v>
      </c>
      <c r="D199" t="n">
        <v>2</v>
      </c>
      <c r="E199" t="inlineStr">
        <is>
          <t>Input</t>
        </is>
      </c>
      <c r="F199" t="n">
        <v/>
      </c>
      <c r="G199" t="n">
        <v>0</v>
      </c>
      <c r="H199" t="inlineStr"/>
      <c r="I199" t="inlineStr">
        <is>
          <t>_(* #,##0_);_(* \(#,##0\);_(* \-??_);_(@_)</t>
        </is>
      </c>
      <c r="J199" t="b">
        <v>1</v>
      </c>
      <c r="K199" t="b">
        <v>0</v>
      </c>
      <c r="L199" t="n">
        <v>10</v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Operations</t>
        </is>
      </c>
      <c r="B200" t="inlineStr">
        <is>
          <t>C17</t>
        </is>
      </c>
      <c r="C200" t="n">
        <v>17</v>
      </c>
      <c r="D200" t="n">
        <v>3</v>
      </c>
      <c r="E200" t="inlineStr">
        <is>
          <t>Input</t>
        </is>
      </c>
      <c r="F200" t="n">
        <v/>
      </c>
      <c r="G200" t="n">
        <v>100</v>
      </c>
      <c r="H200" t="inlineStr"/>
      <c r="I200" t="inlineStr">
        <is>
          <t>_(* #,##0_);_(* \(#,##0\);_(* \-??_);_(@_)</t>
        </is>
      </c>
      <c r="J200" t="b">
        <v>1</v>
      </c>
      <c r="K200" t="b">
        <v>0</v>
      </c>
      <c r="L200" t="n">
        <v>10</v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Operations</t>
        </is>
      </c>
      <c r="B201" t="inlineStr">
        <is>
          <t>D17</t>
        </is>
      </c>
      <c r="C201" t="n">
        <v>17</v>
      </c>
      <c r="D201" t="n">
        <v>4</v>
      </c>
      <c r="E201" t="inlineStr">
        <is>
          <t>Input</t>
        </is>
      </c>
      <c r="F201" t="n">
        <v/>
      </c>
      <c r="G201" t="n">
        <v>100</v>
      </c>
      <c r="H201" t="inlineStr"/>
      <c r="I201" t="inlineStr">
        <is>
          <t>_(* #,##0_);_(* \(#,##0\);_(* \-??_);_(@_)</t>
        </is>
      </c>
      <c r="J201" t="b">
        <v>1</v>
      </c>
      <c r="K201" t="b">
        <v>0</v>
      </c>
      <c r="L201" t="n">
        <v>10</v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Operations</t>
        </is>
      </c>
      <c r="B202" t="inlineStr">
        <is>
          <t>E17</t>
        </is>
      </c>
      <c r="C202" t="n">
        <v>17</v>
      </c>
      <c r="D202" t="n">
        <v>5</v>
      </c>
      <c r="E202" t="inlineStr">
        <is>
          <t>Input</t>
        </is>
      </c>
      <c r="F202" t="n">
        <v/>
      </c>
      <c r="G202" t="n">
        <v>100</v>
      </c>
      <c r="H202" t="inlineStr"/>
      <c r="I202" t="inlineStr">
        <is>
          <t>_(* #,##0_);_(* \(#,##0\);_(* \-??_);_(@_)</t>
        </is>
      </c>
      <c r="J202" t="b">
        <v>1</v>
      </c>
      <c r="K202" t="b">
        <v>0</v>
      </c>
      <c r="L202" t="n">
        <v>10</v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Operations</t>
        </is>
      </c>
      <c r="B203" t="inlineStr">
        <is>
          <t>F17</t>
        </is>
      </c>
      <c r="C203" t="n">
        <v>17</v>
      </c>
      <c r="D203" t="n">
        <v>6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1</v>
      </c>
      <c r="K203" t="b">
        <v>0</v>
      </c>
      <c r="L203" t="n">
        <v>10</v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Operations</t>
        </is>
      </c>
      <c r="B204" t="inlineStr">
        <is>
          <t>G17</t>
        </is>
      </c>
      <c r="C204" t="n">
        <v>17</v>
      </c>
      <c r="D204" t="n">
        <v>7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1</v>
      </c>
      <c r="K204" t="b">
        <v>0</v>
      </c>
      <c r="L204" t="n">
        <v>10</v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Operations</t>
        </is>
      </c>
      <c r="B205" t="inlineStr">
        <is>
          <t>H17</t>
        </is>
      </c>
      <c r="C205" t="n">
        <v>17</v>
      </c>
      <c r="D205" t="n">
        <v>8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10</v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Operations</t>
        </is>
      </c>
      <c r="B206" t="inlineStr">
        <is>
          <t>I17</t>
        </is>
      </c>
      <c r="C206" t="n">
        <v>17</v>
      </c>
      <c r="D206" t="n">
        <v>9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1</v>
      </c>
      <c r="K206" t="b">
        <v>0</v>
      </c>
      <c r="L206" t="n">
        <v>10</v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Operations</t>
        </is>
      </c>
      <c r="B207" t="inlineStr">
        <is>
          <t>J17</t>
        </is>
      </c>
      <c r="C207" t="n">
        <v>17</v>
      </c>
      <c r="D207" t="n">
        <v>10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1</v>
      </c>
      <c r="K207" t="b">
        <v>0</v>
      </c>
      <c r="L207" t="n">
        <v>10</v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Operations</t>
        </is>
      </c>
      <c r="B208" t="inlineStr">
        <is>
          <t>K17</t>
        </is>
      </c>
      <c r="C208" t="n">
        <v>17</v>
      </c>
      <c r="D208" t="n">
        <v>11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1</v>
      </c>
      <c r="K208" t="b">
        <v>0</v>
      </c>
      <c r="L208" t="n">
        <v>10</v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Operations</t>
        </is>
      </c>
      <c r="B209" t="inlineStr">
        <is>
          <t>L17</t>
        </is>
      </c>
      <c r="C209" t="n">
        <v>17</v>
      </c>
      <c r="D209" t="n">
        <v>12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1</v>
      </c>
      <c r="K209" t="b">
        <v>0</v>
      </c>
      <c r="L209" t="n">
        <v>10</v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Operations</t>
        </is>
      </c>
      <c r="B210" t="inlineStr">
        <is>
          <t>M17</t>
        </is>
      </c>
      <c r="C210" t="n">
        <v>17</v>
      </c>
      <c r="D210" t="n">
        <v>13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10</v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Operations</t>
        </is>
      </c>
      <c r="B211" t="inlineStr">
        <is>
          <t>N17</t>
        </is>
      </c>
      <c r="C211" t="n">
        <v>17</v>
      </c>
      <c r="D211" t="n">
        <v>14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10</v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Operations</t>
        </is>
      </c>
      <c r="B212" t="inlineStr">
        <is>
          <t>O17</t>
        </is>
      </c>
      <c r="C212" t="n">
        <v>17</v>
      </c>
      <c r="D212" t="n">
        <v>15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1</v>
      </c>
      <c r="K212" t="b">
        <v>0</v>
      </c>
      <c r="L212" t="n">
        <v>10</v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Operations</t>
        </is>
      </c>
      <c r="B213" t="inlineStr">
        <is>
          <t>A18</t>
        </is>
      </c>
      <c r="C213" t="n">
        <v>18</v>
      </c>
      <c r="D213" t="n">
        <v>1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1</v>
      </c>
      <c r="K213" t="b">
        <v>0</v>
      </c>
      <c r="L213" t="n">
        <v>10</v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Operations</t>
        </is>
      </c>
      <c r="B214" t="inlineStr">
        <is>
          <t>B18</t>
        </is>
      </c>
      <c r="C214" t="n">
        <v>18</v>
      </c>
      <c r="D214" t="n">
        <v>2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10</v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Operations</t>
        </is>
      </c>
      <c r="B215" t="inlineStr">
        <is>
          <t>C18</t>
        </is>
      </c>
      <c r="C215" t="n">
        <v>18</v>
      </c>
      <c r="D215" t="n">
        <v>3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10</v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Operations</t>
        </is>
      </c>
      <c r="B216" t="inlineStr">
        <is>
          <t>D18</t>
        </is>
      </c>
      <c r="C216" t="n">
        <v>18</v>
      </c>
      <c r="D216" t="n">
        <v>4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Operations</t>
        </is>
      </c>
      <c r="B217" t="inlineStr">
        <is>
          <t>E18</t>
        </is>
      </c>
      <c r="C217" t="n">
        <v>18</v>
      </c>
      <c r="D217" t="n">
        <v>5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10</v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Operations</t>
        </is>
      </c>
      <c r="B218" t="inlineStr">
        <is>
          <t>F18</t>
        </is>
      </c>
      <c r="C218" t="n">
        <v>18</v>
      </c>
      <c r="D218" t="n">
        <v>6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10</v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Operations</t>
        </is>
      </c>
      <c r="B219" t="inlineStr">
        <is>
          <t>G18</t>
        </is>
      </c>
      <c r="C219" t="n">
        <v>18</v>
      </c>
      <c r="D219" t="n">
        <v>7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10</v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Operations</t>
        </is>
      </c>
      <c r="B220" t="inlineStr">
        <is>
          <t>H18</t>
        </is>
      </c>
      <c r="C220" t="n">
        <v>18</v>
      </c>
      <c r="D220" t="n">
        <v>8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10</v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Operations</t>
        </is>
      </c>
      <c r="B221" t="inlineStr">
        <is>
          <t>I18</t>
        </is>
      </c>
      <c r="C221" t="n">
        <v>18</v>
      </c>
      <c r="D221" t="n">
        <v>9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10</v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Operations</t>
        </is>
      </c>
      <c r="B222" t="inlineStr">
        <is>
          <t>J18</t>
        </is>
      </c>
      <c r="C222" t="n">
        <v>18</v>
      </c>
      <c r="D222" t="n">
        <v>10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10</v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Operations</t>
        </is>
      </c>
      <c r="B223" t="inlineStr">
        <is>
          <t>K18</t>
        </is>
      </c>
      <c r="C223" t="n">
        <v>18</v>
      </c>
      <c r="D223" t="n">
        <v>11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1</v>
      </c>
      <c r="K223" t="b">
        <v>0</v>
      </c>
      <c r="L223" t="n">
        <v>10</v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Operations</t>
        </is>
      </c>
      <c r="B224" t="inlineStr">
        <is>
          <t>L18</t>
        </is>
      </c>
      <c r="C224" t="n">
        <v>18</v>
      </c>
      <c r="D224" t="n">
        <v>12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1</v>
      </c>
      <c r="K224" t="b">
        <v>0</v>
      </c>
      <c r="L224" t="n">
        <v>10</v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Operations</t>
        </is>
      </c>
      <c r="B225" t="inlineStr">
        <is>
          <t>M18</t>
        </is>
      </c>
      <c r="C225" t="n">
        <v>18</v>
      </c>
      <c r="D225" t="n">
        <v>13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1</v>
      </c>
      <c r="K225" t="b">
        <v>0</v>
      </c>
      <c r="L225" t="n">
        <v>10</v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Operations</t>
        </is>
      </c>
      <c r="B226" t="inlineStr">
        <is>
          <t>N18</t>
        </is>
      </c>
      <c r="C226" t="n">
        <v>18</v>
      </c>
      <c r="D226" t="n">
        <v>14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1</v>
      </c>
      <c r="K226" t="b">
        <v>0</v>
      </c>
      <c r="L226" t="n">
        <v>10</v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Operations</t>
        </is>
      </c>
      <c r="B227" t="inlineStr">
        <is>
          <t>O18</t>
        </is>
      </c>
      <c r="C227" t="n">
        <v>18</v>
      </c>
      <c r="D227" t="n">
        <v>15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1</v>
      </c>
      <c r="K227" t="b">
        <v>0</v>
      </c>
      <c r="L227" t="n">
        <v>10</v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Operations</t>
        </is>
      </c>
      <c r="B228" t="inlineStr">
        <is>
          <t>F19</t>
        </is>
      </c>
      <c r="C228" t="n">
        <v>19</v>
      </c>
      <c r="D228" t="n">
        <v>6</v>
      </c>
      <c r="E228" t="inlineStr">
        <is>
          <t>Input</t>
        </is>
      </c>
      <c r="F228" t="n">
        <v/>
      </c>
      <c r="H228" t="inlineStr"/>
      <c r="I228" t="inlineStr">
        <is>
          <t>_(* #,##0_);_(* \(#,##0\);_(* \-??_);_(@_)</t>
        </is>
      </c>
      <c r="J228" t="b">
        <v>1</v>
      </c>
      <c r="K228" t="b">
        <v>0</v>
      </c>
      <c r="L228" t="n">
        <v>10</v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Operations</t>
        </is>
      </c>
      <c r="B229" t="inlineStr">
        <is>
          <t>G19</t>
        </is>
      </c>
      <c r="C229" t="n">
        <v>19</v>
      </c>
      <c r="D229" t="n">
        <v>7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1</v>
      </c>
      <c r="K229" t="b">
        <v>0</v>
      </c>
      <c r="L229" t="n">
        <v>10</v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Operations</t>
        </is>
      </c>
      <c r="B230" t="inlineStr">
        <is>
          <t>H19</t>
        </is>
      </c>
      <c r="C230" t="n">
        <v>19</v>
      </c>
      <c r="D230" t="n">
        <v>8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1</v>
      </c>
      <c r="K230" t="b">
        <v>0</v>
      </c>
      <c r="L230" t="n">
        <v>10</v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Operations</t>
        </is>
      </c>
      <c r="B231" t="inlineStr">
        <is>
          <t>I19</t>
        </is>
      </c>
      <c r="C231" t="n">
        <v>19</v>
      </c>
      <c r="D231" t="n">
        <v>9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1</v>
      </c>
      <c r="K231" t="b">
        <v>0</v>
      </c>
      <c r="L231" t="n">
        <v>10</v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Operations</t>
        </is>
      </c>
      <c r="B232" t="inlineStr">
        <is>
          <t>J19</t>
        </is>
      </c>
      <c r="C232" t="n">
        <v>19</v>
      </c>
      <c r="D232" t="n">
        <v>10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1</v>
      </c>
      <c r="K232" t="b">
        <v>0</v>
      </c>
      <c r="L232" t="n">
        <v>10</v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Operations</t>
        </is>
      </c>
      <c r="B233" t="inlineStr">
        <is>
          <t>K19</t>
        </is>
      </c>
      <c r="C233" t="n">
        <v>19</v>
      </c>
      <c r="D233" t="n">
        <v>11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1</v>
      </c>
      <c r="K233" t="b">
        <v>0</v>
      </c>
      <c r="L233" t="n">
        <v>10</v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Operations</t>
        </is>
      </c>
      <c r="B234" t="inlineStr">
        <is>
          <t>L19</t>
        </is>
      </c>
      <c r="C234" t="n">
        <v>19</v>
      </c>
      <c r="D234" t="n">
        <v>12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1</v>
      </c>
      <c r="K234" t="b">
        <v>0</v>
      </c>
      <c r="L234" t="n">
        <v>10</v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Operations</t>
        </is>
      </c>
      <c r="B235" t="inlineStr">
        <is>
          <t>M19</t>
        </is>
      </c>
      <c r="C235" t="n">
        <v>19</v>
      </c>
      <c r="D235" t="n">
        <v>13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1</v>
      </c>
      <c r="K235" t="b">
        <v>0</v>
      </c>
      <c r="L235" t="n">
        <v>10</v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Operations</t>
        </is>
      </c>
      <c r="B236" t="inlineStr">
        <is>
          <t>N19</t>
        </is>
      </c>
      <c r="C236" t="n">
        <v>19</v>
      </c>
      <c r="D236" t="n">
        <v>14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1</v>
      </c>
      <c r="K236" t="b">
        <v>0</v>
      </c>
      <c r="L236" t="n">
        <v>10</v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Operations</t>
        </is>
      </c>
      <c r="B237" t="inlineStr">
        <is>
          <t>O19</t>
        </is>
      </c>
      <c r="C237" t="n">
        <v>19</v>
      </c>
      <c r="D237" t="n">
        <v>15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1</v>
      </c>
      <c r="K237" t="b">
        <v>0</v>
      </c>
      <c r="L237" t="n">
        <v>10</v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Operations</t>
        </is>
      </c>
      <c r="B238" t="inlineStr">
        <is>
          <t>A20</t>
        </is>
      </c>
      <c r="C238" t="n">
        <v>20</v>
      </c>
      <c r="D238" t="n">
        <v>1</v>
      </c>
      <c r="E238" t="inlineStr">
        <is>
          <t>Input</t>
        </is>
      </c>
      <c r="F238" t="n">
        <v/>
      </c>
      <c r="G238" t="inlineStr">
        <is>
          <t>OPERATIONS AND INVESTMENTS CALCULATIONS</t>
        </is>
      </c>
      <c r="H238" t="inlineStr"/>
      <c r="I238" t="inlineStr">
        <is>
          <t>General</t>
        </is>
      </c>
      <c r="J238" t="b">
        <v>1</v>
      </c>
      <c r="K238" t="b">
        <v>0</v>
      </c>
      <c r="L238" t="n">
        <v>10</v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Operations</t>
        </is>
      </c>
      <c r="B239" t="inlineStr">
        <is>
          <t>F20</t>
        </is>
      </c>
      <c r="C239" t="n">
        <v>20</v>
      </c>
      <c r="D239" t="n">
        <v>6</v>
      </c>
      <c r="E239" t="inlineStr">
        <is>
          <t>Input</t>
        </is>
      </c>
      <c r="F239" t="n">
        <v/>
      </c>
      <c r="H239" t="inlineStr"/>
      <c r="I239" t="inlineStr">
        <is>
          <t>_(* #,##0_);_(* \(#,##0\);_(* \-??_);_(@_)</t>
        </is>
      </c>
      <c r="J239" t="b">
        <v>1</v>
      </c>
      <c r="K239" t="b">
        <v>0</v>
      </c>
      <c r="L239" t="n">
        <v>10</v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Operations</t>
        </is>
      </c>
      <c r="B240" t="inlineStr">
        <is>
          <t>G20</t>
        </is>
      </c>
      <c r="C240" t="n">
        <v>20</v>
      </c>
      <c r="D240" t="n">
        <v>7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1</v>
      </c>
      <c r="K240" t="b">
        <v>0</v>
      </c>
      <c r="L240" t="n">
        <v>10</v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Operations</t>
        </is>
      </c>
      <c r="B241" t="inlineStr">
        <is>
          <t>H20</t>
        </is>
      </c>
      <c r="C241" t="n">
        <v>20</v>
      </c>
      <c r="D241" t="n">
        <v>8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1</v>
      </c>
      <c r="K241" t="b">
        <v>0</v>
      </c>
      <c r="L241" t="n">
        <v>10</v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Operations</t>
        </is>
      </c>
      <c r="B242" t="inlineStr">
        <is>
          <t>I20</t>
        </is>
      </c>
      <c r="C242" t="n">
        <v>20</v>
      </c>
      <c r="D242" t="n">
        <v>9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1</v>
      </c>
      <c r="K242" t="b">
        <v>0</v>
      </c>
      <c r="L242" t="n">
        <v>10</v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Operations</t>
        </is>
      </c>
      <c r="B243" t="inlineStr">
        <is>
          <t>J20</t>
        </is>
      </c>
      <c r="C243" t="n">
        <v>20</v>
      </c>
      <c r="D243" t="n">
        <v>10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1</v>
      </c>
      <c r="K243" t="b">
        <v>0</v>
      </c>
      <c r="L243" t="n">
        <v>10</v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Operations</t>
        </is>
      </c>
      <c r="B244" t="inlineStr">
        <is>
          <t>K20</t>
        </is>
      </c>
      <c r="C244" t="n">
        <v>20</v>
      </c>
      <c r="D244" t="n">
        <v>11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1</v>
      </c>
      <c r="K244" t="b">
        <v>0</v>
      </c>
      <c r="L244" t="n">
        <v>10</v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Operations</t>
        </is>
      </c>
      <c r="B245" t="inlineStr">
        <is>
          <t>L20</t>
        </is>
      </c>
      <c r="C245" t="n">
        <v>20</v>
      </c>
      <c r="D245" t="n">
        <v>12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1</v>
      </c>
      <c r="K245" t="b">
        <v>0</v>
      </c>
      <c r="L245" t="n">
        <v>10</v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Operations</t>
        </is>
      </c>
      <c r="B246" t="inlineStr">
        <is>
          <t>M20</t>
        </is>
      </c>
      <c r="C246" t="n">
        <v>20</v>
      </c>
      <c r="D246" t="n">
        <v>13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1</v>
      </c>
      <c r="K246" t="b">
        <v>0</v>
      </c>
      <c r="L246" t="n">
        <v>10</v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Operations</t>
        </is>
      </c>
      <c r="B247" t="inlineStr">
        <is>
          <t>N20</t>
        </is>
      </c>
      <c r="C247" t="n">
        <v>20</v>
      </c>
      <c r="D247" t="n">
        <v>14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1</v>
      </c>
      <c r="K247" t="b">
        <v>0</v>
      </c>
      <c r="L247" t="n">
        <v>10</v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Operations</t>
        </is>
      </c>
      <c r="B248" t="inlineStr">
        <is>
          <t>O20</t>
        </is>
      </c>
      <c r="C248" t="n">
        <v>20</v>
      </c>
      <c r="D248" t="n">
        <v>15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1</v>
      </c>
      <c r="K248" t="b">
        <v>0</v>
      </c>
      <c r="L248" t="n">
        <v>10</v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Operations</t>
        </is>
      </c>
      <c r="B249" t="inlineStr">
        <is>
          <t>F21</t>
        </is>
      </c>
      <c r="C249" t="n">
        <v>21</v>
      </c>
      <c r="D249" t="n">
        <v>6</v>
      </c>
      <c r="E249" t="inlineStr">
        <is>
          <t>Input</t>
        </is>
      </c>
      <c r="F249" t="n">
        <v/>
      </c>
      <c r="H249" t="inlineStr"/>
      <c r="I249" t="inlineStr">
        <is>
          <t>_(* #,##0_);_(* \(#,##0\);_(* \-??_);_(@_)</t>
        </is>
      </c>
      <c r="J249" t="b">
        <v>1</v>
      </c>
      <c r="K249" t="b">
        <v>0</v>
      </c>
      <c r="L249" t="n">
        <v>10</v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Operations</t>
        </is>
      </c>
      <c r="B250" t="inlineStr">
        <is>
          <t>G21</t>
        </is>
      </c>
      <c r="C250" t="n">
        <v>21</v>
      </c>
      <c r="D250" t="n">
        <v>7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10</v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Operations</t>
        </is>
      </c>
      <c r="B251" t="inlineStr">
        <is>
          <t>H21</t>
        </is>
      </c>
      <c r="C251" t="n">
        <v>21</v>
      </c>
      <c r="D251" t="n">
        <v>8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1</v>
      </c>
      <c r="K251" t="b">
        <v>0</v>
      </c>
      <c r="L251" t="n">
        <v>10</v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Operations</t>
        </is>
      </c>
      <c r="B252" t="inlineStr">
        <is>
          <t>I21</t>
        </is>
      </c>
      <c r="C252" t="n">
        <v>21</v>
      </c>
      <c r="D252" t="n">
        <v>9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1</v>
      </c>
      <c r="K252" t="b">
        <v>0</v>
      </c>
      <c r="L252" t="n">
        <v>10</v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Operations</t>
        </is>
      </c>
      <c r="B253" t="inlineStr">
        <is>
          <t>J21</t>
        </is>
      </c>
      <c r="C253" t="n">
        <v>21</v>
      </c>
      <c r="D253" t="n">
        <v>10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1</v>
      </c>
      <c r="K253" t="b">
        <v>0</v>
      </c>
      <c r="L253" t="n">
        <v>10</v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Operations</t>
        </is>
      </c>
      <c r="B254" t="inlineStr">
        <is>
          <t>K21</t>
        </is>
      </c>
      <c r="C254" t="n">
        <v>21</v>
      </c>
      <c r="D254" t="n">
        <v>11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1</v>
      </c>
      <c r="K254" t="b">
        <v>0</v>
      </c>
      <c r="L254" t="n">
        <v>10</v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Operations</t>
        </is>
      </c>
      <c r="B255" t="inlineStr">
        <is>
          <t>L21</t>
        </is>
      </c>
      <c r="C255" t="n">
        <v>21</v>
      </c>
      <c r="D255" t="n">
        <v>12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1</v>
      </c>
      <c r="K255" t="b">
        <v>0</v>
      </c>
      <c r="L255" t="n">
        <v>10</v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Operations</t>
        </is>
      </c>
      <c r="B256" t="inlineStr">
        <is>
          <t>M21</t>
        </is>
      </c>
      <c r="C256" t="n">
        <v>21</v>
      </c>
      <c r="D256" t="n">
        <v>13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1</v>
      </c>
      <c r="K256" t="b">
        <v>0</v>
      </c>
      <c r="L256" t="n">
        <v>10</v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Operations</t>
        </is>
      </c>
      <c r="B257" t="inlineStr">
        <is>
          <t>N21</t>
        </is>
      </c>
      <c r="C257" t="n">
        <v>21</v>
      </c>
      <c r="D257" t="n">
        <v>14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1</v>
      </c>
      <c r="K257" t="b">
        <v>0</v>
      </c>
      <c r="L257" t="n">
        <v>10</v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Operations</t>
        </is>
      </c>
      <c r="B258" t="inlineStr">
        <is>
          <t>O21</t>
        </is>
      </c>
      <c r="C258" t="n">
        <v>21</v>
      </c>
      <c r="D258" t="n">
        <v>15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1</v>
      </c>
      <c r="K258" t="b">
        <v>0</v>
      </c>
      <c r="L258" t="n">
        <v>10</v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Operations</t>
        </is>
      </c>
      <c r="B259" t="inlineStr">
        <is>
          <t>A22</t>
        </is>
      </c>
      <c r="C259" t="n">
        <v>22</v>
      </c>
      <c r="D259" t="n">
        <v>1</v>
      </c>
      <c r="E259" t="inlineStr">
        <is>
          <t>Input</t>
        </is>
      </c>
      <c r="F259" t="n">
        <v/>
      </c>
      <c r="G259" t="inlineStr">
        <is>
          <t>Year</t>
        </is>
      </c>
      <c r="H259" t="inlineStr"/>
      <c r="I259" t="inlineStr">
        <is>
          <t>General</t>
        </is>
      </c>
      <c r="J259" t="b">
        <v>1</v>
      </c>
      <c r="K259" t="b">
        <v>0</v>
      </c>
      <c r="L259" t="n">
        <v>10</v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Operations</t>
        </is>
      </c>
      <c r="B260" t="inlineStr">
        <is>
          <t>B22</t>
        </is>
      </c>
      <c r="C260" t="n">
        <v>22</v>
      </c>
      <c r="D260" t="n">
        <v>2</v>
      </c>
      <c r="E260" t="inlineStr">
        <is>
          <t>Input</t>
        </is>
      </c>
      <c r="F260" t="n">
        <v/>
      </c>
      <c r="G260" t="n">
        <v>0</v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10</v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Operations</t>
        </is>
      </c>
      <c r="B261" t="inlineStr">
        <is>
          <t>C22</t>
        </is>
      </c>
      <c r="C261" t="n">
        <v>22</v>
      </c>
      <c r="D261" t="n">
        <v>3</v>
      </c>
      <c r="E261" t="inlineStr">
        <is>
          <t>Input</t>
        </is>
      </c>
      <c r="F261" t="n">
        <v/>
      </c>
      <c r="G261" t="n">
        <v>1</v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10</v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Operations</t>
        </is>
      </c>
      <c r="B262" t="inlineStr">
        <is>
          <t>D22</t>
        </is>
      </c>
      <c r="C262" t="n">
        <v>22</v>
      </c>
      <c r="D262" t="n">
        <v>4</v>
      </c>
      <c r="E262" t="inlineStr">
        <is>
          <t>Input</t>
        </is>
      </c>
      <c r="F262" t="n">
        <v/>
      </c>
      <c r="G262" t="n">
        <v>2</v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10</v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Operations</t>
        </is>
      </c>
      <c r="B263" t="inlineStr">
        <is>
          <t>E22</t>
        </is>
      </c>
      <c r="C263" t="n">
        <v>22</v>
      </c>
      <c r="D263" t="n">
        <v>5</v>
      </c>
      <c r="E263" t="inlineStr">
        <is>
          <t>Input</t>
        </is>
      </c>
      <c r="F263" t="n">
        <v/>
      </c>
      <c r="G263" t="n">
        <v>3</v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10</v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Operations</t>
        </is>
      </c>
      <c r="B264" t="inlineStr">
        <is>
          <t>F22</t>
        </is>
      </c>
      <c r="C264" t="n">
        <v>22</v>
      </c>
      <c r="D264" t="n">
        <v>6</v>
      </c>
      <c r="E264" t="inlineStr">
        <is>
          <t>Input</t>
        </is>
      </c>
      <c r="F264" t="n">
        <v/>
      </c>
      <c r="H264" t="inlineStr"/>
      <c r="I264" t="inlineStr">
        <is>
          <t>_(* #,##0_);_(* \(#,##0\);_(* \-??_);_(@_)</t>
        </is>
      </c>
      <c r="J264" t="b">
        <v>1</v>
      </c>
      <c r="K264" t="b">
        <v>0</v>
      </c>
      <c r="L264" t="n">
        <v>10</v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Operations</t>
        </is>
      </c>
      <c r="B265" t="inlineStr">
        <is>
          <t>G22</t>
        </is>
      </c>
      <c r="C265" t="n">
        <v>22</v>
      </c>
      <c r="D265" t="n">
        <v>7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10</v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Operations</t>
        </is>
      </c>
      <c r="B266" t="inlineStr">
        <is>
          <t>H22</t>
        </is>
      </c>
      <c r="C266" t="n">
        <v>22</v>
      </c>
      <c r="D266" t="n">
        <v>8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10</v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Operations</t>
        </is>
      </c>
      <c r="B267" t="inlineStr">
        <is>
          <t>I22</t>
        </is>
      </c>
      <c r="C267" t="n">
        <v>22</v>
      </c>
      <c r="D267" t="n">
        <v>9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10</v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Operations</t>
        </is>
      </c>
      <c r="B268" t="inlineStr">
        <is>
          <t>J22</t>
        </is>
      </c>
      <c r="C268" t="n">
        <v>22</v>
      </c>
      <c r="D268" t="n">
        <v>10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10</v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Operations</t>
        </is>
      </c>
      <c r="B269" t="inlineStr">
        <is>
          <t>K22</t>
        </is>
      </c>
      <c r="C269" t="n">
        <v>22</v>
      </c>
      <c r="D269" t="n">
        <v>11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1</v>
      </c>
      <c r="K269" t="b">
        <v>0</v>
      </c>
      <c r="L269" t="n">
        <v>10</v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Operations</t>
        </is>
      </c>
      <c r="B270" t="inlineStr">
        <is>
          <t>L22</t>
        </is>
      </c>
      <c r="C270" t="n">
        <v>22</v>
      </c>
      <c r="D270" t="n">
        <v>12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1</v>
      </c>
      <c r="K270" t="b">
        <v>0</v>
      </c>
      <c r="L270" t="n">
        <v>10</v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Operations</t>
        </is>
      </c>
      <c r="B271" t="inlineStr">
        <is>
          <t>M22</t>
        </is>
      </c>
      <c r="C271" t="n">
        <v>22</v>
      </c>
      <c r="D271" t="n">
        <v>13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1</v>
      </c>
      <c r="K271" t="b">
        <v>0</v>
      </c>
      <c r="L271" t="n">
        <v>10</v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Operations</t>
        </is>
      </c>
      <c r="B272" t="inlineStr">
        <is>
          <t>N22</t>
        </is>
      </c>
      <c r="C272" t="n">
        <v>22</v>
      </c>
      <c r="D272" t="n">
        <v>14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1</v>
      </c>
      <c r="K272" t="b">
        <v>0</v>
      </c>
      <c r="L272" t="n">
        <v>10</v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Operations</t>
        </is>
      </c>
      <c r="B273" t="inlineStr">
        <is>
          <t>O22</t>
        </is>
      </c>
      <c r="C273" t="n">
        <v>22</v>
      </c>
      <c r="D273" t="n">
        <v>15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1</v>
      </c>
      <c r="K273" t="b">
        <v>0</v>
      </c>
      <c r="L273" t="n">
        <v>10</v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Operations</t>
        </is>
      </c>
      <c r="B274" t="inlineStr">
        <is>
          <t>F23</t>
        </is>
      </c>
      <c r="C274" t="n">
        <v>23</v>
      </c>
      <c r="D274" t="n">
        <v>6</v>
      </c>
      <c r="E274" t="inlineStr">
        <is>
          <t>Input</t>
        </is>
      </c>
      <c r="F274" t="n">
        <v/>
      </c>
      <c r="H274" t="inlineStr"/>
      <c r="I274" t="inlineStr">
        <is>
          <t>_(* #,##0_);_(* \(#,##0\);_(* \-??_);_(@_)</t>
        </is>
      </c>
      <c r="J274" t="b">
        <v>1</v>
      </c>
      <c r="K274" t="b">
        <v>0</v>
      </c>
      <c r="L274" t="n">
        <v>10</v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Operations</t>
        </is>
      </c>
      <c r="B275" t="inlineStr">
        <is>
          <t>G23</t>
        </is>
      </c>
      <c r="C275" t="n">
        <v>23</v>
      </c>
      <c r="D275" t="n">
        <v>7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1</v>
      </c>
      <c r="K275" t="b">
        <v>0</v>
      </c>
      <c r="L275" t="n">
        <v>10</v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Operations</t>
        </is>
      </c>
      <c r="B276" t="inlineStr">
        <is>
          <t>H23</t>
        </is>
      </c>
      <c r="C276" t="n">
        <v>23</v>
      </c>
      <c r="D276" t="n">
        <v>8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1</v>
      </c>
      <c r="K276" t="b">
        <v>0</v>
      </c>
      <c r="L276" t="n">
        <v>10</v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Operations</t>
        </is>
      </c>
      <c r="B277" t="inlineStr">
        <is>
          <t>I23</t>
        </is>
      </c>
      <c r="C277" t="n">
        <v>23</v>
      </c>
      <c r="D277" t="n">
        <v>9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1</v>
      </c>
      <c r="K277" t="b">
        <v>0</v>
      </c>
      <c r="L277" t="n">
        <v>10</v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Operations</t>
        </is>
      </c>
      <c r="B278" t="inlineStr">
        <is>
          <t>J23</t>
        </is>
      </c>
      <c r="C278" t="n">
        <v>23</v>
      </c>
      <c r="D278" t="n">
        <v>10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10</v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Operations</t>
        </is>
      </c>
      <c r="B279" t="inlineStr">
        <is>
          <t>K23</t>
        </is>
      </c>
      <c r="C279" t="n">
        <v>23</v>
      </c>
      <c r="D279" t="n">
        <v>11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1</v>
      </c>
      <c r="K279" t="b">
        <v>0</v>
      </c>
      <c r="L279" t="n">
        <v>10</v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Operations</t>
        </is>
      </c>
      <c r="B280" t="inlineStr">
        <is>
          <t>L23</t>
        </is>
      </c>
      <c r="C280" t="n">
        <v>23</v>
      </c>
      <c r="D280" t="n">
        <v>12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10</v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Operations</t>
        </is>
      </c>
      <c r="B281" t="inlineStr">
        <is>
          <t>M23</t>
        </is>
      </c>
      <c r="C281" t="n">
        <v>23</v>
      </c>
      <c r="D281" t="n">
        <v>13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10</v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Operations</t>
        </is>
      </c>
      <c r="B282" t="inlineStr">
        <is>
          <t>N23</t>
        </is>
      </c>
      <c r="C282" t="n">
        <v>23</v>
      </c>
      <c r="D282" t="n">
        <v>14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10</v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Operations</t>
        </is>
      </c>
      <c r="B283" t="inlineStr">
        <is>
          <t>O23</t>
        </is>
      </c>
      <c r="C283" t="n">
        <v>23</v>
      </c>
      <c r="D283" t="n">
        <v>15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10</v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Operations</t>
        </is>
      </c>
      <c r="B284" t="inlineStr">
        <is>
          <t>A24</t>
        </is>
      </c>
      <c r="C284" t="n">
        <v>24</v>
      </c>
      <c r="D284" t="n">
        <v>1</v>
      </c>
      <c r="E284" t="inlineStr">
        <is>
          <t>Input</t>
        </is>
      </c>
      <c r="F284" t="n">
        <v/>
      </c>
      <c r="G284" t="inlineStr">
        <is>
          <t>Average sales</t>
        </is>
      </c>
      <c r="H284" t="inlineStr"/>
      <c r="I284" t="inlineStr">
        <is>
          <t>General</t>
        </is>
      </c>
      <c r="J284" t="b">
        <v>1</v>
      </c>
      <c r="K284" t="b">
        <v>0</v>
      </c>
      <c r="L284" t="n">
        <v>10</v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Operations</t>
        </is>
      </c>
      <c r="B285" t="inlineStr">
        <is>
          <t>B24</t>
        </is>
      </c>
      <c r="C285" t="n">
        <v>24</v>
      </c>
      <c r="D285" t="n">
        <v>2</v>
      </c>
      <c r="E285" t="inlineStr">
        <is>
          <t>Calculation</t>
        </is>
      </c>
      <c r="F285" t="inlineStr">
        <is>
          <t>'=0.5*B6+0.5*C6</t>
        </is>
      </c>
      <c r="G285" t="n">
        <v>200</v>
      </c>
      <c r="H285" t="inlineStr"/>
      <c r="I285" t="inlineStr">
        <is>
          <t>General</t>
        </is>
      </c>
      <c r="J285" t="b">
        <v>1</v>
      </c>
      <c r="K285" t="b">
        <v>0</v>
      </c>
      <c r="L285" t="n">
        <v>10</v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1</v>
      </c>
      <c r="S285" t="inlineStr">
        <is>
          <t>G000001</t>
        </is>
      </c>
      <c r="T285" t="inlineStr">
        <is>
          <t>Horizontal</t>
        </is>
      </c>
      <c r="U285" t="n">
        <v>4</v>
      </c>
      <c r="V285" t="b">
        <v>1</v>
      </c>
      <c r="W285" t="inlineStr">
        <is>
          <t>Operations!B24:E24</t>
        </is>
      </c>
      <c r="X285">
        <f>0.5*R[-18]C[0]+0.5*R[-18]C[1]</f>
        <v/>
      </c>
    </row>
    <row r="286">
      <c r="A286" t="inlineStr">
        <is>
          <t>Operations</t>
        </is>
      </c>
      <c r="B286" t="inlineStr">
        <is>
          <t>C24</t>
        </is>
      </c>
      <c r="C286" t="n">
        <v>24</v>
      </c>
      <c r="D286" t="n">
        <v>3</v>
      </c>
      <c r="E286" t="inlineStr">
        <is>
          <t>Calculation</t>
        </is>
      </c>
      <c r="F286" t="inlineStr">
        <is>
          <t>'=0.5*C6+0.5*D6</t>
        </is>
      </c>
      <c r="G286" t="n">
        <v>500</v>
      </c>
      <c r="H286" t="inlineStr"/>
      <c r="I286" t="inlineStr">
        <is>
          <t>General</t>
        </is>
      </c>
      <c r="J286" t="b">
        <v>1</v>
      </c>
      <c r="K286" t="b">
        <v>0</v>
      </c>
      <c r="L286" t="n">
        <v>10</v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1</v>
      </c>
      <c r="S286" t="inlineStr">
        <is>
          <t>G000001</t>
        </is>
      </c>
      <c r="T286" t="inlineStr">
        <is>
          <t>Horizontal</t>
        </is>
      </c>
      <c r="U286" t="n">
        <v>4</v>
      </c>
      <c r="V286" t="b">
        <v>1</v>
      </c>
      <c r="W286" t="inlineStr">
        <is>
          <t>Operations!B24:E24</t>
        </is>
      </c>
      <c r="X286">
        <f>0.5*R[-18]C[0]+0.5*R[-18]C[1]</f>
        <v/>
      </c>
    </row>
    <row r="287">
      <c r="A287" t="inlineStr">
        <is>
          <t>Operations</t>
        </is>
      </c>
      <c r="B287" t="inlineStr">
        <is>
          <t>D24</t>
        </is>
      </c>
      <c r="C287" t="n">
        <v>24</v>
      </c>
      <c r="D287" t="n">
        <v>4</v>
      </c>
      <c r="E287" t="inlineStr">
        <is>
          <t>Calculation</t>
        </is>
      </c>
      <c r="F287" t="inlineStr">
        <is>
          <t>'=0.5*D6+0.5*E6</t>
        </is>
      </c>
      <c r="G287" t="n">
        <v>700</v>
      </c>
      <c r="H287" t="inlineStr"/>
      <c r="I287" t="inlineStr">
        <is>
          <t>General</t>
        </is>
      </c>
      <c r="J287" t="b">
        <v>1</v>
      </c>
      <c r="K287" t="b">
        <v>0</v>
      </c>
      <c r="L287" t="n">
        <v>10</v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1</v>
      </c>
      <c r="S287" t="inlineStr">
        <is>
          <t>G000001</t>
        </is>
      </c>
      <c r="T287" t="inlineStr">
        <is>
          <t>Horizontal</t>
        </is>
      </c>
      <c r="U287" t="n">
        <v>4</v>
      </c>
      <c r="V287" t="b">
        <v>1</v>
      </c>
      <c r="W287" t="inlineStr">
        <is>
          <t>Operations!B24:E24</t>
        </is>
      </c>
      <c r="X287">
        <f>0.5*R[-18]C[0]+0.5*R[-18]C[1]</f>
        <v/>
      </c>
    </row>
    <row r="288">
      <c r="A288" t="inlineStr">
        <is>
          <t>Operations</t>
        </is>
      </c>
      <c r="B288" t="inlineStr">
        <is>
          <t>E24</t>
        </is>
      </c>
      <c r="C288" t="n">
        <v>24</v>
      </c>
      <c r="D288" t="n">
        <v>5</v>
      </c>
      <c r="E288" t="inlineStr">
        <is>
          <t>Calculation</t>
        </is>
      </c>
      <c r="F288" t="inlineStr">
        <is>
          <t>'=0.5*E6+0.5*F6</t>
        </is>
      </c>
      <c r="G288" t="n">
        <v>850</v>
      </c>
      <c r="H288" t="inlineStr"/>
      <c r="I288" t="inlineStr">
        <is>
          <t>General</t>
        </is>
      </c>
      <c r="J288" t="b">
        <v>1</v>
      </c>
      <c r="K288" t="b">
        <v>0</v>
      </c>
      <c r="L288" t="n">
        <v>10</v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1</v>
      </c>
      <c r="S288" t="inlineStr">
        <is>
          <t>G000001</t>
        </is>
      </c>
      <c r="T288" t="inlineStr">
        <is>
          <t>Horizontal</t>
        </is>
      </c>
      <c r="U288" t="n">
        <v>4</v>
      </c>
      <c r="V288" t="b">
        <v>1</v>
      </c>
      <c r="W288" t="inlineStr">
        <is>
          <t>Operations!B24:E24</t>
        </is>
      </c>
      <c r="X288">
        <f>0.5*R[-18]C[0]+0.5*R[-18]C[1]</f>
        <v/>
      </c>
    </row>
    <row r="289">
      <c r="A289" t="inlineStr">
        <is>
          <t>Operations</t>
        </is>
      </c>
      <c r="B289" t="inlineStr">
        <is>
          <t>F24</t>
        </is>
      </c>
      <c r="C289" t="n">
        <v>24</v>
      </c>
      <c r="D289" t="n">
        <v>6</v>
      </c>
      <c r="E289" t="inlineStr">
        <is>
          <t>Input</t>
        </is>
      </c>
      <c r="F289" t="n">
        <v/>
      </c>
      <c r="H289" t="inlineStr"/>
      <c r="I289" t="inlineStr">
        <is>
          <t>_(* #,##0_);_(* \(#,##0\);_(* \-??_);_(@_)</t>
        </is>
      </c>
      <c r="J289" t="b">
        <v>1</v>
      </c>
      <c r="K289" t="b">
        <v>0</v>
      </c>
      <c r="L289" t="n">
        <v>10</v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Operations</t>
        </is>
      </c>
      <c r="B290" t="inlineStr">
        <is>
          <t>G24</t>
        </is>
      </c>
      <c r="C290" t="n">
        <v>24</v>
      </c>
      <c r="D290" t="n">
        <v>7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1</v>
      </c>
      <c r="K290" t="b">
        <v>0</v>
      </c>
      <c r="L290" t="n">
        <v>10</v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  <row r="291">
      <c r="A291" t="inlineStr">
        <is>
          <t>Operations</t>
        </is>
      </c>
      <c r="B291" t="inlineStr">
        <is>
          <t>H24</t>
        </is>
      </c>
      <c r="C291" t="n">
        <v>24</v>
      </c>
      <c r="D291" t="n">
        <v>8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1</v>
      </c>
      <c r="K291" t="b">
        <v>0</v>
      </c>
      <c r="L291" t="n">
        <v>10</v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</row>
    <row r="292">
      <c r="A292" t="inlineStr">
        <is>
          <t>Operations</t>
        </is>
      </c>
      <c r="B292" t="inlineStr">
        <is>
          <t>I24</t>
        </is>
      </c>
      <c r="C292" t="n">
        <v>24</v>
      </c>
      <c r="D292" t="n">
        <v>9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1</v>
      </c>
      <c r="K292" t="b">
        <v>0</v>
      </c>
      <c r="L292" t="n">
        <v>10</v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</row>
    <row r="293">
      <c r="A293" t="inlineStr">
        <is>
          <t>Operations</t>
        </is>
      </c>
      <c r="B293" t="inlineStr">
        <is>
          <t>J24</t>
        </is>
      </c>
      <c r="C293" t="n">
        <v>24</v>
      </c>
      <c r="D293" t="n">
        <v>10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1</v>
      </c>
      <c r="K293" t="b">
        <v>0</v>
      </c>
      <c r="L293" t="n">
        <v>10</v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</row>
    <row r="294">
      <c r="A294" t="inlineStr">
        <is>
          <t>Operations</t>
        </is>
      </c>
      <c r="B294" t="inlineStr">
        <is>
          <t>K24</t>
        </is>
      </c>
      <c r="C294" t="n">
        <v>24</v>
      </c>
      <c r="D294" t="n">
        <v>11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1</v>
      </c>
      <c r="K294" t="b">
        <v>0</v>
      </c>
      <c r="L294" t="n">
        <v>10</v>
      </c>
      <c r="N294" t="inlineStr">
        <is>
          <t>00000000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</row>
    <row r="295">
      <c r="A295" t="inlineStr">
        <is>
          <t>Operations</t>
        </is>
      </c>
      <c r="B295" t="inlineStr">
        <is>
          <t>L24</t>
        </is>
      </c>
      <c r="C295" t="n">
        <v>24</v>
      </c>
      <c r="D295" t="n">
        <v>12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1</v>
      </c>
      <c r="K295" t="b">
        <v>0</v>
      </c>
      <c r="L295" t="n">
        <v>10</v>
      </c>
      <c r="N295" t="inlineStr">
        <is>
          <t>00000000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</row>
    <row r="296">
      <c r="A296" t="inlineStr">
        <is>
          <t>Operations</t>
        </is>
      </c>
      <c r="B296" t="inlineStr">
        <is>
          <t>M24</t>
        </is>
      </c>
      <c r="C296" t="n">
        <v>24</v>
      </c>
      <c r="D296" t="n">
        <v>13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1</v>
      </c>
      <c r="K296" t="b">
        <v>0</v>
      </c>
      <c r="L296" t="n">
        <v>10</v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Operations</t>
        </is>
      </c>
      <c r="B297" t="inlineStr">
        <is>
          <t>N24</t>
        </is>
      </c>
      <c r="C297" t="n">
        <v>24</v>
      </c>
      <c r="D297" t="n">
        <v>14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1</v>
      </c>
      <c r="K297" t="b">
        <v>0</v>
      </c>
      <c r="L297" t="n">
        <v>10</v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Operations</t>
        </is>
      </c>
      <c r="B298" t="inlineStr">
        <is>
          <t>O24</t>
        </is>
      </c>
      <c r="C298" t="n">
        <v>24</v>
      </c>
      <c r="D298" t="n">
        <v>15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1</v>
      </c>
      <c r="K298" t="b">
        <v>0</v>
      </c>
      <c r="L298" t="n">
        <v>10</v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Operations</t>
        </is>
      </c>
      <c r="B299" t="inlineStr">
        <is>
          <t>A25</t>
        </is>
      </c>
      <c r="C299" t="n">
        <v>25</v>
      </c>
      <c r="D299" t="n">
        <v>1</v>
      </c>
      <c r="E299" t="inlineStr">
        <is>
          <t>Input</t>
        </is>
      </c>
      <c r="F299" t="n">
        <v/>
      </c>
      <c r="G299" t="inlineStr">
        <is>
          <t>Average COGS</t>
        </is>
      </c>
      <c r="H299" t="inlineStr"/>
      <c r="I299" t="inlineStr">
        <is>
          <t>General</t>
        </is>
      </c>
      <c r="J299" t="b">
        <v>1</v>
      </c>
      <c r="K299" t="b">
        <v>0</v>
      </c>
      <c r="L299" t="n">
        <v>10</v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Operations</t>
        </is>
      </c>
      <c r="B300" t="inlineStr">
        <is>
          <t>B25</t>
        </is>
      </c>
      <c r="C300" t="n">
        <v>25</v>
      </c>
      <c r="D300" t="n">
        <v>2</v>
      </c>
      <c r="E300" t="inlineStr">
        <is>
          <t>Calculation</t>
        </is>
      </c>
      <c r="F300" t="inlineStr">
        <is>
          <t>'=0.5*B6*B7+0.5*C6*C7</t>
        </is>
      </c>
      <c r="G300" t="n">
        <v>100</v>
      </c>
      <c r="H300" t="inlineStr"/>
      <c r="I300" t="inlineStr">
        <is>
          <t>General</t>
        </is>
      </c>
      <c r="J300" t="b">
        <v>1</v>
      </c>
      <c r="K300" t="b">
        <v>0</v>
      </c>
      <c r="L300" t="n">
        <v>10</v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1</v>
      </c>
      <c r="S300" t="inlineStr">
        <is>
          <t>G000002</t>
        </is>
      </c>
      <c r="T300" t="inlineStr">
        <is>
          <t>Horizontal</t>
        </is>
      </c>
      <c r="U300" t="n">
        <v>4</v>
      </c>
      <c r="V300" t="b">
        <v>1</v>
      </c>
      <c r="W300" t="inlineStr">
        <is>
          <t>Operations!B25:E25</t>
        </is>
      </c>
      <c r="X300">
        <f>0.5*R[-19]C[0]*R[-18]C[0]+0.5*R[-19]C[1]*R[-18]C[1]</f>
        <v/>
      </c>
    </row>
    <row r="301">
      <c r="A301" t="inlineStr">
        <is>
          <t>Operations</t>
        </is>
      </c>
      <c r="B301" t="inlineStr">
        <is>
          <t>C25</t>
        </is>
      </c>
      <c r="C301" t="n">
        <v>25</v>
      </c>
      <c r="D301" t="n">
        <v>3</v>
      </c>
      <c r="E301" t="inlineStr">
        <is>
          <t>Calculation</t>
        </is>
      </c>
      <c r="F301" t="inlineStr">
        <is>
          <t>'=0.5*C6*C7+0.5*D6*D7</t>
        </is>
      </c>
      <c r="G301" t="n">
        <v>250</v>
      </c>
      <c r="H301" t="inlineStr"/>
      <c r="I301" t="inlineStr">
        <is>
          <t>General</t>
        </is>
      </c>
      <c r="J301" t="b">
        <v>1</v>
      </c>
      <c r="K301" t="b">
        <v>0</v>
      </c>
      <c r="L301" t="n">
        <v>10</v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1</v>
      </c>
      <c r="S301" t="inlineStr">
        <is>
          <t>G000002</t>
        </is>
      </c>
      <c r="T301" t="inlineStr">
        <is>
          <t>Horizontal</t>
        </is>
      </c>
      <c r="U301" t="n">
        <v>4</v>
      </c>
      <c r="V301" t="b">
        <v>1</v>
      </c>
      <c r="W301" t="inlineStr">
        <is>
          <t>Operations!B25:E25</t>
        </is>
      </c>
      <c r="X301">
        <f>0.5*R[-19]C[0]*R[-18]C[0]+0.5*R[-19]C[1]*R[-18]C[1]</f>
        <v/>
      </c>
    </row>
    <row r="302">
      <c r="A302" t="inlineStr">
        <is>
          <t>Operations</t>
        </is>
      </c>
      <c r="B302" t="inlineStr">
        <is>
          <t>D25</t>
        </is>
      </c>
      <c r="C302" t="n">
        <v>25</v>
      </c>
      <c r="D302" t="n">
        <v>4</v>
      </c>
      <c r="E302" t="inlineStr">
        <is>
          <t>Calculation</t>
        </is>
      </c>
      <c r="F302" t="inlineStr">
        <is>
          <t>'=0.5*D6*D7+0.5*E6*E7</t>
        </is>
      </c>
      <c r="G302" t="n">
        <v>350</v>
      </c>
      <c r="H302" t="inlineStr"/>
      <c r="I302" t="inlineStr">
        <is>
          <t>General</t>
        </is>
      </c>
      <c r="J302" t="b">
        <v>1</v>
      </c>
      <c r="K302" t="b">
        <v>0</v>
      </c>
      <c r="L302" t="n">
        <v>10</v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1</v>
      </c>
      <c r="S302" t="inlineStr">
        <is>
          <t>G000002</t>
        </is>
      </c>
      <c r="T302" t="inlineStr">
        <is>
          <t>Horizontal</t>
        </is>
      </c>
      <c r="U302" t="n">
        <v>4</v>
      </c>
      <c r="V302" t="b">
        <v>1</v>
      </c>
      <c r="W302" t="inlineStr">
        <is>
          <t>Operations!B25:E25</t>
        </is>
      </c>
      <c r="X302">
        <f>0.5*R[-19]C[0]*R[-18]C[0]+0.5*R[-19]C[1]*R[-18]C[1]</f>
        <v/>
      </c>
    </row>
    <row r="303">
      <c r="A303" t="inlineStr">
        <is>
          <t>Operations</t>
        </is>
      </c>
      <c r="B303" t="inlineStr">
        <is>
          <t>E25</t>
        </is>
      </c>
      <c r="C303" t="n">
        <v>25</v>
      </c>
      <c r="D303" t="n">
        <v>5</v>
      </c>
      <c r="E303" t="inlineStr">
        <is>
          <t>Calculation</t>
        </is>
      </c>
      <c r="F303" t="inlineStr">
        <is>
          <t>'=0.5*E6*E7+0.5*F6*F7</t>
        </is>
      </c>
      <c r="G303" t="n">
        <v>425</v>
      </c>
      <c r="H303" t="inlineStr"/>
      <c r="I303" t="inlineStr">
        <is>
          <t>General</t>
        </is>
      </c>
      <c r="J303" t="b">
        <v>1</v>
      </c>
      <c r="K303" t="b">
        <v>0</v>
      </c>
      <c r="L303" t="n">
        <v>10</v>
      </c>
      <c r="N303" t="inlineStr">
        <is>
          <t>00000000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1</v>
      </c>
      <c r="S303" t="inlineStr">
        <is>
          <t>G000002</t>
        </is>
      </c>
      <c r="T303" t="inlineStr">
        <is>
          <t>Horizontal</t>
        </is>
      </c>
      <c r="U303" t="n">
        <v>4</v>
      </c>
      <c r="V303" t="b">
        <v>1</v>
      </c>
      <c r="W303" t="inlineStr">
        <is>
          <t>Operations!B25:E25</t>
        </is>
      </c>
      <c r="X303">
        <f>0.5*R[-19]C[0]*R[-18]C[0]+0.5*R[-19]C[1]*R[-18]C[1]</f>
        <v/>
      </c>
    </row>
    <row r="304">
      <c r="A304" t="inlineStr">
        <is>
          <t>Operations</t>
        </is>
      </c>
      <c r="B304" t="inlineStr">
        <is>
          <t>F25</t>
        </is>
      </c>
      <c r="C304" t="n">
        <v>25</v>
      </c>
      <c r="D304" t="n">
        <v>6</v>
      </c>
      <c r="E304" t="inlineStr">
        <is>
          <t>Input</t>
        </is>
      </c>
      <c r="F304" t="n">
        <v/>
      </c>
      <c r="H304" t="inlineStr"/>
      <c r="I304" t="inlineStr">
        <is>
          <t>_(* #,##0_);_(* \(#,##0\);_(* \-??_);_(@_)</t>
        </is>
      </c>
      <c r="J304" t="b">
        <v>1</v>
      </c>
      <c r="K304" t="b">
        <v>0</v>
      </c>
      <c r="L304" t="n">
        <v>10</v>
      </c>
      <c r="N304" t="inlineStr">
        <is>
          <t>00000000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Operations</t>
        </is>
      </c>
      <c r="B305" t="inlineStr">
        <is>
          <t>G25</t>
        </is>
      </c>
      <c r="C305" t="n">
        <v>25</v>
      </c>
      <c r="D305" t="n">
        <v>7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1</v>
      </c>
      <c r="K305" t="b">
        <v>0</v>
      </c>
      <c r="L305" t="n">
        <v>10</v>
      </c>
      <c r="N305" t="inlineStr">
        <is>
          <t>00000000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</row>
    <row r="306">
      <c r="A306" t="inlineStr">
        <is>
          <t>Operations</t>
        </is>
      </c>
      <c r="B306" t="inlineStr">
        <is>
          <t>H25</t>
        </is>
      </c>
      <c r="C306" t="n">
        <v>25</v>
      </c>
      <c r="D306" t="n">
        <v>8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10</v>
      </c>
      <c r="N306" t="inlineStr">
        <is>
          <t>00000000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Operations</t>
        </is>
      </c>
      <c r="B307" t="inlineStr">
        <is>
          <t>I25</t>
        </is>
      </c>
      <c r="C307" t="n">
        <v>25</v>
      </c>
      <c r="D307" t="n">
        <v>9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10</v>
      </c>
      <c r="N307" t="inlineStr">
        <is>
          <t>00000000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Operations</t>
        </is>
      </c>
      <c r="B308" t="inlineStr">
        <is>
          <t>J25</t>
        </is>
      </c>
      <c r="C308" t="n">
        <v>25</v>
      </c>
      <c r="D308" t="n">
        <v>10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10</v>
      </c>
      <c r="N308" t="inlineStr">
        <is>
          <t>00000000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Operations</t>
        </is>
      </c>
      <c r="B309" t="inlineStr">
        <is>
          <t>K25</t>
        </is>
      </c>
      <c r="C309" t="n">
        <v>25</v>
      </c>
      <c r="D309" t="n">
        <v>11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10</v>
      </c>
      <c r="N309" t="inlineStr">
        <is>
          <t>00000000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</row>
    <row r="310">
      <c r="A310" t="inlineStr">
        <is>
          <t>Operations</t>
        </is>
      </c>
      <c r="B310" t="inlineStr">
        <is>
          <t>L25</t>
        </is>
      </c>
      <c r="C310" t="n">
        <v>25</v>
      </c>
      <c r="D310" t="n">
        <v>12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10</v>
      </c>
      <c r="N310" t="inlineStr">
        <is>
          <t>00000000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Operations</t>
        </is>
      </c>
      <c r="B311" t="inlineStr">
        <is>
          <t>M25</t>
        </is>
      </c>
      <c r="C311" t="n">
        <v>25</v>
      </c>
      <c r="D311" t="n">
        <v>13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10</v>
      </c>
      <c r="N311" t="inlineStr">
        <is>
          <t>00000000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Operations</t>
        </is>
      </c>
      <c r="B312" t="inlineStr">
        <is>
          <t>N25</t>
        </is>
      </c>
      <c r="C312" t="n">
        <v>25</v>
      </c>
      <c r="D312" t="n">
        <v>14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10</v>
      </c>
      <c r="N312" t="inlineStr">
        <is>
          <t>00000000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Operations</t>
        </is>
      </c>
      <c r="B313" t="inlineStr">
        <is>
          <t>O25</t>
        </is>
      </c>
      <c r="C313" t="n">
        <v>25</v>
      </c>
      <c r="D313" t="n">
        <v>15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10</v>
      </c>
      <c r="N313" t="inlineStr">
        <is>
          <t>00000000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</row>
    <row r="314">
      <c r="A314" t="inlineStr">
        <is>
          <t>Operations</t>
        </is>
      </c>
      <c r="B314" t="inlineStr">
        <is>
          <t>A26</t>
        </is>
      </c>
      <c r="C314" t="n">
        <v>26</v>
      </c>
      <c r="D314" t="n">
        <v>1</v>
      </c>
      <c r="E314" t="inlineStr">
        <is>
          <t>Input</t>
        </is>
      </c>
      <c r="F314" t="n">
        <v/>
      </c>
      <c r="G314" t="inlineStr">
        <is>
          <t>Inventory</t>
        </is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10</v>
      </c>
      <c r="N314" t="inlineStr">
        <is>
          <t>00000000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</row>
    <row r="315">
      <c r="A315" t="inlineStr">
        <is>
          <t>Operations</t>
        </is>
      </c>
      <c r="B315" t="inlineStr">
        <is>
          <t>B26</t>
        </is>
      </c>
      <c r="C315" t="n">
        <v>26</v>
      </c>
      <c r="D315" t="n">
        <v>2</v>
      </c>
      <c r="E315" t="inlineStr">
        <is>
          <t>Calculation</t>
        </is>
      </c>
      <c r="F315" t="inlineStr">
        <is>
          <t>'=B11*B25</t>
        </is>
      </c>
      <c r="G315" t="n">
        <v>10</v>
      </c>
      <c r="H315" t="inlineStr"/>
      <c r="I315" t="inlineStr">
        <is>
          <t>General</t>
        </is>
      </c>
      <c r="J315" t="b">
        <v>1</v>
      </c>
      <c r="K315" t="b">
        <v>0</v>
      </c>
      <c r="L315" t="n">
        <v>10</v>
      </c>
      <c r="N315" t="inlineStr">
        <is>
          <t>00000000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1</v>
      </c>
      <c r="S315" t="inlineStr">
        <is>
          <t>G000003</t>
        </is>
      </c>
      <c r="T315" t="inlineStr">
        <is>
          <t>Horizontal</t>
        </is>
      </c>
      <c r="U315" t="n">
        <v>4</v>
      </c>
      <c r="V315" t="b">
        <v>1</v>
      </c>
      <c r="W315" t="inlineStr">
        <is>
          <t>Operations!B26:E26</t>
        </is>
      </c>
      <c r="X315">
        <f>R[-15]C[0]*R[-1]C[0]</f>
        <v/>
      </c>
    </row>
    <row r="316">
      <c r="A316" t="inlineStr">
        <is>
          <t>Operations</t>
        </is>
      </c>
      <c r="B316" t="inlineStr">
        <is>
          <t>C26</t>
        </is>
      </c>
      <c r="C316" t="n">
        <v>26</v>
      </c>
      <c r="D316" t="n">
        <v>3</v>
      </c>
      <c r="E316" t="inlineStr">
        <is>
          <t>Calculation</t>
        </is>
      </c>
      <c r="F316" t="inlineStr">
        <is>
          <t>'=C11*C25</t>
        </is>
      </c>
      <c r="G316" t="n">
        <v>25</v>
      </c>
      <c r="H316" t="inlineStr"/>
      <c r="I316" t="inlineStr">
        <is>
          <t>General</t>
        </is>
      </c>
      <c r="J316" t="b">
        <v>1</v>
      </c>
      <c r="K316" t="b">
        <v>0</v>
      </c>
      <c r="L316" t="n">
        <v>10</v>
      </c>
      <c r="N316" t="inlineStr">
        <is>
          <t>00000000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1</v>
      </c>
      <c r="S316" t="inlineStr">
        <is>
          <t>G000003</t>
        </is>
      </c>
      <c r="T316" t="inlineStr">
        <is>
          <t>Horizontal</t>
        </is>
      </c>
      <c r="U316" t="n">
        <v>4</v>
      </c>
      <c r="V316" t="b">
        <v>1</v>
      </c>
      <c r="W316" t="inlineStr">
        <is>
          <t>Operations!B26:E26</t>
        </is>
      </c>
      <c r="X316">
        <f>R[-15]C[0]*R[-1]C[0]</f>
        <v/>
      </c>
    </row>
    <row r="317">
      <c r="A317" t="inlineStr">
        <is>
          <t>Operations</t>
        </is>
      </c>
      <c r="B317" t="inlineStr">
        <is>
          <t>D26</t>
        </is>
      </c>
      <c r="C317" t="n">
        <v>26</v>
      </c>
      <c r="D317" t="n">
        <v>4</v>
      </c>
      <c r="E317" t="inlineStr">
        <is>
          <t>Calculation</t>
        </is>
      </c>
      <c r="F317" t="inlineStr">
        <is>
          <t>'=D11*D25</t>
        </is>
      </c>
      <c r="G317" t="n">
        <v>35</v>
      </c>
      <c r="H317" t="inlineStr"/>
      <c r="I317" t="inlineStr">
        <is>
          <t>General</t>
        </is>
      </c>
      <c r="J317" t="b">
        <v>1</v>
      </c>
      <c r="K317" t="b">
        <v>0</v>
      </c>
      <c r="L317" t="n">
        <v>10</v>
      </c>
      <c r="N317" t="inlineStr">
        <is>
          <t>00000000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1</v>
      </c>
      <c r="S317" t="inlineStr">
        <is>
          <t>G000003</t>
        </is>
      </c>
      <c r="T317" t="inlineStr">
        <is>
          <t>Horizontal</t>
        </is>
      </c>
      <c r="U317" t="n">
        <v>4</v>
      </c>
      <c r="V317" t="b">
        <v>1</v>
      </c>
      <c r="W317" t="inlineStr">
        <is>
          <t>Operations!B26:E26</t>
        </is>
      </c>
      <c r="X317">
        <f>R[-15]C[0]*R[-1]C[0]</f>
        <v/>
      </c>
    </row>
    <row r="318">
      <c r="A318" t="inlineStr">
        <is>
          <t>Operations</t>
        </is>
      </c>
      <c r="B318" t="inlineStr">
        <is>
          <t>E26</t>
        </is>
      </c>
      <c r="C318" t="n">
        <v>26</v>
      </c>
      <c r="D318" t="n">
        <v>5</v>
      </c>
      <c r="E318" t="inlineStr">
        <is>
          <t>Calculation</t>
        </is>
      </c>
      <c r="F318" t="inlineStr">
        <is>
          <t>'=E11*E25</t>
        </is>
      </c>
      <c r="G318" t="n">
        <v>42.5</v>
      </c>
      <c r="H318" t="inlineStr"/>
      <c r="I318" t="inlineStr">
        <is>
          <t>General</t>
        </is>
      </c>
      <c r="J318" t="b">
        <v>1</v>
      </c>
      <c r="K318" t="b">
        <v>0</v>
      </c>
      <c r="L318" t="n">
        <v>10</v>
      </c>
      <c r="N318" t="inlineStr">
        <is>
          <t>00000000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1</v>
      </c>
      <c r="S318" t="inlineStr">
        <is>
          <t>G000003</t>
        </is>
      </c>
      <c r="T318" t="inlineStr">
        <is>
          <t>Horizontal</t>
        </is>
      </c>
      <c r="U318" t="n">
        <v>4</v>
      </c>
      <c r="V318" t="b">
        <v>1</v>
      </c>
      <c r="W318" t="inlineStr">
        <is>
          <t>Operations!B26:E26</t>
        </is>
      </c>
      <c r="X318">
        <f>R[-15]C[0]*R[-1]C[0]</f>
        <v/>
      </c>
    </row>
    <row r="319">
      <c r="A319" t="inlineStr">
        <is>
          <t>Operations</t>
        </is>
      </c>
      <c r="B319" t="inlineStr">
        <is>
          <t>F26</t>
        </is>
      </c>
      <c r="C319" t="n">
        <v>26</v>
      </c>
      <c r="D319" t="n">
        <v>6</v>
      </c>
      <c r="E319" t="inlineStr">
        <is>
          <t>Input</t>
        </is>
      </c>
      <c r="F319" t="n">
        <v/>
      </c>
      <c r="H319" t="inlineStr"/>
      <c r="I319" t="inlineStr">
        <is>
          <t>_(* #,##0_);_(* \(#,##0\);_(* \-??_);_(@_)</t>
        </is>
      </c>
      <c r="J319" t="b">
        <v>1</v>
      </c>
      <c r="K319" t="b">
        <v>0</v>
      </c>
      <c r="L319" t="n">
        <v>10</v>
      </c>
      <c r="N319" t="inlineStr">
        <is>
          <t>00000000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Operations</t>
        </is>
      </c>
      <c r="B320" t="inlineStr">
        <is>
          <t>G26</t>
        </is>
      </c>
      <c r="C320" t="n">
        <v>26</v>
      </c>
      <c r="D320" t="n">
        <v>7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1</v>
      </c>
      <c r="K320" t="b">
        <v>0</v>
      </c>
      <c r="L320" t="n">
        <v>10</v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Operations</t>
        </is>
      </c>
      <c r="B321" t="inlineStr">
        <is>
          <t>H26</t>
        </is>
      </c>
      <c r="C321" t="n">
        <v>26</v>
      </c>
      <c r="D321" t="n">
        <v>8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1</v>
      </c>
      <c r="K321" t="b">
        <v>0</v>
      </c>
      <c r="L321" t="n">
        <v>10</v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Operations</t>
        </is>
      </c>
      <c r="B322" t="inlineStr">
        <is>
          <t>I26</t>
        </is>
      </c>
      <c r="C322" t="n">
        <v>26</v>
      </c>
      <c r="D322" t="n">
        <v>9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1</v>
      </c>
      <c r="K322" t="b">
        <v>0</v>
      </c>
      <c r="L322" t="n">
        <v>10</v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Operations</t>
        </is>
      </c>
      <c r="B323" t="inlineStr">
        <is>
          <t>J26</t>
        </is>
      </c>
      <c r="C323" t="n">
        <v>26</v>
      </c>
      <c r="D323" t="n">
        <v>10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1</v>
      </c>
      <c r="K323" t="b">
        <v>0</v>
      </c>
      <c r="L323" t="n">
        <v>10</v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Operations</t>
        </is>
      </c>
      <c r="B324" t="inlineStr">
        <is>
          <t>K26</t>
        </is>
      </c>
      <c r="C324" t="n">
        <v>26</v>
      </c>
      <c r="D324" t="n">
        <v>11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1</v>
      </c>
      <c r="K324" t="b">
        <v>0</v>
      </c>
      <c r="L324" t="n">
        <v>10</v>
      </c>
      <c r="N324" t="inlineStr">
        <is>
          <t>00000000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Operations</t>
        </is>
      </c>
      <c r="B325" t="inlineStr">
        <is>
          <t>L26</t>
        </is>
      </c>
      <c r="C325" t="n">
        <v>26</v>
      </c>
      <c r="D325" t="n">
        <v>12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1</v>
      </c>
      <c r="K325" t="b">
        <v>0</v>
      </c>
      <c r="L325" t="n">
        <v>10</v>
      </c>
      <c r="N325" t="inlineStr">
        <is>
          <t>00000000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Operations</t>
        </is>
      </c>
      <c r="B326" t="inlineStr">
        <is>
          <t>M26</t>
        </is>
      </c>
      <c r="C326" t="n">
        <v>26</v>
      </c>
      <c r="D326" t="n">
        <v>13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1</v>
      </c>
      <c r="K326" t="b">
        <v>0</v>
      </c>
      <c r="L326" t="n">
        <v>10</v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Operations</t>
        </is>
      </c>
      <c r="B327" t="inlineStr">
        <is>
          <t>N26</t>
        </is>
      </c>
      <c r="C327" t="n">
        <v>26</v>
      </c>
      <c r="D327" t="n">
        <v>14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1</v>
      </c>
      <c r="K327" t="b">
        <v>0</v>
      </c>
      <c r="L327" t="n">
        <v>10</v>
      </c>
      <c r="N327" t="inlineStr">
        <is>
          <t>00000000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Operations</t>
        </is>
      </c>
      <c r="B328" t="inlineStr">
        <is>
          <t>O26</t>
        </is>
      </c>
      <c r="C328" t="n">
        <v>26</v>
      </c>
      <c r="D328" t="n">
        <v>15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1</v>
      </c>
      <c r="K328" t="b">
        <v>0</v>
      </c>
      <c r="L328" t="n">
        <v>10</v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Operations</t>
        </is>
      </c>
      <c r="B329" t="inlineStr">
        <is>
          <t>A27</t>
        </is>
      </c>
      <c r="C329" t="n">
        <v>27</v>
      </c>
      <c r="D329" t="n">
        <v>1</v>
      </c>
      <c r="E329" t="inlineStr">
        <is>
          <t>Input</t>
        </is>
      </c>
      <c r="F329" t="n">
        <v/>
      </c>
      <c r="G329" t="inlineStr">
        <is>
          <t>Minimum cash balance</t>
        </is>
      </c>
      <c r="H329" t="inlineStr"/>
      <c r="I329" t="inlineStr">
        <is>
          <t>General</t>
        </is>
      </c>
      <c r="J329" t="b">
        <v>1</v>
      </c>
      <c r="K329" t="b">
        <v>0</v>
      </c>
      <c r="L329" t="n">
        <v>10</v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Operations</t>
        </is>
      </c>
      <c r="B330" t="inlineStr">
        <is>
          <t>B27</t>
        </is>
      </c>
      <c r="C330" t="n">
        <v>27</v>
      </c>
      <c r="D330" t="n">
        <v>2</v>
      </c>
      <c r="E330" t="inlineStr">
        <is>
          <t>Calculation</t>
        </is>
      </c>
      <c r="F330" t="inlineStr">
        <is>
          <t>'=B12*B24</t>
        </is>
      </c>
      <c r="G330" t="n">
        <v>8</v>
      </c>
      <c r="H330" t="inlineStr"/>
      <c r="I330" t="inlineStr">
        <is>
          <t>General</t>
        </is>
      </c>
      <c r="J330" t="b">
        <v>1</v>
      </c>
      <c r="K330" t="b">
        <v>0</v>
      </c>
      <c r="L330" t="n">
        <v>10</v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1</v>
      </c>
      <c r="S330" t="inlineStr">
        <is>
          <t>G000004</t>
        </is>
      </c>
      <c r="T330" t="inlineStr">
        <is>
          <t>Horizontal</t>
        </is>
      </c>
      <c r="U330" t="n">
        <v>4</v>
      </c>
      <c r="V330" t="b">
        <v>1</v>
      </c>
      <c r="W330" t="inlineStr">
        <is>
          <t>Operations!B27:E27</t>
        </is>
      </c>
      <c r="X330">
        <f>R[-15]C[0]*R[-3]C[0]</f>
        <v/>
      </c>
    </row>
    <row r="331">
      <c r="A331" t="inlineStr">
        <is>
          <t>Operations</t>
        </is>
      </c>
      <c r="B331" t="inlineStr">
        <is>
          <t>C27</t>
        </is>
      </c>
      <c r="C331" t="n">
        <v>27</v>
      </c>
      <c r="D331" t="n">
        <v>3</v>
      </c>
      <c r="E331" t="inlineStr">
        <is>
          <t>Calculation</t>
        </is>
      </c>
      <c r="F331" t="inlineStr">
        <is>
          <t>'=C12*C24</t>
        </is>
      </c>
      <c r="G331" t="n">
        <v>20</v>
      </c>
      <c r="H331" t="inlineStr"/>
      <c r="I331" t="inlineStr">
        <is>
          <t>General</t>
        </is>
      </c>
      <c r="J331" t="b">
        <v>1</v>
      </c>
      <c r="K331" t="b">
        <v>0</v>
      </c>
      <c r="L331" t="n">
        <v>10</v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1</v>
      </c>
      <c r="S331" t="inlineStr">
        <is>
          <t>G000004</t>
        </is>
      </c>
      <c r="T331" t="inlineStr">
        <is>
          <t>Horizontal</t>
        </is>
      </c>
      <c r="U331" t="n">
        <v>4</v>
      </c>
      <c r="V331" t="b">
        <v>1</v>
      </c>
      <c r="W331" t="inlineStr">
        <is>
          <t>Operations!B27:E27</t>
        </is>
      </c>
      <c r="X331">
        <f>R[-15]C[0]*R[-3]C[0]</f>
        <v/>
      </c>
    </row>
    <row r="332">
      <c r="A332" t="inlineStr">
        <is>
          <t>Operations</t>
        </is>
      </c>
      <c r="B332" t="inlineStr">
        <is>
          <t>D27</t>
        </is>
      </c>
      <c r="C332" t="n">
        <v>27</v>
      </c>
      <c r="D332" t="n">
        <v>4</v>
      </c>
      <c r="E332" t="inlineStr">
        <is>
          <t>Calculation</t>
        </is>
      </c>
      <c r="F332" t="inlineStr">
        <is>
          <t>'=D12*D24</t>
        </is>
      </c>
      <c r="G332" t="n">
        <v>28</v>
      </c>
      <c r="H332" t="inlineStr"/>
      <c r="I332" t="inlineStr">
        <is>
          <t>General</t>
        </is>
      </c>
      <c r="J332" t="b">
        <v>1</v>
      </c>
      <c r="K332" t="b">
        <v>0</v>
      </c>
      <c r="L332" t="n">
        <v>10</v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1</v>
      </c>
      <c r="S332" t="inlineStr">
        <is>
          <t>G000004</t>
        </is>
      </c>
      <c r="T332" t="inlineStr">
        <is>
          <t>Horizontal</t>
        </is>
      </c>
      <c r="U332" t="n">
        <v>4</v>
      </c>
      <c r="V332" t="b">
        <v>1</v>
      </c>
      <c r="W332" t="inlineStr">
        <is>
          <t>Operations!B27:E27</t>
        </is>
      </c>
      <c r="X332">
        <f>R[-15]C[0]*R[-3]C[0]</f>
        <v/>
      </c>
    </row>
    <row r="333">
      <c r="A333" t="inlineStr">
        <is>
          <t>Operations</t>
        </is>
      </c>
      <c r="B333" t="inlineStr">
        <is>
          <t>E27</t>
        </is>
      </c>
      <c r="C333" t="n">
        <v>27</v>
      </c>
      <c r="D333" t="n">
        <v>5</v>
      </c>
      <c r="E333" t="inlineStr">
        <is>
          <t>Calculation</t>
        </is>
      </c>
      <c r="F333" t="inlineStr">
        <is>
          <t>'=E12*E24</t>
        </is>
      </c>
      <c r="G333" t="n">
        <v>34</v>
      </c>
      <c r="H333" t="inlineStr"/>
      <c r="I333" t="inlineStr">
        <is>
          <t>General</t>
        </is>
      </c>
      <c r="J333" t="b">
        <v>1</v>
      </c>
      <c r="K333" t="b">
        <v>0</v>
      </c>
      <c r="L333" t="n">
        <v>10</v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1</v>
      </c>
      <c r="S333" t="inlineStr">
        <is>
          <t>G000004</t>
        </is>
      </c>
      <c r="T333" t="inlineStr">
        <is>
          <t>Horizontal</t>
        </is>
      </c>
      <c r="U333" t="n">
        <v>4</v>
      </c>
      <c r="V333" t="b">
        <v>1</v>
      </c>
      <c r="W333" t="inlineStr">
        <is>
          <t>Operations!B27:E27</t>
        </is>
      </c>
      <c r="X333">
        <f>R[-15]C[0]*R[-3]C[0]</f>
        <v/>
      </c>
    </row>
    <row r="334">
      <c r="A334" t="inlineStr">
        <is>
          <t>Operations</t>
        </is>
      </c>
      <c r="B334" t="inlineStr">
        <is>
          <t>F27</t>
        </is>
      </c>
      <c r="C334" t="n">
        <v>27</v>
      </c>
      <c r="D334" t="n">
        <v>6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1</v>
      </c>
      <c r="K334" t="b">
        <v>0</v>
      </c>
      <c r="L334" t="n">
        <v>10</v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Operations</t>
        </is>
      </c>
      <c r="B335" t="inlineStr">
        <is>
          <t>G27</t>
        </is>
      </c>
      <c r="C335" t="n">
        <v>27</v>
      </c>
      <c r="D335" t="n">
        <v>7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10</v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</row>
    <row r="336">
      <c r="A336" t="inlineStr">
        <is>
          <t>Operations</t>
        </is>
      </c>
      <c r="B336" t="inlineStr">
        <is>
          <t>H27</t>
        </is>
      </c>
      <c r="C336" t="n">
        <v>27</v>
      </c>
      <c r="D336" t="n">
        <v>8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10</v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</row>
    <row r="337">
      <c r="A337" t="inlineStr">
        <is>
          <t>Operations</t>
        </is>
      </c>
      <c r="B337" t="inlineStr">
        <is>
          <t>I27</t>
        </is>
      </c>
      <c r="C337" t="n">
        <v>27</v>
      </c>
      <c r="D337" t="n">
        <v>9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1</v>
      </c>
      <c r="K337" t="b">
        <v>0</v>
      </c>
      <c r="L337" t="n">
        <v>10</v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</row>
    <row r="338">
      <c r="A338" t="inlineStr">
        <is>
          <t>Operations</t>
        </is>
      </c>
      <c r="B338" t="inlineStr">
        <is>
          <t>J27</t>
        </is>
      </c>
      <c r="C338" t="n">
        <v>27</v>
      </c>
      <c r="D338" t="n">
        <v>10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1</v>
      </c>
      <c r="K338" t="b">
        <v>0</v>
      </c>
      <c r="L338" t="n">
        <v>10</v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Operations</t>
        </is>
      </c>
      <c r="B339" t="inlineStr">
        <is>
          <t>K27</t>
        </is>
      </c>
      <c r="C339" t="n">
        <v>27</v>
      </c>
      <c r="D339" t="n">
        <v>11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1</v>
      </c>
      <c r="K339" t="b">
        <v>0</v>
      </c>
      <c r="L339" t="n">
        <v>10</v>
      </c>
      <c r="N339" t="inlineStr">
        <is>
          <t>00000000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Operations</t>
        </is>
      </c>
      <c r="B340" t="inlineStr">
        <is>
          <t>L27</t>
        </is>
      </c>
      <c r="C340" t="n">
        <v>27</v>
      </c>
      <c r="D340" t="n">
        <v>12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1</v>
      </c>
      <c r="K340" t="b">
        <v>0</v>
      </c>
      <c r="L340" t="n">
        <v>10</v>
      </c>
      <c r="N340" t="inlineStr">
        <is>
          <t>00000000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Operations</t>
        </is>
      </c>
      <c r="B341" t="inlineStr">
        <is>
          <t>M27</t>
        </is>
      </c>
      <c r="C341" t="n">
        <v>27</v>
      </c>
      <c r="D341" t="n">
        <v>13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1</v>
      </c>
      <c r="K341" t="b">
        <v>0</v>
      </c>
      <c r="L341" t="n">
        <v>10</v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Operations</t>
        </is>
      </c>
      <c r="B342" t="inlineStr">
        <is>
          <t>N27</t>
        </is>
      </c>
      <c r="C342" t="n">
        <v>27</v>
      </c>
      <c r="D342" t="n">
        <v>14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1</v>
      </c>
      <c r="K342" t="b">
        <v>0</v>
      </c>
      <c r="L342" t="n">
        <v>10</v>
      </c>
      <c r="N342" t="inlineStr">
        <is>
          <t>00000000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</row>
    <row r="343">
      <c r="A343" t="inlineStr">
        <is>
          <t>Operations</t>
        </is>
      </c>
      <c r="B343" t="inlineStr">
        <is>
          <t>O27</t>
        </is>
      </c>
      <c r="C343" t="n">
        <v>27</v>
      </c>
      <c r="D343" t="n">
        <v>15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1</v>
      </c>
      <c r="K343" t="b">
        <v>0</v>
      </c>
      <c r="L343" t="n">
        <v>10</v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Operations</t>
        </is>
      </c>
      <c r="B344" t="inlineStr">
        <is>
          <t>A28</t>
        </is>
      </c>
      <c r="C344" t="n">
        <v>28</v>
      </c>
      <c r="D344" t="n">
        <v>1</v>
      </c>
      <c r="E344" t="inlineStr">
        <is>
          <t>Input</t>
        </is>
      </c>
      <c r="F344" t="n">
        <v/>
      </c>
      <c r="G344" t="inlineStr">
        <is>
          <t>Accounts receivable</t>
        </is>
      </c>
      <c r="H344" t="inlineStr"/>
      <c r="I344" t="inlineStr">
        <is>
          <t>General</t>
        </is>
      </c>
      <c r="J344" t="b">
        <v>1</v>
      </c>
      <c r="K344" t="b">
        <v>0</v>
      </c>
      <c r="L344" t="n">
        <v>10</v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Operations</t>
        </is>
      </c>
      <c r="B345" t="inlineStr">
        <is>
          <t>B28</t>
        </is>
      </c>
      <c r="C345" t="n">
        <v>28</v>
      </c>
      <c r="D345" t="n">
        <v>2</v>
      </c>
      <c r="E345" t="inlineStr">
        <is>
          <t>Input</t>
        </is>
      </c>
      <c r="F345" t="n">
        <v/>
      </c>
      <c r="G345" t="n">
        <v>0</v>
      </c>
      <c r="H345" t="inlineStr"/>
      <c r="I345" t="inlineStr">
        <is>
          <t>General</t>
        </is>
      </c>
      <c r="J345" t="b">
        <v>1</v>
      </c>
      <c r="K345" t="b">
        <v>0</v>
      </c>
      <c r="L345" t="n">
        <v>10</v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Operations</t>
        </is>
      </c>
      <c r="B346" t="inlineStr">
        <is>
          <t>C28</t>
        </is>
      </c>
      <c r="C346" t="n">
        <v>28</v>
      </c>
      <c r="D346" t="n">
        <v>3</v>
      </c>
      <c r="E346" t="inlineStr">
        <is>
          <t>Calculation</t>
        </is>
      </c>
      <c r="F346" t="inlineStr">
        <is>
          <t>'=C13*C24</t>
        </is>
      </c>
      <c r="G346" t="n">
        <v>60</v>
      </c>
      <c r="H346" t="inlineStr"/>
      <c r="I346" t="inlineStr">
        <is>
          <t>General</t>
        </is>
      </c>
      <c r="J346" t="b">
        <v>1</v>
      </c>
      <c r="K346" t="b">
        <v>0</v>
      </c>
      <c r="L346" t="n">
        <v>10</v>
      </c>
      <c r="N346" t="inlineStr">
        <is>
          <t>00000000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1</v>
      </c>
      <c r="S346" t="inlineStr">
        <is>
          <t>G000005</t>
        </is>
      </c>
      <c r="T346" t="inlineStr">
        <is>
          <t>Horizontal</t>
        </is>
      </c>
      <c r="U346" t="n">
        <v>3</v>
      </c>
      <c r="V346" t="b">
        <v>1</v>
      </c>
      <c r="W346" t="inlineStr">
        <is>
          <t>Operations!C28:E28</t>
        </is>
      </c>
      <c r="X346">
        <f>R[-15]C[0]*R[-4]C[0]</f>
        <v/>
      </c>
    </row>
    <row r="347">
      <c r="A347" t="inlineStr">
        <is>
          <t>Operations</t>
        </is>
      </c>
      <c r="B347" t="inlineStr">
        <is>
          <t>D28</t>
        </is>
      </c>
      <c r="C347" t="n">
        <v>28</v>
      </c>
      <c r="D347" t="n">
        <v>4</v>
      </c>
      <c r="E347" t="inlineStr">
        <is>
          <t>Calculation</t>
        </is>
      </c>
      <c r="F347" t="inlineStr">
        <is>
          <t>'=D13*D24</t>
        </is>
      </c>
      <c r="G347" t="n">
        <v>84</v>
      </c>
      <c r="H347" t="inlineStr"/>
      <c r="I347" t="inlineStr">
        <is>
          <t>General</t>
        </is>
      </c>
      <c r="J347" t="b">
        <v>1</v>
      </c>
      <c r="K347" t="b">
        <v>0</v>
      </c>
      <c r="L347" t="n">
        <v>10</v>
      </c>
      <c r="N347" t="inlineStr">
        <is>
          <t>00000000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1</v>
      </c>
      <c r="S347" t="inlineStr">
        <is>
          <t>G000005</t>
        </is>
      </c>
      <c r="T347" t="inlineStr">
        <is>
          <t>Horizontal</t>
        </is>
      </c>
      <c r="U347" t="n">
        <v>3</v>
      </c>
      <c r="V347" t="b">
        <v>1</v>
      </c>
      <c r="W347" t="inlineStr">
        <is>
          <t>Operations!C28:E28</t>
        </is>
      </c>
      <c r="X347">
        <f>R[-15]C[0]*R[-4]C[0]</f>
        <v/>
      </c>
    </row>
    <row r="348">
      <c r="A348" t="inlineStr">
        <is>
          <t>Operations</t>
        </is>
      </c>
      <c r="B348" t="inlineStr">
        <is>
          <t>E28</t>
        </is>
      </c>
      <c r="C348" t="n">
        <v>28</v>
      </c>
      <c r="D348" t="n">
        <v>5</v>
      </c>
      <c r="E348" t="inlineStr">
        <is>
          <t>Calculation</t>
        </is>
      </c>
      <c r="F348" t="inlineStr">
        <is>
          <t>'=E13*E24</t>
        </is>
      </c>
      <c r="G348" t="n">
        <v>102</v>
      </c>
      <c r="H348" t="inlineStr"/>
      <c r="I348" t="inlineStr">
        <is>
          <t>General</t>
        </is>
      </c>
      <c r="J348" t="b">
        <v>1</v>
      </c>
      <c r="K348" t="b">
        <v>0</v>
      </c>
      <c r="L348" t="n">
        <v>10</v>
      </c>
      <c r="N348" t="inlineStr">
        <is>
          <t>00000000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1</v>
      </c>
      <c r="S348" t="inlineStr">
        <is>
          <t>G000005</t>
        </is>
      </c>
      <c r="T348" t="inlineStr">
        <is>
          <t>Horizontal</t>
        </is>
      </c>
      <c r="U348" t="n">
        <v>3</v>
      </c>
      <c r="V348" t="b">
        <v>1</v>
      </c>
      <c r="W348" t="inlineStr">
        <is>
          <t>Operations!C28:E28</t>
        </is>
      </c>
      <c r="X348">
        <f>R[-15]C[0]*R[-4]C[0]</f>
        <v/>
      </c>
    </row>
    <row r="349">
      <c r="A349" t="inlineStr">
        <is>
          <t>Operations</t>
        </is>
      </c>
      <c r="B349" t="inlineStr">
        <is>
          <t>F28</t>
        </is>
      </c>
      <c r="C349" t="n">
        <v>28</v>
      </c>
      <c r="D349" t="n">
        <v>6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1</v>
      </c>
      <c r="K349" t="b">
        <v>0</v>
      </c>
      <c r="L349" t="n">
        <v>10</v>
      </c>
      <c r="N349" t="inlineStr">
        <is>
          <t>00000000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Operations</t>
        </is>
      </c>
      <c r="B350" t="inlineStr">
        <is>
          <t>G28</t>
        </is>
      </c>
      <c r="C350" t="n">
        <v>28</v>
      </c>
      <c r="D350" t="n">
        <v>7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1</v>
      </c>
      <c r="K350" t="b">
        <v>0</v>
      </c>
      <c r="L350" t="n">
        <v>10</v>
      </c>
      <c r="N350" t="inlineStr">
        <is>
          <t>00000000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Operations</t>
        </is>
      </c>
      <c r="B351" t="inlineStr">
        <is>
          <t>H28</t>
        </is>
      </c>
      <c r="C351" t="n">
        <v>28</v>
      </c>
      <c r="D351" t="n">
        <v>8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1</v>
      </c>
      <c r="K351" t="b">
        <v>0</v>
      </c>
      <c r="L351" t="n">
        <v>10</v>
      </c>
      <c r="N351" t="inlineStr">
        <is>
          <t>00000000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Operations</t>
        </is>
      </c>
      <c r="B352" t="inlineStr">
        <is>
          <t>I28</t>
        </is>
      </c>
      <c r="C352" t="n">
        <v>28</v>
      </c>
      <c r="D352" t="n">
        <v>9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1</v>
      </c>
      <c r="K352" t="b">
        <v>0</v>
      </c>
      <c r="L352" t="n">
        <v>10</v>
      </c>
      <c r="N352" t="inlineStr">
        <is>
          <t>00000000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Operations</t>
        </is>
      </c>
      <c r="B353" t="inlineStr">
        <is>
          <t>J28</t>
        </is>
      </c>
      <c r="C353" t="n">
        <v>28</v>
      </c>
      <c r="D353" t="n">
        <v>10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10</v>
      </c>
      <c r="N353" t="inlineStr">
        <is>
          <t>00000000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Operations</t>
        </is>
      </c>
      <c r="B354" t="inlineStr">
        <is>
          <t>K28</t>
        </is>
      </c>
      <c r="C354" t="n">
        <v>28</v>
      </c>
      <c r="D354" t="n">
        <v>11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10</v>
      </c>
      <c r="N354" t="inlineStr">
        <is>
          <t>00000000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Operations</t>
        </is>
      </c>
      <c r="B355" t="inlineStr">
        <is>
          <t>L28</t>
        </is>
      </c>
      <c r="C355" t="n">
        <v>28</v>
      </c>
      <c r="D355" t="n">
        <v>12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1</v>
      </c>
      <c r="K355" t="b">
        <v>0</v>
      </c>
      <c r="L355" t="n">
        <v>10</v>
      </c>
      <c r="N355" t="inlineStr">
        <is>
          <t>00000000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Operations</t>
        </is>
      </c>
      <c r="B356" t="inlineStr">
        <is>
          <t>M28</t>
        </is>
      </c>
      <c r="C356" t="n">
        <v>28</v>
      </c>
      <c r="D356" t="n">
        <v>13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1</v>
      </c>
      <c r="K356" t="b">
        <v>0</v>
      </c>
      <c r="L356" t="n">
        <v>10</v>
      </c>
      <c r="N356" t="inlineStr">
        <is>
          <t>00000000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Operations</t>
        </is>
      </c>
      <c r="B357" t="inlineStr">
        <is>
          <t>N28</t>
        </is>
      </c>
      <c r="C357" t="n">
        <v>28</v>
      </c>
      <c r="D357" t="n">
        <v>14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1</v>
      </c>
      <c r="K357" t="b">
        <v>0</v>
      </c>
      <c r="L357" t="n">
        <v>10</v>
      </c>
      <c r="N357" t="inlineStr">
        <is>
          <t>00000000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Operations</t>
        </is>
      </c>
      <c r="B358" t="inlineStr">
        <is>
          <t>O28</t>
        </is>
      </c>
      <c r="C358" t="n">
        <v>28</v>
      </c>
      <c r="D358" t="n">
        <v>15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1</v>
      </c>
      <c r="K358" t="b">
        <v>0</v>
      </c>
      <c r="L358" t="n">
        <v>10</v>
      </c>
      <c r="N358" t="inlineStr">
        <is>
          <t>00000000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Operations</t>
        </is>
      </c>
      <c r="B359" t="inlineStr">
        <is>
          <t>A29</t>
        </is>
      </c>
      <c r="C359" t="n">
        <v>29</v>
      </c>
      <c r="D359" t="n">
        <v>1</v>
      </c>
      <c r="E359" t="inlineStr">
        <is>
          <t>Input</t>
        </is>
      </c>
      <c r="F359" t="n">
        <v/>
      </c>
      <c r="G359" t="inlineStr">
        <is>
          <t>Accounts payable</t>
        </is>
      </c>
      <c r="H359" t="inlineStr"/>
      <c r="I359" t="inlineStr">
        <is>
          <t>General</t>
        </is>
      </c>
      <c r="J359" t="b">
        <v>1</v>
      </c>
      <c r="K359" t="b">
        <v>0</v>
      </c>
      <c r="L359" t="n">
        <v>10</v>
      </c>
      <c r="N359" t="inlineStr">
        <is>
          <t>00000000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Operations</t>
        </is>
      </c>
      <c r="B360" t="inlineStr">
        <is>
          <t>B29</t>
        </is>
      </c>
      <c r="C360" t="n">
        <v>29</v>
      </c>
      <c r="D360" t="n">
        <v>2</v>
      </c>
      <c r="E360" t="inlineStr">
        <is>
          <t>Calculation</t>
        </is>
      </c>
      <c r="F360" t="inlineStr">
        <is>
          <t>'=B14*B25</t>
        </is>
      </c>
      <c r="G360" t="n">
        <v>8</v>
      </c>
      <c r="H360" t="inlineStr"/>
      <c r="I360" t="inlineStr">
        <is>
          <t>General</t>
        </is>
      </c>
      <c r="J360" t="b">
        <v>1</v>
      </c>
      <c r="K360" t="b">
        <v>0</v>
      </c>
      <c r="L360" t="n">
        <v>10</v>
      </c>
      <c r="N360" t="inlineStr">
        <is>
          <t>00000000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1</v>
      </c>
      <c r="S360" t="inlineStr">
        <is>
          <t>G000006</t>
        </is>
      </c>
      <c r="T360" t="inlineStr">
        <is>
          <t>Horizontal</t>
        </is>
      </c>
      <c r="U360" t="n">
        <v>4</v>
      </c>
      <c r="V360" t="b">
        <v>1</v>
      </c>
      <c r="W360" t="inlineStr">
        <is>
          <t>Operations!B29:E29</t>
        </is>
      </c>
      <c r="X360">
        <f>R[-15]C[0]*R[-4]C[0]</f>
        <v/>
      </c>
    </row>
    <row r="361">
      <c r="A361" t="inlineStr">
        <is>
          <t>Operations</t>
        </is>
      </c>
      <c r="B361" t="inlineStr">
        <is>
          <t>C29</t>
        </is>
      </c>
      <c r="C361" t="n">
        <v>29</v>
      </c>
      <c r="D361" t="n">
        <v>3</v>
      </c>
      <c r="E361" t="inlineStr">
        <is>
          <t>Calculation</t>
        </is>
      </c>
      <c r="F361" t="inlineStr">
        <is>
          <t>'=C14*C25</t>
        </is>
      </c>
      <c r="G361" t="n">
        <v>20</v>
      </c>
      <c r="H361" t="inlineStr"/>
      <c r="I361" t="inlineStr">
        <is>
          <t>General</t>
        </is>
      </c>
      <c r="J361" t="b">
        <v>1</v>
      </c>
      <c r="K361" t="b">
        <v>0</v>
      </c>
      <c r="L361" t="n">
        <v>10</v>
      </c>
      <c r="N361" t="inlineStr">
        <is>
          <t>00000000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1</v>
      </c>
      <c r="S361" t="inlineStr">
        <is>
          <t>G000006</t>
        </is>
      </c>
      <c r="T361" t="inlineStr">
        <is>
          <t>Horizontal</t>
        </is>
      </c>
      <c r="U361" t="n">
        <v>4</v>
      </c>
      <c r="V361" t="b">
        <v>1</v>
      </c>
      <c r="W361" t="inlineStr">
        <is>
          <t>Operations!B29:E29</t>
        </is>
      </c>
      <c r="X361">
        <f>R[-15]C[0]*R[-4]C[0]</f>
        <v/>
      </c>
    </row>
    <row r="362">
      <c r="A362" t="inlineStr">
        <is>
          <t>Operations</t>
        </is>
      </c>
      <c r="B362" t="inlineStr">
        <is>
          <t>D29</t>
        </is>
      </c>
      <c r="C362" t="n">
        <v>29</v>
      </c>
      <c r="D362" t="n">
        <v>4</v>
      </c>
      <c r="E362" t="inlineStr">
        <is>
          <t>Calculation</t>
        </is>
      </c>
      <c r="F362" t="inlineStr">
        <is>
          <t>'=D14*D25</t>
        </is>
      </c>
      <c r="G362" t="n">
        <v>28</v>
      </c>
      <c r="H362" t="inlineStr"/>
      <c r="I362" t="inlineStr">
        <is>
          <t>General</t>
        </is>
      </c>
      <c r="J362" t="b">
        <v>1</v>
      </c>
      <c r="K362" t="b">
        <v>0</v>
      </c>
      <c r="L362" t="n">
        <v>10</v>
      </c>
      <c r="N362" t="inlineStr">
        <is>
          <t>00000000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1</v>
      </c>
      <c r="S362" t="inlineStr">
        <is>
          <t>G000006</t>
        </is>
      </c>
      <c r="T362" t="inlineStr">
        <is>
          <t>Horizontal</t>
        </is>
      </c>
      <c r="U362" t="n">
        <v>4</v>
      </c>
      <c r="V362" t="b">
        <v>1</v>
      </c>
      <c r="W362" t="inlineStr">
        <is>
          <t>Operations!B29:E29</t>
        </is>
      </c>
      <c r="X362">
        <f>R[-15]C[0]*R[-4]C[0]</f>
        <v/>
      </c>
    </row>
    <row r="363">
      <c r="A363" t="inlineStr">
        <is>
          <t>Operations</t>
        </is>
      </c>
      <c r="B363" t="inlineStr">
        <is>
          <t>E29</t>
        </is>
      </c>
      <c r="C363" t="n">
        <v>29</v>
      </c>
      <c r="D363" t="n">
        <v>5</v>
      </c>
      <c r="E363" t="inlineStr">
        <is>
          <t>Calculation</t>
        </is>
      </c>
      <c r="F363" t="inlineStr">
        <is>
          <t>'=E14*E25</t>
        </is>
      </c>
      <c r="G363" t="n">
        <v>34</v>
      </c>
      <c r="H363" t="inlineStr"/>
      <c r="I363" t="inlineStr">
        <is>
          <t>General</t>
        </is>
      </c>
      <c r="J363" t="b">
        <v>1</v>
      </c>
      <c r="K363" t="b">
        <v>0</v>
      </c>
      <c r="L363" t="n">
        <v>10</v>
      </c>
      <c r="N363" t="inlineStr">
        <is>
          <t>00000000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1</v>
      </c>
      <c r="S363" t="inlineStr">
        <is>
          <t>G000006</t>
        </is>
      </c>
      <c r="T363" t="inlineStr">
        <is>
          <t>Horizontal</t>
        </is>
      </c>
      <c r="U363" t="n">
        <v>4</v>
      </c>
      <c r="V363" t="b">
        <v>1</v>
      </c>
      <c r="W363" t="inlineStr">
        <is>
          <t>Operations!B29:E29</t>
        </is>
      </c>
      <c r="X363">
        <f>R[-15]C[0]*R[-4]C[0]</f>
        <v/>
      </c>
    </row>
    <row r="364">
      <c r="A364" t="inlineStr">
        <is>
          <t>Operations</t>
        </is>
      </c>
      <c r="B364" t="inlineStr">
        <is>
          <t>F29</t>
        </is>
      </c>
      <c r="C364" t="n">
        <v>29</v>
      </c>
      <c r="D364" t="n">
        <v>6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1</v>
      </c>
      <c r="K364" t="b">
        <v>0</v>
      </c>
      <c r="L364" t="n">
        <v>10</v>
      </c>
      <c r="N364" t="inlineStr">
        <is>
          <t>00000000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Operations</t>
        </is>
      </c>
      <c r="B365" t="inlineStr">
        <is>
          <t>G29</t>
        </is>
      </c>
      <c r="C365" t="n">
        <v>29</v>
      </c>
      <c r="D365" t="n">
        <v>7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1</v>
      </c>
      <c r="K365" t="b">
        <v>0</v>
      </c>
      <c r="L365" t="n">
        <v>10</v>
      </c>
      <c r="N365" t="inlineStr">
        <is>
          <t>00000000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Operations</t>
        </is>
      </c>
      <c r="B366" t="inlineStr">
        <is>
          <t>H29</t>
        </is>
      </c>
      <c r="C366" t="n">
        <v>29</v>
      </c>
      <c r="D366" t="n">
        <v>8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1</v>
      </c>
      <c r="K366" t="b">
        <v>0</v>
      </c>
      <c r="L366" t="n">
        <v>10</v>
      </c>
      <c r="N366" t="inlineStr">
        <is>
          <t>00000000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Operations</t>
        </is>
      </c>
      <c r="B367" t="inlineStr">
        <is>
          <t>I29</t>
        </is>
      </c>
      <c r="C367" t="n">
        <v>29</v>
      </c>
      <c r="D367" t="n">
        <v>9</v>
      </c>
      <c r="E367" t="inlineStr">
        <is>
          <t>Input</t>
        </is>
      </c>
      <c r="F367" t="n">
        <v/>
      </c>
      <c r="H367" t="inlineStr"/>
      <c r="I367" t="inlineStr">
        <is>
          <t>General</t>
        </is>
      </c>
      <c r="J367" t="b">
        <v>1</v>
      </c>
      <c r="K367" t="b">
        <v>0</v>
      </c>
      <c r="L367" t="n">
        <v>10</v>
      </c>
      <c r="N367" t="inlineStr">
        <is>
          <t>00000000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Operations</t>
        </is>
      </c>
      <c r="B368" t="inlineStr">
        <is>
          <t>J29</t>
        </is>
      </c>
      <c r="C368" t="n">
        <v>29</v>
      </c>
      <c r="D368" t="n">
        <v>10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1</v>
      </c>
      <c r="K368" t="b">
        <v>0</v>
      </c>
      <c r="L368" t="n">
        <v>10</v>
      </c>
      <c r="N368" t="inlineStr">
        <is>
          <t>00000000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</row>
    <row r="369">
      <c r="A369" t="inlineStr">
        <is>
          <t>Operations</t>
        </is>
      </c>
      <c r="B369" t="inlineStr">
        <is>
          <t>K29</t>
        </is>
      </c>
      <c r="C369" t="n">
        <v>29</v>
      </c>
      <c r="D369" t="n">
        <v>11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1</v>
      </c>
      <c r="K369" t="b">
        <v>0</v>
      </c>
      <c r="L369" t="n">
        <v>10</v>
      </c>
      <c r="N369" t="inlineStr">
        <is>
          <t>00000000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Operations</t>
        </is>
      </c>
      <c r="B370" t="inlineStr">
        <is>
          <t>L29</t>
        </is>
      </c>
      <c r="C370" t="n">
        <v>29</v>
      </c>
      <c r="D370" t="n">
        <v>12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1</v>
      </c>
      <c r="K370" t="b">
        <v>0</v>
      </c>
      <c r="L370" t="n">
        <v>10</v>
      </c>
      <c r="N370" t="inlineStr">
        <is>
          <t>00000000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Operations</t>
        </is>
      </c>
      <c r="B371" t="inlineStr">
        <is>
          <t>M29</t>
        </is>
      </c>
      <c r="C371" t="n">
        <v>29</v>
      </c>
      <c r="D371" t="n">
        <v>13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1</v>
      </c>
      <c r="K371" t="b">
        <v>0</v>
      </c>
      <c r="L371" t="n">
        <v>10</v>
      </c>
      <c r="N371" t="inlineStr">
        <is>
          <t>00000000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Operations</t>
        </is>
      </c>
      <c r="B372" t="inlineStr">
        <is>
          <t>N29</t>
        </is>
      </c>
      <c r="C372" t="n">
        <v>29</v>
      </c>
      <c r="D372" t="n">
        <v>14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1</v>
      </c>
      <c r="K372" t="b">
        <v>0</v>
      </c>
      <c r="L372" t="n">
        <v>10</v>
      </c>
      <c r="N372" t="inlineStr">
        <is>
          <t>00000000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Operations</t>
        </is>
      </c>
      <c r="B373" t="inlineStr">
        <is>
          <t>O29</t>
        </is>
      </c>
      <c r="C373" t="n">
        <v>29</v>
      </c>
      <c r="D373" t="n">
        <v>15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1</v>
      </c>
      <c r="K373" t="b">
        <v>0</v>
      </c>
      <c r="L373" t="n">
        <v>10</v>
      </c>
      <c r="N373" t="inlineStr">
        <is>
          <t>00000000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Operations</t>
        </is>
      </c>
      <c r="B374" t="inlineStr">
        <is>
          <t>B30</t>
        </is>
      </c>
      <c r="C374" t="n">
        <v>30</v>
      </c>
      <c r="D374" t="n">
        <v>2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1</v>
      </c>
      <c r="K374" t="b">
        <v>0</v>
      </c>
      <c r="L374" t="n">
        <v>10</v>
      </c>
      <c r="N374" t="inlineStr">
        <is>
          <t>00000000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Operations</t>
        </is>
      </c>
      <c r="B375" t="inlineStr">
        <is>
          <t>C30</t>
        </is>
      </c>
      <c r="C375" t="n">
        <v>30</v>
      </c>
      <c r="D375" t="n">
        <v>3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1</v>
      </c>
      <c r="K375" t="b">
        <v>0</v>
      </c>
      <c r="L375" t="n">
        <v>10</v>
      </c>
      <c r="N375" t="inlineStr">
        <is>
          <t>00000000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Operations</t>
        </is>
      </c>
      <c r="B376" t="inlineStr">
        <is>
          <t>D30</t>
        </is>
      </c>
      <c r="C376" t="n">
        <v>30</v>
      </c>
      <c r="D376" t="n">
        <v>4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1</v>
      </c>
      <c r="K376" t="b">
        <v>0</v>
      </c>
      <c r="L376" t="n">
        <v>10</v>
      </c>
      <c r="N376" t="inlineStr">
        <is>
          <t>00000000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Operations</t>
        </is>
      </c>
      <c r="B377" t="inlineStr">
        <is>
          <t>E30</t>
        </is>
      </c>
      <c r="C377" t="n">
        <v>30</v>
      </c>
      <c r="D377" t="n">
        <v>5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1</v>
      </c>
      <c r="K377" t="b">
        <v>0</v>
      </c>
      <c r="L377" t="n">
        <v>10</v>
      </c>
      <c r="N377" t="inlineStr">
        <is>
          <t>00000000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Operations</t>
        </is>
      </c>
      <c r="B378" t="inlineStr">
        <is>
          <t>F30</t>
        </is>
      </c>
      <c r="C378" t="n">
        <v>30</v>
      </c>
      <c r="D378" t="n">
        <v>6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1</v>
      </c>
      <c r="K378" t="b">
        <v>0</v>
      </c>
      <c r="L378" t="n">
        <v>10</v>
      </c>
      <c r="N378" t="inlineStr">
        <is>
          <t>00000000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Operations</t>
        </is>
      </c>
      <c r="B379" t="inlineStr">
        <is>
          <t>G30</t>
        </is>
      </c>
      <c r="C379" t="n">
        <v>30</v>
      </c>
      <c r="D379" t="n">
        <v>7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1</v>
      </c>
      <c r="K379" t="b">
        <v>0</v>
      </c>
      <c r="L379" t="n">
        <v>10</v>
      </c>
      <c r="N379" t="inlineStr">
        <is>
          <t>00000000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Operations</t>
        </is>
      </c>
      <c r="B380" t="inlineStr">
        <is>
          <t>H30</t>
        </is>
      </c>
      <c r="C380" t="n">
        <v>30</v>
      </c>
      <c r="D380" t="n">
        <v>8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1</v>
      </c>
      <c r="K380" t="b">
        <v>0</v>
      </c>
      <c r="L380" t="n">
        <v>10</v>
      </c>
      <c r="N380" t="inlineStr">
        <is>
          <t>00000000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Operations</t>
        </is>
      </c>
      <c r="B381" t="inlineStr">
        <is>
          <t>I30</t>
        </is>
      </c>
      <c r="C381" t="n">
        <v>30</v>
      </c>
      <c r="D381" t="n">
        <v>9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1</v>
      </c>
      <c r="K381" t="b">
        <v>0</v>
      </c>
      <c r="L381" t="n">
        <v>10</v>
      </c>
      <c r="N381" t="inlineStr">
        <is>
          <t>00000000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Operations</t>
        </is>
      </c>
      <c r="B382" t="inlineStr">
        <is>
          <t>J30</t>
        </is>
      </c>
      <c r="C382" t="n">
        <v>30</v>
      </c>
      <c r="D382" t="n">
        <v>10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1</v>
      </c>
      <c r="K382" t="b">
        <v>0</v>
      </c>
      <c r="L382" t="n">
        <v>10</v>
      </c>
      <c r="N382" t="inlineStr">
        <is>
          <t>00000000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Operations</t>
        </is>
      </c>
      <c r="B383" t="inlineStr">
        <is>
          <t>K30</t>
        </is>
      </c>
      <c r="C383" t="n">
        <v>30</v>
      </c>
      <c r="D383" t="n">
        <v>11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1</v>
      </c>
      <c r="K383" t="b">
        <v>0</v>
      </c>
      <c r="L383" t="n">
        <v>10</v>
      </c>
      <c r="N383" t="inlineStr">
        <is>
          <t>00000000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Operations</t>
        </is>
      </c>
      <c r="B384" t="inlineStr">
        <is>
          <t>L30</t>
        </is>
      </c>
      <c r="C384" t="n">
        <v>30</v>
      </c>
      <c r="D384" t="n">
        <v>12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1</v>
      </c>
      <c r="K384" t="b">
        <v>0</v>
      </c>
      <c r="L384" t="n">
        <v>10</v>
      </c>
      <c r="N384" t="inlineStr">
        <is>
          <t>00000000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Operations</t>
        </is>
      </c>
      <c r="B385" t="inlineStr">
        <is>
          <t>M30</t>
        </is>
      </c>
      <c r="C385" t="n">
        <v>30</v>
      </c>
      <c r="D385" t="n">
        <v>13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1</v>
      </c>
      <c r="K385" t="b">
        <v>0</v>
      </c>
      <c r="L385" t="n">
        <v>10</v>
      </c>
      <c r="N385" t="inlineStr">
        <is>
          <t>00000000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Operations</t>
        </is>
      </c>
      <c r="B386" t="inlineStr">
        <is>
          <t>N30</t>
        </is>
      </c>
      <c r="C386" t="n">
        <v>30</v>
      </c>
      <c r="D386" t="n">
        <v>14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1</v>
      </c>
      <c r="K386" t="b">
        <v>0</v>
      </c>
      <c r="L386" t="n">
        <v>10</v>
      </c>
      <c r="N386" t="inlineStr">
        <is>
          <t>00000000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Operations</t>
        </is>
      </c>
      <c r="B387" t="inlineStr">
        <is>
          <t>O30</t>
        </is>
      </c>
      <c r="C387" t="n">
        <v>30</v>
      </c>
      <c r="D387" t="n">
        <v>15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1</v>
      </c>
      <c r="K387" t="b">
        <v>0</v>
      </c>
      <c r="L387" t="n">
        <v>10</v>
      </c>
      <c r="N387" t="inlineStr">
        <is>
          <t>00000000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Operations</t>
        </is>
      </c>
      <c r="B388" t="inlineStr">
        <is>
          <t>A31</t>
        </is>
      </c>
      <c r="C388" t="n">
        <v>31</v>
      </c>
      <c r="D388" t="n">
        <v>1</v>
      </c>
      <c r="E388" t="inlineStr">
        <is>
          <t>Input</t>
        </is>
      </c>
      <c r="F388" t="n">
        <v/>
      </c>
      <c r="G388" t="inlineStr">
        <is>
          <t>Note:  There is a timing issue when comparing a balance sheet to an income statement,</t>
        </is>
      </c>
      <c r="H388" t="inlineStr"/>
      <c r="I388" t="inlineStr">
        <is>
          <t>General</t>
        </is>
      </c>
      <c r="J388" t="b">
        <v>1</v>
      </c>
      <c r="K388" t="b">
        <v>0</v>
      </c>
      <c r="L388" t="n">
        <v>10</v>
      </c>
      <c r="N388" t="inlineStr">
        <is>
          <t>00000000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Operations</t>
        </is>
      </c>
      <c r="B389" t="inlineStr">
        <is>
          <t>B31</t>
        </is>
      </c>
      <c r="C389" t="n">
        <v>31</v>
      </c>
      <c r="D389" t="n">
        <v>2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1</v>
      </c>
      <c r="K389" t="b">
        <v>0</v>
      </c>
      <c r="L389" t="n">
        <v>10</v>
      </c>
      <c r="N389" t="inlineStr">
        <is>
          <t>00000000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Operations</t>
        </is>
      </c>
      <c r="B390" t="inlineStr">
        <is>
          <t>C31</t>
        </is>
      </c>
      <c r="C390" t="n">
        <v>31</v>
      </c>
      <c r="D390" t="n">
        <v>3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1</v>
      </c>
      <c r="K390" t="b">
        <v>0</v>
      </c>
      <c r="L390" t="n">
        <v>10</v>
      </c>
      <c r="N390" t="inlineStr">
        <is>
          <t>00000000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Operations</t>
        </is>
      </c>
      <c r="B391" t="inlineStr">
        <is>
          <t>D31</t>
        </is>
      </c>
      <c r="C391" t="n">
        <v>31</v>
      </c>
      <c r="D391" t="n">
        <v>4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1</v>
      </c>
      <c r="K391" t="b">
        <v>0</v>
      </c>
      <c r="L391" t="n">
        <v>10</v>
      </c>
      <c r="N391" t="inlineStr">
        <is>
          <t>00000000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Operations</t>
        </is>
      </c>
      <c r="B392" t="inlineStr">
        <is>
          <t>E31</t>
        </is>
      </c>
      <c r="C392" t="n">
        <v>31</v>
      </c>
      <c r="D392" t="n">
        <v>5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1</v>
      </c>
      <c r="K392" t="b">
        <v>0</v>
      </c>
      <c r="L392" t="n">
        <v>10</v>
      </c>
      <c r="N392" t="inlineStr">
        <is>
          <t>00000000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</row>
    <row r="393">
      <c r="A393" t="inlineStr">
        <is>
          <t>Operations</t>
        </is>
      </c>
      <c r="B393" t="inlineStr">
        <is>
          <t>F31</t>
        </is>
      </c>
      <c r="C393" t="n">
        <v>31</v>
      </c>
      <c r="D393" t="n">
        <v>6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1</v>
      </c>
      <c r="K393" t="b">
        <v>0</v>
      </c>
      <c r="L393" t="n">
        <v>10</v>
      </c>
      <c r="N393" t="inlineStr">
        <is>
          <t>00000000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</row>
    <row r="394">
      <c r="A394" t="inlineStr">
        <is>
          <t>Operations</t>
        </is>
      </c>
      <c r="B394" t="inlineStr">
        <is>
          <t>G31</t>
        </is>
      </c>
      <c r="C394" t="n">
        <v>31</v>
      </c>
      <c r="D394" t="n">
        <v>7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1</v>
      </c>
      <c r="K394" t="b">
        <v>0</v>
      </c>
      <c r="L394" t="n">
        <v>10</v>
      </c>
      <c r="N394" t="inlineStr">
        <is>
          <t>00000000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Operations</t>
        </is>
      </c>
      <c r="B395" t="inlineStr">
        <is>
          <t>H31</t>
        </is>
      </c>
      <c r="C395" t="n">
        <v>31</v>
      </c>
      <c r="D395" t="n">
        <v>8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1</v>
      </c>
      <c r="K395" t="b">
        <v>0</v>
      </c>
      <c r="L395" t="n">
        <v>10</v>
      </c>
      <c r="N395" t="inlineStr">
        <is>
          <t>00000000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Operations</t>
        </is>
      </c>
      <c r="B396" t="inlineStr">
        <is>
          <t>I31</t>
        </is>
      </c>
      <c r="C396" t="n">
        <v>31</v>
      </c>
      <c r="D396" t="n">
        <v>9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1</v>
      </c>
      <c r="K396" t="b">
        <v>0</v>
      </c>
      <c r="L396" t="n">
        <v>10</v>
      </c>
      <c r="N396" t="inlineStr">
        <is>
          <t>00000000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Operations</t>
        </is>
      </c>
      <c r="B397" t="inlineStr">
        <is>
          <t>J31</t>
        </is>
      </c>
      <c r="C397" t="n">
        <v>31</v>
      </c>
      <c r="D397" t="n">
        <v>10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1</v>
      </c>
      <c r="K397" t="b">
        <v>0</v>
      </c>
      <c r="L397" t="n">
        <v>10</v>
      </c>
      <c r="N397" t="inlineStr">
        <is>
          <t>00000000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Operations</t>
        </is>
      </c>
      <c r="B398" t="inlineStr">
        <is>
          <t>K31</t>
        </is>
      </c>
      <c r="C398" t="n">
        <v>31</v>
      </c>
      <c r="D398" t="n">
        <v>11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1</v>
      </c>
      <c r="K398" t="b">
        <v>0</v>
      </c>
      <c r="L398" t="n">
        <v>10</v>
      </c>
      <c r="N398" t="inlineStr">
        <is>
          <t>00000000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Operations</t>
        </is>
      </c>
      <c r="B399" t="inlineStr">
        <is>
          <t>L31</t>
        </is>
      </c>
      <c r="C399" t="n">
        <v>31</v>
      </c>
      <c r="D399" t="n">
        <v>12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1</v>
      </c>
      <c r="K399" t="b">
        <v>0</v>
      </c>
      <c r="L399" t="n">
        <v>10</v>
      </c>
      <c r="N399" t="inlineStr">
        <is>
          <t>00000000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Operations</t>
        </is>
      </c>
      <c r="B400" t="inlineStr">
        <is>
          <t>M31</t>
        </is>
      </c>
      <c r="C400" t="n">
        <v>31</v>
      </c>
      <c r="D400" t="n">
        <v>13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1</v>
      </c>
      <c r="K400" t="b">
        <v>0</v>
      </c>
      <c r="L400" t="n">
        <v>10</v>
      </c>
      <c r="N400" t="inlineStr">
        <is>
          <t>00000000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Operations</t>
        </is>
      </c>
      <c r="B401" t="inlineStr">
        <is>
          <t>N31</t>
        </is>
      </c>
      <c r="C401" t="n">
        <v>31</v>
      </c>
      <c r="D401" t="n">
        <v>14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1</v>
      </c>
      <c r="K401" t="b">
        <v>0</v>
      </c>
      <c r="L401" t="n">
        <v>10</v>
      </c>
      <c r="N401" t="inlineStr">
        <is>
          <t>00000000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</row>
    <row r="402">
      <c r="A402" t="inlineStr">
        <is>
          <t>Operations</t>
        </is>
      </c>
      <c r="B402" t="inlineStr">
        <is>
          <t>O31</t>
        </is>
      </c>
      <c r="C402" t="n">
        <v>31</v>
      </c>
      <c r="D402" t="n">
        <v>15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1</v>
      </c>
      <c r="K402" t="b">
        <v>0</v>
      </c>
      <c r="L402" t="n">
        <v>10</v>
      </c>
      <c r="N402" t="inlineStr">
        <is>
          <t>00000000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</row>
    <row r="403">
      <c r="A403" t="inlineStr">
        <is>
          <t>Operations</t>
        </is>
      </c>
      <c r="B403" t="inlineStr">
        <is>
          <t>A32</t>
        </is>
      </c>
      <c r="C403" t="n">
        <v>32</v>
      </c>
      <c r="D403" t="n">
        <v>1</v>
      </c>
      <c r="E403" t="inlineStr">
        <is>
          <t>Input</t>
        </is>
      </c>
      <c r="F403" t="n">
        <v/>
      </c>
      <c r="G403" t="inlineStr">
        <is>
          <t>because the balance sheet is at a point in time whereas the income statement is cumulative</t>
        </is>
      </c>
      <c r="H403" t="inlineStr"/>
      <c r="I403" t="inlineStr">
        <is>
          <t>General</t>
        </is>
      </c>
      <c r="J403" t="b">
        <v>1</v>
      </c>
      <c r="K403" t="b">
        <v>0</v>
      </c>
      <c r="L403" t="n">
        <v>10</v>
      </c>
      <c r="N403" t="inlineStr">
        <is>
          <t>00000000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</row>
    <row r="404">
      <c r="A404" t="inlineStr">
        <is>
          <t>Operations</t>
        </is>
      </c>
      <c r="B404" t="inlineStr">
        <is>
          <t>B32</t>
        </is>
      </c>
      <c r="C404" t="n">
        <v>32</v>
      </c>
      <c r="D404" t="n">
        <v>2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1</v>
      </c>
      <c r="K404" t="b">
        <v>0</v>
      </c>
      <c r="L404" t="n">
        <v>10</v>
      </c>
      <c r="N404" t="inlineStr">
        <is>
          <t>00000000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</row>
    <row r="405">
      <c r="A405" t="inlineStr">
        <is>
          <t>Operations</t>
        </is>
      </c>
      <c r="B405" t="inlineStr">
        <is>
          <t>C32</t>
        </is>
      </c>
      <c r="C405" t="n">
        <v>32</v>
      </c>
      <c r="D405" t="n">
        <v>3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10</v>
      </c>
      <c r="N405" t="inlineStr">
        <is>
          <t>00000000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</row>
    <row r="406">
      <c r="A406" t="inlineStr">
        <is>
          <t>Operations</t>
        </is>
      </c>
      <c r="B406" t="inlineStr">
        <is>
          <t>D32</t>
        </is>
      </c>
      <c r="C406" t="n">
        <v>32</v>
      </c>
      <c r="D406" t="n">
        <v>4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10</v>
      </c>
      <c r="N406" t="inlineStr">
        <is>
          <t>00000000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Operations</t>
        </is>
      </c>
      <c r="B407" t="inlineStr">
        <is>
          <t>E32</t>
        </is>
      </c>
      <c r="C407" t="n">
        <v>32</v>
      </c>
      <c r="D407" t="n">
        <v>5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1</v>
      </c>
      <c r="K407" t="b">
        <v>0</v>
      </c>
      <c r="L407" t="n">
        <v>10</v>
      </c>
      <c r="N407" t="inlineStr">
        <is>
          <t>00000000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Operations</t>
        </is>
      </c>
      <c r="B408" t="inlineStr">
        <is>
          <t>F32</t>
        </is>
      </c>
      <c r="C408" t="n">
        <v>32</v>
      </c>
      <c r="D408" t="n">
        <v>6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1</v>
      </c>
      <c r="K408" t="b">
        <v>0</v>
      </c>
      <c r="L408" t="n">
        <v>10</v>
      </c>
      <c r="N408" t="inlineStr">
        <is>
          <t>00000000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Operations</t>
        </is>
      </c>
      <c r="B409" t="inlineStr">
        <is>
          <t>G32</t>
        </is>
      </c>
      <c r="C409" t="n">
        <v>32</v>
      </c>
      <c r="D409" t="n">
        <v>7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1</v>
      </c>
      <c r="K409" t="b">
        <v>0</v>
      </c>
      <c r="L409" t="n">
        <v>10</v>
      </c>
      <c r="N409" t="inlineStr">
        <is>
          <t>00000000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</row>
    <row r="410">
      <c r="A410" t="inlineStr">
        <is>
          <t>Operations</t>
        </is>
      </c>
      <c r="B410" t="inlineStr">
        <is>
          <t>H32</t>
        </is>
      </c>
      <c r="C410" t="n">
        <v>32</v>
      </c>
      <c r="D410" t="n">
        <v>8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1</v>
      </c>
      <c r="K410" t="b">
        <v>0</v>
      </c>
      <c r="L410" t="n">
        <v>10</v>
      </c>
      <c r="N410" t="inlineStr">
        <is>
          <t>00000000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Operations</t>
        </is>
      </c>
      <c r="B411" t="inlineStr">
        <is>
          <t>I32</t>
        </is>
      </c>
      <c r="C411" t="n">
        <v>32</v>
      </c>
      <c r="D411" t="n">
        <v>9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1</v>
      </c>
      <c r="K411" t="b">
        <v>0</v>
      </c>
      <c r="L411" t="n">
        <v>10</v>
      </c>
      <c r="N411" t="inlineStr">
        <is>
          <t>00000000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Operations</t>
        </is>
      </c>
      <c r="B412" t="inlineStr">
        <is>
          <t>J32</t>
        </is>
      </c>
      <c r="C412" t="n">
        <v>32</v>
      </c>
      <c r="D412" t="n">
        <v>10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1</v>
      </c>
      <c r="K412" t="b">
        <v>0</v>
      </c>
      <c r="L412" t="n">
        <v>10</v>
      </c>
      <c r="N412" t="inlineStr">
        <is>
          <t>00000000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Operations</t>
        </is>
      </c>
      <c r="B413" t="inlineStr">
        <is>
          <t>K32</t>
        </is>
      </c>
      <c r="C413" t="n">
        <v>32</v>
      </c>
      <c r="D413" t="n">
        <v>11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1</v>
      </c>
      <c r="K413" t="b">
        <v>0</v>
      </c>
      <c r="L413" t="n">
        <v>10</v>
      </c>
      <c r="N413" t="inlineStr">
        <is>
          <t>00000000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Operations</t>
        </is>
      </c>
      <c r="B414" t="inlineStr">
        <is>
          <t>L32</t>
        </is>
      </c>
      <c r="C414" t="n">
        <v>32</v>
      </c>
      <c r="D414" t="n">
        <v>12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1</v>
      </c>
      <c r="K414" t="b">
        <v>0</v>
      </c>
      <c r="L414" t="n">
        <v>10</v>
      </c>
      <c r="N414" t="inlineStr">
        <is>
          <t>00000000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Operations</t>
        </is>
      </c>
      <c r="B415" t="inlineStr">
        <is>
          <t>M32</t>
        </is>
      </c>
      <c r="C415" t="n">
        <v>32</v>
      </c>
      <c r="D415" t="n">
        <v>13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1</v>
      </c>
      <c r="K415" t="b">
        <v>0</v>
      </c>
      <c r="L415" t="n">
        <v>10</v>
      </c>
      <c r="N415" t="inlineStr">
        <is>
          <t>00000000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Operations</t>
        </is>
      </c>
      <c r="B416" t="inlineStr">
        <is>
          <t>N32</t>
        </is>
      </c>
      <c r="C416" t="n">
        <v>32</v>
      </c>
      <c r="D416" t="n">
        <v>14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1</v>
      </c>
      <c r="K416" t="b">
        <v>0</v>
      </c>
      <c r="L416" t="n">
        <v>10</v>
      </c>
      <c r="N416" t="inlineStr">
        <is>
          <t>00000000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Operations</t>
        </is>
      </c>
      <c r="B417" t="inlineStr">
        <is>
          <t>O32</t>
        </is>
      </c>
      <c r="C417" t="n">
        <v>32</v>
      </c>
      <c r="D417" t="n">
        <v>15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1</v>
      </c>
      <c r="K417" t="b">
        <v>0</v>
      </c>
      <c r="L417" t="n">
        <v>10</v>
      </c>
      <c r="N417" t="inlineStr">
        <is>
          <t>00000000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Operations</t>
        </is>
      </c>
      <c r="B418" t="inlineStr">
        <is>
          <t>A33</t>
        </is>
      </c>
      <c r="C418" t="n">
        <v>33</v>
      </c>
      <c r="D418" t="n">
        <v>1</v>
      </c>
      <c r="E418" t="inlineStr">
        <is>
          <t>Input</t>
        </is>
      </c>
      <c r="F418" t="n">
        <v/>
      </c>
      <c r="G418" t="inlineStr">
        <is>
          <t xml:space="preserve">over the preceding year.  It is most natural to predict assets and liabilities based on the </t>
        </is>
      </c>
      <c r="H418" t="inlineStr"/>
      <c r="I418" t="inlineStr">
        <is>
          <t>General</t>
        </is>
      </c>
      <c r="J418" t="b">
        <v>1</v>
      </c>
      <c r="K418" t="b">
        <v>0</v>
      </c>
      <c r="L418" t="n">
        <v>10</v>
      </c>
      <c r="N418" t="inlineStr">
        <is>
          <t>00000000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1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Operations</t>
        </is>
      </c>
      <c r="B419" t="inlineStr">
        <is>
          <t>B33</t>
        </is>
      </c>
      <c r="C419" t="n">
        <v>33</v>
      </c>
      <c r="D419" t="n">
        <v>2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1</v>
      </c>
      <c r="K419" t="b">
        <v>0</v>
      </c>
      <c r="L419" t="n">
        <v>10</v>
      </c>
      <c r="N419" t="inlineStr">
        <is>
          <t>00000000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</row>
    <row r="420">
      <c r="A420" t="inlineStr">
        <is>
          <t>Operations</t>
        </is>
      </c>
      <c r="B420" t="inlineStr">
        <is>
          <t>C33</t>
        </is>
      </c>
      <c r="C420" t="n">
        <v>33</v>
      </c>
      <c r="D420" t="n">
        <v>3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1</v>
      </c>
      <c r="K420" t="b">
        <v>0</v>
      </c>
      <c r="L420" t="n">
        <v>10</v>
      </c>
      <c r="N420" t="inlineStr">
        <is>
          <t>00000000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</row>
    <row r="421">
      <c r="A421" t="inlineStr">
        <is>
          <t>Operations</t>
        </is>
      </c>
      <c r="B421" t="inlineStr">
        <is>
          <t>D33</t>
        </is>
      </c>
      <c r="C421" t="n">
        <v>33</v>
      </c>
      <c r="D421" t="n">
        <v>4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1</v>
      </c>
      <c r="K421" t="b">
        <v>0</v>
      </c>
      <c r="L421" t="n">
        <v>10</v>
      </c>
      <c r="N421" t="inlineStr">
        <is>
          <t>00000000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</row>
    <row r="422">
      <c r="A422" t="inlineStr">
        <is>
          <t>Operations</t>
        </is>
      </c>
      <c r="B422" t="inlineStr">
        <is>
          <t>E33</t>
        </is>
      </c>
      <c r="C422" t="n">
        <v>33</v>
      </c>
      <c r="D422" t="n">
        <v>5</v>
      </c>
      <c r="E422" t="inlineStr">
        <is>
          <t>Input</t>
        </is>
      </c>
      <c r="F422" t="n">
        <v/>
      </c>
      <c r="H422" t="inlineStr"/>
      <c r="I422" t="inlineStr">
        <is>
          <t>General</t>
        </is>
      </c>
      <c r="J422" t="b">
        <v>1</v>
      </c>
      <c r="K422" t="b">
        <v>0</v>
      </c>
      <c r="L422" t="n">
        <v>10</v>
      </c>
      <c r="N422" t="inlineStr">
        <is>
          <t>00000000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</row>
    <row r="423">
      <c r="A423" t="inlineStr">
        <is>
          <t>Operations</t>
        </is>
      </c>
      <c r="B423" t="inlineStr">
        <is>
          <t>F33</t>
        </is>
      </c>
      <c r="C423" t="n">
        <v>33</v>
      </c>
      <c r="D423" t="n">
        <v>6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1</v>
      </c>
      <c r="K423" t="b">
        <v>0</v>
      </c>
      <c r="L423" t="n">
        <v>10</v>
      </c>
      <c r="N423" t="inlineStr">
        <is>
          <t>00000000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</row>
    <row r="424">
      <c r="A424" t="inlineStr">
        <is>
          <t>Operations</t>
        </is>
      </c>
      <c r="B424" t="inlineStr">
        <is>
          <t>G33</t>
        </is>
      </c>
      <c r="C424" t="n">
        <v>33</v>
      </c>
      <c r="D424" t="n">
        <v>7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1</v>
      </c>
      <c r="K424" t="b">
        <v>0</v>
      </c>
      <c r="L424" t="n">
        <v>10</v>
      </c>
      <c r="N424" t="inlineStr">
        <is>
          <t>00000000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</row>
    <row r="425">
      <c r="A425" t="inlineStr">
        <is>
          <t>Operations</t>
        </is>
      </c>
      <c r="B425" t="inlineStr">
        <is>
          <t>H33</t>
        </is>
      </c>
      <c r="C425" t="n">
        <v>33</v>
      </c>
      <c r="D425" t="n">
        <v>8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1</v>
      </c>
      <c r="K425" t="b">
        <v>0</v>
      </c>
      <c r="L425" t="n">
        <v>10</v>
      </c>
      <c r="N425" t="inlineStr">
        <is>
          <t>00000000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</row>
    <row r="426">
      <c r="A426" t="inlineStr">
        <is>
          <t>Operations</t>
        </is>
      </c>
      <c r="B426" t="inlineStr">
        <is>
          <t>I33</t>
        </is>
      </c>
      <c r="C426" t="n">
        <v>33</v>
      </c>
      <c r="D426" t="n">
        <v>9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1</v>
      </c>
      <c r="K426" t="b">
        <v>0</v>
      </c>
      <c r="L426" t="n">
        <v>10</v>
      </c>
      <c r="N426" t="inlineStr">
        <is>
          <t>00000000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</row>
    <row r="427">
      <c r="A427" t="inlineStr">
        <is>
          <t>Operations</t>
        </is>
      </c>
      <c r="B427" t="inlineStr">
        <is>
          <t>J33</t>
        </is>
      </c>
      <c r="C427" t="n">
        <v>33</v>
      </c>
      <c r="D427" t="n">
        <v>10</v>
      </c>
      <c r="E427" t="inlineStr">
        <is>
          <t>Input</t>
        </is>
      </c>
      <c r="F427" t="n">
        <v/>
      </c>
      <c r="H427" t="inlineStr"/>
      <c r="I427" t="inlineStr">
        <is>
          <t>General</t>
        </is>
      </c>
      <c r="J427" t="b">
        <v>1</v>
      </c>
      <c r="K427" t="b">
        <v>0</v>
      </c>
      <c r="L427" t="n">
        <v>10</v>
      </c>
      <c r="N427" t="inlineStr">
        <is>
          <t>00000000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</row>
    <row r="428">
      <c r="A428" t="inlineStr">
        <is>
          <t>Operations</t>
        </is>
      </c>
      <c r="B428" t="inlineStr">
        <is>
          <t>K33</t>
        </is>
      </c>
      <c r="C428" t="n">
        <v>33</v>
      </c>
      <c r="D428" t="n">
        <v>11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1</v>
      </c>
      <c r="K428" t="b">
        <v>0</v>
      </c>
      <c r="L428" t="n">
        <v>10</v>
      </c>
      <c r="N428" t="inlineStr">
        <is>
          <t>00000000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</row>
    <row r="429">
      <c r="A429" t="inlineStr">
        <is>
          <t>Operations</t>
        </is>
      </c>
      <c r="B429" t="inlineStr">
        <is>
          <t>L33</t>
        </is>
      </c>
      <c r="C429" t="n">
        <v>33</v>
      </c>
      <c r="D429" t="n">
        <v>12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1</v>
      </c>
      <c r="K429" t="b">
        <v>0</v>
      </c>
      <c r="L429" t="n">
        <v>10</v>
      </c>
      <c r="N429" t="inlineStr">
        <is>
          <t>00000000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Operations</t>
        </is>
      </c>
      <c r="B430" t="inlineStr">
        <is>
          <t>M33</t>
        </is>
      </c>
      <c r="C430" t="n">
        <v>33</v>
      </c>
      <c r="D430" t="n">
        <v>13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1</v>
      </c>
      <c r="K430" t="b">
        <v>0</v>
      </c>
      <c r="L430" t="n">
        <v>10</v>
      </c>
      <c r="N430" t="inlineStr">
        <is>
          <t>00000000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Operations</t>
        </is>
      </c>
      <c r="B431" t="inlineStr">
        <is>
          <t>N33</t>
        </is>
      </c>
      <c r="C431" t="n">
        <v>33</v>
      </c>
      <c r="D431" t="n">
        <v>14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1</v>
      </c>
      <c r="K431" t="b">
        <v>0</v>
      </c>
      <c r="L431" t="n">
        <v>10</v>
      </c>
      <c r="N431" t="inlineStr">
        <is>
          <t>00000000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Operations</t>
        </is>
      </c>
      <c r="B432" t="inlineStr">
        <is>
          <t>O33</t>
        </is>
      </c>
      <c r="C432" t="n">
        <v>33</v>
      </c>
      <c r="D432" t="n">
        <v>15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1</v>
      </c>
      <c r="K432" t="b">
        <v>0</v>
      </c>
      <c r="L432" t="n">
        <v>10</v>
      </c>
      <c r="N432" t="inlineStr">
        <is>
          <t>00000000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Operations</t>
        </is>
      </c>
      <c r="B433" t="inlineStr">
        <is>
          <t>A34</t>
        </is>
      </c>
      <c r="C433" t="n">
        <v>34</v>
      </c>
      <c r="D433" t="n">
        <v>1</v>
      </c>
      <c r="E433" t="inlineStr">
        <is>
          <t>Input</t>
        </is>
      </c>
      <c r="F433" t="n">
        <v/>
      </c>
      <c r="G433" t="inlineStr">
        <is>
          <t>average of the income statement items over the same (=preceding) year and the following</t>
        </is>
      </c>
      <c r="H433" t="inlineStr"/>
      <c r="I433" t="inlineStr">
        <is>
          <t>General</t>
        </is>
      </c>
      <c r="J433" t="b">
        <v>1</v>
      </c>
      <c r="K433" t="b">
        <v>0</v>
      </c>
      <c r="L433" t="n">
        <v>10</v>
      </c>
      <c r="N433" t="inlineStr">
        <is>
          <t>00000000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1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Operations</t>
        </is>
      </c>
      <c r="B434" t="inlineStr">
        <is>
          <t>B34</t>
        </is>
      </c>
      <c r="C434" t="n">
        <v>34</v>
      </c>
      <c r="D434" t="n">
        <v>2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1</v>
      </c>
      <c r="K434" t="b">
        <v>0</v>
      </c>
      <c r="L434" t="n">
        <v>10</v>
      </c>
      <c r="N434" t="inlineStr">
        <is>
          <t>00000000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</row>
    <row r="435">
      <c r="A435" t="inlineStr">
        <is>
          <t>Operations</t>
        </is>
      </c>
      <c r="B435" t="inlineStr">
        <is>
          <t>C34</t>
        </is>
      </c>
      <c r="C435" t="n">
        <v>34</v>
      </c>
      <c r="D435" t="n">
        <v>3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1</v>
      </c>
      <c r="K435" t="b">
        <v>0</v>
      </c>
      <c r="L435" t="n">
        <v>10</v>
      </c>
      <c r="N435" t="inlineStr">
        <is>
          <t>00000000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</row>
    <row r="436">
      <c r="A436" t="inlineStr">
        <is>
          <t>Operations</t>
        </is>
      </c>
      <c r="B436" t="inlineStr">
        <is>
          <t>D34</t>
        </is>
      </c>
      <c r="C436" t="n">
        <v>34</v>
      </c>
      <c r="D436" t="n">
        <v>4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1</v>
      </c>
      <c r="K436" t="b">
        <v>0</v>
      </c>
      <c r="L436" t="n">
        <v>10</v>
      </c>
      <c r="N436" t="inlineStr">
        <is>
          <t>00000000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</row>
    <row r="437">
      <c r="A437" t="inlineStr">
        <is>
          <t>Operations</t>
        </is>
      </c>
      <c r="B437" t="inlineStr">
        <is>
          <t>E34</t>
        </is>
      </c>
      <c r="C437" t="n">
        <v>34</v>
      </c>
      <c r="D437" t="n">
        <v>5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1</v>
      </c>
      <c r="K437" t="b">
        <v>0</v>
      </c>
      <c r="L437" t="n">
        <v>10</v>
      </c>
      <c r="N437" t="inlineStr">
        <is>
          <t>00000000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</row>
    <row r="438">
      <c r="A438" t="inlineStr">
        <is>
          <t>Operations</t>
        </is>
      </c>
      <c r="B438" t="inlineStr">
        <is>
          <t>F34</t>
        </is>
      </c>
      <c r="C438" t="n">
        <v>34</v>
      </c>
      <c r="D438" t="n">
        <v>6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1</v>
      </c>
      <c r="K438" t="b">
        <v>0</v>
      </c>
      <c r="L438" t="n">
        <v>10</v>
      </c>
      <c r="N438" t="inlineStr">
        <is>
          <t>00000000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Operations</t>
        </is>
      </c>
      <c r="B439" t="inlineStr">
        <is>
          <t>G34</t>
        </is>
      </c>
      <c r="C439" t="n">
        <v>34</v>
      </c>
      <c r="D439" t="n">
        <v>7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1</v>
      </c>
      <c r="K439" t="b">
        <v>0</v>
      </c>
      <c r="L439" t="n">
        <v>10</v>
      </c>
      <c r="N439" t="inlineStr">
        <is>
          <t>00000000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</row>
    <row r="440">
      <c r="A440" t="inlineStr">
        <is>
          <t>Operations</t>
        </is>
      </c>
      <c r="B440" t="inlineStr">
        <is>
          <t>H34</t>
        </is>
      </c>
      <c r="C440" t="n">
        <v>34</v>
      </c>
      <c r="D440" t="n">
        <v>8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1</v>
      </c>
      <c r="K440" t="b">
        <v>0</v>
      </c>
      <c r="L440" t="n">
        <v>10</v>
      </c>
      <c r="N440" t="inlineStr">
        <is>
          <t>00000000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Operations</t>
        </is>
      </c>
      <c r="B441" t="inlineStr">
        <is>
          <t>I34</t>
        </is>
      </c>
      <c r="C441" t="n">
        <v>34</v>
      </c>
      <c r="D441" t="n">
        <v>9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1</v>
      </c>
      <c r="K441" t="b">
        <v>0</v>
      </c>
      <c r="L441" t="n">
        <v>10</v>
      </c>
      <c r="N441" t="inlineStr">
        <is>
          <t>00000000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Operations</t>
        </is>
      </c>
      <c r="B442" t="inlineStr">
        <is>
          <t>J34</t>
        </is>
      </c>
      <c r="C442" t="n">
        <v>34</v>
      </c>
      <c r="D442" t="n">
        <v>10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1</v>
      </c>
      <c r="K442" t="b">
        <v>0</v>
      </c>
      <c r="L442" t="n">
        <v>10</v>
      </c>
      <c r="N442" t="inlineStr">
        <is>
          <t>00000000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Operations</t>
        </is>
      </c>
      <c r="B443" t="inlineStr">
        <is>
          <t>K34</t>
        </is>
      </c>
      <c r="C443" t="n">
        <v>34</v>
      </c>
      <c r="D443" t="n">
        <v>11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1</v>
      </c>
      <c r="K443" t="b">
        <v>0</v>
      </c>
      <c r="L443" t="n">
        <v>10</v>
      </c>
      <c r="N443" t="inlineStr">
        <is>
          <t>00000000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</row>
    <row r="444">
      <c r="A444" t="inlineStr">
        <is>
          <t>Operations</t>
        </is>
      </c>
      <c r="B444" t="inlineStr">
        <is>
          <t>L34</t>
        </is>
      </c>
      <c r="C444" t="n">
        <v>34</v>
      </c>
      <c r="D444" t="n">
        <v>12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1</v>
      </c>
      <c r="K444" t="b">
        <v>0</v>
      </c>
      <c r="L444" t="n">
        <v>10</v>
      </c>
      <c r="N444" t="inlineStr">
        <is>
          <t>00000000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</row>
    <row r="445">
      <c r="A445" t="inlineStr">
        <is>
          <t>Operations</t>
        </is>
      </c>
      <c r="B445" t="inlineStr">
        <is>
          <t>M34</t>
        </is>
      </c>
      <c r="C445" t="n">
        <v>34</v>
      </c>
      <c r="D445" t="n">
        <v>13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1</v>
      </c>
      <c r="K445" t="b">
        <v>0</v>
      </c>
      <c r="L445" t="n">
        <v>10</v>
      </c>
      <c r="N445" t="inlineStr">
        <is>
          <t>00000000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</row>
    <row r="446">
      <c r="A446" t="inlineStr">
        <is>
          <t>Operations</t>
        </is>
      </c>
      <c r="B446" t="inlineStr">
        <is>
          <t>N34</t>
        </is>
      </c>
      <c r="C446" t="n">
        <v>34</v>
      </c>
      <c r="D446" t="n">
        <v>14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1</v>
      </c>
      <c r="K446" t="b">
        <v>0</v>
      </c>
      <c r="L446" t="n">
        <v>10</v>
      </c>
      <c r="N446" t="inlineStr">
        <is>
          <t>00000000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</row>
    <row r="447">
      <c r="A447" t="inlineStr">
        <is>
          <t>Operations</t>
        </is>
      </c>
      <c r="B447" t="inlineStr">
        <is>
          <t>O34</t>
        </is>
      </c>
      <c r="C447" t="n">
        <v>34</v>
      </c>
      <c r="D447" t="n">
        <v>15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1</v>
      </c>
      <c r="K447" t="b">
        <v>0</v>
      </c>
      <c r="L447" t="n">
        <v>10</v>
      </c>
      <c r="N447" t="inlineStr">
        <is>
          <t>00000000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</row>
    <row r="448">
      <c r="A448" t="inlineStr">
        <is>
          <t>Operations</t>
        </is>
      </c>
      <c r="B448" t="inlineStr">
        <is>
          <t>A35</t>
        </is>
      </c>
      <c r="C448" t="n">
        <v>35</v>
      </c>
      <c r="D448" t="n">
        <v>1</v>
      </c>
      <c r="E448" t="inlineStr">
        <is>
          <t>Input</t>
        </is>
      </c>
      <c r="F448" t="n">
        <v/>
      </c>
      <c r="G448" t="inlineStr">
        <is>
          <t>year.</t>
        </is>
      </c>
      <c r="H448" t="inlineStr"/>
      <c r="I448" t="inlineStr">
        <is>
          <t>General</t>
        </is>
      </c>
      <c r="J448" t="b">
        <v>1</v>
      </c>
      <c r="K448" t="b">
        <v>0</v>
      </c>
      <c r="L448" t="n">
        <v>10</v>
      </c>
      <c r="N448" t="inlineStr">
        <is>
          <t>00000000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</row>
    <row r="449">
      <c r="A449" t="inlineStr">
        <is>
          <t>Operations</t>
        </is>
      </c>
      <c r="B449" t="inlineStr">
        <is>
          <t>B35</t>
        </is>
      </c>
      <c r="C449" t="n">
        <v>35</v>
      </c>
      <c r="D449" t="n">
        <v>2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1</v>
      </c>
      <c r="K449" t="b">
        <v>0</v>
      </c>
      <c r="L449" t="n">
        <v>10</v>
      </c>
      <c r="N449" t="inlineStr">
        <is>
          <t>00000000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</row>
    <row r="450">
      <c r="A450" t="inlineStr">
        <is>
          <t>Operations</t>
        </is>
      </c>
      <c r="B450" t="inlineStr">
        <is>
          <t>C35</t>
        </is>
      </c>
      <c r="C450" t="n">
        <v>35</v>
      </c>
      <c r="D450" t="n">
        <v>3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1</v>
      </c>
      <c r="K450" t="b">
        <v>0</v>
      </c>
      <c r="L450" t="n">
        <v>10</v>
      </c>
      <c r="N450" t="inlineStr">
        <is>
          <t>00000000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Operations</t>
        </is>
      </c>
      <c r="B451" t="inlineStr">
        <is>
          <t>D35</t>
        </is>
      </c>
      <c r="C451" t="n">
        <v>35</v>
      </c>
      <c r="D451" t="n">
        <v>4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1</v>
      </c>
      <c r="K451" t="b">
        <v>0</v>
      </c>
      <c r="L451" t="n">
        <v>10</v>
      </c>
      <c r="N451" t="inlineStr">
        <is>
          <t>00000000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Operations</t>
        </is>
      </c>
      <c r="B452" t="inlineStr">
        <is>
          <t>E35</t>
        </is>
      </c>
      <c r="C452" t="n">
        <v>35</v>
      </c>
      <c r="D452" t="n">
        <v>5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1</v>
      </c>
      <c r="K452" t="b">
        <v>0</v>
      </c>
      <c r="L452" t="n">
        <v>10</v>
      </c>
      <c r="N452" t="inlineStr">
        <is>
          <t>00000000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Operations</t>
        </is>
      </c>
      <c r="B453" t="inlineStr">
        <is>
          <t>F35</t>
        </is>
      </c>
      <c r="C453" t="n">
        <v>35</v>
      </c>
      <c r="D453" t="n">
        <v>6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1</v>
      </c>
      <c r="K453" t="b">
        <v>0</v>
      </c>
      <c r="L453" t="n">
        <v>10</v>
      </c>
      <c r="N453" t="inlineStr">
        <is>
          <t>00000000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Operations</t>
        </is>
      </c>
      <c r="B454" t="inlineStr">
        <is>
          <t>G35</t>
        </is>
      </c>
      <c r="C454" t="n">
        <v>35</v>
      </c>
      <c r="D454" t="n">
        <v>7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1</v>
      </c>
      <c r="K454" t="b">
        <v>0</v>
      </c>
      <c r="L454" t="n">
        <v>10</v>
      </c>
      <c r="N454" t="inlineStr">
        <is>
          <t>00000000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</row>
    <row r="455">
      <c r="A455" t="inlineStr">
        <is>
          <t>Operations</t>
        </is>
      </c>
      <c r="B455" t="inlineStr">
        <is>
          <t>H35</t>
        </is>
      </c>
      <c r="C455" t="n">
        <v>35</v>
      </c>
      <c r="D455" t="n">
        <v>8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1</v>
      </c>
      <c r="K455" t="b">
        <v>0</v>
      </c>
      <c r="L455" t="n">
        <v>10</v>
      </c>
      <c r="N455" t="inlineStr">
        <is>
          <t>00000000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</row>
    <row r="456">
      <c r="A456" t="inlineStr">
        <is>
          <t>Operations</t>
        </is>
      </c>
      <c r="B456" t="inlineStr">
        <is>
          <t>I35</t>
        </is>
      </c>
      <c r="C456" t="n">
        <v>35</v>
      </c>
      <c r="D456" t="n">
        <v>9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1</v>
      </c>
      <c r="K456" t="b">
        <v>0</v>
      </c>
      <c r="L456" t="n">
        <v>10</v>
      </c>
      <c r="N456" t="inlineStr">
        <is>
          <t>00000000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</row>
    <row r="457">
      <c r="A457" t="inlineStr">
        <is>
          <t>Operations</t>
        </is>
      </c>
      <c r="B457" t="inlineStr">
        <is>
          <t>J35</t>
        </is>
      </c>
      <c r="C457" t="n">
        <v>35</v>
      </c>
      <c r="D457" t="n">
        <v>10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1</v>
      </c>
      <c r="K457" t="b">
        <v>0</v>
      </c>
      <c r="L457" t="n">
        <v>10</v>
      </c>
      <c r="N457" t="inlineStr">
        <is>
          <t>00000000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Operations</t>
        </is>
      </c>
      <c r="B458" t="inlineStr">
        <is>
          <t>K35</t>
        </is>
      </c>
      <c r="C458" t="n">
        <v>35</v>
      </c>
      <c r="D458" t="n">
        <v>11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1</v>
      </c>
      <c r="K458" t="b">
        <v>0</v>
      </c>
      <c r="L458" t="n">
        <v>10</v>
      </c>
      <c r="N458" t="inlineStr">
        <is>
          <t>00000000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</row>
    <row r="459">
      <c r="A459" t="inlineStr">
        <is>
          <t>Operations</t>
        </is>
      </c>
      <c r="B459" t="inlineStr">
        <is>
          <t>L35</t>
        </is>
      </c>
      <c r="C459" t="n">
        <v>35</v>
      </c>
      <c r="D459" t="n">
        <v>12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1</v>
      </c>
      <c r="K459" t="b">
        <v>0</v>
      </c>
      <c r="L459" t="n">
        <v>10</v>
      </c>
      <c r="N459" t="inlineStr">
        <is>
          <t>00000000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Operations</t>
        </is>
      </c>
      <c r="B460" t="inlineStr">
        <is>
          <t>M35</t>
        </is>
      </c>
      <c r="C460" t="n">
        <v>35</v>
      </c>
      <c r="D460" t="n">
        <v>13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1</v>
      </c>
      <c r="K460" t="b">
        <v>0</v>
      </c>
      <c r="L460" t="n">
        <v>10</v>
      </c>
      <c r="N460" t="inlineStr">
        <is>
          <t>00000000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Operations</t>
        </is>
      </c>
      <c r="B461" t="inlineStr">
        <is>
          <t>N35</t>
        </is>
      </c>
      <c r="C461" t="n">
        <v>35</v>
      </c>
      <c r="D461" t="n">
        <v>14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1</v>
      </c>
      <c r="K461" t="b">
        <v>0</v>
      </c>
      <c r="L461" t="n">
        <v>10</v>
      </c>
      <c r="N461" t="inlineStr">
        <is>
          <t>00000000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Operations</t>
        </is>
      </c>
      <c r="B462" t="inlineStr">
        <is>
          <t>O35</t>
        </is>
      </c>
      <c r="C462" t="n">
        <v>35</v>
      </c>
      <c r="D462" t="n">
        <v>15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1</v>
      </c>
      <c r="K462" t="b">
        <v>0</v>
      </c>
      <c r="L462" t="n">
        <v>10</v>
      </c>
      <c r="N462" t="inlineStr">
        <is>
          <t>00000000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  <row r="463">
      <c r="A463" t="inlineStr">
        <is>
          <t>Operations</t>
        </is>
      </c>
      <c r="B463" t="inlineStr">
        <is>
          <t>A36</t>
        </is>
      </c>
      <c r="C463" t="n">
        <v>36</v>
      </c>
      <c r="D463" t="n">
        <v>1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1</v>
      </c>
      <c r="K463" t="b">
        <v>0</v>
      </c>
      <c r="L463" t="n">
        <v>10</v>
      </c>
      <c r="N463" t="inlineStr">
        <is>
          <t>00000000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Operations</t>
        </is>
      </c>
      <c r="B464" t="inlineStr">
        <is>
          <t>B36</t>
        </is>
      </c>
      <c r="C464" t="n">
        <v>36</v>
      </c>
      <c r="D464" t="n">
        <v>2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1</v>
      </c>
      <c r="K464" t="b">
        <v>0</v>
      </c>
      <c r="L464" t="n">
        <v>10</v>
      </c>
      <c r="N464" t="inlineStr">
        <is>
          <t>00000000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</row>
    <row r="465">
      <c r="A465" t="inlineStr">
        <is>
          <t>Operations</t>
        </is>
      </c>
      <c r="B465" t="inlineStr">
        <is>
          <t>C36</t>
        </is>
      </c>
      <c r="C465" t="n">
        <v>36</v>
      </c>
      <c r="D465" t="n">
        <v>3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1</v>
      </c>
      <c r="K465" t="b">
        <v>0</v>
      </c>
      <c r="L465" t="n">
        <v>10</v>
      </c>
      <c r="N465" t="inlineStr">
        <is>
          <t>00000000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Operations</t>
        </is>
      </c>
      <c r="B466" t="inlineStr">
        <is>
          <t>D36</t>
        </is>
      </c>
      <c r="C466" t="n">
        <v>36</v>
      </c>
      <c r="D466" t="n">
        <v>4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1</v>
      </c>
      <c r="K466" t="b">
        <v>0</v>
      </c>
      <c r="L466" t="n">
        <v>10</v>
      </c>
      <c r="N466" t="inlineStr">
        <is>
          <t>00000000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Operations</t>
        </is>
      </c>
      <c r="B467" t="inlineStr">
        <is>
          <t>E36</t>
        </is>
      </c>
      <c r="C467" t="n">
        <v>36</v>
      </c>
      <c r="D467" t="n">
        <v>5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1</v>
      </c>
      <c r="K467" t="b">
        <v>0</v>
      </c>
      <c r="L467" t="n">
        <v>10</v>
      </c>
      <c r="N467" t="inlineStr">
        <is>
          <t>00000000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</row>
    <row r="468">
      <c r="A468" t="inlineStr">
        <is>
          <t>Operations</t>
        </is>
      </c>
      <c r="B468" t="inlineStr">
        <is>
          <t>F36</t>
        </is>
      </c>
      <c r="C468" t="n">
        <v>36</v>
      </c>
      <c r="D468" t="n">
        <v>6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1</v>
      </c>
      <c r="K468" t="b">
        <v>0</v>
      </c>
      <c r="L468" t="n">
        <v>10</v>
      </c>
      <c r="N468" t="inlineStr">
        <is>
          <t>00000000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Operations</t>
        </is>
      </c>
      <c r="B469" t="inlineStr">
        <is>
          <t>G36</t>
        </is>
      </c>
      <c r="C469" t="n">
        <v>36</v>
      </c>
      <c r="D469" t="n">
        <v>7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1</v>
      </c>
      <c r="K469" t="b">
        <v>0</v>
      </c>
      <c r="L469" t="n">
        <v>10</v>
      </c>
      <c r="N469" t="inlineStr">
        <is>
          <t>00000000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Operations</t>
        </is>
      </c>
      <c r="B470" t="inlineStr">
        <is>
          <t>H36</t>
        </is>
      </c>
      <c r="C470" t="n">
        <v>36</v>
      </c>
      <c r="D470" t="n">
        <v>8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1</v>
      </c>
      <c r="K470" t="b">
        <v>0</v>
      </c>
      <c r="L470" t="n">
        <v>10</v>
      </c>
      <c r="N470" t="inlineStr">
        <is>
          <t>00000000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</row>
    <row r="471">
      <c r="A471" t="inlineStr">
        <is>
          <t>Operations</t>
        </is>
      </c>
      <c r="B471" t="inlineStr">
        <is>
          <t>I36</t>
        </is>
      </c>
      <c r="C471" t="n">
        <v>36</v>
      </c>
      <c r="D471" t="n">
        <v>9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1</v>
      </c>
      <c r="K471" t="b">
        <v>0</v>
      </c>
      <c r="L471" t="n">
        <v>10</v>
      </c>
      <c r="N471" t="inlineStr">
        <is>
          <t>00000000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</row>
    <row r="472">
      <c r="A472" t="inlineStr">
        <is>
          <t>Operations</t>
        </is>
      </c>
      <c r="B472" t="inlineStr">
        <is>
          <t>J36</t>
        </is>
      </c>
      <c r="C472" t="n">
        <v>36</v>
      </c>
      <c r="D472" t="n">
        <v>10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1</v>
      </c>
      <c r="K472" t="b">
        <v>0</v>
      </c>
      <c r="L472" t="n">
        <v>10</v>
      </c>
      <c r="N472" t="inlineStr">
        <is>
          <t>00000000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</row>
    <row r="473">
      <c r="A473" t="inlineStr">
        <is>
          <t>Operations</t>
        </is>
      </c>
      <c r="B473" t="inlineStr">
        <is>
          <t>K36</t>
        </is>
      </c>
      <c r="C473" t="n">
        <v>36</v>
      </c>
      <c r="D473" t="n">
        <v>11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1</v>
      </c>
      <c r="K473" t="b">
        <v>0</v>
      </c>
      <c r="L473" t="n">
        <v>10</v>
      </c>
      <c r="N473" t="inlineStr">
        <is>
          <t>00000000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</row>
    <row r="474">
      <c r="A474" t="inlineStr">
        <is>
          <t>Operations</t>
        </is>
      </c>
      <c r="B474" t="inlineStr">
        <is>
          <t>L36</t>
        </is>
      </c>
      <c r="C474" t="n">
        <v>36</v>
      </c>
      <c r="D474" t="n">
        <v>12</v>
      </c>
      <c r="E474" t="inlineStr">
        <is>
          <t>Input</t>
        </is>
      </c>
      <c r="F474" t="n">
        <v/>
      </c>
      <c r="H474" t="inlineStr"/>
      <c r="I474" t="inlineStr">
        <is>
          <t>General</t>
        </is>
      </c>
      <c r="J474" t="b">
        <v>1</v>
      </c>
      <c r="K474" t="b">
        <v>0</v>
      </c>
      <c r="L474" t="n">
        <v>10</v>
      </c>
      <c r="N474" t="inlineStr">
        <is>
          <t>00000000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</row>
    <row r="475">
      <c r="A475" t="inlineStr">
        <is>
          <t>Operations</t>
        </is>
      </c>
      <c r="B475" t="inlineStr">
        <is>
          <t>M36</t>
        </is>
      </c>
      <c r="C475" t="n">
        <v>36</v>
      </c>
      <c r="D475" t="n">
        <v>13</v>
      </c>
      <c r="E475" t="inlineStr">
        <is>
          <t>Input</t>
        </is>
      </c>
      <c r="F475" t="n">
        <v/>
      </c>
      <c r="H475" t="inlineStr"/>
      <c r="I475" t="inlineStr">
        <is>
          <t>General</t>
        </is>
      </c>
      <c r="J475" t="b">
        <v>1</v>
      </c>
      <c r="K475" t="b">
        <v>0</v>
      </c>
      <c r="L475" t="n">
        <v>10</v>
      </c>
      <c r="N475" t="inlineStr">
        <is>
          <t>00000000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</row>
    <row r="476">
      <c r="A476" t="inlineStr">
        <is>
          <t>Operations</t>
        </is>
      </c>
      <c r="B476" t="inlineStr">
        <is>
          <t>N36</t>
        </is>
      </c>
      <c r="C476" t="n">
        <v>36</v>
      </c>
      <c r="D476" t="n">
        <v>14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1</v>
      </c>
      <c r="K476" t="b">
        <v>0</v>
      </c>
      <c r="L476" t="n">
        <v>10</v>
      </c>
      <c r="N476" t="inlineStr">
        <is>
          <t>00000000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</row>
    <row r="477">
      <c r="A477" t="inlineStr">
        <is>
          <t>Operations</t>
        </is>
      </c>
      <c r="B477" t="inlineStr">
        <is>
          <t>O36</t>
        </is>
      </c>
      <c r="C477" t="n">
        <v>36</v>
      </c>
      <c r="D477" t="n">
        <v>15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1</v>
      </c>
      <c r="K477" t="b">
        <v>0</v>
      </c>
      <c r="L477" t="n">
        <v>10</v>
      </c>
      <c r="N477" t="inlineStr">
        <is>
          <t>00000000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</row>
    <row r="478">
      <c r="A478" t="inlineStr">
        <is>
          <t>Operations</t>
        </is>
      </c>
      <c r="B478" t="inlineStr">
        <is>
          <t>A37</t>
        </is>
      </c>
      <c r="C478" t="n">
        <v>37</v>
      </c>
      <c r="D478" t="n">
        <v>1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1</v>
      </c>
      <c r="K478" t="b">
        <v>0</v>
      </c>
      <c r="L478" t="n">
        <v>10</v>
      </c>
      <c r="N478" t="inlineStr">
        <is>
          <t>00000000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</row>
    <row r="479">
      <c r="A479" t="inlineStr">
        <is>
          <t>Operations</t>
        </is>
      </c>
      <c r="B479" t="inlineStr">
        <is>
          <t>B37</t>
        </is>
      </c>
      <c r="C479" t="n">
        <v>37</v>
      </c>
      <c r="D479" t="n">
        <v>2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1</v>
      </c>
      <c r="K479" t="b">
        <v>0</v>
      </c>
      <c r="L479" t="n">
        <v>10</v>
      </c>
      <c r="N479" t="inlineStr">
        <is>
          <t>00000000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</row>
    <row r="480">
      <c r="A480" t="inlineStr">
        <is>
          <t>Operations</t>
        </is>
      </c>
      <c r="B480" t="inlineStr">
        <is>
          <t>C37</t>
        </is>
      </c>
      <c r="C480" t="n">
        <v>37</v>
      </c>
      <c r="D480" t="n">
        <v>3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1</v>
      </c>
      <c r="K480" t="b">
        <v>0</v>
      </c>
      <c r="L480" t="n">
        <v>10</v>
      </c>
      <c r="N480" t="inlineStr">
        <is>
          <t>00000000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</row>
    <row r="481">
      <c r="A481" t="inlineStr">
        <is>
          <t>Operations</t>
        </is>
      </c>
      <c r="B481" t="inlineStr">
        <is>
          <t>D37</t>
        </is>
      </c>
      <c r="C481" t="n">
        <v>37</v>
      </c>
      <c r="D481" t="n">
        <v>4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1</v>
      </c>
      <c r="K481" t="b">
        <v>0</v>
      </c>
      <c r="L481" t="n">
        <v>10</v>
      </c>
      <c r="N481" t="inlineStr">
        <is>
          <t>00000000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</row>
    <row r="482">
      <c r="A482" t="inlineStr">
        <is>
          <t>Operations</t>
        </is>
      </c>
      <c r="B482" t="inlineStr">
        <is>
          <t>E37</t>
        </is>
      </c>
      <c r="C482" t="n">
        <v>37</v>
      </c>
      <c r="D482" t="n">
        <v>5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1</v>
      </c>
      <c r="K482" t="b">
        <v>0</v>
      </c>
      <c r="L482" t="n">
        <v>10</v>
      </c>
      <c r="N482" t="inlineStr">
        <is>
          <t>00000000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</row>
    <row r="483">
      <c r="A483" t="inlineStr">
        <is>
          <t>Operations</t>
        </is>
      </c>
      <c r="B483" t="inlineStr">
        <is>
          <t>F37</t>
        </is>
      </c>
      <c r="C483" t="n">
        <v>37</v>
      </c>
      <c r="D483" t="n">
        <v>6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1</v>
      </c>
      <c r="K483" t="b">
        <v>0</v>
      </c>
      <c r="L483" t="n">
        <v>10</v>
      </c>
      <c r="N483" t="inlineStr">
        <is>
          <t>00000000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</row>
    <row r="484">
      <c r="A484" t="inlineStr">
        <is>
          <t>Operations</t>
        </is>
      </c>
      <c r="B484" t="inlineStr">
        <is>
          <t>G37</t>
        </is>
      </c>
      <c r="C484" t="n">
        <v>37</v>
      </c>
      <c r="D484" t="n">
        <v>7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1</v>
      </c>
      <c r="K484" t="b">
        <v>0</v>
      </c>
      <c r="L484" t="n">
        <v>10</v>
      </c>
      <c r="N484" t="inlineStr">
        <is>
          <t>00000000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</row>
    <row r="485">
      <c r="A485" t="inlineStr">
        <is>
          <t>Operations</t>
        </is>
      </c>
      <c r="B485" t="inlineStr">
        <is>
          <t>H37</t>
        </is>
      </c>
      <c r="C485" t="n">
        <v>37</v>
      </c>
      <c r="D485" t="n">
        <v>8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1</v>
      </c>
      <c r="K485" t="b">
        <v>0</v>
      </c>
      <c r="L485" t="n">
        <v>10</v>
      </c>
      <c r="N485" t="inlineStr">
        <is>
          <t>00000000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Operations</t>
        </is>
      </c>
      <c r="B486" t="inlineStr">
        <is>
          <t>I37</t>
        </is>
      </c>
      <c r="C486" t="n">
        <v>37</v>
      </c>
      <c r="D486" t="n">
        <v>9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1</v>
      </c>
      <c r="K486" t="b">
        <v>0</v>
      </c>
      <c r="L486" t="n">
        <v>10</v>
      </c>
      <c r="N486" t="inlineStr">
        <is>
          <t>00000000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</row>
    <row r="487">
      <c r="A487" t="inlineStr">
        <is>
          <t>Operations</t>
        </is>
      </c>
      <c r="B487" t="inlineStr">
        <is>
          <t>J37</t>
        </is>
      </c>
      <c r="C487" t="n">
        <v>37</v>
      </c>
      <c r="D487" t="n">
        <v>10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1</v>
      </c>
      <c r="K487" t="b">
        <v>0</v>
      </c>
      <c r="L487" t="n">
        <v>10</v>
      </c>
      <c r="N487" t="inlineStr">
        <is>
          <t>00000000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Operations</t>
        </is>
      </c>
      <c r="B488" t="inlineStr">
        <is>
          <t>K37</t>
        </is>
      </c>
      <c r="C488" t="n">
        <v>37</v>
      </c>
      <c r="D488" t="n">
        <v>11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1</v>
      </c>
      <c r="K488" t="b">
        <v>0</v>
      </c>
      <c r="L488" t="n">
        <v>10</v>
      </c>
      <c r="N488" t="inlineStr">
        <is>
          <t>00000000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</row>
    <row r="489">
      <c r="A489" t="inlineStr">
        <is>
          <t>Operations</t>
        </is>
      </c>
      <c r="B489" t="inlineStr">
        <is>
          <t>L37</t>
        </is>
      </c>
      <c r="C489" t="n">
        <v>37</v>
      </c>
      <c r="D489" t="n">
        <v>12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1</v>
      </c>
      <c r="K489" t="b">
        <v>0</v>
      </c>
      <c r="L489" t="n">
        <v>10</v>
      </c>
      <c r="N489" t="inlineStr">
        <is>
          <t>00000000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</row>
    <row r="490">
      <c r="A490" t="inlineStr">
        <is>
          <t>Operations</t>
        </is>
      </c>
      <c r="B490" t="inlineStr">
        <is>
          <t>M37</t>
        </is>
      </c>
      <c r="C490" t="n">
        <v>37</v>
      </c>
      <c r="D490" t="n">
        <v>13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1</v>
      </c>
      <c r="K490" t="b">
        <v>0</v>
      </c>
      <c r="L490" t="n">
        <v>10</v>
      </c>
      <c r="N490" t="inlineStr">
        <is>
          <t>00000000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</row>
    <row r="491">
      <c r="A491" t="inlineStr">
        <is>
          <t>Operations</t>
        </is>
      </c>
      <c r="B491" t="inlineStr">
        <is>
          <t>N37</t>
        </is>
      </c>
      <c r="C491" t="n">
        <v>37</v>
      </c>
      <c r="D491" t="n">
        <v>14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1</v>
      </c>
      <c r="K491" t="b">
        <v>0</v>
      </c>
      <c r="L491" t="n">
        <v>10</v>
      </c>
      <c r="N491" t="inlineStr">
        <is>
          <t>00000000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</row>
    <row r="492">
      <c r="A492" t="inlineStr">
        <is>
          <t>Operations</t>
        </is>
      </c>
      <c r="B492" t="inlineStr">
        <is>
          <t>O37</t>
        </is>
      </c>
      <c r="C492" t="n">
        <v>37</v>
      </c>
      <c r="D492" t="n">
        <v>15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1</v>
      </c>
      <c r="K492" t="b">
        <v>0</v>
      </c>
      <c r="L492" t="n">
        <v>10</v>
      </c>
      <c r="N492" t="inlineStr">
        <is>
          <t>00000000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</row>
    <row r="493">
      <c r="A493" t="inlineStr">
        <is>
          <t>Operations</t>
        </is>
      </c>
      <c r="B493" t="inlineStr">
        <is>
          <t>A38</t>
        </is>
      </c>
      <c r="C493" t="n">
        <v>38</v>
      </c>
      <c r="D493" t="n">
        <v>1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1</v>
      </c>
      <c r="K493" t="b">
        <v>0</v>
      </c>
      <c r="L493" t="n">
        <v>10</v>
      </c>
      <c r="N493" t="inlineStr">
        <is>
          <t>00000000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</row>
    <row r="494">
      <c r="A494" t="inlineStr">
        <is>
          <t>Operations</t>
        </is>
      </c>
      <c r="B494" t="inlineStr">
        <is>
          <t>B38</t>
        </is>
      </c>
      <c r="C494" t="n">
        <v>38</v>
      </c>
      <c r="D494" t="n">
        <v>2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10</v>
      </c>
      <c r="N494" t="inlineStr">
        <is>
          <t>00000000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</row>
    <row r="495">
      <c r="A495" t="inlineStr">
        <is>
          <t>Operations</t>
        </is>
      </c>
      <c r="B495" t="inlineStr">
        <is>
          <t>C38</t>
        </is>
      </c>
      <c r="C495" t="n">
        <v>38</v>
      </c>
      <c r="D495" t="n">
        <v>3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1</v>
      </c>
      <c r="K495" t="b">
        <v>0</v>
      </c>
      <c r="L495" t="n">
        <v>10</v>
      </c>
      <c r="N495" t="inlineStr">
        <is>
          <t>00000000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</row>
    <row r="496">
      <c r="A496" t="inlineStr">
        <is>
          <t>Operations</t>
        </is>
      </c>
      <c r="B496" t="inlineStr">
        <is>
          <t>D38</t>
        </is>
      </c>
      <c r="C496" t="n">
        <v>38</v>
      </c>
      <c r="D496" t="n">
        <v>4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1</v>
      </c>
      <c r="K496" t="b">
        <v>0</v>
      </c>
      <c r="L496" t="n">
        <v>10</v>
      </c>
      <c r="N496" t="inlineStr">
        <is>
          <t>00000000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</row>
    <row r="497">
      <c r="A497" t="inlineStr">
        <is>
          <t>Operations</t>
        </is>
      </c>
      <c r="B497" t="inlineStr">
        <is>
          <t>E38</t>
        </is>
      </c>
      <c r="C497" t="n">
        <v>38</v>
      </c>
      <c r="D497" t="n">
        <v>5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1</v>
      </c>
      <c r="K497" t="b">
        <v>0</v>
      </c>
      <c r="L497" t="n">
        <v>10</v>
      </c>
      <c r="N497" t="inlineStr">
        <is>
          <t>00000000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</row>
    <row r="498">
      <c r="A498" t="inlineStr">
        <is>
          <t>Operations</t>
        </is>
      </c>
      <c r="B498" t="inlineStr">
        <is>
          <t>F38</t>
        </is>
      </c>
      <c r="C498" t="n">
        <v>38</v>
      </c>
      <c r="D498" t="n">
        <v>6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1</v>
      </c>
      <c r="K498" t="b">
        <v>0</v>
      </c>
      <c r="L498" t="n">
        <v>10</v>
      </c>
      <c r="N498" t="inlineStr">
        <is>
          <t>00000000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</row>
    <row r="499">
      <c r="A499" t="inlineStr">
        <is>
          <t>Operations</t>
        </is>
      </c>
      <c r="B499" t="inlineStr">
        <is>
          <t>G38</t>
        </is>
      </c>
      <c r="C499" t="n">
        <v>38</v>
      </c>
      <c r="D499" t="n">
        <v>7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1</v>
      </c>
      <c r="K499" t="b">
        <v>0</v>
      </c>
      <c r="L499" t="n">
        <v>10</v>
      </c>
      <c r="N499" t="inlineStr">
        <is>
          <t>00000000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</row>
    <row r="500">
      <c r="A500" t="inlineStr">
        <is>
          <t>Operations</t>
        </is>
      </c>
      <c r="B500" t="inlineStr">
        <is>
          <t>H38</t>
        </is>
      </c>
      <c r="C500" t="n">
        <v>38</v>
      </c>
      <c r="D500" t="n">
        <v>8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1</v>
      </c>
      <c r="K500" t="b">
        <v>0</v>
      </c>
      <c r="L500" t="n">
        <v>10</v>
      </c>
      <c r="N500" t="inlineStr">
        <is>
          <t>00000000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</row>
    <row r="501">
      <c r="A501" t="inlineStr">
        <is>
          <t>Operations</t>
        </is>
      </c>
      <c r="B501" t="inlineStr">
        <is>
          <t>I38</t>
        </is>
      </c>
      <c r="C501" t="n">
        <v>38</v>
      </c>
      <c r="D501" t="n">
        <v>9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1</v>
      </c>
      <c r="K501" t="b">
        <v>0</v>
      </c>
      <c r="L501" t="n">
        <v>10</v>
      </c>
      <c r="N501" t="inlineStr">
        <is>
          <t>00000000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</row>
    <row r="502">
      <c r="A502" t="inlineStr">
        <is>
          <t>Operations</t>
        </is>
      </c>
      <c r="B502" t="inlineStr">
        <is>
          <t>J38</t>
        </is>
      </c>
      <c r="C502" t="n">
        <v>38</v>
      </c>
      <c r="D502" t="n">
        <v>10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1</v>
      </c>
      <c r="K502" t="b">
        <v>0</v>
      </c>
      <c r="L502" t="n">
        <v>10</v>
      </c>
      <c r="N502" t="inlineStr">
        <is>
          <t>00000000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</row>
    <row r="503">
      <c r="A503" t="inlineStr">
        <is>
          <t>Operations</t>
        </is>
      </c>
      <c r="B503" t="inlineStr">
        <is>
          <t>K38</t>
        </is>
      </c>
      <c r="C503" t="n">
        <v>38</v>
      </c>
      <c r="D503" t="n">
        <v>11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1</v>
      </c>
      <c r="K503" t="b">
        <v>0</v>
      </c>
      <c r="L503" t="n">
        <v>10</v>
      </c>
      <c r="N503" t="inlineStr">
        <is>
          <t>00000000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</row>
    <row r="504">
      <c r="A504" t="inlineStr">
        <is>
          <t>Operations</t>
        </is>
      </c>
      <c r="B504" t="inlineStr">
        <is>
          <t>L38</t>
        </is>
      </c>
      <c r="C504" t="n">
        <v>38</v>
      </c>
      <c r="D504" t="n">
        <v>12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1</v>
      </c>
      <c r="K504" t="b">
        <v>0</v>
      </c>
      <c r="L504" t="n">
        <v>10</v>
      </c>
      <c r="N504" t="inlineStr">
        <is>
          <t>00000000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</row>
    <row r="505">
      <c r="A505" t="inlineStr">
        <is>
          <t>Operations</t>
        </is>
      </c>
      <c r="B505" t="inlineStr">
        <is>
          <t>M38</t>
        </is>
      </c>
      <c r="C505" t="n">
        <v>38</v>
      </c>
      <c r="D505" t="n">
        <v>13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1</v>
      </c>
      <c r="K505" t="b">
        <v>0</v>
      </c>
      <c r="L505" t="n">
        <v>10</v>
      </c>
      <c r="N505" t="inlineStr">
        <is>
          <t>00000000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</row>
    <row r="506">
      <c r="A506" t="inlineStr">
        <is>
          <t>Operations</t>
        </is>
      </c>
      <c r="B506" t="inlineStr">
        <is>
          <t>N38</t>
        </is>
      </c>
      <c r="C506" t="n">
        <v>38</v>
      </c>
      <c r="D506" t="n">
        <v>14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1</v>
      </c>
      <c r="K506" t="b">
        <v>0</v>
      </c>
      <c r="L506" t="n">
        <v>10</v>
      </c>
      <c r="N506" t="inlineStr">
        <is>
          <t>00000000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0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</row>
    <row r="507">
      <c r="A507" t="inlineStr">
        <is>
          <t>Operations</t>
        </is>
      </c>
      <c r="B507" t="inlineStr">
        <is>
          <t>O38</t>
        </is>
      </c>
      <c r="C507" t="n">
        <v>38</v>
      </c>
      <c r="D507" t="n">
        <v>15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1</v>
      </c>
      <c r="K507" t="b">
        <v>0</v>
      </c>
      <c r="L507" t="n">
        <v>10</v>
      </c>
      <c r="N507" t="inlineStr">
        <is>
          <t>00000000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</row>
    <row r="508">
      <c r="A508" t="inlineStr">
        <is>
          <t>Operations</t>
        </is>
      </c>
      <c r="B508" t="inlineStr">
        <is>
          <t>A39</t>
        </is>
      </c>
      <c r="C508" t="n">
        <v>39</v>
      </c>
      <c r="D508" t="n">
        <v>1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1</v>
      </c>
      <c r="K508" t="b">
        <v>0</v>
      </c>
      <c r="L508" t="n">
        <v>10</v>
      </c>
      <c r="N508" t="inlineStr">
        <is>
          <t>00000000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</row>
    <row r="509">
      <c r="A509" t="inlineStr">
        <is>
          <t>Operations</t>
        </is>
      </c>
      <c r="B509" t="inlineStr">
        <is>
          <t>B39</t>
        </is>
      </c>
      <c r="C509" t="n">
        <v>39</v>
      </c>
      <c r="D509" t="n">
        <v>2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1</v>
      </c>
      <c r="K509" t="b">
        <v>0</v>
      </c>
      <c r="L509" t="n">
        <v>10</v>
      </c>
      <c r="N509" t="inlineStr">
        <is>
          <t>00000000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</row>
    <row r="510">
      <c r="A510" t="inlineStr">
        <is>
          <t>Operations</t>
        </is>
      </c>
      <c r="B510" t="inlineStr">
        <is>
          <t>C39</t>
        </is>
      </c>
      <c r="C510" t="n">
        <v>39</v>
      </c>
      <c r="D510" t="n">
        <v>3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1</v>
      </c>
      <c r="K510" t="b">
        <v>0</v>
      </c>
      <c r="L510" t="n">
        <v>10</v>
      </c>
      <c r="N510" t="inlineStr">
        <is>
          <t>00000000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</row>
    <row r="511">
      <c r="A511" t="inlineStr">
        <is>
          <t>Operations</t>
        </is>
      </c>
      <c r="B511" t="inlineStr">
        <is>
          <t>D39</t>
        </is>
      </c>
      <c r="C511" t="n">
        <v>39</v>
      </c>
      <c r="D511" t="n">
        <v>4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1</v>
      </c>
      <c r="K511" t="b">
        <v>0</v>
      </c>
      <c r="L511" t="n">
        <v>10</v>
      </c>
      <c r="N511" t="inlineStr">
        <is>
          <t>00000000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</row>
    <row r="512">
      <c r="A512" t="inlineStr">
        <is>
          <t>Operations</t>
        </is>
      </c>
      <c r="B512" t="inlineStr">
        <is>
          <t>E39</t>
        </is>
      </c>
      <c r="C512" t="n">
        <v>39</v>
      </c>
      <c r="D512" t="n">
        <v>5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1</v>
      </c>
      <c r="K512" t="b">
        <v>0</v>
      </c>
      <c r="L512" t="n">
        <v>10</v>
      </c>
      <c r="N512" t="inlineStr">
        <is>
          <t>00000000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</row>
    <row r="513">
      <c r="A513" t="inlineStr">
        <is>
          <t>Operations</t>
        </is>
      </c>
      <c r="B513" t="inlineStr">
        <is>
          <t>F39</t>
        </is>
      </c>
      <c r="C513" t="n">
        <v>39</v>
      </c>
      <c r="D513" t="n">
        <v>6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1</v>
      </c>
      <c r="K513" t="b">
        <v>0</v>
      </c>
      <c r="L513" t="n">
        <v>10</v>
      </c>
      <c r="N513" t="inlineStr">
        <is>
          <t>00000000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</row>
    <row r="514">
      <c r="A514" t="inlineStr">
        <is>
          <t>Operations</t>
        </is>
      </c>
      <c r="B514" t="inlineStr">
        <is>
          <t>G39</t>
        </is>
      </c>
      <c r="C514" t="n">
        <v>39</v>
      </c>
      <c r="D514" t="n">
        <v>7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1</v>
      </c>
      <c r="K514" t="b">
        <v>0</v>
      </c>
      <c r="L514" t="n">
        <v>10</v>
      </c>
      <c r="N514" t="inlineStr">
        <is>
          <t>00000000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</row>
    <row r="515">
      <c r="A515" t="inlineStr">
        <is>
          <t>Operations</t>
        </is>
      </c>
      <c r="B515" t="inlineStr">
        <is>
          <t>H39</t>
        </is>
      </c>
      <c r="C515" t="n">
        <v>39</v>
      </c>
      <c r="D515" t="n">
        <v>8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1</v>
      </c>
      <c r="K515" t="b">
        <v>0</v>
      </c>
      <c r="L515" t="n">
        <v>10</v>
      </c>
      <c r="N515" t="inlineStr">
        <is>
          <t>00000000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</row>
    <row r="516">
      <c r="A516" t="inlineStr">
        <is>
          <t>Operations</t>
        </is>
      </c>
      <c r="B516" t="inlineStr">
        <is>
          <t>I39</t>
        </is>
      </c>
      <c r="C516" t="n">
        <v>39</v>
      </c>
      <c r="D516" t="n">
        <v>9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1</v>
      </c>
      <c r="K516" t="b">
        <v>0</v>
      </c>
      <c r="L516" t="n">
        <v>10</v>
      </c>
      <c r="N516" t="inlineStr">
        <is>
          <t>00000000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</row>
    <row r="517">
      <c r="A517" t="inlineStr">
        <is>
          <t>Operations</t>
        </is>
      </c>
      <c r="B517" t="inlineStr">
        <is>
          <t>J39</t>
        </is>
      </c>
      <c r="C517" t="n">
        <v>39</v>
      </c>
      <c r="D517" t="n">
        <v>10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1</v>
      </c>
      <c r="K517" t="b">
        <v>0</v>
      </c>
      <c r="L517" t="n">
        <v>10</v>
      </c>
      <c r="N517" t="inlineStr">
        <is>
          <t>00000000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</row>
    <row r="518">
      <c r="A518" t="inlineStr">
        <is>
          <t>Operations</t>
        </is>
      </c>
      <c r="B518" t="inlineStr">
        <is>
          <t>K39</t>
        </is>
      </c>
      <c r="C518" t="n">
        <v>39</v>
      </c>
      <c r="D518" t="n">
        <v>11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1</v>
      </c>
      <c r="K518" t="b">
        <v>0</v>
      </c>
      <c r="L518" t="n">
        <v>10</v>
      </c>
      <c r="N518" t="inlineStr">
        <is>
          <t>00000000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</row>
    <row r="519">
      <c r="A519" t="inlineStr">
        <is>
          <t>Operations</t>
        </is>
      </c>
      <c r="B519" t="inlineStr">
        <is>
          <t>L39</t>
        </is>
      </c>
      <c r="C519" t="n">
        <v>39</v>
      </c>
      <c r="D519" t="n">
        <v>12</v>
      </c>
      <c r="E519" t="inlineStr">
        <is>
          <t>Input</t>
        </is>
      </c>
      <c r="F519" t="n">
        <v/>
      </c>
      <c r="H519" t="inlineStr"/>
      <c r="I519" t="inlineStr">
        <is>
          <t>General</t>
        </is>
      </c>
      <c r="J519" t="b">
        <v>1</v>
      </c>
      <c r="K519" t="b">
        <v>0</v>
      </c>
      <c r="L519" t="n">
        <v>10</v>
      </c>
      <c r="N519" t="inlineStr">
        <is>
          <t>00000000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</row>
    <row r="520">
      <c r="A520" t="inlineStr">
        <is>
          <t>Operations</t>
        </is>
      </c>
      <c r="B520" t="inlineStr">
        <is>
          <t>M39</t>
        </is>
      </c>
      <c r="C520" t="n">
        <v>39</v>
      </c>
      <c r="D520" t="n">
        <v>13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1</v>
      </c>
      <c r="K520" t="b">
        <v>0</v>
      </c>
      <c r="L520" t="n">
        <v>10</v>
      </c>
      <c r="N520" t="inlineStr">
        <is>
          <t>00000000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</row>
    <row r="521">
      <c r="A521" t="inlineStr">
        <is>
          <t>Operations</t>
        </is>
      </c>
      <c r="B521" t="inlineStr">
        <is>
          <t>N39</t>
        </is>
      </c>
      <c r="C521" t="n">
        <v>39</v>
      </c>
      <c r="D521" t="n">
        <v>14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1</v>
      </c>
      <c r="K521" t="b">
        <v>0</v>
      </c>
      <c r="L521" t="n">
        <v>10</v>
      </c>
      <c r="N521" t="inlineStr">
        <is>
          <t>00000000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</row>
    <row r="522">
      <c r="A522" t="inlineStr">
        <is>
          <t>Operations</t>
        </is>
      </c>
      <c r="B522" t="inlineStr">
        <is>
          <t>O39</t>
        </is>
      </c>
      <c r="C522" t="n">
        <v>39</v>
      </c>
      <c r="D522" t="n">
        <v>15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1</v>
      </c>
      <c r="K522" t="b">
        <v>0</v>
      </c>
      <c r="L522" t="n">
        <v>10</v>
      </c>
      <c r="N522" t="inlineStr">
        <is>
          <t>00000000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</row>
    <row r="523">
      <c r="A523" t="inlineStr">
        <is>
          <t>Operations</t>
        </is>
      </c>
      <c r="B523" t="inlineStr">
        <is>
          <t>A40</t>
        </is>
      </c>
      <c r="C523" t="n">
        <v>40</v>
      </c>
      <c r="D523" t="n">
        <v>1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1</v>
      </c>
      <c r="K523" t="b">
        <v>0</v>
      </c>
      <c r="L523" t="n">
        <v>10</v>
      </c>
      <c r="N523" t="inlineStr">
        <is>
          <t>00000000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</row>
    <row r="524">
      <c r="A524" t="inlineStr">
        <is>
          <t>Operations</t>
        </is>
      </c>
      <c r="B524" t="inlineStr">
        <is>
          <t>B40</t>
        </is>
      </c>
      <c r="C524" t="n">
        <v>40</v>
      </c>
      <c r="D524" t="n">
        <v>2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1</v>
      </c>
      <c r="K524" t="b">
        <v>0</v>
      </c>
      <c r="L524" t="n">
        <v>10</v>
      </c>
      <c r="N524" t="inlineStr">
        <is>
          <t>00000000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</row>
    <row r="525">
      <c r="A525" t="inlineStr">
        <is>
          <t>Operations</t>
        </is>
      </c>
      <c r="B525" t="inlineStr">
        <is>
          <t>C40</t>
        </is>
      </c>
      <c r="C525" t="n">
        <v>40</v>
      </c>
      <c r="D525" t="n">
        <v>3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1</v>
      </c>
      <c r="K525" t="b">
        <v>0</v>
      </c>
      <c r="L525" t="n">
        <v>10</v>
      </c>
      <c r="N525" t="inlineStr">
        <is>
          <t>00000000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</row>
    <row r="526">
      <c r="A526" t="inlineStr">
        <is>
          <t>Operations</t>
        </is>
      </c>
      <c r="B526" t="inlineStr">
        <is>
          <t>D40</t>
        </is>
      </c>
      <c r="C526" t="n">
        <v>40</v>
      </c>
      <c r="D526" t="n">
        <v>4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1</v>
      </c>
      <c r="K526" t="b">
        <v>0</v>
      </c>
      <c r="L526" t="n">
        <v>10</v>
      </c>
      <c r="N526" t="inlineStr">
        <is>
          <t>00000000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</row>
    <row r="527">
      <c r="A527" t="inlineStr">
        <is>
          <t>Operations</t>
        </is>
      </c>
      <c r="B527" t="inlineStr">
        <is>
          <t>E40</t>
        </is>
      </c>
      <c r="C527" t="n">
        <v>40</v>
      </c>
      <c r="D527" t="n">
        <v>5</v>
      </c>
      <c r="E527" t="inlineStr">
        <is>
          <t>Input</t>
        </is>
      </c>
      <c r="F527" t="n">
        <v/>
      </c>
      <c r="H527" t="inlineStr"/>
      <c r="I527" t="inlineStr">
        <is>
          <t>General</t>
        </is>
      </c>
      <c r="J527" t="b">
        <v>1</v>
      </c>
      <c r="K527" t="b">
        <v>0</v>
      </c>
      <c r="L527" t="n">
        <v>10</v>
      </c>
      <c r="N527" t="inlineStr">
        <is>
          <t>00000000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</row>
    <row r="528">
      <c r="A528" t="inlineStr">
        <is>
          <t>Operations</t>
        </is>
      </c>
      <c r="B528" t="inlineStr">
        <is>
          <t>F40</t>
        </is>
      </c>
      <c r="C528" t="n">
        <v>40</v>
      </c>
      <c r="D528" t="n">
        <v>6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1</v>
      </c>
      <c r="K528" t="b">
        <v>0</v>
      </c>
      <c r="L528" t="n">
        <v>10</v>
      </c>
      <c r="N528" t="inlineStr">
        <is>
          <t>00000000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</row>
    <row r="529">
      <c r="A529" t="inlineStr">
        <is>
          <t>Operations</t>
        </is>
      </c>
      <c r="B529" t="inlineStr">
        <is>
          <t>G40</t>
        </is>
      </c>
      <c r="C529" t="n">
        <v>40</v>
      </c>
      <c r="D529" t="n">
        <v>7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1</v>
      </c>
      <c r="K529" t="b">
        <v>0</v>
      </c>
      <c r="L529" t="n">
        <v>10</v>
      </c>
      <c r="N529" t="inlineStr">
        <is>
          <t>00000000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</row>
    <row r="530">
      <c r="A530" t="inlineStr">
        <is>
          <t>Operations</t>
        </is>
      </c>
      <c r="B530" t="inlineStr">
        <is>
          <t>H40</t>
        </is>
      </c>
      <c r="C530" t="n">
        <v>40</v>
      </c>
      <c r="D530" t="n">
        <v>8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1</v>
      </c>
      <c r="K530" t="b">
        <v>0</v>
      </c>
      <c r="L530" t="n">
        <v>10</v>
      </c>
      <c r="N530" t="inlineStr">
        <is>
          <t>00000000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</row>
    <row r="531">
      <c r="A531" t="inlineStr">
        <is>
          <t>Operations</t>
        </is>
      </c>
      <c r="B531" t="inlineStr">
        <is>
          <t>I40</t>
        </is>
      </c>
      <c r="C531" t="n">
        <v>40</v>
      </c>
      <c r="D531" t="n">
        <v>9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1</v>
      </c>
      <c r="K531" t="b">
        <v>0</v>
      </c>
      <c r="L531" t="n">
        <v>10</v>
      </c>
      <c r="N531" t="inlineStr">
        <is>
          <t>00000000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</row>
    <row r="532">
      <c r="A532" t="inlineStr">
        <is>
          <t>Operations</t>
        </is>
      </c>
      <c r="B532" t="inlineStr">
        <is>
          <t>J40</t>
        </is>
      </c>
      <c r="C532" t="n">
        <v>40</v>
      </c>
      <c r="D532" t="n">
        <v>10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1</v>
      </c>
      <c r="K532" t="b">
        <v>0</v>
      </c>
      <c r="L532" t="n">
        <v>10</v>
      </c>
      <c r="N532" t="inlineStr">
        <is>
          <t>00000000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</row>
    <row r="533">
      <c r="A533" t="inlineStr">
        <is>
          <t>Operations</t>
        </is>
      </c>
      <c r="B533" t="inlineStr">
        <is>
          <t>K40</t>
        </is>
      </c>
      <c r="C533" t="n">
        <v>40</v>
      </c>
      <c r="D533" t="n">
        <v>11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1</v>
      </c>
      <c r="K533" t="b">
        <v>0</v>
      </c>
      <c r="L533" t="n">
        <v>10</v>
      </c>
      <c r="N533" t="inlineStr">
        <is>
          <t>00000000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</row>
    <row r="534">
      <c r="A534" t="inlineStr">
        <is>
          <t>Operations</t>
        </is>
      </c>
      <c r="B534" t="inlineStr">
        <is>
          <t>L40</t>
        </is>
      </c>
      <c r="C534" t="n">
        <v>40</v>
      </c>
      <c r="D534" t="n">
        <v>12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1</v>
      </c>
      <c r="K534" t="b">
        <v>0</v>
      </c>
      <c r="L534" t="n">
        <v>10</v>
      </c>
      <c r="N534" t="inlineStr">
        <is>
          <t>00000000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</row>
    <row r="535">
      <c r="A535" t="inlineStr">
        <is>
          <t>Operations</t>
        </is>
      </c>
      <c r="B535" t="inlineStr">
        <is>
          <t>M40</t>
        </is>
      </c>
      <c r="C535" t="n">
        <v>40</v>
      </c>
      <c r="D535" t="n">
        <v>13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1</v>
      </c>
      <c r="K535" t="b">
        <v>0</v>
      </c>
      <c r="L535" t="n">
        <v>10</v>
      </c>
      <c r="N535" t="inlineStr">
        <is>
          <t>00000000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</row>
    <row r="536">
      <c r="A536" t="inlineStr">
        <is>
          <t>Operations</t>
        </is>
      </c>
      <c r="B536" t="inlineStr">
        <is>
          <t>N40</t>
        </is>
      </c>
      <c r="C536" t="n">
        <v>40</v>
      </c>
      <c r="D536" t="n">
        <v>14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1</v>
      </c>
      <c r="K536" t="b">
        <v>0</v>
      </c>
      <c r="L536" t="n">
        <v>10</v>
      </c>
      <c r="N536" t="inlineStr">
        <is>
          <t>00000000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</row>
    <row r="537">
      <c r="A537" t="inlineStr">
        <is>
          <t>Operations</t>
        </is>
      </c>
      <c r="B537" t="inlineStr">
        <is>
          <t>O40</t>
        </is>
      </c>
      <c r="C537" t="n">
        <v>40</v>
      </c>
      <c r="D537" t="n">
        <v>15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1</v>
      </c>
      <c r="K537" t="b">
        <v>0</v>
      </c>
      <c r="L537" t="n">
        <v>10</v>
      </c>
      <c r="N537" t="inlineStr">
        <is>
          <t>00000000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</row>
    <row r="538">
      <c r="A538" t="inlineStr">
        <is>
          <t>Operations</t>
        </is>
      </c>
      <c r="B538" t="inlineStr">
        <is>
          <t>A41</t>
        </is>
      </c>
      <c r="C538" t="n">
        <v>41</v>
      </c>
      <c r="D538" t="n">
        <v>1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1</v>
      </c>
      <c r="K538" t="b">
        <v>0</v>
      </c>
      <c r="L538" t="n">
        <v>10</v>
      </c>
      <c r="N538" t="inlineStr">
        <is>
          <t>00000000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</row>
    <row r="539">
      <c r="A539" t="inlineStr">
        <is>
          <t>Operations</t>
        </is>
      </c>
      <c r="B539" t="inlineStr">
        <is>
          <t>B41</t>
        </is>
      </c>
      <c r="C539" t="n">
        <v>41</v>
      </c>
      <c r="D539" t="n">
        <v>2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1</v>
      </c>
      <c r="K539" t="b">
        <v>0</v>
      </c>
      <c r="L539" t="n">
        <v>10</v>
      </c>
      <c r="N539" t="inlineStr">
        <is>
          <t>00000000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</row>
    <row r="540">
      <c r="A540" t="inlineStr">
        <is>
          <t>Operations</t>
        </is>
      </c>
      <c r="B540" t="inlineStr">
        <is>
          <t>C41</t>
        </is>
      </c>
      <c r="C540" t="n">
        <v>41</v>
      </c>
      <c r="D540" t="n">
        <v>3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1</v>
      </c>
      <c r="K540" t="b">
        <v>0</v>
      </c>
      <c r="L540" t="n">
        <v>10</v>
      </c>
      <c r="N540" t="inlineStr">
        <is>
          <t>00000000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Operations</t>
        </is>
      </c>
      <c r="B541" t="inlineStr">
        <is>
          <t>D41</t>
        </is>
      </c>
      <c r="C541" t="n">
        <v>41</v>
      </c>
      <c r="D541" t="n">
        <v>4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1</v>
      </c>
      <c r="K541" t="b">
        <v>0</v>
      </c>
      <c r="L541" t="n">
        <v>10</v>
      </c>
      <c r="N541" t="inlineStr">
        <is>
          <t>00000000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Operations</t>
        </is>
      </c>
      <c r="B542" t="inlineStr">
        <is>
          <t>E41</t>
        </is>
      </c>
      <c r="C542" t="n">
        <v>41</v>
      </c>
      <c r="D542" t="n">
        <v>5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1</v>
      </c>
      <c r="K542" t="b">
        <v>0</v>
      </c>
      <c r="L542" t="n">
        <v>10</v>
      </c>
      <c r="N542" t="inlineStr">
        <is>
          <t>00000000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</row>
    <row r="543">
      <c r="A543" t="inlineStr">
        <is>
          <t>Operations</t>
        </is>
      </c>
      <c r="B543" t="inlineStr">
        <is>
          <t>F41</t>
        </is>
      </c>
      <c r="C543" t="n">
        <v>41</v>
      </c>
      <c r="D543" t="n">
        <v>6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10</v>
      </c>
      <c r="N543" t="inlineStr">
        <is>
          <t>00000000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</row>
    <row r="544">
      <c r="A544" t="inlineStr">
        <is>
          <t>Operations</t>
        </is>
      </c>
      <c r="B544" t="inlineStr">
        <is>
          <t>G41</t>
        </is>
      </c>
      <c r="C544" t="n">
        <v>41</v>
      </c>
      <c r="D544" t="n">
        <v>7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10</v>
      </c>
      <c r="N544" t="inlineStr">
        <is>
          <t>00000000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</row>
    <row r="545">
      <c r="A545" t="inlineStr">
        <is>
          <t>Operations</t>
        </is>
      </c>
      <c r="B545" t="inlineStr">
        <is>
          <t>H41</t>
        </is>
      </c>
      <c r="C545" t="n">
        <v>41</v>
      </c>
      <c r="D545" t="n">
        <v>8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1</v>
      </c>
      <c r="K545" t="b">
        <v>0</v>
      </c>
      <c r="L545" t="n">
        <v>10</v>
      </c>
      <c r="N545" t="inlineStr">
        <is>
          <t>00000000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</row>
    <row r="546">
      <c r="A546" t="inlineStr">
        <is>
          <t>Operations</t>
        </is>
      </c>
      <c r="B546" t="inlineStr">
        <is>
          <t>I41</t>
        </is>
      </c>
      <c r="C546" t="n">
        <v>41</v>
      </c>
      <c r="D546" t="n">
        <v>9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1</v>
      </c>
      <c r="K546" t="b">
        <v>0</v>
      </c>
      <c r="L546" t="n">
        <v>10</v>
      </c>
      <c r="N546" t="inlineStr">
        <is>
          <t>00000000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</row>
    <row r="547">
      <c r="A547" t="inlineStr">
        <is>
          <t>Operations</t>
        </is>
      </c>
      <c r="B547" t="inlineStr">
        <is>
          <t>J41</t>
        </is>
      </c>
      <c r="C547" t="n">
        <v>41</v>
      </c>
      <c r="D547" t="n">
        <v>10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1</v>
      </c>
      <c r="K547" t="b">
        <v>0</v>
      </c>
      <c r="L547" t="n">
        <v>10</v>
      </c>
      <c r="N547" t="inlineStr">
        <is>
          <t>00000000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</row>
    <row r="548">
      <c r="A548" t="inlineStr">
        <is>
          <t>Operations</t>
        </is>
      </c>
      <c r="B548" t="inlineStr">
        <is>
          <t>K41</t>
        </is>
      </c>
      <c r="C548" t="n">
        <v>41</v>
      </c>
      <c r="D548" t="n">
        <v>11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1</v>
      </c>
      <c r="K548" t="b">
        <v>0</v>
      </c>
      <c r="L548" t="n">
        <v>10</v>
      </c>
      <c r="N548" t="inlineStr">
        <is>
          <t>00000000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</row>
    <row r="549">
      <c r="A549" t="inlineStr">
        <is>
          <t>Operations</t>
        </is>
      </c>
      <c r="B549" t="inlineStr">
        <is>
          <t>L41</t>
        </is>
      </c>
      <c r="C549" t="n">
        <v>41</v>
      </c>
      <c r="D549" t="n">
        <v>12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1</v>
      </c>
      <c r="K549" t="b">
        <v>0</v>
      </c>
      <c r="L549" t="n">
        <v>10</v>
      </c>
      <c r="N549" t="inlineStr">
        <is>
          <t>00000000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</row>
    <row r="550">
      <c r="A550" t="inlineStr">
        <is>
          <t>Operations</t>
        </is>
      </c>
      <c r="B550" t="inlineStr">
        <is>
          <t>M41</t>
        </is>
      </c>
      <c r="C550" t="n">
        <v>41</v>
      </c>
      <c r="D550" t="n">
        <v>13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1</v>
      </c>
      <c r="K550" t="b">
        <v>0</v>
      </c>
      <c r="L550" t="n">
        <v>10</v>
      </c>
      <c r="N550" t="inlineStr">
        <is>
          <t>00000000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Operations</t>
        </is>
      </c>
      <c r="B551" t="inlineStr">
        <is>
          <t>N41</t>
        </is>
      </c>
      <c r="C551" t="n">
        <v>41</v>
      </c>
      <c r="D551" t="n">
        <v>14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1</v>
      </c>
      <c r="K551" t="b">
        <v>0</v>
      </c>
      <c r="L551" t="n">
        <v>10</v>
      </c>
      <c r="N551" t="inlineStr">
        <is>
          <t>00000000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</row>
    <row r="552">
      <c r="A552" t="inlineStr">
        <is>
          <t>Operations</t>
        </is>
      </c>
      <c r="B552" t="inlineStr">
        <is>
          <t>O41</t>
        </is>
      </c>
      <c r="C552" t="n">
        <v>41</v>
      </c>
      <c r="D552" t="n">
        <v>15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1</v>
      </c>
      <c r="K552" t="b">
        <v>0</v>
      </c>
      <c r="L552" t="n">
        <v>10</v>
      </c>
      <c r="N552" t="inlineStr">
        <is>
          <t>00000000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</row>
    <row r="553">
      <c r="A553" t="inlineStr">
        <is>
          <t>Operations</t>
        </is>
      </c>
      <c r="B553" t="inlineStr">
        <is>
          <t>A42</t>
        </is>
      </c>
      <c r="C553" t="n">
        <v>42</v>
      </c>
      <c r="D553" t="n">
        <v>1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1</v>
      </c>
      <c r="K553" t="b">
        <v>0</v>
      </c>
      <c r="L553" t="n">
        <v>10</v>
      </c>
      <c r="N553" t="inlineStr">
        <is>
          <t>00000000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</row>
    <row r="554">
      <c r="A554" t="inlineStr">
        <is>
          <t>Operations</t>
        </is>
      </c>
      <c r="B554" t="inlineStr">
        <is>
          <t>B42</t>
        </is>
      </c>
      <c r="C554" t="n">
        <v>42</v>
      </c>
      <c r="D554" t="n">
        <v>2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1</v>
      </c>
      <c r="K554" t="b">
        <v>0</v>
      </c>
      <c r="L554" t="n">
        <v>10</v>
      </c>
      <c r="N554" t="inlineStr">
        <is>
          <t>00000000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</row>
    <row r="555">
      <c r="A555" t="inlineStr">
        <is>
          <t>Operations</t>
        </is>
      </c>
      <c r="B555" t="inlineStr">
        <is>
          <t>C42</t>
        </is>
      </c>
      <c r="C555" t="n">
        <v>42</v>
      </c>
      <c r="D555" t="n">
        <v>3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1</v>
      </c>
      <c r="K555" t="b">
        <v>0</v>
      </c>
      <c r="L555" t="n">
        <v>10</v>
      </c>
      <c r="N555" t="inlineStr">
        <is>
          <t>00000000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</row>
    <row r="556">
      <c r="A556" t="inlineStr">
        <is>
          <t>Operations</t>
        </is>
      </c>
      <c r="B556" t="inlineStr">
        <is>
          <t>D42</t>
        </is>
      </c>
      <c r="C556" t="n">
        <v>42</v>
      </c>
      <c r="D556" t="n">
        <v>4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1</v>
      </c>
      <c r="K556" t="b">
        <v>0</v>
      </c>
      <c r="L556" t="n">
        <v>10</v>
      </c>
      <c r="N556" t="inlineStr">
        <is>
          <t>00000000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</row>
    <row r="557">
      <c r="A557" t="inlineStr">
        <is>
          <t>Operations</t>
        </is>
      </c>
      <c r="B557" t="inlineStr">
        <is>
          <t>E42</t>
        </is>
      </c>
      <c r="C557" t="n">
        <v>42</v>
      </c>
      <c r="D557" t="n">
        <v>5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1</v>
      </c>
      <c r="K557" t="b">
        <v>0</v>
      </c>
      <c r="L557" t="n">
        <v>10</v>
      </c>
      <c r="N557" t="inlineStr">
        <is>
          <t>00000000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</row>
    <row r="558">
      <c r="A558" t="inlineStr">
        <is>
          <t>Operations</t>
        </is>
      </c>
      <c r="B558" t="inlineStr">
        <is>
          <t>F42</t>
        </is>
      </c>
      <c r="C558" t="n">
        <v>42</v>
      </c>
      <c r="D558" t="n">
        <v>6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1</v>
      </c>
      <c r="K558" t="b">
        <v>0</v>
      </c>
      <c r="L558" t="n">
        <v>10</v>
      </c>
      <c r="N558" t="inlineStr">
        <is>
          <t>00000000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</row>
    <row r="559">
      <c r="A559" t="inlineStr">
        <is>
          <t>Operations</t>
        </is>
      </c>
      <c r="B559" t="inlineStr">
        <is>
          <t>G42</t>
        </is>
      </c>
      <c r="C559" t="n">
        <v>42</v>
      </c>
      <c r="D559" t="n">
        <v>7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1</v>
      </c>
      <c r="K559" t="b">
        <v>0</v>
      </c>
      <c r="L559" t="n">
        <v>10</v>
      </c>
      <c r="N559" t="inlineStr">
        <is>
          <t>00000000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</row>
    <row r="560">
      <c r="A560" t="inlineStr">
        <is>
          <t>Operations</t>
        </is>
      </c>
      <c r="B560" t="inlineStr">
        <is>
          <t>H42</t>
        </is>
      </c>
      <c r="C560" t="n">
        <v>42</v>
      </c>
      <c r="D560" t="n">
        <v>8</v>
      </c>
      <c r="E560" t="inlineStr">
        <is>
          <t>Input</t>
        </is>
      </c>
      <c r="F560" t="n">
        <v/>
      </c>
      <c r="H560" t="inlineStr"/>
      <c r="I560" t="inlineStr">
        <is>
          <t>General</t>
        </is>
      </c>
      <c r="J560" t="b">
        <v>1</v>
      </c>
      <c r="K560" t="b">
        <v>0</v>
      </c>
      <c r="L560" t="n">
        <v>10</v>
      </c>
      <c r="N560" t="inlineStr">
        <is>
          <t>00000000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</row>
    <row r="561">
      <c r="A561" t="inlineStr">
        <is>
          <t>Operations</t>
        </is>
      </c>
      <c r="B561" t="inlineStr">
        <is>
          <t>I42</t>
        </is>
      </c>
      <c r="C561" t="n">
        <v>42</v>
      </c>
      <c r="D561" t="n">
        <v>9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1</v>
      </c>
      <c r="K561" t="b">
        <v>0</v>
      </c>
      <c r="L561" t="n">
        <v>10</v>
      </c>
      <c r="N561" t="inlineStr">
        <is>
          <t>00000000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</row>
    <row r="562">
      <c r="A562" t="inlineStr">
        <is>
          <t>Operations</t>
        </is>
      </c>
      <c r="B562" t="inlineStr">
        <is>
          <t>J42</t>
        </is>
      </c>
      <c r="C562" t="n">
        <v>42</v>
      </c>
      <c r="D562" t="n">
        <v>10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1</v>
      </c>
      <c r="K562" t="b">
        <v>0</v>
      </c>
      <c r="L562" t="n">
        <v>10</v>
      </c>
      <c r="N562" t="inlineStr">
        <is>
          <t>00000000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</row>
    <row r="563">
      <c r="A563" t="inlineStr">
        <is>
          <t>Operations</t>
        </is>
      </c>
      <c r="B563" t="inlineStr">
        <is>
          <t>K42</t>
        </is>
      </c>
      <c r="C563" t="n">
        <v>42</v>
      </c>
      <c r="D563" t="n">
        <v>11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1</v>
      </c>
      <c r="K563" t="b">
        <v>0</v>
      </c>
      <c r="L563" t="n">
        <v>10</v>
      </c>
      <c r="N563" t="inlineStr">
        <is>
          <t>00000000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</row>
    <row r="564">
      <c r="A564" t="inlineStr">
        <is>
          <t>Operations</t>
        </is>
      </c>
      <c r="B564" t="inlineStr">
        <is>
          <t>L42</t>
        </is>
      </c>
      <c r="C564" t="n">
        <v>42</v>
      </c>
      <c r="D564" t="n">
        <v>12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1</v>
      </c>
      <c r="K564" t="b">
        <v>0</v>
      </c>
      <c r="L564" t="n">
        <v>10</v>
      </c>
      <c r="N564" t="inlineStr">
        <is>
          <t>00000000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</row>
    <row r="565">
      <c r="A565" t="inlineStr">
        <is>
          <t>Operations</t>
        </is>
      </c>
      <c r="B565" t="inlineStr">
        <is>
          <t>M42</t>
        </is>
      </c>
      <c r="C565" t="n">
        <v>42</v>
      </c>
      <c r="D565" t="n">
        <v>13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1</v>
      </c>
      <c r="K565" t="b">
        <v>0</v>
      </c>
      <c r="L565" t="n">
        <v>10</v>
      </c>
      <c r="N565" t="inlineStr">
        <is>
          <t>00000000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0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</row>
    <row r="566">
      <c r="A566" t="inlineStr">
        <is>
          <t>Operations</t>
        </is>
      </c>
      <c r="B566" t="inlineStr">
        <is>
          <t>N42</t>
        </is>
      </c>
      <c r="C566" t="n">
        <v>42</v>
      </c>
      <c r="D566" t="n">
        <v>14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1</v>
      </c>
      <c r="K566" t="b">
        <v>0</v>
      </c>
      <c r="L566" t="n">
        <v>10</v>
      </c>
      <c r="N566" t="inlineStr">
        <is>
          <t>00000000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</row>
    <row r="567">
      <c r="A567" t="inlineStr">
        <is>
          <t>Operations</t>
        </is>
      </c>
      <c r="B567" t="inlineStr">
        <is>
          <t>O42</t>
        </is>
      </c>
      <c r="C567" t="n">
        <v>42</v>
      </c>
      <c r="D567" t="n">
        <v>15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1</v>
      </c>
      <c r="K567" t="b">
        <v>0</v>
      </c>
      <c r="L567" t="n">
        <v>10</v>
      </c>
      <c r="N567" t="inlineStr">
        <is>
          <t>00000000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Operations</t>
        </is>
      </c>
      <c r="B568" t="inlineStr">
        <is>
          <t>A43</t>
        </is>
      </c>
      <c r="C568" t="n">
        <v>43</v>
      </c>
      <c r="D568" t="n">
        <v>1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1</v>
      </c>
      <c r="K568" t="b">
        <v>0</v>
      </c>
      <c r="L568" t="n">
        <v>10</v>
      </c>
      <c r="N568" t="inlineStr">
        <is>
          <t>00000000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</row>
    <row r="569">
      <c r="A569" t="inlineStr">
        <is>
          <t>Operations</t>
        </is>
      </c>
      <c r="B569" t="inlineStr">
        <is>
          <t>B43</t>
        </is>
      </c>
      <c r="C569" t="n">
        <v>43</v>
      </c>
      <c r="D569" t="n">
        <v>2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1</v>
      </c>
      <c r="K569" t="b">
        <v>0</v>
      </c>
      <c r="L569" t="n">
        <v>10</v>
      </c>
      <c r="N569" t="inlineStr">
        <is>
          <t>00000000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</row>
    <row r="570">
      <c r="A570" t="inlineStr">
        <is>
          <t>Operations</t>
        </is>
      </c>
      <c r="B570" t="inlineStr">
        <is>
          <t>C43</t>
        </is>
      </c>
      <c r="C570" t="n">
        <v>43</v>
      </c>
      <c r="D570" t="n">
        <v>3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1</v>
      </c>
      <c r="K570" t="b">
        <v>0</v>
      </c>
      <c r="L570" t="n">
        <v>10</v>
      </c>
      <c r="N570" t="inlineStr">
        <is>
          <t>00000000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</row>
    <row r="571">
      <c r="A571" t="inlineStr">
        <is>
          <t>Operations</t>
        </is>
      </c>
      <c r="B571" t="inlineStr">
        <is>
          <t>D43</t>
        </is>
      </c>
      <c r="C571" t="n">
        <v>43</v>
      </c>
      <c r="D571" t="n">
        <v>4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1</v>
      </c>
      <c r="K571" t="b">
        <v>0</v>
      </c>
      <c r="L571" t="n">
        <v>10</v>
      </c>
      <c r="N571" t="inlineStr">
        <is>
          <t>00000000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</row>
    <row r="572">
      <c r="A572" t="inlineStr">
        <is>
          <t>Operations</t>
        </is>
      </c>
      <c r="B572" t="inlineStr">
        <is>
          <t>E43</t>
        </is>
      </c>
      <c r="C572" t="n">
        <v>43</v>
      </c>
      <c r="D572" t="n">
        <v>5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1</v>
      </c>
      <c r="K572" t="b">
        <v>0</v>
      </c>
      <c r="L572" t="n">
        <v>10</v>
      </c>
      <c r="N572" t="inlineStr">
        <is>
          <t>00000000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</row>
    <row r="573">
      <c r="A573" t="inlineStr">
        <is>
          <t>Operations</t>
        </is>
      </c>
      <c r="B573" t="inlineStr">
        <is>
          <t>F43</t>
        </is>
      </c>
      <c r="C573" t="n">
        <v>43</v>
      </c>
      <c r="D573" t="n">
        <v>6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1</v>
      </c>
      <c r="K573" t="b">
        <v>0</v>
      </c>
      <c r="L573" t="n">
        <v>10</v>
      </c>
      <c r="N573" t="inlineStr">
        <is>
          <t>00000000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</row>
    <row r="574">
      <c r="A574" t="inlineStr">
        <is>
          <t>Operations</t>
        </is>
      </c>
      <c r="B574" t="inlineStr">
        <is>
          <t>G43</t>
        </is>
      </c>
      <c r="C574" t="n">
        <v>43</v>
      </c>
      <c r="D574" t="n">
        <v>7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1</v>
      </c>
      <c r="K574" t="b">
        <v>0</v>
      </c>
      <c r="L574" t="n">
        <v>10</v>
      </c>
      <c r="N574" t="inlineStr">
        <is>
          <t>00000000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</row>
    <row r="575">
      <c r="A575" t="inlineStr">
        <is>
          <t>Operations</t>
        </is>
      </c>
      <c r="B575" t="inlineStr">
        <is>
          <t>H43</t>
        </is>
      </c>
      <c r="C575" t="n">
        <v>43</v>
      </c>
      <c r="D575" t="n">
        <v>8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1</v>
      </c>
      <c r="K575" t="b">
        <v>0</v>
      </c>
      <c r="L575" t="n">
        <v>10</v>
      </c>
      <c r="N575" t="inlineStr">
        <is>
          <t>00000000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</row>
    <row r="576">
      <c r="A576" t="inlineStr">
        <is>
          <t>Operations</t>
        </is>
      </c>
      <c r="B576" t="inlineStr">
        <is>
          <t>I43</t>
        </is>
      </c>
      <c r="C576" t="n">
        <v>43</v>
      </c>
      <c r="D576" t="n">
        <v>9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1</v>
      </c>
      <c r="K576" t="b">
        <v>0</v>
      </c>
      <c r="L576" t="n">
        <v>10</v>
      </c>
      <c r="N576" t="inlineStr">
        <is>
          <t>00000000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</row>
    <row r="577">
      <c r="A577" t="inlineStr">
        <is>
          <t>Operations</t>
        </is>
      </c>
      <c r="B577" t="inlineStr">
        <is>
          <t>J43</t>
        </is>
      </c>
      <c r="C577" t="n">
        <v>43</v>
      </c>
      <c r="D577" t="n">
        <v>10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1</v>
      </c>
      <c r="K577" t="b">
        <v>0</v>
      </c>
      <c r="L577" t="n">
        <v>10</v>
      </c>
      <c r="N577" t="inlineStr">
        <is>
          <t>00000000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</row>
    <row r="578">
      <c r="A578" t="inlineStr">
        <is>
          <t>Operations</t>
        </is>
      </c>
      <c r="B578" t="inlineStr">
        <is>
          <t>K43</t>
        </is>
      </c>
      <c r="C578" t="n">
        <v>43</v>
      </c>
      <c r="D578" t="n">
        <v>11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1</v>
      </c>
      <c r="K578" t="b">
        <v>0</v>
      </c>
      <c r="L578" t="n">
        <v>10</v>
      </c>
      <c r="N578" t="inlineStr">
        <is>
          <t>00000000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</row>
    <row r="579">
      <c r="A579" t="inlineStr">
        <is>
          <t>Operations</t>
        </is>
      </c>
      <c r="B579" t="inlineStr">
        <is>
          <t>L43</t>
        </is>
      </c>
      <c r="C579" t="n">
        <v>43</v>
      </c>
      <c r="D579" t="n">
        <v>12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1</v>
      </c>
      <c r="K579" t="b">
        <v>0</v>
      </c>
      <c r="L579" t="n">
        <v>10</v>
      </c>
      <c r="N579" t="inlineStr">
        <is>
          <t>00000000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</row>
    <row r="580">
      <c r="A580" t="inlineStr">
        <is>
          <t>Operations</t>
        </is>
      </c>
      <c r="B580" t="inlineStr">
        <is>
          <t>M43</t>
        </is>
      </c>
      <c r="C580" t="n">
        <v>43</v>
      </c>
      <c r="D580" t="n">
        <v>13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1</v>
      </c>
      <c r="K580" t="b">
        <v>0</v>
      </c>
      <c r="L580" t="n">
        <v>10</v>
      </c>
      <c r="N580" t="inlineStr">
        <is>
          <t>00000000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</row>
    <row r="581">
      <c r="A581" t="inlineStr">
        <is>
          <t>Operations</t>
        </is>
      </c>
      <c r="B581" t="inlineStr">
        <is>
          <t>N43</t>
        </is>
      </c>
      <c r="C581" t="n">
        <v>43</v>
      </c>
      <c r="D581" t="n">
        <v>14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1</v>
      </c>
      <c r="K581" t="b">
        <v>0</v>
      </c>
      <c r="L581" t="n">
        <v>10</v>
      </c>
      <c r="N581" t="inlineStr">
        <is>
          <t>00000000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</row>
    <row r="582">
      <c r="A582" t="inlineStr">
        <is>
          <t>Operations</t>
        </is>
      </c>
      <c r="B582" t="inlineStr">
        <is>
          <t>O43</t>
        </is>
      </c>
      <c r="C582" t="n">
        <v>43</v>
      </c>
      <c r="D582" t="n">
        <v>15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1</v>
      </c>
      <c r="K582" t="b">
        <v>0</v>
      </c>
      <c r="L582" t="n">
        <v>10</v>
      </c>
      <c r="N582" t="inlineStr">
        <is>
          <t>00000000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</row>
    <row r="583">
      <c r="A583" t="inlineStr">
        <is>
          <t>Operations</t>
        </is>
      </c>
      <c r="B583" t="inlineStr">
        <is>
          <t>A44</t>
        </is>
      </c>
      <c r="C583" t="n">
        <v>44</v>
      </c>
      <c r="D583" t="n">
        <v>1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1</v>
      </c>
      <c r="K583" t="b">
        <v>0</v>
      </c>
      <c r="L583" t="n">
        <v>10</v>
      </c>
      <c r="N583" t="inlineStr">
        <is>
          <t>00000000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</row>
    <row r="584">
      <c r="A584" t="inlineStr">
        <is>
          <t>Operations</t>
        </is>
      </c>
      <c r="B584" t="inlineStr">
        <is>
          <t>B44</t>
        </is>
      </c>
      <c r="C584" t="n">
        <v>44</v>
      </c>
      <c r="D584" t="n">
        <v>2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10</v>
      </c>
      <c r="N584" t="inlineStr">
        <is>
          <t>00000000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</row>
    <row r="585">
      <c r="A585" t="inlineStr">
        <is>
          <t>Operations</t>
        </is>
      </c>
      <c r="B585" t="inlineStr">
        <is>
          <t>C44</t>
        </is>
      </c>
      <c r="C585" t="n">
        <v>44</v>
      </c>
      <c r="D585" t="n">
        <v>3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1</v>
      </c>
      <c r="K585" t="b">
        <v>0</v>
      </c>
      <c r="L585" t="n">
        <v>10</v>
      </c>
      <c r="N585" t="inlineStr">
        <is>
          <t>00000000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</row>
    <row r="586">
      <c r="A586" t="inlineStr">
        <is>
          <t>Operations</t>
        </is>
      </c>
      <c r="B586" t="inlineStr">
        <is>
          <t>D44</t>
        </is>
      </c>
      <c r="C586" t="n">
        <v>44</v>
      </c>
      <c r="D586" t="n">
        <v>4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10</v>
      </c>
      <c r="N586" t="inlineStr">
        <is>
          <t>00000000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</row>
    <row r="587">
      <c r="A587" t="inlineStr">
        <is>
          <t>Operations</t>
        </is>
      </c>
      <c r="B587" t="inlineStr">
        <is>
          <t>E44</t>
        </is>
      </c>
      <c r="C587" t="n">
        <v>44</v>
      </c>
      <c r="D587" t="n">
        <v>5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1</v>
      </c>
      <c r="K587" t="b">
        <v>0</v>
      </c>
      <c r="L587" t="n">
        <v>10</v>
      </c>
      <c r="N587" t="inlineStr">
        <is>
          <t>00000000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</row>
    <row r="588">
      <c r="A588" t="inlineStr">
        <is>
          <t>Operations</t>
        </is>
      </c>
      <c r="B588" t="inlineStr">
        <is>
          <t>F44</t>
        </is>
      </c>
      <c r="C588" t="n">
        <v>44</v>
      </c>
      <c r="D588" t="n">
        <v>6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1</v>
      </c>
      <c r="K588" t="b">
        <v>0</v>
      </c>
      <c r="L588" t="n">
        <v>10</v>
      </c>
      <c r="N588" t="inlineStr">
        <is>
          <t>00000000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</row>
    <row r="589">
      <c r="A589" t="inlineStr">
        <is>
          <t>Operations</t>
        </is>
      </c>
      <c r="B589" t="inlineStr">
        <is>
          <t>G44</t>
        </is>
      </c>
      <c r="C589" t="n">
        <v>44</v>
      </c>
      <c r="D589" t="n">
        <v>7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1</v>
      </c>
      <c r="K589" t="b">
        <v>0</v>
      </c>
      <c r="L589" t="n">
        <v>10</v>
      </c>
      <c r="N589" t="inlineStr">
        <is>
          <t>00000000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</row>
    <row r="590">
      <c r="A590" t="inlineStr">
        <is>
          <t>Operations</t>
        </is>
      </c>
      <c r="B590" t="inlineStr">
        <is>
          <t>H44</t>
        </is>
      </c>
      <c r="C590" t="n">
        <v>44</v>
      </c>
      <c r="D590" t="n">
        <v>8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1</v>
      </c>
      <c r="K590" t="b">
        <v>0</v>
      </c>
      <c r="L590" t="n">
        <v>10</v>
      </c>
      <c r="N590" t="inlineStr">
        <is>
          <t>00000000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</row>
    <row r="591">
      <c r="A591" t="inlineStr">
        <is>
          <t>Operations</t>
        </is>
      </c>
      <c r="B591" t="inlineStr">
        <is>
          <t>I44</t>
        </is>
      </c>
      <c r="C591" t="n">
        <v>44</v>
      </c>
      <c r="D591" t="n">
        <v>9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1</v>
      </c>
      <c r="K591" t="b">
        <v>0</v>
      </c>
      <c r="L591" t="n">
        <v>10</v>
      </c>
      <c r="N591" t="inlineStr">
        <is>
          <t>00000000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</row>
    <row r="592">
      <c r="A592" t="inlineStr">
        <is>
          <t>Operations</t>
        </is>
      </c>
      <c r="B592" t="inlineStr">
        <is>
          <t>J44</t>
        </is>
      </c>
      <c r="C592" t="n">
        <v>44</v>
      </c>
      <c r="D592" t="n">
        <v>10</v>
      </c>
      <c r="E592" t="inlineStr">
        <is>
          <t>Input</t>
        </is>
      </c>
      <c r="F592" t="n">
        <v/>
      </c>
      <c r="H592" t="inlineStr"/>
      <c r="I592" t="inlineStr">
        <is>
          <t>General</t>
        </is>
      </c>
      <c r="J592" t="b">
        <v>1</v>
      </c>
      <c r="K592" t="b">
        <v>0</v>
      </c>
      <c r="L592" t="n">
        <v>10</v>
      </c>
      <c r="N592" t="inlineStr">
        <is>
          <t>00000000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</row>
    <row r="593">
      <c r="A593" t="inlineStr">
        <is>
          <t>Operations</t>
        </is>
      </c>
      <c r="B593" t="inlineStr">
        <is>
          <t>K44</t>
        </is>
      </c>
      <c r="C593" t="n">
        <v>44</v>
      </c>
      <c r="D593" t="n">
        <v>11</v>
      </c>
      <c r="E593" t="inlineStr">
        <is>
          <t>Input</t>
        </is>
      </c>
      <c r="F593" t="n">
        <v/>
      </c>
      <c r="H593" t="inlineStr"/>
      <c r="I593" t="inlineStr">
        <is>
          <t>General</t>
        </is>
      </c>
      <c r="J593" t="b">
        <v>1</v>
      </c>
      <c r="K593" t="b">
        <v>0</v>
      </c>
      <c r="L593" t="n">
        <v>10</v>
      </c>
      <c r="N593" t="inlineStr">
        <is>
          <t>00000000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</row>
    <row r="594">
      <c r="A594" t="inlineStr">
        <is>
          <t>Operations</t>
        </is>
      </c>
      <c r="B594" t="inlineStr">
        <is>
          <t>L44</t>
        </is>
      </c>
      <c r="C594" t="n">
        <v>44</v>
      </c>
      <c r="D594" t="n">
        <v>12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1</v>
      </c>
      <c r="K594" t="b">
        <v>0</v>
      </c>
      <c r="L594" t="n">
        <v>10</v>
      </c>
      <c r="N594" t="inlineStr">
        <is>
          <t>00000000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</row>
    <row r="595">
      <c r="A595" t="inlineStr">
        <is>
          <t>Operations</t>
        </is>
      </c>
      <c r="B595" t="inlineStr">
        <is>
          <t>M44</t>
        </is>
      </c>
      <c r="C595" t="n">
        <v>44</v>
      </c>
      <c r="D595" t="n">
        <v>13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1</v>
      </c>
      <c r="K595" t="b">
        <v>0</v>
      </c>
      <c r="L595" t="n">
        <v>10</v>
      </c>
      <c r="N595" t="inlineStr">
        <is>
          <t>00000000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</row>
    <row r="596">
      <c r="A596" t="inlineStr">
        <is>
          <t>Operations</t>
        </is>
      </c>
      <c r="B596" t="inlineStr">
        <is>
          <t>N44</t>
        </is>
      </c>
      <c r="C596" t="n">
        <v>44</v>
      </c>
      <c r="D596" t="n">
        <v>14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1</v>
      </c>
      <c r="K596" t="b">
        <v>0</v>
      </c>
      <c r="L596" t="n">
        <v>10</v>
      </c>
      <c r="N596" t="inlineStr">
        <is>
          <t>00000000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</row>
    <row r="597">
      <c r="A597" t="inlineStr">
        <is>
          <t>Operations</t>
        </is>
      </c>
      <c r="B597" t="inlineStr">
        <is>
          <t>O44</t>
        </is>
      </c>
      <c r="C597" t="n">
        <v>44</v>
      </c>
      <c r="D597" t="n">
        <v>15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1</v>
      </c>
      <c r="K597" t="b">
        <v>0</v>
      </c>
      <c r="L597" t="n">
        <v>10</v>
      </c>
      <c r="N597" t="inlineStr">
        <is>
          <t>00000000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</row>
    <row r="598">
      <c r="A598" t="inlineStr">
        <is>
          <t>Operations</t>
        </is>
      </c>
      <c r="B598" t="inlineStr">
        <is>
          <t>A45</t>
        </is>
      </c>
      <c r="C598" t="n">
        <v>45</v>
      </c>
      <c r="D598" t="n">
        <v>1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1</v>
      </c>
      <c r="K598" t="b">
        <v>0</v>
      </c>
      <c r="L598" t="n">
        <v>10</v>
      </c>
      <c r="N598" t="inlineStr">
        <is>
          <t>00000000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</row>
    <row r="599">
      <c r="A599" t="inlineStr">
        <is>
          <t>Operations</t>
        </is>
      </c>
      <c r="B599" t="inlineStr">
        <is>
          <t>B45</t>
        </is>
      </c>
      <c r="C599" t="n">
        <v>45</v>
      </c>
      <c r="D599" t="n">
        <v>2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1</v>
      </c>
      <c r="K599" t="b">
        <v>0</v>
      </c>
      <c r="L599" t="n">
        <v>10</v>
      </c>
      <c r="N599" t="inlineStr">
        <is>
          <t>00000000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</row>
    <row r="600">
      <c r="A600" t="inlineStr">
        <is>
          <t>Operations</t>
        </is>
      </c>
      <c r="B600" t="inlineStr">
        <is>
          <t>C45</t>
        </is>
      </c>
      <c r="C600" t="n">
        <v>45</v>
      </c>
      <c r="D600" t="n">
        <v>3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1</v>
      </c>
      <c r="K600" t="b">
        <v>0</v>
      </c>
      <c r="L600" t="n">
        <v>10</v>
      </c>
      <c r="N600" t="inlineStr">
        <is>
          <t>00000000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</row>
    <row r="601">
      <c r="A601" t="inlineStr">
        <is>
          <t>Operations</t>
        </is>
      </c>
      <c r="B601" t="inlineStr">
        <is>
          <t>D45</t>
        </is>
      </c>
      <c r="C601" t="n">
        <v>45</v>
      </c>
      <c r="D601" t="n">
        <v>4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1</v>
      </c>
      <c r="K601" t="b">
        <v>0</v>
      </c>
      <c r="L601" t="n">
        <v>10</v>
      </c>
      <c r="N601" t="inlineStr">
        <is>
          <t>00000000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</row>
    <row r="602">
      <c r="A602" t="inlineStr">
        <is>
          <t>Operations</t>
        </is>
      </c>
      <c r="B602" t="inlineStr">
        <is>
          <t>E45</t>
        </is>
      </c>
      <c r="C602" t="n">
        <v>45</v>
      </c>
      <c r="D602" t="n">
        <v>5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1</v>
      </c>
      <c r="K602" t="b">
        <v>0</v>
      </c>
      <c r="L602" t="n">
        <v>10</v>
      </c>
      <c r="N602" t="inlineStr">
        <is>
          <t>00000000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</row>
    <row r="603">
      <c r="A603" t="inlineStr">
        <is>
          <t>Operations</t>
        </is>
      </c>
      <c r="B603" t="inlineStr">
        <is>
          <t>F45</t>
        </is>
      </c>
      <c r="C603" t="n">
        <v>45</v>
      </c>
      <c r="D603" t="n">
        <v>6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1</v>
      </c>
      <c r="K603" t="b">
        <v>0</v>
      </c>
      <c r="L603" t="n">
        <v>10</v>
      </c>
      <c r="N603" t="inlineStr">
        <is>
          <t>00000000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</row>
    <row r="604">
      <c r="A604" t="inlineStr">
        <is>
          <t>Operations</t>
        </is>
      </c>
      <c r="B604" t="inlineStr">
        <is>
          <t>G45</t>
        </is>
      </c>
      <c r="C604" t="n">
        <v>45</v>
      </c>
      <c r="D604" t="n">
        <v>7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1</v>
      </c>
      <c r="K604" t="b">
        <v>0</v>
      </c>
      <c r="L604" t="n">
        <v>10</v>
      </c>
      <c r="N604" t="inlineStr">
        <is>
          <t>00000000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</row>
    <row r="605">
      <c r="A605" t="inlineStr">
        <is>
          <t>Operations</t>
        </is>
      </c>
      <c r="B605" t="inlineStr">
        <is>
          <t>H45</t>
        </is>
      </c>
      <c r="C605" t="n">
        <v>45</v>
      </c>
      <c r="D605" t="n">
        <v>8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1</v>
      </c>
      <c r="K605" t="b">
        <v>0</v>
      </c>
      <c r="L605" t="n">
        <v>10</v>
      </c>
      <c r="N605" t="inlineStr">
        <is>
          <t>00000000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</row>
    <row r="606">
      <c r="A606" t="inlineStr">
        <is>
          <t>Operations</t>
        </is>
      </c>
      <c r="B606" t="inlineStr">
        <is>
          <t>I45</t>
        </is>
      </c>
      <c r="C606" t="n">
        <v>45</v>
      </c>
      <c r="D606" t="n">
        <v>9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1</v>
      </c>
      <c r="K606" t="b">
        <v>0</v>
      </c>
      <c r="L606" t="n">
        <v>10</v>
      </c>
      <c r="N606" t="inlineStr">
        <is>
          <t>00000000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</row>
    <row r="607">
      <c r="A607" t="inlineStr">
        <is>
          <t>Operations</t>
        </is>
      </c>
      <c r="B607" t="inlineStr">
        <is>
          <t>J45</t>
        </is>
      </c>
      <c r="C607" t="n">
        <v>45</v>
      </c>
      <c r="D607" t="n">
        <v>10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1</v>
      </c>
      <c r="K607" t="b">
        <v>0</v>
      </c>
      <c r="L607" t="n">
        <v>10</v>
      </c>
      <c r="N607" t="inlineStr">
        <is>
          <t>00000000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</row>
    <row r="608">
      <c r="A608" t="inlineStr">
        <is>
          <t>Operations</t>
        </is>
      </c>
      <c r="B608" t="inlineStr">
        <is>
          <t>K45</t>
        </is>
      </c>
      <c r="C608" t="n">
        <v>45</v>
      </c>
      <c r="D608" t="n">
        <v>11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1</v>
      </c>
      <c r="K608" t="b">
        <v>0</v>
      </c>
      <c r="L608" t="n">
        <v>10</v>
      </c>
      <c r="N608" t="inlineStr">
        <is>
          <t>00000000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</row>
    <row r="609">
      <c r="A609" t="inlineStr">
        <is>
          <t>Operations</t>
        </is>
      </c>
      <c r="B609" t="inlineStr">
        <is>
          <t>L45</t>
        </is>
      </c>
      <c r="C609" t="n">
        <v>45</v>
      </c>
      <c r="D609" t="n">
        <v>12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1</v>
      </c>
      <c r="K609" t="b">
        <v>0</v>
      </c>
      <c r="L609" t="n">
        <v>10</v>
      </c>
      <c r="N609" t="inlineStr">
        <is>
          <t>00000000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</row>
    <row r="610">
      <c r="A610" t="inlineStr">
        <is>
          <t>Operations</t>
        </is>
      </c>
      <c r="B610" t="inlineStr">
        <is>
          <t>M45</t>
        </is>
      </c>
      <c r="C610" t="n">
        <v>45</v>
      </c>
      <c r="D610" t="n">
        <v>13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1</v>
      </c>
      <c r="K610" t="b">
        <v>0</v>
      </c>
      <c r="L610" t="n">
        <v>10</v>
      </c>
      <c r="N610" t="inlineStr">
        <is>
          <t>00000000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</row>
    <row r="611">
      <c r="A611" t="inlineStr">
        <is>
          <t>Operations</t>
        </is>
      </c>
      <c r="B611" t="inlineStr">
        <is>
          <t>N45</t>
        </is>
      </c>
      <c r="C611" t="n">
        <v>45</v>
      </c>
      <c r="D611" t="n">
        <v>14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1</v>
      </c>
      <c r="K611" t="b">
        <v>0</v>
      </c>
      <c r="L611" t="n">
        <v>10</v>
      </c>
      <c r="N611" t="inlineStr">
        <is>
          <t>00000000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</row>
    <row r="612">
      <c r="A612" t="inlineStr">
        <is>
          <t>Operations</t>
        </is>
      </c>
      <c r="B612" t="inlineStr">
        <is>
          <t>O45</t>
        </is>
      </c>
      <c r="C612" t="n">
        <v>45</v>
      </c>
      <c r="D612" t="n">
        <v>15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1</v>
      </c>
      <c r="K612" t="b">
        <v>0</v>
      </c>
      <c r="L612" t="n">
        <v>10</v>
      </c>
      <c r="N612" t="inlineStr">
        <is>
          <t>00000000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</row>
    <row r="613">
      <c r="A613" t="inlineStr">
        <is>
          <t>Operations</t>
        </is>
      </c>
      <c r="B613" t="inlineStr">
        <is>
          <t>A46</t>
        </is>
      </c>
      <c r="C613" t="n">
        <v>46</v>
      </c>
      <c r="D613" t="n">
        <v>1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1</v>
      </c>
      <c r="K613" t="b">
        <v>0</v>
      </c>
      <c r="L613" t="n">
        <v>10</v>
      </c>
      <c r="N613" t="inlineStr">
        <is>
          <t>00000000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</row>
    <row r="614">
      <c r="A614" t="inlineStr">
        <is>
          <t>Operations</t>
        </is>
      </c>
      <c r="B614" t="inlineStr">
        <is>
          <t>B46</t>
        </is>
      </c>
      <c r="C614" t="n">
        <v>46</v>
      </c>
      <c r="D614" t="n">
        <v>2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1</v>
      </c>
      <c r="K614" t="b">
        <v>0</v>
      </c>
      <c r="L614" t="n">
        <v>10</v>
      </c>
      <c r="N614" t="inlineStr">
        <is>
          <t>00000000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</row>
    <row r="615">
      <c r="A615" t="inlineStr">
        <is>
          <t>Operations</t>
        </is>
      </c>
      <c r="B615" t="inlineStr">
        <is>
          <t>C46</t>
        </is>
      </c>
      <c r="C615" t="n">
        <v>46</v>
      </c>
      <c r="D615" t="n">
        <v>3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1</v>
      </c>
      <c r="K615" t="b">
        <v>0</v>
      </c>
      <c r="L615" t="n">
        <v>10</v>
      </c>
      <c r="N615" t="inlineStr">
        <is>
          <t>00000000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</row>
    <row r="616">
      <c r="A616" t="inlineStr">
        <is>
          <t>Operations</t>
        </is>
      </c>
      <c r="B616" t="inlineStr">
        <is>
          <t>D46</t>
        </is>
      </c>
      <c r="C616" t="n">
        <v>46</v>
      </c>
      <c r="D616" t="n">
        <v>4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1</v>
      </c>
      <c r="K616" t="b">
        <v>0</v>
      </c>
      <c r="L616" t="n">
        <v>10</v>
      </c>
      <c r="N616" t="inlineStr">
        <is>
          <t>00000000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</row>
    <row r="617">
      <c r="A617" t="inlineStr">
        <is>
          <t>Operations</t>
        </is>
      </c>
      <c r="B617" t="inlineStr">
        <is>
          <t>E46</t>
        </is>
      </c>
      <c r="C617" t="n">
        <v>46</v>
      </c>
      <c r="D617" t="n">
        <v>5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1</v>
      </c>
      <c r="K617" t="b">
        <v>0</v>
      </c>
      <c r="L617" t="n">
        <v>10</v>
      </c>
      <c r="N617" t="inlineStr">
        <is>
          <t>00000000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</row>
    <row r="618">
      <c r="A618" t="inlineStr">
        <is>
          <t>Operations</t>
        </is>
      </c>
      <c r="B618" t="inlineStr">
        <is>
          <t>F46</t>
        </is>
      </c>
      <c r="C618" t="n">
        <v>46</v>
      </c>
      <c r="D618" t="n">
        <v>6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1</v>
      </c>
      <c r="K618" t="b">
        <v>0</v>
      </c>
      <c r="L618" t="n">
        <v>10</v>
      </c>
      <c r="N618" t="inlineStr">
        <is>
          <t>00000000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</row>
    <row r="619">
      <c r="A619" t="inlineStr">
        <is>
          <t>Operations</t>
        </is>
      </c>
      <c r="B619" t="inlineStr">
        <is>
          <t>G46</t>
        </is>
      </c>
      <c r="C619" t="n">
        <v>46</v>
      </c>
      <c r="D619" t="n">
        <v>7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1</v>
      </c>
      <c r="K619" t="b">
        <v>0</v>
      </c>
      <c r="L619" t="n">
        <v>10</v>
      </c>
      <c r="N619" t="inlineStr">
        <is>
          <t>00000000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</row>
    <row r="620">
      <c r="A620" t="inlineStr">
        <is>
          <t>Operations</t>
        </is>
      </c>
      <c r="B620" t="inlineStr">
        <is>
          <t>H46</t>
        </is>
      </c>
      <c r="C620" t="n">
        <v>46</v>
      </c>
      <c r="D620" t="n">
        <v>8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1</v>
      </c>
      <c r="K620" t="b">
        <v>0</v>
      </c>
      <c r="L620" t="n">
        <v>10</v>
      </c>
      <c r="N620" t="inlineStr">
        <is>
          <t>00000000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</row>
    <row r="621">
      <c r="A621" t="inlineStr">
        <is>
          <t>Operations</t>
        </is>
      </c>
      <c r="B621" t="inlineStr">
        <is>
          <t>I46</t>
        </is>
      </c>
      <c r="C621" t="n">
        <v>46</v>
      </c>
      <c r="D621" t="n">
        <v>9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1</v>
      </c>
      <c r="K621" t="b">
        <v>0</v>
      </c>
      <c r="L621" t="n">
        <v>10</v>
      </c>
      <c r="N621" t="inlineStr">
        <is>
          <t>00000000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</row>
    <row r="622">
      <c r="A622" t="inlineStr">
        <is>
          <t>Operations</t>
        </is>
      </c>
      <c r="B622" t="inlineStr">
        <is>
          <t>J46</t>
        </is>
      </c>
      <c r="C622" t="n">
        <v>46</v>
      </c>
      <c r="D622" t="n">
        <v>10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1</v>
      </c>
      <c r="K622" t="b">
        <v>0</v>
      </c>
      <c r="L622" t="n">
        <v>10</v>
      </c>
      <c r="N622" t="inlineStr">
        <is>
          <t>00000000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</row>
    <row r="623">
      <c r="A623" t="inlineStr">
        <is>
          <t>Operations</t>
        </is>
      </c>
      <c r="B623" t="inlineStr">
        <is>
          <t>K46</t>
        </is>
      </c>
      <c r="C623" t="n">
        <v>46</v>
      </c>
      <c r="D623" t="n">
        <v>11</v>
      </c>
      <c r="E623" t="inlineStr">
        <is>
          <t>Input</t>
        </is>
      </c>
      <c r="F623" t="n">
        <v/>
      </c>
      <c r="H623" t="inlineStr"/>
      <c r="I623" t="inlineStr">
        <is>
          <t>General</t>
        </is>
      </c>
      <c r="J623" t="b">
        <v>1</v>
      </c>
      <c r="K623" t="b">
        <v>0</v>
      </c>
      <c r="L623" t="n">
        <v>10</v>
      </c>
      <c r="N623" t="inlineStr">
        <is>
          <t>00000000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</row>
    <row r="624">
      <c r="A624" t="inlineStr">
        <is>
          <t>Operations</t>
        </is>
      </c>
      <c r="B624" t="inlineStr">
        <is>
          <t>L46</t>
        </is>
      </c>
      <c r="C624" t="n">
        <v>46</v>
      </c>
      <c r="D624" t="n">
        <v>12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1</v>
      </c>
      <c r="K624" t="b">
        <v>0</v>
      </c>
      <c r="L624" t="n">
        <v>10</v>
      </c>
      <c r="N624" t="inlineStr">
        <is>
          <t>00000000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</row>
    <row r="625">
      <c r="A625" t="inlineStr">
        <is>
          <t>Operations</t>
        </is>
      </c>
      <c r="B625" t="inlineStr">
        <is>
          <t>M46</t>
        </is>
      </c>
      <c r="C625" t="n">
        <v>46</v>
      </c>
      <c r="D625" t="n">
        <v>13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1</v>
      </c>
      <c r="K625" t="b">
        <v>0</v>
      </c>
      <c r="L625" t="n">
        <v>10</v>
      </c>
      <c r="N625" t="inlineStr">
        <is>
          <t>00000000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</row>
    <row r="626">
      <c r="A626" t="inlineStr">
        <is>
          <t>Operations</t>
        </is>
      </c>
      <c r="B626" t="inlineStr">
        <is>
          <t>N46</t>
        </is>
      </c>
      <c r="C626" t="n">
        <v>46</v>
      </c>
      <c r="D626" t="n">
        <v>14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1</v>
      </c>
      <c r="K626" t="b">
        <v>0</v>
      </c>
      <c r="L626" t="n">
        <v>10</v>
      </c>
      <c r="N626" t="inlineStr">
        <is>
          <t>00000000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</row>
    <row r="627">
      <c r="A627" t="inlineStr">
        <is>
          <t>Operations</t>
        </is>
      </c>
      <c r="B627" t="inlineStr">
        <is>
          <t>O46</t>
        </is>
      </c>
      <c r="C627" t="n">
        <v>46</v>
      </c>
      <c r="D627" t="n">
        <v>15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1</v>
      </c>
      <c r="K627" t="b">
        <v>0</v>
      </c>
      <c r="L627" t="n">
        <v>10</v>
      </c>
      <c r="N627" t="inlineStr">
        <is>
          <t>00000000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</row>
    <row r="628">
      <c r="A628" t="inlineStr">
        <is>
          <t>Operations</t>
        </is>
      </c>
      <c r="B628" t="inlineStr">
        <is>
          <t>A47</t>
        </is>
      </c>
      <c r="C628" t="n">
        <v>47</v>
      </c>
      <c r="D628" t="n">
        <v>1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1</v>
      </c>
      <c r="K628" t="b">
        <v>0</v>
      </c>
      <c r="L628" t="n">
        <v>10</v>
      </c>
      <c r="N628" t="inlineStr">
        <is>
          <t>00000000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</row>
    <row r="629">
      <c r="A629" t="inlineStr">
        <is>
          <t>Operations</t>
        </is>
      </c>
      <c r="B629" t="inlineStr">
        <is>
          <t>B47</t>
        </is>
      </c>
      <c r="C629" t="n">
        <v>47</v>
      </c>
      <c r="D629" t="n">
        <v>2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1</v>
      </c>
      <c r="K629" t="b">
        <v>0</v>
      </c>
      <c r="L629" t="n">
        <v>10</v>
      </c>
      <c r="N629" t="inlineStr">
        <is>
          <t>00000000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</row>
    <row r="630">
      <c r="A630" t="inlineStr">
        <is>
          <t>Operations</t>
        </is>
      </c>
      <c r="B630" t="inlineStr">
        <is>
          <t>C47</t>
        </is>
      </c>
      <c r="C630" t="n">
        <v>47</v>
      </c>
      <c r="D630" t="n">
        <v>3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1</v>
      </c>
      <c r="K630" t="b">
        <v>0</v>
      </c>
      <c r="L630" t="n">
        <v>10</v>
      </c>
      <c r="N630" t="inlineStr">
        <is>
          <t>00000000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</row>
    <row r="631">
      <c r="A631" t="inlineStr">
        <is>
          <t>Operations</t>
        </is>
      </c>
      <c r="B631" t="inlineStr">
        <is>
          <t>D47</t>
        </is>
      </c>
      <c r="C631" t="n">
        <v>47</v>
      </c>
      <c r="D631" t="n">
        <v>4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1</v>
      </c>
      <c r="K631" t="b">
        <v>0</v>
      </c>
      <c r="L631" t="n">
        <v>10</v>
      </c>
      <c r="N631" t="inlineStr">
        <is>
          <t>00000000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</row>
    <row r="632">
      <c r="A632" t="inlineStr">
        <is>
          <t>Operations</t>
        </is>
      </c>
      <c r="B632" t="inlineStr">
        <is>
          <t>E47</t>
        </is>
      </c>
      <c r="C632" t="n">
        <v>47</v>
      </c>
      <c r="D632" t="n">
        <v>5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1</v>
      </c>
      <c r="K632" t="b">
        <v>0</v>
      </c>
      <c r="L632" t="n">
        <v>10</v>
      </c>
      <c r="N632" t="inlineStr">
        <is>
          <t>00000000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</row>
    <row r="633">
      <c r="A633" t="inlineStr">
        <is>
          <t>Operations</t>
        </is>
      </c>
      <c r="B633" t="inlineStr">
        <is>
          <t>F47</t>
        </is>
      </c>
      <c r="C633" t="n">
        <v>47</v>
      </c>
      <c r="D633" t="n">
        <v>6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1</v>
      </c>
      <c r="K633" t="b">
        <v>0</v>
      </c>
      <c r="L633" t="n">
        <v>10</v>
      </c>
      <c r="N633" t="inlineStr">
        <is>
          <t>00000000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</row>
    <row r="634">
      <c r="A634" t="inlineStr">
        <is>
          <t>Operations</t>
        </is>
      </c>
      <c r="B634" t="inlineStr">
        <is>
          <t>G47</t>
        </is>
      </c>
      <c r="C634" t="n">
        <v>47</v>
      </c>
      <c r="D634" t="n">
        <v>7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1</v>
      </c>
      <c r="K634" t="b">
        <v>0</v>
      </c>
      <c r="L634" t="n">
        <v>10</v>
      </c>
      <c r="N634" t="inlineStr">
        <is>
          <t>00000000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</row>
    <row r="635">
      <c r="A635" t="inlineStr">
        <is>
          <t>Operations</t>
        </is>
      </c>
      <c r="B635" t="inlineStr">
        <is>
          <t>H47</t>
        </is>
      </c>
      <c r="C635" t="n">
        <v>47</v>
      </c>
      <c r="D635" t="n">
        <v>8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1</v>
      </c>
      <c r="K635" t="b">
        <v>0</v>
      </c>
      <c r="L635" t="n">
        <v>10</v>
      </c>
      <c r="N635" t="inlineStr">
        <is>
          <t>00000000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</row>
    <row r="636">
      <c r="A636" t="inlineStr">
        <is>
          <t>Operations</t>
        </is>
      </c>
      <c r="B636" t="inlineStr">
        <is>
          <t>I47</t>
        </is>
      </c>
      <c r="C636" t="n">
        <v>47</v>
      </c>
      <c r="D636" t="n">
        <v>9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1</v>
      </c>
      <c r="K636" t="b">
        <v>0</v>
      </c>
      <c r="L636" t="n">
        <v>10</v>
      </c>
      <c r="N636" t="inlineStr">
        <is>
          <t>00000000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</row>
    <row r="637">
      <c r="A637" t="inlineStr">
        <is>
          <t>Operations</t>
        </is>
      </c>
      <c r="B637" t="inlineStr">
        <is>
          <t>J47</t>
        </is>
      </c>
      <c r="C637" t="n">
        <v>47</v>
      </c>
      <c r="D637" t="n">
        <v>10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1</v>
      </c>
      <c r="K637" t="b">
        <v>0</v>
      </c>
      <c r="L637" t="n">
        <v>10</v>
      </c>
      <c r="N637" t="inlineStr">
        <is>
          <t>00000000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</row>
    <row r="638">
      <c r="A638" t="inlineStr">
        <is>
          <t>Operations</t>
        </is>
      </c>
      <c r="B638" t="inlineStr">
        <is>
          <t>K47</t>
        </is>
      </c>
      <c r="C638" t="n">
        <v>47</v>
      </c>
      <c r="D638" t="n">
        <v>11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1</v>
      </c>
      <c r="K638" t="b">
        <v>0</v>
      </c>
      <c r="L638" t="n">
        <v>10</v>
      </c>
      <c r="N638" t="inlineStr">
        <is>
          <t>00000000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</row>
    <row r="639">
      <c r="A639" t="inlineStr">
        <is>
          <t>Operations</t>
        </is>
      </c>
      <c r="B639" t="inlineStr">
        <is>
          <t>L47</t>
        </is>
      </c>
      <c r="C639" t="n">
        <v>47</v>
      </c>
      <c r="D639" t="n">
        <v>12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1</v>
      </c>
      <c r="K639" t="b">
        <v>0</v>
      </c>
      <c r="L639" t="n">
        <v>10</v>
      </c>
      <c r="N639" t="inlineStr">
        <is>
          <t>00000000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</row>
    <row r="640">
      <c r="A640" t="inlineStr">
        <is>
          <t>Operations</t>
        </is>
      </c>
      <c r="B640" t="inlineStr">
        <is>
          <t>M47</t>
        </is>
      </c>
      <c r="C640" t="n">
        <v>47</v>
      </c>
      <c r="D640" t="n">
        <v>13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1</v>
      </c>
      <c r="K640" t="b">
        <v>0</v>
      </c>
      <c r="L640" t="n">
        <v>10</v>
      </c>
      <c r="N640" t="inlineStr">
        <is>
          <t>00000000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</row>
    <row r="641">
      <c r="A641" t="inlineStr">
        <is>
          <t>Operations</t>
        </is>
      </c>
      <c r="B641" t="inlineStr">
        <is>
          <t>N47</t>
        </is>
      </c>
      <c r="C641" t="n">
        <v>47</v>
      </c>
      <c r="D641" t="n">
        <v>14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1</v>
      </c>
      <c r="K641" t="b">
        <v>0</v>
      </c>
      <c r="L641" t="n">
        <v>10</v>
      </c>
      <c r="N641" t="inlineStr">
        <is>
          <t>00000000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</row>
    <row r="642">
      <c r="A642" t="inlineStr">
        <is>
          <t>Operations</t>
        </is>
      </c>
      <c r="B642" t="inlineStr">
        <is>
          <t>O47</t>
        </is>
      </c>
      <c r="C642" t="n">
        <v>47</v>
      </c>
      <c r="D642" t="n">
        <v>15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1</v>
      </c>
      <c r="K642" t="b">
        <v>0</v>
      </c>
      <c r="L642" t="n">
        <v>10</v>
      </c>
      <c r="N642" t="inlineStr">
        <is>
          <t>00000000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</row>
    <row r="643">
      <c r="A643" t="inlineStr">
        <is>
          <t>Operations</t>
        </is>
      </c>
      <c r="B643" t="inlineStr">
        <is>
          <t>A48</t>
        </is>
      </c>
      <c r="C643" t="n">
        <v>48</v>
      </c>
      <c r="D643" t="n">
        <v>1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1</v>
      </c>
      <c r="K643" t="b">
        <v>0</v>
      </c>
      <c r="L643" t="n">
        <v>10</v>
      </c>
      <c r="N643" t="inlineStr">
        <is>
          <t>00000000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</row>
    <row r="644">
      <c r="A644" t="inlineStr">
        <is>
          <t>Operations</t>
        </is>
      </c>
      <c r="B644" t="inlineStr">
        <is>
          <t>B48</t>
        </is>
      </c>
      <c r="C644" t="n">
        <v>48</v>
      </c>
      <c r="D644" t="n">
        <v>2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1</v>
      </c>
      <c r="K644" t="b">
        <v>0</v>
      </c>
      <c r="L644" t="n">
        <v>10</v>
      </c>
      <c r="N644" t="inlineStr">
        <is>
          <t>00000000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</row>
    <row r="645">
      <c r="A645" t="inlineStr">
        <is>
          <t>Operations</t>
        </is>
      </c>
      <c r="B645" t="inlineStr">
        <is>
          <t>C48</t>
        </is>
      </c>
      <c r="C645" t="n">
        <v>48</v>
      </c>
      <c r="D645" t="n">
        <v>3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1</v>
      </c>
      <c r="K645" t="b">
        <v>0</v>
      </c>
      <c r="L645" t="n">
        <v>10</v>
      </c>
      <c r="N645" t="inlineStr">
        <is>
          <t>00000000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</row>
    <row r="646">
      <c r="A646" t="inlineStr">
        <is>
          <t>Operations</t>
        </is>
      </c>
      <c r="B646" t="inlineStr">
        <is>
          <t>D48</t>
        </is>
      </c>
      <c r="C646" t="n">
        <v>48</v>
      </c>
      <c r="D646" t="n">
        <v>4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1</v>
      </c>
      <c r="K646" t="b">
        <v>0</v>
      </c>
      <c r="L646" t="n">
        <v>10</v>
      </c>
      <c r="N646" t="inlineStr">
        <is>
          <t>00000000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</row>
    <row r="647">
      <c r="A647" t="inlineStr">
        <is>
          <t>Operations</t>
        </is>
      </c>
      <c r="B647" t="inlineStr">
        <is>
          <t>E48</t>
        </is>
      </c>
      <c r="C647" t="n">
        <v>48</v>
      </c>
      <c r="D647" t="n">
        <v>5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1</v>
      </c>
      <c r="K647" t="b">
        <v>0</v>
      </c>
      <c r="L647" t="n">
        <v>10</v>
      </c>
      <c r="N647" t="inlineStr">
        <is>
          <t>00000000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</row>
    <row r="648">
      <c r="A648" t="inlineStr">
        <is>
          <t>Operations</t>
        </is>
      </c>
      <c r="B648" t="inlineStr">
        <is>
          <t>F48</t>
        </is>
      </c>
      <c r="C648" t="n">
        <v>48</v>
      </c>
      <c r="D648" t="n">
        <v>6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1</v>
      </c>
      <c r="K648" t="b">
        <v>0</v>
      </c>
      <c r="L648" t="n">
        <v>10</v>
      </c>
      <c r="N648" t="inlineStr">
        <is>
          <t>00000000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</row>
    <row r="649">
      <c r="A649" t="inlineStr">
        <is>
          <t>Operations</t>
        </is>
      </c>
      <c r="B649" t="inlineStr">
        <is>
          <t>G48</t>
        </is>
      </c>
      <c r="C649" t="n">
        <v>48</v>
      </c>
      <c r="D649" t="n">
        <v>7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1</v>
      </c>
      <c r="K649" t="b">
        <v>0</v>
      </c>
      <c r="L649" t="n">
        <v>10</v>
      </c>
      <c r="N649" t="inlineStr">
        <is>
          <t>00000000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</row>
    <row r="650">
      <c r="A650" t="inlineStr">
        <is>
          <t>Operations</t>
        </is>
      </c>
      <c r="B650" t="inlineStr">
        <is>
          <t>H48</t>
        </is>
      </c>
      <c r="C650" t="n">
        <v>48</v>
      </c>
      <c r="D650" t="n">
        <v>8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1</v>
      </c>
      <c r="K650" t="b">
        <v>0</v>
      </c>
      <c r="L650" t="n">
        <v>10</v>
      </c>
      <c r="N650" t="inlineStr">
        <is>
          <t>00000000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</row>
    <row r="651">
      <c r="A651" t="inlineStr">
        <is>
          <t>Operations</t>
        </is>
      </c>
      <c r="B651" t="inlineStr">
        <is>
          <t>I48</t>
        </is>
      </c>
      <c r="C651" t="n">
        <v>48</v>
      </c>
      <c r="D651" t="n">
        <v>9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1</v>
      </c>
      <c r="K651" t="b">
        <v>0</v>
      </c>
      <c r="L651" t="n">
        <v>10</v>
      </c>
      <c r="N651" t="inlineStr">
        <is>
          <t>00000000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</row>
    <row r="652">
      <c r="A652" t="inlineStr">
        <is>
          <t>Operations</t>
        </is>
      </c>
      <c r="B652" t="inlineStr">
        <is>
          <t>J48</t>
        </is>
      </c>
      <c r="C652" t="n">
        <v>48</v>
      </c>
      <c r="D652" t="n">
        <v>10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1</v>
      </c>
      <c r="K652" t="b">
        <v>0</v>
      </c>
      <c r="L652" t="n">
        <v>10</v>
      </c>
      <c r="N652" t="inlineStr">
        <is>
          <t>00000000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</row>
    <row r="653">
      <c r="A653" t="inlineStr">
        <is>
          <t>Operations</t>
        </is>
      </c>
      <c r="B653" t="inlineStr">
        <is>
          <t>K48</t>
        </is>
      </c>
      <c r="C653" t="n">
        <v>48</v>
      </c>
      <c r="D653" t="n">
        <v>11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1</v>
      </c>
      <c r="K653" t="b">
        <v>0</v>
      </c>
      <c r="L653" t="n">
        <v>10</v>
      </c>
      <c r="N653" t="inlineStr">
        <is>
          <t>00000000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</row>
    <row r="654">
      <c r="A654" t="inlineStr">
        <is>
          <t>Operations</t>
        </is>
      </c>
      <c r="B654" t="inlineStr">
        <is>
          <t>L48</t>
        </is>
      </c>
      <c r="C654" t="n">
        <v>48</v>
      </c>
      <c r="D654" t="n">
        <v>12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1</v>
      </c>
      <c r="K654" t="b">
        <v>0</v>
      </c>
      <c r="L654" t="n">
        <v>10</v>
      </c>
      <c r="N654" t="inlineStr">
        <is>
          <t>00000000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</row>
    <row r="655">
      <c r="A655" t="inlineStr">
        <is>
          <t>Operations</t>
        </is>
      </c>
      <c r="B655" t="inlineStr">
        <is>
          <t>M48</t>
        </is>
      </c>
      <c r="C655" t="n">
        <v>48</v>
      </c>
      <c r="D655" t="n">
        <v>13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1</v>
      </c>
      <c r="K655" t="b">
        <v>0</v>
      </c>
      <c r="L655" t="n">
        <v>10</v>
      </c>
      <c r="N655" t="inlineStr">
        <is>
          <t>00000000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</row>
    <row r="656">
      <c r="A656" t="inlineStr">
        <is>
          <t>Operations</t>
        </is>
      </c>
      <c r="B656" t="inlineStr">
        <is>
          <t>N48</t>
        </is>
      </c>
      <c r="C656" t="n">
        <v>48</v>
      </c>
      <c r="D656" t="n">
        <v>14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1</v>
      </c>
      <c r="K656" t="b">
        <v>0</v>
      </c>
      <c r="L656" t="n">
        <v>10</v>
      </c>
      <c r="N656" t="inlineStr">
        <is>
          <t>00000000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</row>
    <row r="657">
      <c r="A657" t="inlineStr">
        <is>
          <t>Operations</t>
        </is>
      </c>
      <c r="B657" t="inlineStr">
        <is>
          <t>O48</t>
        </is>
      </c>
      <c r="C657" t="n">
        <v>48</v>
      </c>
      <c r="D657" t="n">
        <v>15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1</v>
      </c>
      <c r="K657" t="b">
        <v>0</v>
      </c>
      <c r="L657" t="n">
        <v>10</v>
      </c>
      <c r="N657" t="inlineStr">
        <is>
          <t>00000000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</row>
    <row r="658">
      <c r="A658" t="inlineStr">
        <is>
          <t>Operations</t>
        </is>
      </c>
      <c r="B658" t="inlineStr">
        <is>
          <t>A49</t>
        </is>
      </c>
      <c r="C658" t="n">
        <v>49</v>
      </c>
      <c r="D658" t="n">
        <v>1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1</v>
      </c>
      <c r="K658" t="b">
        <v>0</v>
      </c>
      <c r="L658" t="n">
        <v>10</v>
      </c>
      <c r="N658" t="inlineStr">
        <is>
          <t>00000000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</row>
    <row r="659">
      <c r="A659" t="inlineStr">
        <is>
          <t>Operations</t>
        </is>
      </c>
      <c r="B659" t="inlineStr">
        <is>
          <t>B49</t>
        </is>
      </c>
      <c r="C659" t="n">
        <v>49</v>
      </c>
      <c r="D659" t="n">
        <v>2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1</v>
      </c>
      <c r="K659" t="b">
        <v>0</v>
      </c>
      <c r="L659" t="n">
        <v>10</v>
      </c>
      <c r="N659" t="inlineStr">
        <is>
          <t>00000000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</row>
    <row r="660">
      <c r="A660" t="inlineStr">
        <is>
          <t>Operations</t>
        </is>
      </c>
      <c r="B660" t="inlineStr">
        <is>
          <t>C49</t>
        </is>
      </c>
      <c r="C660" t="n">
        <v>49</v>
      </c>
      <c r="D660" t="n">
        <v>3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1</v>
      </c>
      <c r="K660" t="b">
        <v>0</v>
      </c>
      <c r="L660" t="n">
        <v>10</v>
      </c>
      <c r="N660" t="inlineStr">
        <is>
          <t>00000000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</row>
    <row r="661">
      <c r="A661" t="inlineStr">
        <is>
          <t>Operations</t>
        </is>
      </c>
      <c r="B661" t="inlineStr">
        <is>
          <t>D49</t>
        </is>
      </c>
      <c r="C661" t="n">
        <v>49</v>
      </c>
      <c r="D661" t="n">
        <v>4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1</v>
      </c>
      <c r="K661" t="b">
        <v>0</v>
      </c>
      <c r="L661" t="n">
        <v>10</v>
      </c>
      <c r="N661" t="inlineStr">
        <is>
          <t>00000000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</row>
    <row r="662">
      <c r="A662" t="inlineStr">
        <is>
          <t>Operations</t>
        </is>
      </c>
      <c r="B662" t="inlineStr">
        <is>
          <t>E49</t>
        </is>
      </c>
      <c r="C662" t="n">
        <v>49</v>
      </c>
      <c r="D662" t="n">
        <v>5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1</v>
      </c>
      <c r="K662" t="b">
        <v>0</v>
      </c>
      <c r="L662" t="n">
        <v>10</v>
      </c>
      <c r="N662" t="inlineStr">
        <is>
          <t>00000000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</row>
    <row r="663">
      <c r="A663" t="inlineStr">
        <is>
          <t>Operations</t>
        </is>
      </c>
      <c r="B663" t="inlineStr">
        <is>
          <t>F49</t>
        </is>
      </c>
      <c r="C663" t="n">
        <v>49</v>
      </c>
      <c r="D663" t="n">
        <v>6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1</v>
      </c>
      <c r="K663" t="b">
        <v>0</v>
      </c>
      <c r="L663" t="n">
        <v>10</v>
      </c>
      <c r="N663" t="inlineStr">
        <is>
          <t>00000000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</row>
    <row r="664">
      <c r="A664" t="inlineStr">
        <is>
          <t>Operations</t>
        </is>
      </c>
      <c r="B664" t="inlineStr">
        <is>
          <t>G49</t>
        </is>
      </c>
      <c r="C664" t="n">
        <v>49</v>
      </c>
      <c r="D664" t="n">
        <v>7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1</v>
      </c>
      <c r="K664" t="b">
        <v>0</v>
      </c>
      <c r="L664" t="n">
        <v>10</v>
      </c>
      <c r="N664" t="inlineStr">
        <is>
          <t>00000000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</row>
    <row r="665">
      <c r="A665" t="inlineStr">
        <is>
          <t>Operations</t>
        </is>
      </c>
      <c r="B665" t="inlineStr">
        <is>
          <t>H49</t>
        </is>
      </c>
      <c r="C665" t="n">
        <v>49</v>
      </c>
      <c r="D665" t="n">
        <v>8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1</v>
      </c>
      <c r="K665" t="b">
        <v>0</v>
      </c>
      <c r="L665" t="n">
        <v>10</v>
      </c>
      <c r="N665" t="inlineStr">
        <is>
          <t>00000000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</row>
    <row r="666">
      <c r="A666" t="inlineStr">
        <is>
          <t>Operations</t>
        </is>
      </c>
      <c r="B666" t="inlineStr">
        <is>
          <t>I49</t>
        </is>
      </c>
      <c r="C666" t="n">
        <v>49</v>
      </c>
      <c r="D666" t="n">
        <v>9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1</v>
      </c>
      <c r="K666" t="b">
        <v>0</v>
      </c>
      <c r="L666" t="n">
        <v>10</v>
      </c>
      <c r="N666" t="inlineStr">
        <is>
          <t>00000000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</row>
    <row r="667">
      <c r="A667" t="inlineStr">
        <is>
          <t>Operations</t>
        </is>
      </c>
      <c r="B667" t="inlineStr">
        <is>
          <t>J49</t>
        </is>
      </c>
      <c r="C667" t="n">
        <v>49</v>
      </c>
      <c r="D667" t="n">
        <v>10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1</v>
      </c>
      <c r="K667" t="b">
        <v>0</v>
      </c>
      <c r="L667" t="n">
        <v>10</v>
      </c>
      <c r="N667" t="inlineStr">
        <is>
          <t>00000000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</row>
    <row r="668">
      <c r="A668" t="inlineStr">
        <is>
          <t>Operations</t>
        </is>
      </c>
      <c r="B668" t="inlineStr">
        <is>
          <t>K49</t>
        </is>
      </c>
      <c r="C668" t="n">
        <v>49</v>
      </c>
      <c r="D668" t="n">
        <v>11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1</v>
      </c>
      <c r="K668" t="b">
        <v>0</v>
      </c>
      <c r="L668" t="n">
        <v>10</v>
      </c>
      <c r="N668" t="inlineStr">
        <is>
          <t>00000000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S668" t="n">
        <v/>
      </c>
      <c r="T668" t="n">
        <v/>
      </c>
      <c r="U668" t="n">
        <v/>
      </c>
      <c r="V668" t="b">
        <v>0</v>
      </c>
      <c r="W668" t="inlineStr"/>
      <c r="X668" t="n">
        <v/>
      </c>
    </row>
    <row r="669">
      <c r="A669" t="inlineStr">
        <is>
          <t>Operations</t>
        </is>
      </c>
      <c r="B669" t="inlineStr">
        <is>
          <t>L49</t>
        </is>
      </c>
      <c r="C669" t="n">
        <v>49</v>
      </c>
      <c r="D669" t="n">
        <v>12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1</v>
      </c>
      <c r="K669" t="b">
        <v>0</v>
      </c>
      <c r="L669" t="n">
        <v>10</v>
      </c>
      <c r="N669" t="inlineStr">
        <is>
          <t>00000000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</row>
    <row r="670">
      <c r="A670" t="inlineStr">
        <is>
          <t>Operations</t>
        </is>
      </c>
      <c r="B670" t="inlineStr">
        <is>
          <t>M49</t>
        </is>
      </c>
      <c r="C670" t="n">
        <v>49</v>
      </c>
      <c r="D670" t="n">
        <v>13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1</v>
      </c>
      <c r="K670" t="b">
        <v>0</v>
      </c>
      <c r="L670" t="n">
        <v>10</v>
      </c>
      <c r="N670" t="inlineStr">
        <is>
          <t>00000000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</row>
    <row r="671">
      <c r="A671" t="inlineStr">
        <is>
          <t>Operations</t>
        </is>
      </c>
      <c r="B671" t="inlineStr">
        <is>
          <t>N49</t>
        </is>
      </c>
      <c r="C671" t="n">
        <v>49</v>
      </c>
      <c r="D671" t="n">
        <v>14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1</v>
      </c>
      <c r="K671" t="b">
        <v>0</v>
      </c>
      <c r="L671" t="n">
        <v>10</v>
      </c>
      <c r="N671" t="inlineStr">
        <is>
          <t>00000000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</row>
    <row r="672">
      <c r="A672" t="inlineStr">
        <is>
          <t>Operations</t>
        </is>
      </c>
      <c r="B672" t="inlineStr">
        <is>
          <t>O49</t>
        </is>
      </c>
      <c r="C672" t="n">
        <v>49</v>
      </c>
      <c r="D672" t="n">
        <v>15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1</v>
      </c>
      <c r="K672" t="b">
        <v>0</v>
      </c>
      <c r="L672" t="n">
        <v>10</v>
      </c>
      <c r="N672" t="inlineStr">
        <is>
          <t>00000000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</row>
    <row r="673">
      <c r="A673" t="inlineStr">
        <is>
          <t>Operations</t>
        </is>
      </c>
      <c r="B673" t="inlineStr">
        <is>
          <t>A50</t>
        </is>
      </c>
      <c r="C673" t="n">
        <v>50</v>
      </c>
      <c r="D673" t="n">
        <v>1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1</v>
      </c>
      <c r="K673" t="b">
        <v>0</v>
      </c>
      <c r="L673" t="n">
        <v>10</v>
      </c>
      <c r="N673" t="inlineStr">
        <is>
          <t>00000000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</row>
    <row r="674">
      <c r="A674" t="inlineStr">
        <is>
          <t>Operations</t>
        </is>
      </c>
      <c r="B674" t="inlineStr">
        <is>
          <t>B50</t>
        </is>
      </c>
      <c r="C674" t="n">
        <v>50</v>
      </c>
      <c r="D674" t="n">
        <v>2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1</v>
      </c>
      <c r="K674" t="b">
        <v>0</v>
      </c>
      <c r="L674" t="n">
        <v>10</v>
      </c>
      <c r="N674" t="inlineStr">
        <is>
          <t>00000000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</row>
    <row r="675">
      <c r="A675" t="inlineStr">
        <is>
          <t>Operations</t>
        </is>
      </c>
      <c r="B675" t="inlineStr">
        <is>
          <t>C50</t>
        </is>
      </c>
      <c r="C675" t="n">
        <v>50</v>
      </c>
      <c r="D675" t="n">
        <v>3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1</v>
      </c>
      <c r="K675" t="b">
        <v>0</v>
      </c>
      <c r="L675" t="n">
        <v>10</v>
      </c>
      <c r="N675" t="inlineStr">
        <is>
          <t>00000000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</row>
    <row r="676">
      <c r="A676" t="inlineStr">
        <is>
          <t>Operations</t>
        </is>
      </c>
      <c r="B676" t="inlineStr">
        <is>
          <t>D50</t>
        </is>
      </c>
      <c r="C676" t="n">
        <v>50</v>
      </c>
      <c r="D676" t="n">
        <v>4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1</v>
      </c>
      <c r="K676" t="b">
        <v>0</v>
      </c>
      <c r="L676" t="n">
        <v>10</v>
      </c>
      <c r="N676" t="inlineStr">
        <is>
          <t>00000000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</row>
    <row r="677">
      <c r="A677" t="inlineStr">
        <is>
          <t>Operations</t>
        </is>
      </c>
      <c r="B677" t="inlineStr">
        <is>
          <t>E50</t>
        </is>
      </c>
      <c r="C677" t="n">
        <v>50</v>
      </c>
      <c r="D677" t="n">
        <v>5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1</v>
      </c>
      <c r="K677" t="b">
        <v>0</v>
      </c>
      <c r="L677" t="n">
        <v>10</v>
      </c>
      <c r="N677" t="inlineStr">
        <is>
          <t>00000000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</row>
    <row r="678">
      <c r="A678" t="inlineStr">
        <is>
          <t>Operations</t>
        </is>
      </c>
      <c r="B678" t="inlineStr">
        <is>
          <t>F50</t>
        </is>
      </c>
      <c r="C678" t="n">
        <v>50</v>
      </c>
      <c r="D678" t="n">
        <v>6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1</v>
      </c>
      <c r="K678" t="b">
        <v>0</v>
      </c>
      <c r="L678" t="n">
        <v>10</v>
      </c>
      <c r="N678" t="inlineStr">
        <is>
          <t>00000000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</row>
    <row r="679">
      <c r="A679" t="inlineStr">
        <is>
          <t>Operations</t>
        </is>
      </c>
      <c r="B679" t="inlineStr">
        <is>
          <t>G50</t>
        </is>
      </c>
      <c r="C679" t="n">
        <v>50</v>
      </c>
      <c r="D679" t="n">
        <v>7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1</v>
      </c>
      <c r="K679" t="b">
        <v>0</v>
      </c>
      <c r="L679" t="n">
        <v>10</v>
      </c>
      <c r="N679" t="inlineStr">
        <is>
          <t>00000000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</row>
    <row r="680">
      <c r="A680" t="inlineStr">
        <is>
          <t>Operations</t>
        </is>
      </c>
      <c r="B680" t="inlineStr">
        <is>
          <t>H50</t>
        </is>
      </c>
      <c r="C680" t="n">
        <v>50</v>
      </c>
      <c r="D680" t="n">
        <v>8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1</v>
      </c>
      <c r="K680" t="b">
        <v>0</v>
      </c>
      <c r="L680" t="n">
        <v>10</v>
      </c>
      <c r="N680" t="inlineStr">
        <is>
          <t>00000000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</row>
    <row r="681">
      <c r="A681" t="inlineStr">
        <is>
          <t>Operations</t>
        </is>
      </c>
      <c r="B681" t="inlineStr">
        <is>
          <t>I50</t>
        </is>
      </c>
      <c r="C681" t="n">
        <v>50</v>
      </c>
      <c r="D681" t="n">
        <v>9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1</v>
      </c>
      <c r="K681" t="b">
        <v>0</v>
      </c>
      <c r="L681" t="n">
        <v>10</v>
      </c>
      <c r="N681" t="inlineStr">
        <is>
          <t>00000000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</row>
    <row r="682">
      <c r="A682" t="inlineStr">
        <is>
          <t>Operations</t>
        </is>
      </c>
      <c r="B682" t="inlineStr">
        <is>
          <t>J50</t>
        </is>
      </c>
      <c r="C682" t="n">
        <v>50</v>
      </c>
      <c r="D682" t="n">
        <v>10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1</v>
      </c>
      <c r="K682" t="b">
        <v>0</v>
      </c>
      <c r="L682" t="n">
        <v>10</v>
      </c>
      <c r="N682" t="inlineStr">
        <is>
          <t>00000000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</row>
    <row r="683">
      <c r="A683" t="inlineStr">
        <is>
          <t>Operations</t>
        </is>
      </c>
      <c r="B683" t="inlineStr">
        <is>
          <t>K50</t>
        </is>
      </c>
      <c r="C683" t="n">
        <v>50</v>
      </c>
      <c r="D683" t="n">
        <v>11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1</v>
      </c>
      <c r="K683" t="b">
        <v>0</v>
      </c>
      <c r="L683" t="n">
        <v>10</v>
      </c>
      <c r="N683" t="inlineStr">
        <is>
          <t>00000000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</row>
    <row r="684">
      <c r="A684" t="inlineStr">
        <is>
          <t>Operations</t>
        </is>
      </c>
      <c r="B684" t="inlineStr">
        <is>
          <t>L50</t>
        </is>
      </c>
      <c r="C684" t="n">
        <v>50</v>
      </c>
      <c r="D684" t="n">
        <v>12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1</v>
      </c>
      <c r="K684" t="b">
        <v>0</v>
      </c>
      <c r="L684" t="n">
        <v>10</v>
      </c>
      <c r="N684" t="inlineStr">
        <is>
          <t>00000000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</row>
    <row r="685">
      <c r="A685" t="inlineStr">
        <is>
          <t>Operations</t>
        </is>
      </c>
      <c r="B685" t="inlineStr">
        <is>
          <t>M50</t>
        </is>
      </c>
      <c r="C685" t="n">
        <v>50</v>
      </c>
      <c r="D685" t="n">
        <v>13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1</v>
      </c>
      <c r="K685" t="b">
        <v>0</v>
      </c>
      <c r="L685" t="n">
        <v>10</v>
      </c>
      <c r="N685" t="inlineStr">
        <is>
          <t>00000000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</row>
    <row r="686">
      <c r="A686" t="inlineStr">
        <is>
          <t>Operations</t>
        </is>
      </c>
      <c r="B686" t="inlineStr">
        <is>
          <t>N50</t>
        </is>
      </c>
      <c r="C686" t="n">
        <v>50</v>
      </c>
      <c r="D686" t="n">
        <v>14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1</v>
      </c>
      <c r="K686" t="b">
        <v>0</v>
      </c>
      <c r="L686" t="n">
        <v>10</v>
      </c>
      <c r="N686" t="inlineStr">
        <is>
          <t>00000000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</row>
    <row r="687">
      <c r="A687" t="inlineStr">
        <is>
          <t>Operations</t>
        </is>
      </c>
      <c r="B687" t="inlineStr">
        <is>
          <t>O50</t>
        </is>
      </c>
      <c r="C687" t="n">
        <v>50</v>
      </c>
      <c r="D687" t="n">
        <v>15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1</v>
      </c>
      <c r="K687" t="b">
        <v>0</v>
      </c>
      <c r="L687" t="n">
        <v>10</v>
      </c>
      <c r="N687" t="inlineStr">
        <is>
          <t>00000000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</row>
    <row r="688">
      <c r="A688" t="inlineStr">
        <is>
          <t>Operations</t>
        </is>
      </c>
      <c r="B688" t="inlineStr">
        <is>
          <t>A51</t>
        </is>
      </c>
      <c r="C688" t="n">
        <v>51</v>
      </c>
      <c r="D688" t="n">
        <v>1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1</v>
      </c>
      <c r="K688" t="b">
        <v>0</v>
      </c>
      <c r="L688" t="n">
        <v>10</v>
      </c>
      <c r="N688" t="inlineStr">
        <is>
          <t>00000000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</row>
    <row r="689">
      <c r="A689" t="inlineStr">
        <is>
          <t>Operations</t>
        </is>
      </c>
      <c r="B689" t="inlineStr">
        <is>
          <t>B51</t>
        </is>
      </c>
      <c r="C689" t="n">
        <v>51</v>
      </c>
      <c r="D689" t="n">
        <v>2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1</v>
      </c>
      <c r="K689" t="b">
        <v>0</v>
      </c>
      <c r="L689" t="n">
        <v>10</v>
      </c>
      <c r="N689" t="inlineStr">
        <is>
          <t>00000000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</row>
    <row r="690">
      <c r="A690" t="inlineStr">
        <is>
          <t>Operations</t>
        </is>
      </c>
      <c r="B690" t="inlineStr">
        <is>
          <t>C51</t>
        </is>
      </c>
      <c r="C690" t="n">
        <v>51</v>
      </c>
      <c r="D690" t="n">
        <v>3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1</v>
      </c>
      <c r="K690" t="b">
        <v>0</v>
      </c>
      <c r="L690" t="n">
        <v>10</v>
      </c>
      <c r="N690" t="inlineStr">
        <is>
          <t>00000000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</row>
    <row r="691">
      <c r="A691" t="inlineStr">
        <is>
          <t>Operations</t>
        </is>
      </c>
      <c r="B691" t="inlineStr">
        <is>
          <t>D51</t>
        </is>
      </c>
      <c r="C691" t="n">
        <v>51</v>
      </c>
      <c r="D691" t="n">
        <v>4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1</v>
      </c>
      <c r="K691" t="b">
        <v>0</v>
      </c>
      <c r="L691" t="n">
        <v>10</v>
      </c>
      <c r="N691" t="inlineStr">
        <is>
          <t>00000000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</row>
    <row r="692">
      <c r="A692" t="inlineStr">
        <is>
          <t>Operations</t>
        </is>
      </c>
      <c r="B692" t="inlineStr">
        <is>
          <t>E51</t>
        </is>
      </c>
      <c r="C692" t="n">
        <v>51</v>
      </c>
      <c r="D692" t="n">
        <v>5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1</v>
      </c>
      <c r="K692" t="b">
        <v>0</v>
      </c>
      <c r="L692" t="n">
        <v>10</v>
      </c>
      <c r="N692" t="inlineStr">
        <is>
          <t>00000000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</row>
    <row r="693">
      <c r="A693" t="inlineStr">
        <is>
          <t>Operations</t>
        </is>
      </c>
      <c r="B693" t="inlineStr">
        <is>
          <t>F51</t>
        </is>
      </c>
      <c r="C693" t="n">
        <v>51</v>
      </c>
      <c r="D693" t="n">
        <v>6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1</v>
      </c>
      <c r="K693" t="b">
        <v>0</v>
      </c>
      <c r="L693" t="n">
        <v>10</v>
      </c>
      <c r="N693" t="inlineStr">
        <is>
          <t>00000000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</row>
    <row r="694">
      <c r="A694" t="inlineStr">
        <is>
          <t>Operations</t>
        </is>
      </c>
      <c r="B694" t="inlineStr">
        <is>
          <t>G51</t>
        </is>
      </c>
      <c r="C694" t="n">
        <v>51</v>
      </c>
      <c r="D694" t="n">
        <v>7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1</v>
      </c>
      <c r="K694" t="b">
        <v>0</v>
      </c>
      <c r="L694" t="n">
        <v>10</v>
      </c>
      <c r="N694" t="inlineStr">
        <is>
          <t>00000000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</row>
    <row r="695">
      <c r="A695" t="inlineStr">
        <is>
          <t>Operations</t>
        </is>
      </c>
      <c r="B695" t="inlineStr">
        <is>
          <t>H51</t>
        </is>
      </c>
      <c r="C695" t="n">
        <v>51</v>
      </c>
      <c r="D695" t="n">
        <v>8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1</v>
      </c>
      <c r="K695" t="b">
        <v>0</v>
      </c>
      <c r="L695" t="n">
        <v>10</v>
      </c>
      <c r="N695" t="inlineStr">
        <is>
          <t>00000000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</row>
    <row r="696">
      <c r="A696" t="inlineStr">
        <is>
          <t>Operations</t>
        </is>
      </c>
      <c r="B696" t="inlineStr">
        <is>
          <t>I51</t>
        </is>
      </c>
      <c r="C696" t="n">
        <v>51</v>
      </c>
      <c r="D696" t="n">
        <v>9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1</v>
      </c>
      <c r="K696" t="b">
        <v>0</v>
      </c>
      <c r="L696" t="n">
        <v>10</v>
      </c>
      <c r="N696" t="inlineStr">
        <is>
          <t>00000000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</row>
    <row r="697">
      <c r="A697" t="inlineStr">
        <is>
          <t>Operations</t>
        </is>
      </c>
      <c r="B697" t="inlineStr">
        <is>
          <t>J51</t>
        </is>
      </c>
      <c r="C697" t="n">
        <v>51</v>
      </c>
      <c r="D697" t="n">
        <v>10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1</v>
      </c>
      <c r="K697" t="b">
        <v>0</v>
      </c>
      <c r="L697" t="n">
        <v>10</v>
      </c>
      <c r="N697" t="inlineStr">
        <is>
          <t>00000000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</row>
    <row r="698">
      <c r="A698" t="inlineStr">
        <is>
          <t>Operations</t>
        </is>
      </c>
      <c r="B698" t="inlineStr">
        <is>
          <t>K51</t>
        </is>
      </c>
      <c r="C698" t="n">
        <v>51</v>
      </c>
      <c r="D698" t="n">
        <v>11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1</v>
      </c>
      <c r="K698" t="b">
        <v>0</v>
      </c>
      <c r="L698" t="n">
        <v>10</v>
      </c>
      <c r="N698" t="inlineStr">
        <is>
          <t>00000000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</row>
    <row r="699">
      <c r="A699" t="inlineStr">
        <is>
          <t>Operations</t>
        </is>
      </c>
      <c r="B699" t="inlineStr">
        <is>
          <t>L51</t>
        </is>
      </c>
      <c r="C699" t="n">
        <v>51</v>
      </c>
      <c r="D699" t="n">
        <v>12</v>
      </c>
      <c r="E699" t="inlineStr">
        <is>
          <t>Input</t>
        </is>
      </c>
      <c r="F699" t="n">
        <v/>
      </c>
      <c r="H699" t="inlineStr"/>
      <c r="I699" t="inlineStr">
        <is>
          <t>General</t>
        </is>
      </c>
      <c r="J699" t="b">
        <v>1</v>
      </c>
      <c r="K699" t="b">
        <v>0</v>
      </c>
      <c r="L699" t="n">
        <v>10</v>
      </c>
      <c r="N699" t="inlineStr">
        <is>
          <t>00000000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0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</row>
    <row r="700">
      <c r="A700" t="inlineStr">
        <is>
          <t>Operations</t>
        </is>
      </c>
      <c r="B700" t="inlineStr">
        <is>
          <t>M51</t>
        </is>
      </c>
      <c r="C700" t="n">
        <v>51</v>
      </c>
      <c r="D700" t="n">
        <v>13</v>
      </c>
      <c r="E700" t="inlineStr">
        <is>
          <t>Input</t>
        </is>
      </c>
      <c r="F700" t="n">
        <v/>
      </c>
      <c r="H700" t="inlineStr"/>
      <c r="I700" t="inlineStr">
        <is>
          <t>General</t>
        </is>
      </c>
      <c r="J700" t="b">
        <v>1</v>
      </c>
      <c r="K700" t="b">
        <v>0</v>
      </c>
      <c r="L700" t="n">
        <v>10</v>
      </c>
      <c r="N700" t="inlineStr">
        <is>
          <t>00000000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</row>
    <row r="701">
      <c r="A701" t="inlineStr">
        <is>
          <t>Operations</t>
        </is>
      </c>
      <c r="B701" t="inlineStr">
        <is>
          <t>N51</t>
        </is>
      </c>
      <c r="C701" t="n">
        <v>51</v>
      </c>
      <c r="D701" t="n">
        <v>14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1</v>
      </c>
      <c r="K701" t="b">
        <v>0</v>
      </c>
      <c r="L701" t="n">
        <v>10</v>
      </c>
      <c r="N701" t="inlineStr">
        <is>
          <t>00000000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</row>
    <row r="702">
      <c r="A702" t="inlineStr">
        <is>
          <t>Operations</t>
        </is>
      </c>
      <c r="B702" t="inlineStr">
        <is>
          <t>O51</t>
        </is>
      </c>
      <c r="C702" t="n">
        <v>51</v>
      </c>
      <c r="D702" t="n">
        <v>15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1</v>
      </c>
      <c r="K702" t="b">
        <v>0</v>
      </c>
      <c r="L702" t="n">
        <v>10</v>
      </c>
      <c r="N702" t="inlineStr">
        <is>
          <t>00000000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</row>
    <row r="703">
      <c r="A703" t="inlineStr">
        <is>
          <t>Operations</t>
        </is>
      </c>
      <c r="B703" t="inlineStr">
        <is>
          <t>A52</t>
        </is>
      </c>
      <c r="C703" t="n">
        <v>52</v>
      </c>
      <c r="D703" t="n">
        <v>1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1</v>
      </c>
      <c r="K703" t="b">
        <v>0</v>
      </c>
      <c r="L703" t="n">
        <v>10</v>
      </c>
      <c r="N703" t="inlineStr">
        <is>
          <t>00000000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</row>
    <row r="704">
      <c r="A704" t="inlineStr">
        <is>
          <t>Operations</t>
        </is>
      </c>
      <c r="B704" t="inlineStr">
        <is>
          <t>B52</t>
        </is>
      </c>
      <c r="C704" t="n">
        <v>52</v>
      </c>
      <c r="D704" t="n">
        <v>2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1</v>
      </c>
      <c r="K704" t="b">
        <v>0</v>
      </c>
      <c r="L704" t="n">
        <v>10</v>
      </c>
      <c r="N704" t="inlineStr">
        <is>
          <t>00000000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</row>
    <row r="705">
      <c r="A705" t="inlineStr">
        <is>
          <t>Operations</t>
        </is>
      </c>
      <c r="B705" t="inlineStr">
        <is>
          <t>C52</t>
        </is>
      </c>
      <c r="C705" t="n">
        <v>52</v>
      </c>
      <c r="D705" t="n">
        <v>3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1</v>
      </c>
      <c r="K705" t="b">
        <v>0</v>
      </c>
      <c r="L705" t="n">
        <v>10</v>
      </c>
      <c r="N705" t="inlineStr">
        <is>
          <t>00000000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</row>
    <row r="706">
      <c r="A706" t="inlineStr">
        <is>
          <t>Operations</t>
        </is>
      </c>
      <c r="B706" t="inlineStr">
        <is>
          <t>D52</t>
        </is>
      </c>
      <c r="C706" t="n">
        <v>52</v>
      </c>
      <c r="D706" t="n">
        <v>4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1</v>
      </c>
      <c r="K706" t="b">
        <v>0</v>
      </c>
      <c r="L706" t="n">
        <v>10</v>
      </c>
      <c r="N706" t="inlineStr">
        <is>
          <t>00000000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</row>
    <row r="707">
      <c r="A707" t="inlineStr">
        <is>
          <t>Operations</t>
        </is>
      </c>
      <c r="B707" t="inlineStr">
        <is>
          <t>E52</t>
        </is>
      </c>
      <c r="C707" t="n">
        <v>52</v>
      </c>
      <c r="D707" t="n">
        <v>5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1</v>
      </c>
      <c r="K707" t="b">
        <v>0</v>
      </c>
      <c r="L707" t="n">
        <v>10</v>
      </c>
      <c r="N707" t="inlineStr">
        <is>
          <t>00000000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</row>
    <row r="708">
      <c r="A708" t="inlineStr">
        <is>
          <t>Operations</t>
        </is>
      </c>
      <c r="B708" t="inlineStr">
        <is>
          <t>F52</t>
        </is>
      </c>
      <c r="C708" t="n">
        <v>52</v>
      </c>
      <c r="D708" t="n">
        <v>6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1</v>
      </c>
      <c r="K708" t="b">
        <v>0</v>
      </c>
      <c r="L708" t="n">
        <v>10</v>
      </c>
      <c r="N708" t="inlineStr">
        <is>
          <t>00000000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</row>
    <row r="709">
      <c r="A709" t="inlineStr">
        <is>
          <t>Operations</t>
        </is>
      </c>
      <c r="B709" t="inlineStr">
        <is>
          <t>G52</t>
        </is>
      </c>
      <c r="C709" t="n">
        <v>52</v>
      </c>
      <c r="D709" t="n">
        <v>7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1</v>
      </c>
      <c r="K709" t="b">
        <v>0</v>
      </c>
      <c r="L709" t="n">
        <v>10</v>
      </c>
      <c r="N709" t="inlineStr">
        <is>
          <t>00000000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</row>
    <row r="710">
      <c r="A710" t="inlineStr">
        <is>
          <t>Operations</t>
        </is>
      </c>
      <c r="B710" t="inlineStr">
        <is>
          <t>H52</t>
        </is>
      </c>
      <c r="C710" t="n">
        <v>52</v>
      </c>
      <c r="D710" t="n">
        <v>8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1</v>
      </c>
      <c r="K710" t="b">
        <v>0</v>
      </c>
      <c r="L710" t="n">
        <v>10</v>
      </c>
      <c r="N710" t="inlineStr">
        <is>
          <t>00000000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</row>
    <row r="711">
      <c r="A711" t="inlineStr">
        <is>
          <t>Operations</t>
        </is>
      </c>
      <c r="B711" t="inlineStr">
        <is>
          <t>I52</t>
        </is>
      </c>
      <c r="C711" t="n">
        <v>52</v>
      </c>
      <c r="D711" t="n">
        <v>9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1</v>
      </c>
      <c r="K711" t="b">
        <v>0</v>
      </c>
      <c r="L711" t="n">
        <v>10</v>
      </c>
      <c r="N711" t="inlineStr">
        <is>
          <t>00000000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</row>
    <row r="712">
      <c r="A712" t="inlineStr">
        <is>
          <t>Operations</t>
        </is>
      </c>
      <c r="B712" t="inlineStr">
        <is>
          <t>J52</t>
        </is>
      </c>
      <c r="C712" t="n">
        <v>52</v>
      </c>
      <c r="D712" t="n">
        <v>10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1</v>
      </c>
      <c r="K712" t="b">
        <v>0</v>
      </c>
      <c r="L712" t="n">
        <v>10</v>
      </c>
      <c r="N712" t="inlineStr">
        <is>
          <t>00000000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</row>
    <row r="713">
      <c r="A713" t="inlineStr">
        <is>
          <t>Operations</t>
        </is>
      </c>
      <c r="B713" t="inlineStr">
        <is>
          <t>K52</t>
        </is>
      </c>
      <c r="C713" t="n">
        <v>52</v>
      </c>
      <c r="D713" t="n">
        <v>11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1</v>
      </c>
      <c r="K713" t="b">
        <v>0</v>
      </c>
      <c r="L713" t="n">
        <v>10</v>
      </c>
      <c r="N713" t="inlineStr">
        <is>
          <t>00000000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</row>
    <row r="714">
      <c r="A714" t="inlineStr">
        <is>
          <t>Operations</t>
        </is>
      </c>
      <c r="B714" t="inlineStr">
        <is>
          <t>L52</t>
        </is>
      </c>
      <c r="C714" t="n">
        <v>52</v>
      </c>
      <c r="D714" t="n">
        <v>12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1</v>
      </c>
      <c r="K714" t="b">
        <v>0</v>
      </c>
      <c r="L714" t="n">
        <v>10</v>
      </c>
      <c r="N714" t="inlineStr">
        <is>
          <t>00000000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</row>
    <row r="715">
      <c r="A715" t="inlineStr">
        <is>
          <t>Operations</t>
        </is>
      </c>
      <c r="B715" t="inlineStr">
        <is>
          <t>M52</t>
        </is>
      </c>
      <c r="C715" t="n">
        <v>52</v>
      </c>
      <c r="D715" t="n">
        <v>13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1</v>
      </c>
      <c r="K715" t="b">
        <v>0</v>
      </c>
      <c r="L715" t="n">
        <v>10</v>
      </c>
      <c r="N715" t="inlineStr">
        <is>
          <t>00000000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</row>
    <row r="716">
      <c r="A716" t="inlineStr">
        <is>
          <t>Operations</t>
        </is>
      </c>
      <c r="B716" t="inlineStr">
        <is>
          <t>N52</t>
        </is>
      </c>
      <c r="C716" t="n">
        <v>52</v>
      </c>
      <c r="D716" t="n">
        <v>14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1</v>
      </c>
      <c r="K716" t="b">
        <v>0</v>
      </c>
      <c r="L716" t="n">
        <v>10</v>
      </c>
      <c r="N716" t="inlineStr">
        <is>
          <t>00000000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</row>
    <row r="717">
      <c r="A717" t="inlineStr">
        <is>
          <t>Operations</t>
        </is>
      </c>
      <c r="B717" t="inlineStr">
        <is>
          <t>O52</t>
        </is>
      </c>
      <c r="C717" t="n">
        <v>52</v>
      </c>
      <c r="D717" t="n">
        <v>15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1</v>
      </c>
      <c r="K717" t="b">
        <v>0</v>
      </c>
      <c r="L717" t="n">
        <v>10</v>
      </c>
      <c r="N717" t="inlineStr">
        <is>
          <t>00000000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</row>
    <row r="718">
      <c r="A718" t="inlineStr">
        <is>
          <t>Operations</t>
        </is>
      </c>
      <c r="B718" t="inlineStr">
        <is>
          <t>A53</t>
        </is>
      </c>
      <c r="C718" t="n">
        <v>53</v>
      </c>
      <c r="D718" t="n">
        <v>1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1</v>
      </c>
      <c r="K718" t="b">
        <v>0</v>
      </c>
      <c r="L718" t="n">
        <v>10</v>
      </c>
      <c r="N718" t="inlineStr">
        <is>
          <t>00000000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</row>
    <row r="719">
      <c r="A719" t="inlineStr">
        <is>
          <t>Operations</t>
        </is>
      </c>
      <c r="B719" t="inlineStr">
        <is>
          <t>B53</t>
        </is>
      </c>
      <c r="C719" t="n">
        <v>53</v>
      </c>
      <c r="D719" t="n">
        <v>2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1</v>
      </c>
      <c r="K719" t="b">
        <v>0</v>
      </c>
      <c r="L719" t="n">
        <v>10</v>
      </c>
      <c r="N719" t="inlineStr">
        <is>
          <t>00000000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</row>
    <row r="720">
      <c r="A720" t="inlineStr">
        <is>
          <t>Operations</t>
        </is>
      </c>
      <c r="B720" t="inlineStr">
        <is>
          <t>C53</t>
        </is>
      </c>
      <c r="C720" t="n">
        <v>53</v>
      </c>
      <c r="D720" t="n">
        <v>3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1</v>
      </c>
      <c r="K720" t="b">
        <v>0</v>
      </c>
      <c r="L720" t="n">
        <v>10</v>
      </c>
      <c r="N720" t="inlineStr">
        <is>
          <t>00000000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</row>
    <row r="721">
      <c r="A721" t="inlineStr">
        <is>
          <t>Operations</t>
        </is>
      </c>
      <c r="B721" t="inlineStr">
        <is>
          <t>D53</t>
        </is>
      </c>
      <c r="C721" t="n">
        <v>53</v>
      </c>
      <c r="D721" t="n">
        <v>4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1</v>
      </c>
      <c r="K721" t="b">
        <v>0</v>
      </c>
      <c r="L721" t="n">
        <v>10</v>
      </c>
      <c r="N721" t="inlineStr">
        <is>
          <t>00000000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</row>
    <row r="722">
      <c r="A722" t="inlineStr">
        <is>
          <t>Operations</t>
        </is>
      </c>
      <c r="B722" t="inlineStr">
        <is>
          <t>E53</t>
        </is>
      </c>
      <c r="C722" t="n">
        <v>53</v>
      </c>
      <c r="D722" t="n">
        <v>5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1</v>
      </c>
      <c r="K722" t="b">
        <v>0</v>
      </c>
      <c r="L722" t="n">
        <v>10</v>
      </c>
      <c r="N722" t="inlineStr">
        <is>
          <t>00000000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</row>
    <row r="723">
      <c r="A723" t="inlineStr">
        <is>
          <t>Operations</t>
        </is>
      </c>
      <c r="B723" t="inlineStr">
        <is>
          <t>F53</t>
        </is>
      </c>
      <c r="C723" t="n">
        <v>53</v>
      </c>
      <c r="D723" t="n">
        <v>6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1</v>
      </c>
      <c r="K723" t="b">
        <v>0</v>
      </c>
      <c r="L723" t="n">
        <v>10</v>
      </c>
      <c r="N723" t="inlineStr">
        <is>
          <t>00000000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</row>
    <row r="724">
      <c r="A724" t="inlineStr">
        <is>
          <t>Operations</t>
        </is>
      </c>
      <c r="B724" t="inlineStr">
        <is>
          <t>G53</t>
        </is>
      </c>
      <c r="C724" t="n">
        <v>53</v>
      </c>
      <c r="D724" t="n">
        <v>7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1</v>
      </c>
      <c r="K724" t="b">
        <v>0</v>
      </c>
      <c r="L724" t="n">
        <v>10</v>
      </c>
      <c r="N724" t="inlineStr">
        <is>
          <t>00000000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</row>
    <row r="725">
      <c r="A725" t="inlineStr">
        <is>
          <t>Operations</t>
        </is>
      </c>
      <c r="B725" t="inlineStr">
        <is>
          <t>H53</t>
        </is>
      </c>
      <c r="C725" t="n">
        <v>53</v>
      </c>
      <c r="D725" t="n">
        <v>8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1</v>
      </c>
      <c r="K725" t="b">
        <v>0</v>
      </c>
      <c r="L725" t="n">
        <v>10</v>
      </c>
      <c r="N725" t="inlineStr">
        <is>
          <t>00000000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</row>
    <row r="726">
      <c r="A726" t="inlineStr">
        <is>
          <t>Operations</t>
        </is>
      </c>
      <c r="B726" t="inlineStr">
        <is>
          <t>I53</t>
        </is>
      </c>
      <c r="C726" t="n">
        <v>53</v>
      </c>
      <c r="D726" t="n">
        <v>9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1</v>
      </c>
      <c r="K726" t="b">
        <v>0</v>
      </c>
      <c r="L726" t="n">
        <v>10</v>
      </c>
      <c r="N726" t="inlineStr">
        <is>
          <t>00000000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</row>
    <row r="727">
      <c r="A727" t="inlineStr">
        <is>
          <t>Operations</t>
        </is>
      </c>
      <c r="B727" t="inlineStr">
        <is>
          <t>J53</t>
        </is>
      </c>
      <c r="C727" t="n">
        <v>53</v>
      </c>
      <c r="D727" t="n">
        <v>10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1</v>
      </c>
      <c r="K727" t="b">
        <v>0</v>
      </c>
      <c r="L727" t="n">
        <v>10</v>
      </c>
      <c r="N727" t="inlineStr">
        <is>
          <t>00000000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</row>
    <row r="728">
      <c r="A728" t="inlineStr">
        <is>
          <t>Operations</t>
        </is>
      </c>
      <c r="B728" t="inlineStr">
        <is>
          <t>K53</t>
        </is>
      </c>
      <c r="C728" t="n">
        <v>53</v>
      </c>
      <c r="D728" t="n">
        <v>11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1</v>
      </c>
      <c r="K728" t="b">
        <v>0</v>
      </c>
      <c r="L728" t="n">
        <v>10</v>
      </c>
      <c r="N728" t="inlineStr">
        <is>
          <t>00000000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</row>
    <row r="729">
      <c r="A729" t="inlineStr">
        <is>
          <t>Operations</t>
        </is>
      </c>
      <c r="B729" t="inlineStr">
        <is>
          <t>L53</t>
        </is>
      </c>
      <c r="C729" t="n">
        <v>53</v>
      </c>
      <c r="D729" t="n">
        <v>12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1</v>
      </c>
      <c r="K729" t="b">
        <v>0</v>
      </c>
      <c r="L729" t="n">
        <v>10</v>
      </c>
      <c r="N729" t="inlineStr">
        <is>
          <t>00000000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</row>
    <row r="730">
      <c r="A730" t="inlineStr">
        <is>
          <t>Operations</t>
        </is>
      </c>
      <c r="B730" t="inlineStr">
        <is>
          <t>M53</t>
        </is>
      </c>
      <c r="C730" t="n">
        <v>53</v>
      </c>
      <c r="D730" t="n">
        <v>13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1</v>
      </c>
      <c r="K730" t="b">
        <v>0</v>
      </c>
      <c r="L730" t="n">
        <v>10</v>
      </c>
      <c r="N730" t="inlineStr">
        <is>
          <t>00000000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</row>
    <row r="731">
      <c r="A731" t="inlineStr">
        <is>
          <t>Operations</t>
        </is>
      </c>
      <c r="B731" t="inlineStr">
        <is>
          <t>N53</t>
        </is>
      </c>
      <c r="C731" t="n">
        <v>53</v>
      </c>
      <c r="D731" t="n">
        <v>14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1</v>
      </c>
      <c r="K731" t="b">
        <v>0</v>
      </c>
      <c r="L731" t="n">
        <v>10</v>
      </c>
      <c r="N731" t="inlineStr">
        <is>
          <t>00000000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</row>
    <row r="732">
      <c r="A732" t="inlineStr">
        <is>
          <t>Operations</t>
        </is>
      </c>
      <c r="B732" t="inlineStr">
        <is>
          <t>O53</t>
        </is>
      </c>
      <c r="C732" t="n">
        <v>53</v>
      </c>
      <c r="D732" t="n">
        <v>15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1</v>
      </c>
      <c r="K732" t="b">
        <v>0</v>
      </c>
      <c r="L732" t="n">
        <v>10</v>
      </c>
      <c r="N732" t="inlineStr">
        <is>
          <t>00000000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</row>
    <row r="733">
      <c r="A733" t="inlineStr">
        <is>
          <t>Operations</t>
        </is>
      </c>
      <c r="B733" t="inlineStr">
        <is>
          <t>A54</t>
        </is>
      </c>
      <c r="C733" t="n">
        <v>54</v>
      </c>
      <c r="D733" t="n">
        <v>1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1</v>
      </c>
      <c r="K733" t="b">
        <v>0</v>
      </c>
      <c r="L733" t="n">
        <v>10</v>
      </c>
      <c r="N733" t="inlineStr">
        <is>
          <t>00000000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</row>
    <row r="734">
      <c r="A734" t="inlineStr">
        <is>
          <t>Operations</t>
        </is>
      </c>
      <c r="B734" t="inlineStr">
        <is>
          <t>B54</t>
        </is>
      </c>
      <c r="C734" t="n">
        <v>54</v>
      </c>
      <c r="D734" t="n">
        <v>2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1</v>
      </c>
      <c r="K734" t="b">
        <v>0</v>
      </c>
      <c r="L734" t="n">
        <v>10</v>
      </c>
      <c r="N734" t="inlineStr">
        <is>
          <t>00000000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</row>
    <row r="735">
      <c r="A735" t="inlineStr">
        <is>
          <t>Operations</t>
        </is>
      </c>
      <c r="B735" t="inlineStr">
        <is>
          <t>C54</t>
        </is>
      </c>
      <c r="C735" t="n">
        <v>54</v>
      </c>
      <c r="D735" t="n">
        <v>3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1</v>
      </c>
      <c r="K735" t="b">
        <v>0</v>
      </c>
      <c r="L735" t="n">
        <v>10</v>
      </c>
      <c r="N735" t="inlineStr">
        <is>
          <t>00000000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</row>
    <row r="736">
      <c r="A736" t="inlineStr">
        <is>
          <t>Operations</t>
        </is>
      </c>
      <c r="B736" t="inlineStr">
        <is>
          <t>D54</t>
        </is>
      </c>
      <c r="C736" t="n">
        <v>54</v>
      </c>
      <c r="D736" t="n">
        <v>4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1</v>
      </c>
      <c r="K736" t="b">
        <v>0</v>
      </c>
      <c r="L736" t="n">
        <v>10</v>
      </c>
      <c r="N736" t="inlineStr">
        <is>
          <t>00000000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</row>
    <row r="737">
      <c r="A737" t="inlineStr">
        <is>
          <t>Operations</t>
        </is>
      </c>
      <c r="B737" t="inlineStr">
        <is>
          <t>E54</t>
        </is>
      </c>
      <c r="C737" t="n">
        <v>54</v>
      </c>
      <c r="D737" t="n">
        <v>5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1</v>
      </c>
      <c r="K737" t="b">
        <v>0</v>
      </c>
      <c r="L737" t="n">
        <v>10</v>
      </c>
      <c r="N737" t="inlineStr">
        <is>
          <t>00000000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</row>
    <row r="738">
      <c r="A738" t="inlineStr">
        <is>
          <t>Operations</t>
        </is>
      </c>
      <c r="B738" t="inlineStr">
        <is>
          <t>F54</t>
        </is>
      </c>
      <c r="C738" t="n">
        <v>54</v>
      </c>
      <c r="D738" t="n">
        <v>6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1</v>
      </c>
      <c r="K738" t="b">
        <v>0</v>
      </c>
      <c r="L738" t="n">
        <v>10</v>
      </c>
      <c r="N738" t="inlineStr">
        <is>
          <t>00000000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</row>
    <row r="739">
      <c r="A739" t="inlineStr">
        <is>
          <t>Operations</t>
        </is>
      </c>
      <c r="B739" t="inlineStr">
        <is>
          <t>G54</t>
        </is>
      </c>
      <c r="C739" t="n">
        <v>54</v>
      </c>
      <c r="D739" t="n">
        <v>7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1</v>
      </c>
      <c r="K739" t="b">
        <v>0</v>
      </c>
      <c r="L739" t="n">
        <v>10</v>
      </c>
      <c r="N739" t="inlineStr">
        <is>
          <t>00000000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</row>
    <row r="740">
      <c r="A740" t="inlineStr">
        <is>
          <t>Operations</t>
        </is>
      </c>
      <c r="B740" t="inlineStr">
        <is>
          <t>H54</t>
        </is>
      </c>
      <c r="C740" t="n">
        <v>54</v>
      </c>
      <c r="D740" t="n">
        <v>8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1</v>
      </c>
      <c r="K740" t="b">
        <v>0</v>
      </c>
      <c r="L740" t="n">
        <v>10</v>
      </c>
      <c r="N740" t="inlineStr">
        <is>
          <t>00000000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</row>
    <row r="741">
      <c r="A741" t="inlineStr">
        <is>
          <t>Operations</t>
        </is>
      </c>
      <c r="B741" t="inlineStr">
        <is>
          <t>I54</t>
        </is>
      </c>
      <c r="C741" t="n">
        <v>54</v>
      </c>
      <c r="D741" t="n">
        <v>9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1</v>
      </c>
      <c r="K741" t="b">
        <v>0</v>
      </c>
      <c r="L741" t="n">
        <v>10</v>
      </c>
      <c r="N741" t="inlineStr">
        <is>
          <t>00000000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</row>
    <row r="742">
      <c r="A742" t="inlineStr">
        <is>
          <t>Operations</t>
        </is>
      </c>
      <c r="B742" t="inlineStr">
        <is>
          <t>J54</t>
        </is>
      </c>
      <c r="C742" t="n">
        <v>54</v>
      </c>
      <c r="D742" t="n">
        <v>10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1</v>
      </c>
      <c r="K742" t="b">
        <v>0</v>
      </c>
      <c r="L742" t="n">
        <v>10</v>
      </c>
      <c r="N742" t="inlineStr">
        <is>
          <t>00000000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</row>
    <row r="743">
      <c r="A743" t="inlineStr">
        <is>
          <t>Operations</t>
        </is>
      </c>
      <c r="B743" t="inlineStr">
        <is>
          <t>K54</t>
        </is>
      </c>
      <c r="C743" t="n">
        <v>54</v>
      </c>
      <c r="D743" t="n">
        <v>11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1</v>
      </c>
      <c r="K743" t="b">
        <v>0</v>
      </c>
      <c r="L743" t="n">
        <v>10</v>
      </c>
      <c r="N743" t="inlineStr">
        <is>
          <t>00000000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</row>
    <row r="744">
      <c r="A744" t="inlineStr">
        <is>
          <t>Operations</t>
        </is>
      </c>
      <c r="B744" t="inlineStr">
        <is>
          <t>L54</t>
        </is>
      </c>
      <c r="C744" t="n">
        <v>54</v>
      </c>
      <c r="D744" t="n">
        <v>12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1</v>
      </c>
      <c r="K744" t="b">
        <v>0</v>
      </c>
      <c r="L744" t="n">
        <v>10</v>
      </c>
      <c r="N744" t="inlineStr">
        <is>
          <t>00000000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</row>
    <row r="745">
      <c r="A745" t="inlineStr">
        <is>
          <t>Operations</t>
        </is>
      </c>
      <c r="B745" t="inlineStr">
        <is>
          <t>M54</t>
        </is>
      </c>
      <c r="C745" t="n">
        <v>54</v>
      </c>
      <c r="D745" t="n">
        <v>13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1</v>
      </c>
      <c r="K745" t="b">
        <v>0</v>
      </c>
      <c r="L745" t="n">
        <v>10</v>
      </c>
      <c r="N745" t="inlineStr">
        <is>
          <t>00000000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</row>
    <row r="746">
      <c r="A746" t="inlineStr">
        <is>
          <t>Operations</t>
        </is>
      </c>
      <c r="B746" t="inlineStr">
        <is>
          <t>N54</t>
        </is>
      </c>
      <c r="C746" t="n">
        <v>54</v>
      </c>
      <c r="D746" t="n">
        <v>14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1</v>
      </c>
      <c r="K746" t="b">
        <v>0</v>
      </c>
      <c r="L746" t="n">
        <v>10</v>
      </c>
      <c r="N746" t="inlineStr">
        <is>
          <t>00000000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</row>
    <row r="747">
      <c r="A747" t="inlineStr">
        <is>
          <t>Operations</t>
        </is>
      </c>
      <c r="B747" t="inlineStr">
        <is>
          <t>O54</t>
        </is>
      </c>
      <c r="C747" t="n">
        <v>54</v>
      </c>
      <c r="D747" t="n">
        <v>15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1</v>
      </c>
      <c r="K747" t="b">
        <v>0</v>
      </c>
      <c r="L747" t="n">
        <v>10</v>
      </c>
      <c r="N747" t="inlineStr">
        <is>
          <t>00000000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</row>
    <row r="748">
      <c r="A748" t="inlineStr">
        <is>
          <t>Operations</t>
        </is>
      </c>
      <c r="B748" t="inlineStr">
        <is>
          <t>A55</t>
        </is>
      </c>
      <c r="C748" t="n">
        <v>55</v>
      </c>
      <c r="D748" t="n">
        <v>1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1</v>
      </c>
      <c r="K748" t="b">
        <v>0</v>
      </c>
      <c r="L748" t="n">
        <v>10</v>
      </c>
      <c r="N748" t="inlineStr">
        <is>
          <t>00000000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</row>
    <row r="749">
      <c r="A749" t="inlineStr">
        <is>
          <t>Operations</t>
        </is>
      </c>
      <c r="B749" t="inlineStr">
        <is>
          <t>B55</t>
        </is>
      </c>
      <c r="C749" t="n">
        <v>55</v>
      </c>
      <c r="D749" t="n">
        <v>2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1</v>
      </c>
      <c r="K749" t="b">
        <v>0</v>
      </c>
      <c r="L749" t="n">
        <v>10</v>
      </c>
      <c r="N749" t="inlineStr">
        <is>
          <t>00000000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</row>
    <row r="750">
      <c r="A750" t="inlineStr">
        <is>
          <t>Operations</t>
        </is>
      </c>
      <c r="B750" t="inlineStr">
        <is>
          <t>C55</t>
        </is>
      </c>
      <c r="C750" t="n">
        <v>55</v>
      </c>
      <c r="D750" t="n">
        <v>3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1</v>
      </c>
      <c r="K750" t="b">
        <v>0</v>
      </c>
      <c r="L750" t="n">
        <v>10</v>
      </c>
      <c r="N750" t="inlineStr">
        <is>
          <t>00000000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</row>
    <row r="751">
      <c r="A751" t="inlineStr">
        <is>
          <t>Operations</t>
        </is>
      </c>
      <c r="B751" t="inlineStr">
        <is>
          <t>D55</t>
        </is>
      </c>
      <c r="C751" t="n">
        <v>55</v>
      </c>
      <c r="D751" t="n">
        <v>4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1</v>
      </c>
      <c r="K751" t="b">
        <v>0</v>
      </c>
      <c r="L751" t="n">
        <v>10</v>
      </c>
      <c r="N751" t="inlineStr">
        <is>
          <t>00000000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</row>
    <row r="752">
      <c r="A752" t="inlineStr">
        <is>
          <t>Operations</t>
        </is>
      </c>
      <c r="B752" t="inlineStr">
        <is>
          <t>E55</t>
        </is>
      </c>
      <c r="C752" t="n">
        <v>55</v>
      </c>
      <c r="D752" t="n">
        <v>5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1</v>
      </c>
      <c r="K752" t="b">
        <v>0</v>
      </c>
      <c r="L752" t="n">
        <v>10</v>
      </c>
      <c r="N752" t="inlineStr">
        <is>
          <t>00000000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</row>
    <row r="753">
      <c r="A753" t="inlineStr">
        <is>
          <t>Operations</t>
        </is>
      </c>
      <c r="B753" t="inlineStr">
        <is>
          <t>F55</t>
        </is>
      </c>
      <c r="C753" t="n">
        <v>55</v>
      </c>
      <c r="D753" t="n">
        <v>6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1</v>
      </c>
      <c r="K753" t="b">
        <v>0</v>
      </c>
      <c r="L753" t="n">
        <v>10</v>
      </c>
      <c r="N753" t="inlineStr">
        <is>
          <t>00000000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</row>
    <row r="754">
      <c r="A754" t="inlineStr">
        <is>
          <t>Operations</t>
        </is>
      </c>
      <c r="B754" t="inlineStr">
        <is>
          <t>G55</t>
        </is>
      </c>
      <c r="C754" t="n">
        <v>55</v>
      </c>
      <c r="D754" t="n">
        <v>7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1</v>
      </c>
      <c r="K754" t="b">
        <v>0</v>
      </c>
      <c r="L754" t="n">
        <v>10</v>
      </c>
      <c r="N754" t="inlineStr">
        <is>
          <t>00000000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</row>
    <row r="755">
      <c r="A755" t="inlineStr">
        <is>
          <t>Operations</t>
        </is>
      </c>
      <c r="B755" t="inlineStr">
        <is>
          <t>H55</t>
        </is>
      </c>
      <c r="C755" t="n">
        <v>55</v>
      </c>
      <c r="D755" t="n">
        <v>8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1</v>
      </c>
      <c r="K755" t="b">
        <v>0</v>
      </c>
      <c r="L755" t="n">
        <v>10</v>
      </c>
      <c r="N755" t="inlineStr">
        <is>
          <t>00000000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</row>
    <row r="756">
      <c r="A756" t="inlineStr">
        <is>
          <t>Operations</t>
        </is>
      </c>
      <c r="B756" t="inlineStr">
        <is>
          <t>I55</t>
        </is>
      </c>
      <c r="C756" t="n">
        <v>55</v>
      </c>
      <c r="D756" t="n">
        <v>9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1</v>
      </c>
      <c r="K756" t="b">
        <v>0</v>
      </c>
      <c r="L756" t="n">
        <v>10</v>
      </c>
      <c r="N756" t="inlineStr">
        <is>
          <t>00000000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</row>
    <row r="757">
      <c r="A757" t="inlineStr">
        <is>
          <t>Operations</t>
        </is>
      </c>
      <c r="B757" t="inlineStr">
        <is>
          <t>J55</t>
        </is>
      </c>
      <c r="C757" t="n">
        <v>55</v>
      </c>
      <c r="D757" t="n">
        <v>10</v>
      </c>
      <c r="E757" t="inlineStr">
        <is>
          <t>Input</t>
        </is>
      </c>
      <c r="F757" t="n">
        <v/>
      </c>
      <c r="H757" t="inlineStr"/>
      <c r="I757" t="inlineStr">
        <is>
          <t>General</t>
        </is>
      </c>
      <c r="J757" t="b">
        <v>1</v>
      </c>
      <c r="K757" t="b">
        <v>0</v>
      </c>
      <c r="L757" t="n">
        <v>10</v>
      </c>
      <c r="N757" t="inlineStr">
        <is>
          <t>00000000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0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</row>
    <row r="758">
      <c r="A758" t="inlineStr">
        <is>
          <t>Operations</t>
        </is>
      </c>
      <c r="B758" t="inlineStr">
        <is>
          <t>K55</t>
        </is>
      </c>
      <c r="C758" t="n">
        <v>55</v>
      </c>
      <c r="D758" t="n">
        <v>11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1</v>
      </c>
      <c r="K758" t="b">
        <v>0</v>
      </c>
      <c r="L758" t="n">
        <v>10</v>
      </c>
      <c r="N758" t="inlineStr">
        <is>
          <t>00000000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</row>
    <row r="759">
      <c r="A759" t="inlineStr">
        <is>
          <t>Operations</t>
        </is>
      </c>
      <c r="B759" t="inlineStr">
        <is>
          <t>L55</t>
        </is>
      </c>
      <c r="C759" t="n">
        <v>55</v>
      </c>
      <c r="D759" t="n">
        <v>12</v>
      </c>
      <c r="E759" t="inlineStr">
        <is>
          <t>Input</t>
        </is>
      </c>
      <c r="F759" t="n">
        <v/>
      </c>
      <c r="H759" t="inlineStr"/>
      <c r="I759" t="inlineStr">
        <is>
          <t>General</t>
        </is>
      </c>
      <c r="J759" t="b">
        <v>1</v>
      </c>
      <c r="K759" t="b">
        <v>0</v>
      </c>
      <c r="L759" t="n">
        <v>10</v>
      </c>
      <c r="N759" t="inlineStr">
        <is>
          <t>00000000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</row>
    <row r="760">
      <c r="A760" t="inlineStr">
        <is>
          <t>Operations</t>
        </is>
      </c>
      <c r="B760" t="inlineStr">
        <is>
          <t>M55</t>
        </is>
      </c>
      <c r="C760" t="n">
        <v>55</v>
      </c>
      <c r="D760" t="n">
        <v>13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1</v>
      </c>
      <c r="K760" t="b">
        <v>0</v>
      </c>
      <c r="L760" t="n">
        <v>10</v>
      </c>
      <c r="N760" t="inlineStr">
        <is>
          <t>00000000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</row>
    <row r="761">
      <c r="A761" t="inlineStr">
        <is>
          <t>Operations</t>
        </is>
      </c>
      <c r="B761" t="inlineStr">
        <is>
          <t>N55</t>
        </is>
      </c>
      <c r="C761" t="n">
        <v>55</v>
      </c>
      <c r="D761" t="n">
        <v>14</v>
      </c>
      <c r="E761" t="inlineStr">
        <is>
          <t>Input</t>
        </is>
      </c>
      <c r="F761" t="n">
        <v/>
      </c>
      <c r="H761" t="inlineStr"/>
      <c r="I761" t="inlineStr">
        <is>
          <t>General</t>
        </is>
      </c>
      <c r="J761" t="b">
        <v>1</v>
      </c>
      <c r="K761" t="b">
        <v>0</v>
      </c>
      <c r="L761" t="n">
        <v>10</v>
      </c>
      <c r="N761" t="inlineStr">
        <is>
          <t>00000000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0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</row>
    <row r="762">
      <c r="A762" t="inlineStr">
        <is>
          <t>Operations</t>
        </is>
      </c>
      <c r="B762" t="inlineStr">
        <is>
          <t>O55</t>
        </is>
      </c>
      <c r="C762" t="n">
        <v>55</v>
      </c>
      <c r="D762" t="n">
        <v>15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1</v>
      </c>
      <c r="K762" t="b">
        <v>0</v>
      </c>
      <c r="L762" t="n">
        <v>10</v>
      </c>
      <c r="N762" t="inlineStr">
        <is>
          <t>00000000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</row>
    <row r="763">
      <c r="A763" t="inlineStr">
        <is>
          <t>Operations</t>
        </is>
      </c>
      <c r="B763" t="inlineStr">
        <is>
          <t>A56</t>
        </is>
      </c>
      <c r="C763" t="n">
        <v>56</v>
      </c>
      <c r="D763" t="n">
        <v>1</v>
      </c>
      <c r="E763" t="inlineStr">
        <is>
          <t>Input</t>
        </is>
      </c>
      <c r="F763" t="n">
        <v/>
      </c>
      <c r="H763" t="inlineStr"/>
      <c r="I763" t="inlineStr">
        <is>
          <t>General</t>
        </is>
      </c>
      <c r="J763" t="b">
        <v>1</v>
      </c>
      <c r="K763" t="b">
        <v>0</v>
      </c>
      <c r="L763" t="n">
        <v>10</v>
      </c>
      <c r="N763" t="inlineStr">
        <is>
          <t>00000000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</row>
    <row r="764">
      <c r="A764" t="inlineStr">
        <is>
          <t>Operations</t>
        </is>
      </c>
      <c r="B764" t="inlineStr">
        <is>
          <t>B56</t>
        </is>
      </c>
      <c r="C764" t="n">
        <v>56</v>
      </c>
      <c r="D764" t="n">
        <v>2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1</v>
      </c>
      <c r="K764" t="b">
        <v>0</v>
      </c>
      <c r="L764" t="n">
        <v>10</v>
      </c>
      <c r="N764" t="inlineStr">
        <is>
          <t>00000000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</row>
    <row r="765">
      <c r="A765" t="inlineStr">
        <is>
          <t>Operations</t>
        </is>
      </c>
      <c r="B765" t="inlineStr">
        <is>
          <t>C56</t>
        </is>
      </c>
      <c r="C765" t="n">
        <v>56</v>
      </c>
      <c r="D765" t="n">
        <v>3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1</v>
      </c>
      <c r="K765" t="b">
        <v>0</v>
      </c>
      <c r="L765" t="n">
        <v>10</v>
      </c>
      <c r="N765" t="inlineStr">
        <is>
          <t>00000000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</row>
    <row r="766">
      <c r="A766" t="inlineStr">
        <is>
          <t>Operations</t>
        </is>
      </c>
      <c r="B766" t="inlineStr">
        <is>
          <t>D56</t>
        </is>
      </c>
      <c r="C766" t="n">
        <v>56</v>
      </c>
      <c r="D766" t="n">
        <v>4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1</v>
      </c>
      <c r="K766" t="b">
        <v>0</v>
      </c>
      <c r="L766" t="n">
        <v>10</v>
      </c>
      <c r="N766" t="inlineStr">
        <is>
          <t>00000000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</row>
    <row r="767">
      <c r="A767" t="inlineStr">
        <is>
          <t>Operations</t>
        </is>
      </c>
      <c r="B767" t="inlineStr">
        <is>
          <t>E56</t>
        </is>
      </c>
      <c r="C767" t="n">
        <v>56</v>
      </c>
      <c r="D767" t="n">
        <v>5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1</v>
      </c>
      <c r="K767" t="b">
        <v>0</v>
      </c>
      <c r="L767" t="n">
        <v>10</v>
      </c>
      <c r="N767" t="inlineStr">
        <is>
          <t>00000000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S767" t="n">
        <v/>
      </c>
      <c r="T767" t="n">
        <v/>
      </c>
      <c r="U767" t="n">
        <v/>
      </c>
      <c r="V767" t="b">
        <v>0</v>
      </c>
      <c r="W767" t="inlineStr"/>
      <c r="X767" t="n">
        <v/>
      </c>
    </row>
    <row r="768">
      <c r="A768" t="inlineStr">
        <is>
          <t>Operations</t>
        </is>
      </c>
      <c r="B768" t="inlineStr">
        <is>
          <t>F56</t>
        </is>
      </c>
      <c r="C768" t="n">
        <v>56</v>
      </c>
      <c r="D768" t="n">
        <v>6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1</v>
      </c>
      <c r="K768" t="b">
        <v>0</v>
      </c>
      <c r="L768" t="n">
        <v>10</v>
      </c>
      <c r="N768" t="inlineStr">
        <is>
          <t>00000000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</row>
    <row r="769">
      <c r="A769" t="inlineStr">
        <is>
          <t>Operations</t>
        </is>
      </c>
      <c r="B769" t="inlineStr">
        <is>
          <t>G56</t>
        </is>
      </c>
      <c r="C769" t="n">
        <v>56</v>
      </c>
      <c r="D769" t="n">
        <v>7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1</v>
      </c>
      <c r="K769" t="b">
        <v>0</v>
      </c>
      <c r="L769" t="n">
        <v>10</v>
      </c>
      <c r="N769" t="inlineStr">
        <is>
          <t>00000000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</row>
    <row r="770">
      <c r="A770" t="inlineStr">
        <is>
          <t>Operations</t>
        </is>
      </c>
      <c r="B770" t="inlineStr">
        <is>
          <t>H56</t>
        </is>
      </c>
      <c r="C770" t="n">
        <v>56</v>
      </c>
      <c r="D770" t="n">
        <v>8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1</v>
      </c>
      <c r="K770" t="b">
        <v>0</v>
      </c>
      <c r="L770" t="n">
        <v>10</v>
      </c>
      <c r="N770" t="inlineStr">
        <is>
          <t>00000000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</row>
    <row r="771">
      <c r="A771" t="inlineStr">
        <is>
          <t>Operations</t>
        </is>
      </c>
      <c r="B771" t="inlineStr">
        <is>
          <t>I56</t>
        </is>
      </c>
      <c r="C771" t="n">
        <v>56</v>
      </c>
      <c r="D771" t="n">
        <v>9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1</v>
      </c>
      <c r="K771" t="b">
        <v>0</v>
      </c>
      <c r="L771" t="n">
        <v>10</v>
      </c>
      <c r="N771" t="inlineStr">
        <is>
          <t>00000000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</row>
    <row r="772">
      <c r="A772" t="inlineStr">
        <is>
          <t>Operations</t>
        </is>
      </c>
      <c r="B772" t="inlineStr">
        <is>
          <t>J56</t>
        </is>
      </c>
      <c r="C772" t="n">
        <v>56</v>
      </c>
      <c r="D772" t="n">
        <v>10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1</v>
      </c>
      <c r="K772" t="b">
        <v>0</v>
      </c>
      <c r="L772" t="n">
        <v>10</v>
      </c>
      <c r="N772" t="inlineStr">
        <is>
          <t>00000000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</row>
    <row r="773">
      <c r="A773" t="inlineStr">
        <is>
          <t>Operations</t>
        </is>
      </c>
      <c r="B773" t="inlineStr">
        <is>
          <t>K56</t>
        </is>
      </c>
      <c r="C773" t="n">
        <v>56</v>
      </c>
      <c r="D773" t="n">
        <v>11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1</v>
      </c>
      <c r="K773" t="b">
        <v>0</v>
      </c>
      <c r="L773" t="n">
        <v>10</v>
      </c>
      <c r="N773" t="inlineStr">
        <is>
          <t>00000000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</row>
    <row r="774">
      <c r="A774" t="inlineStr">
        <is>
          <t>Operations</t>
        </is>
      </c>
      <c r="B774" t="inlineStr">
        <is>
          <t>L56</t>
        </is>
      </c>
      <c r="C774" t="n">
        <v>56</v>
      </c>
      <c r="D774" t="n">
        <v>12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1</v>
      </c>
      <c r="K774" t="b">
        <v>0</v>
      </c>
      <c r="L774" t="n">
        <v>10</v>
      </c>
      <c r="N774" t="inlineStr">
        <is>
          <t>00000000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</row>
    <row r="775">
      <c r="A775" t="inlineStr">
        <is>
          <t>Operations</t>
        </is>
      </c>
      <c r="B775" t="inlineStr">
        <is>
          <t>M56</t>
        </is>
      </c>
      <c r="C775" t="n">
        <v>56</v>
      </c>
      <c r="D775" t="n">
        <v>13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1</v>
      </c>
      <c r="K775" t="b">
        <v>0</v>
      </c>
      <c r="L775" t="n">
        <v>10</v>
      </c>
      <c r="N775" t="inlineStr">
        <is>
          <t>00000000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</row>
    <row r="776">
      <c r="A776" t="inlineStr">
        <is>
          <t>Operations</t>
        </is>
      </c>
      <c r="B776" t="inlineStr">
        <is>
          <t>N56</t>
        </is>
      </c>
      <c r="C776" t="n">
        <v>56</v>
      </c>
      <c r="D776" t="n">
        <v>14</v>
      </c>
      <c r="E776" t="inlineStr">
        <is>
          <t>Input</t>
        </is>
      </c>
      <c r="F776" t="n">
        <v/>
      </c>
      <c r="H776" t="inlineStr"/>
      <c r="I776" t="inlineStr">
        <is>
          <t>General</t>
        </is>
      </c>
      <c r="J776" t="b">
        <v>1</v>
      </c>
      <c r="K776" t="b">
        <v>0</v>
      </c>
      <c r="L776" t="n">
        <v>10</v>
      </c>
      <c r="N776" t="inlineStr">
        <is>
          <t>00000000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</row>
    <row r="777">
      <c r="A777" t="inlineStr">
        <is>
          <t>Operations</t>
        </is>
      </c>
      <c r="B777" t="inlineStr">
        <is>
          <t>O56</t>
        </is>
      </c>
      <c r="C777" t="n">
        <v>56</v>
      </c>
      <c r="D777" t="n">
        <v>15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1</v>
      </c>
      <c r="K777" t="b">
        <v>0</v>
      </c>
      <c r="L777" t="n">
        <v>10</v>
      </c>
      <c r="N777" t="inlineStr">
        <is>
          <t>00000000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</row>
    <row r="778">
      <c r="A778" t="inlineStr">
        <is>
          <t>Operations</t>
        </is>
      </c>
      <c r="B778" t="inlineStr">
        <is>
          <t>A57</t>
        </is>
      </c>
      <c r="C778" t="n">
        <v>57</v>
      </c>
      <c r="D778" t="n">
        <v>1</v>
      </c>
      <c r="E778" t="inlineStr">
        <is>
          <t>Input</t>
        </is>
      </c>
      <c r="F778" t="n">
        <v/>
      </c>
      <c r="H778" t="inlineStr"/>
      <c r="I778" t="inlineStr">
        <is>
          <t>General</t>
        </is>
      </c>
      <c r="J778" t="b">
        <v>1</v>
      </c>
      <c r="K778" t="b">
        <v>0</v>
      </c>
      <c r="L778" t="n">
        <v>10</v>
      </c>
      <c r="N778" t="inlineStr">
        <is>
          <t>00000000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</row>
    <row r="779">
      <c r="A779" t="inlineStr">
        <is>
          <t>Operations</t>
        </is>
      </c>
      <c r="B779" t="inlineStr">
        <is>
          <t>B57</t>
        </is>
      </c>
      <c r="C779" t="n">
        <v>57</v>
      </c>
      <c r="D779" t="n">
        <v>2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1</v>
      </c>
      <c r="K779" t="b">
        <v>0</v>
      </c>
      <c r="L779" t="n">
        <v>10</v>
      </c>
      <c r="N779" t="inlineStr">
        <is>
          <t>00000000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</row>
    <row r="780">
      <c r="A780" t="inlineStr">
        <is>
          <t>Operations</t>
        </is>
      </c>
      <c r="B780" t="inlineStr">
        <is>
          <t>C57</t>
        </is>
      </c>
      <c r="C780" t="n">
        <v>57</v>
      </c>
      <c r="D780" t="n">
        <v>3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1</v>
      </c>
      <c r="K780" t="b">
        <v>0</v>
      </c>
      <c r="L780" t="n">
        <v>10</v>
      </c>
      <c r="N780" t="inlineStr">
        <is>
          <t>00000000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</row>
    <row r="781">
      <c r="A781" t="inlineStr">
        <is>
          <t>Operations</t>
        </is>
      </c>
      <c r="B781" t="inlineStr">
        <is>
          <t>D57</t>
        </is>
      </c>
      <c r="C781" t="n">
        <v>57</v>
      </c>
      <c r="D781" t="n">
        <v>4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1</v>
      </c>
      <c r="K781" t="b">
        <v>0</v>
      </c>
      <c r="L781" t="n">
        <v>10</v>
      </c>
      <c r="N781" t="inlineStr">
        <is>
          <t>00000000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</row>
    <row r="782">
      <c r="A782" t="inlineStr">
        <is>
          <t>Operations</t>
        </is>
      </c>
      <c r="B782" t="inlineStr">
        <is>
          <t>E57</t>
        </is>
      </c>
      <c r="C782" t="n">
        <v>57</v>
      </c>
      <c r="D782" t="n">
        <v>5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1</v>
      </c>
      <c r="K782" t="b">
        <v>0</v>
      </c>
      <c r="L782" t="n">
        <v>10</v>
      </c>
      <c r="N782" t="inlineStr">
        <is>
          <t>00000000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</row>
    <row r="783">
      <c r="A783" t="inlineStr">
        <is>
          <t>Operations</t>
        </is>
      </c>
      <c r="B783" t="inlineStr">
        <is>
          <t>F57</t>
        </is>
      </c>
      <c r="C783" t="n">
        <v>57</v>
      </c>
      <c r="D783" t="n">
        <v>6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1</v>
      </c>
      <c r="K783" t="b">
        <v>0</v>
      </c>
      <c r="L783" t="n">
        <v>10</v>
      </c>
      <c r="N783" t="inlineStr">
        <is>
          <t>00000000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</row>
    <row r="784">
      <c r="A784" t="inlineStr">
        <is>
          <t>Operations</t>
        </is>
      </c>
      <c r="B784" t="inlineStr">
        <is>
          <t>G57</t>
        </is>
      </c>
      <c r="C784" t="n">
        <v>57</v>
      </c>
      <c r="D784" t="n">
        <v>7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1</v>
      </c>
      <c r="K784" t="b">
        <v>0</v>
      </c>
      <c r="L784" t="n">
        <v>10</v>
      </c>
      <c r="N784" t="inlineStr">
        <is>
          <t>00000000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</row>
    <row r="785">
      <c r="A785" t="inlineStr">
        <is>
          <t>Operations</t>
        </is>
      </c>
      <c r="B785" t="inlineStr">
        <is>
          <t>H57</t>
        </is>
      </c>
      <c r="C785" t="n">
        <v>57</v>
      </c>
      <c r="D785" t="n">
        <v>8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1</v>
      </c>
      <c r="K785" t="b">
        <v>0</v>
      </c>
      <c r="L785" t="n">
        <v>10</v>
      </c>
      <c r="N785" t="inlineStr">
        <is>
          <t>00000000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</row>
    <row r="786">
      <c r="A786" t="inlineStr">
        <is>
          <t>Operations</t>
        </is>
      </c>
      <c r="B786" t="inlineStr">
        <is>
          <t>I57</t>
        </is>
      </c>
      <c r="C786" t="n">
        <v>57</v>
      </c>
      <c r="D786" t="n">
        <v>9</v>
      </c>
      <c r="E786" t="inlineStr">
        <is>
          <t>Input</t>
        </is>
      </c>
      <c r="F786" t="n">
        <v/>
      </c>
      <c r="H786" t="inlineStr"/>
      <c r="I786" t="inlineStr">
        <is>
          <t>General</t>
        </is>
      </c>
      <c r="J786" t="b">
        <v>1</v>
      </c>
      <c r="K786" t="b">
        <v>0</v>
      </c>
      <c r="L786" t="n">
        <v>10</v>
      </c>
      <c r="N786" t="inlineStr">
        <is>
          <t>00000000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S786" t="n">
        <v/>
      </c>
      <c r="T786" t="n">
        <v/>
      </c>
      <c r="U786" t="n">
        <v/>
      </c>
      <c r="V786" t="b">
        <v>0</v>
      </c>
      <c r="W786" t="inlineStr"/>
      <c r="X786" t="n">
        <v/>
      </c>
    </row>
    <row r="787">
      <c r="A787" t="inlineStr">
        <is>
          <t>Operations</t>
        </is>
      </c>
      <c r="B787" t="inlineStr">
        <is>
          <t>J57</t>
        </is>
      </c>
      <c r="C787" t="n">
        <v>57</v>
      </c>
      <c r="D787" t="n">
        <v>10</v>
      </c>
      <c r="E787" t="inlineStr">
        <is>
          <t>Input</t>
        </is>
      </c>
      <c r="F787" t="n">
        <v/>
      </c>
      <c r="H787" t="inlineStr"/>
      <c r="I787" t="inlineStr">
        <is>
          <t>General</t>
        </is>
      </c>
      <c r="J787" t="b">
        <v>1</v>
      </c>
      <c r="K787" t="b">
        <v>0</v>
      </c>
      <c r="L787" t="n">
        <v>10</v>
      </c>
      <c r="N787" t="inlineStr">
        <is>
          <t>00000000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S787" t="n">
        <v/>
      </c>
      <c r="T787" t="n">
        <v/>
      </c>
      <c r="U787" t="n">
        <v/>
      </c>
      <c r="V787" t="b">
        <v>0</v>
      </c>
      <c r="W787" t="inlineStr"/>
      <c r="X787" t="n">
        <v/>
      </c>
    </row>
    <row r="788">
      <c r="A788" t="inlineStr">
        <is>
          <t>Operations</t>
        </is>
      </c>
      <c r="B788" t="inlineStr">
        <is>
          <t>K57</t>
        </is>
      </c>
      <c r="C788" t="n">
        <v>57</v>
      </c>
      <c r="D788" t="n">
        <v>11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1</v>
      </c>
      <c r="K788" t="b">
        <v>0</v>
      </c>
      <c r="L788" t="n">
        <v>10</v>
      </c>
      <c r="N788" t="inlineStr">
        <is>
          <t>00000000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</row>
    <row r="789">
      <c r="A789" t="inlineStr">
        <is>
          <t>Operations</t>
        </is>
      </c>
      <c r="B789" t="inlineStr">
        <is>
          <t>L57</t>
        </is>
      </c>
      <c r="C789" t="n">
        <v>57</v>
      </c>
      <c r="D789" t="n">
        <v>12</v>
      </c>
      <c r="E789" t="inlineStr">
        <is>
          <t>Input</t>
        </is>
      </c>
      <c r="F789" t="n">
        <v/>
      </c>
      <c r="H789" t="inlineStr"/>
      <c r="I789" t="inlineStr">
        <is>
          <t>General</t>
        </is>
      </c>
      <c r="J789" t="b">
        <v>1</v>
      </c>
      <c r="K789" t="b">
        <v>0</v>
      </c>
      <c r="L789" t="n">
        <v>10</v>
      </c>
      <c r="N789" t="inlineStr">
        <is>
          <t>00000000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</row>
    <row r="790">
      <c r="A790" t="inlineStr">
        <is>
          <t>Operations</t>
        </is>
      </c>
      <c r="B790" t="inlineStr">
        <is>
          <t>M57</t>
        </is>
      </c>
      <c r="C790" t="n">
        <v>57</v>
      </c>
      <c r="D790" t="n">
        <v>13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1</v>
      </c>
      <c r="K790" t="b">
        <v>0</v>
      </c>
      <c r="L790" t="n">
        <v>10</v>
      </c>
      <c r="N790" t="inlineStr">
        <is>
          <t>00000000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</row>
    <row r="791">
      <c r="A791" t="inlineStr">
        <is>
          <t>Operations</t>
        </is>
      </c>
      <c r="B791" t="inlineStr">
        <is>
          <t>N57</t>
        </is>
      </c>
      <c r="C791" t="n">
        <v>57</v>
      </c>
      <c r="D791" t="n">
        <v>14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1</v>
      </c>
      <c r="K791" t="b">
        <v>0</v>
      </c>
      <c r="L791" t="n">
        <v>10</v>
      </c>
      <c r="N791" t="inlineStr">
        <is>
          <t>00000000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</row>
    <row r="792">
      <c r="A792" t="inlineStr">
        <is>
          <t>Operations</t>
        </is>
      </c>
      <c r="B792" t="inlineStr">
        <is>
          <t>O57</t>
        </is>
      </c>
      <c r="C792" t="n">
        <v>57</v>
      </c>
      <c r="D792" t="n">
        <v>15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1</v>
      </c>
      <c r="K792" t="b">
        <v>0</v>
      </c>
      <c r="L792" t="n">
        <v>10</v>
      </c>
      <c r="N792" t="inlineStr">
        <is>
          <t>00000000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</row>
    <row r="793">
      <c r="A793" t="inlineStr">
        <is>
          <t>Operations</t>
        </is>
      </c>
      <c r="B793" t="inlineStr">
        <is>
          <t>A58</t>
        </is>
      </c>
      <c r="C793" t="n">
        <v>58</v>
      </c>
      <c r="D793" t="n">
        <v>1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1</v>
      </c>
      <c r="K793" t="b">
        <v>0</v>
      </c>
      <c r="L793" t="n">
        <v>10</v>
      </c>
      <c r="N793" t="inlineStr">
        <is>
          <t>00000000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</row>
    <row r="794">
      <c r="A794" t="inlineStr">
        <is>
          <t>Operations</t>
        </is>
      </c>
      <c r="B794" t="inlineStr">
        <is>
          <t>B58</t>
        </is>
      </c>
      <c r="C794" t="n">
        <v>58</v>
      </c>
      <c r="D794" t="n">
        <v>2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1</v>
      </c>
      <c r="K794" t="b">
        <v>0</v>
      </c>
      <c r="L794" t="n">
        <v>10</v>
      </c>
      <c r="N794" t="inlineStr">
        <is>
          <t>00000000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</row>
    <row r="795">
      <c r="A795" t="inlineStr">
        <is>
          <t>Operations</t>
        </is>
      </c>
      <c r="B795" t="inlineStr">
        <is>
          <t>C58</t>
        </is>
      </c>
      <c r="C795" t="n">
        <v>58</v>
      </c>
      <c r="D795" t="n">
        <v>3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1</v>
      </c>
      <c r="K795" t="b">
        <v>0</v>
      </c>
      <c r="L795" t="n">
        <v>10</v>
      </c>
      <c r="N795" t="inlineStr">
        <is>
          <t>00000000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</row>
    <row r="796">
      <c r="A796" t="inlineStr">
        <is>
          <t>Operations</t>
        </is>
      </c>
      <c r="B796" t="inlineStr">
        <is>
          <t>D58</t>
        </is>
      </c>
      <c r="C796" t="n">
        <v>58</v>
      </c>
      <c r="D796" t="n">
        <v>4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1</v>
      </c>
      <c r="K796" t="b">
        <v>0</v>
      </c>
      <c r="L796" t="n">
        <v>10</v>
      </c>
      <c r="N796" t="inlineStr">
        <is>
          <t>00000000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</row>
    <row r="797">
      <c r="A797" t="inlineStr">
        <is>
          <t>Operations</t>
        </is>
      </c>
      <c r="B797" t="inlineStr">
        <is>
          <t>E58</t>
        </is>
      </c>
      <c r="C797" t="n">
        <v>58</v>
      </c>
      <c r="D797" t="n">
        <v>5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1</v>
      </c>
      <c r="K797" t="b">
        <v>0</v>
      </c>
      <c r="L797" t="n">
        <v>10</v>
      </c>
      <c r="N797" t="inlineStr">
        <is>
          <t>00000000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</row>
    <row r="798">
      <c r="A798" t="inlineStr">
        <is>
          <t>Operations</t>
        </is>
      </c>
      <c r="B798" t="inlineStr">
        <is>
          <t>F58</t>
        </is>
      </c>
      <c r="C798" t="n">
        <v>58</v>
      </c>
      <c r="D798" t="n">
        <v>6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1</v>
      </c>
      <c r="K798" t="b">
        <v>0</v>
      </c>
      <c r="L798" t="n">
        <v>10</v>
      </c>
      <c r="N798" t="inlineStr">
        <is>
          <t>00000000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</row>
    <row r="799">
      <c r="A799" t="inlineStr">
        <is>
          <t>Operations</t>
        </is>
      </c>
      <c r="B799" t="inlineStr">
        <is>
          <t>G58</t>
        </is>
      </c>
      <c r="C799" t="n">
        <v>58</v>
      </c>
      <c r="D799" t="n">
        <v>7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1</v>
      </c>
      <c r="K799" t="b">
        <v>0</v>
      </c>
      <c r="L799" t="n">
        <v>10</v>
      </c>
      <c r="N799" t="inlineStr">
        <is>
          <t>00000000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</row>
    <row r="800">
      <c r="A800" t="inlineStr">
        <is>
          <t>Operations</t>
        </is>
      </c>
      <c r="B800" t="inlineStr">
        <is>
          <t>H58</t>
        </is>
      </c>
      <c r="C800" t="n">
        <v>58</v>
      </c>
      <c r="D800" t="n">
        <v>8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1</v>
      </c>
      <c r="K800" t="b">
        <v>0</v>
      </c>
      <c r="L800" t="n">
        <v>10</v>
      </c>
      <c r="N800" t="inlineStr">
        <is>
          <t>00000000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</row>
    <row r="801">
      <c r="A801" t="inlineStr">
        <is>
          <t>Operations</t>
        </is>
      </c>
      <c r="B801" t="inlineStr">
        <is>
          <t>I58</t>
        </is>
      </c>
      <c r="C801" t="n">
        <v>58</v>
      </c>
      <c r="D801" t="n">
        <v>9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1</v>
      </c>
      <c r="K801" t="b">
        <v>0</v>
      </c>
      <c r="L801" t="n">
        <v>10</v>
      </c>
      <c r="N801" t="inlineStr">
        <is>
          <t>00000000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</row>
    <row r="802">
      <c r="A802" t="inlineStr">
        <is>
          <t>Operations</t>
        </is>
      </c>
      <c r="B802" t="inlineStr">
        <is>
          <t>J58</t>
        </is>
      </c>
      <c r="C802" t="n">
        <v>58</v>
      </c>
      <c r="D802" t="n">
        <v>10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1</v>
      </c>
      <c r="K802" t="b">
        <v>0</v>
      </c>
      <c r="L802" t="n">
        <v>10</v>
      </c>
      <c r="N802" t="inlineStr">
        <is>
          <t>00000000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</row>
    <row r="803">
      <c r="A803" t="inlineStr">
        <is>
          <t>Operations</t>
        </is>
      </c>
      <c r="B803" t="inlineStr">
        <is>
          <t>K58</t>
        </is>
      </c>
      <c r="C803" t="n">
        <v>58</v>
      </c>
      <c r="D803" t="n">
        <v>11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1</v>
      </c>
      <c r="K803" t="b">
        <v>0</v>
      </c>
      <c r="L803" t="n">
        <v>10</v>
      </c>
      <c r="N803" t="inlineStr">
        <is>
          <t>00000000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</row>
    <row r="804">
      <c r="A804" t="inlineStr">
        <is>
          <t>Operations</t>
        </is>
      </c>
      <c r="B804" t="inlineStr">
        <is>
          <t>L58</t>
        </is>
      </c>
      <c r="C804" t="n">
        <v>58</v>
      </c>
      <c r="D804" t="n">
        <v>12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1</v>
      </c>
      <c r="K804" t="b">
        <v>0</v>
      </c>
      <c r="L804" t="n">
        <v>10</v>
      </c>
      <c r="N804" t="inlineStr">
        <is>
          <t>00000000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</row>
    <row r="805">
      <c r="A805" t="inlineStr">
        <is>
          <t>Operations</t>
        </is>
      </c>
      <c r="B805" t="inlineStr">
        <is>
          <t>M58</t>
        </is>
      </c>
      <c r="C805" t="n">
        <v>58</v>
      </c>
      <c r="D805" t="n">
        <v>13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1</v>
      </c>
      <c r="K805" t="b">
        <v>0</v>
      </c>
      <c r="L805" t="n">
        <v>10</v>
      </c>
      <c r="N805" t="inlineStr">
        <is>
          <t>00000000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</row>
    <row r="806">
      <c r="A806" t="inlineStr">
        <is>
          <t>Operations</t>
        </is>
      </c>
      <c r="B806" t="inlineStr">
        <is>
          <t>N58</t>
        </is>
      </c>
      <c r="C806" t="n">
        <v>58</v>
      </c>
      <c r="D806" t="n">
        <v>14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1</v>
      </c>
      <c r="K806" t="b">
        <v>0</v>
      </c>
      <c r="L806" t="n">
        <v>10</v>
      </c>
      <c r="N806" t="inlineStr">
        <is>
          <t>00000000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</row>
    <row r="807">
      <c r="A807" t="inlineStr">
        <is>
          <t>Operations</t>
        </is>
      </c>
      <c r="B807" t="inlineStr">
        <is>
          <t>O58</t>
        </is>
      </c>
      <c r="C807" t="n">
        <v>58</v>
      </c>
      <c r="D807" t="n">
        <v>15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1</v>
      </c>
      <c r="K807" t="b">
        <v>0</v>
      </c>
      <c r="L807" t="n">
        <v>10</v>
      </c>
      <c r="N807" t="inlineStr">
        <is>
          <t>00000000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</row>
    <row r="808">
      <c r="A808" t="inlineStr">
        <is>
          <t>Operations</t>
        </is>
      </c>
      <c r="B808" t="inlineStr">
        <is>
          <t>A59</t>
        </is>
      </c>
      <c r="C808" t="n">
        <v>59</v>
      </c>
      <c r="D808" t="n">
        <v>1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1</v>
      </c>
      <c r="K808" t="b">
        <v>0</v>
      </c>
      <c r="L808" t="n">
        <v>10</v>
      </c>
      <c r="N808" t="inlineStr">
        <is>
          <t>00000000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</row>
    <row r="809">
      <c r="A809" t="inlineStr">
        <is>
          <t>Operations</t>
        </is>
      </c>
      <c r="B809" t="inlineStr">
        <is>
          <t>B59</t>
        </is>
      </c>
      <c r="C809" t="n">
        <v>59</v>
      </c>
      <c r="D809" t="n">
        <v>2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1</v>
      </c>
      <c r="K809" t="b">
        <v>0</v>
      </c>
      <c r="L809" t="n">
        <v>10</v>
      </c>
      <c r="N809" t="inlineStr">
        <is>
          <t>00000000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</row>
    <row r="810">
      <c r="A810" t="inlineStr">
        <is>
          <t>Operations</t>
        </is>
      </c>
      <c r="B810" t="inlineStr">
        <is>
          <t>C59</t>
        </is>
      </c>
      <c r="C810" t="n">
        <v>59</v>
      </c>
      <c r="D810" t="n">
        <v>3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1</v>
      </c>
      <c r="K810" t="b">
        <v>0</v>
      </c>
      <c r="L810" t="n">
        <v>10</v>
      </c>
      <c r="N810" t="inlineStr">
        <is>
          <t>00000000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</row>
    <row r="811">
      <c r="A811" t="inlineStr">
        <is>
          <t>Operations</t>
        </is>
      </c>
      <c r="B811" t="inlineStr">
        <is>
          <t>D59</t>
        </is>
      </c>
      <c r="C811" t="n">
        <v>59</v>
      </c>
      <c r="D811" t="n">
        <v>4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1</v>
      </c>
      <c r="K811" t="b">
        <v>0</v>
      </c>
      <c r="L811" t="n">
        <v>10</v>
      </c>
      <c r="N811" t="inlineStr">
        <is>
          <t>00000000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</row>
    <row r="812">
      <c r="A812" t="inlineStr">
        <is>
          <t>Operations</t>
        </is>
      </c>
      <c r="B812" t="inlineStr">
        <is>
          <t>E59</t>
        </is>
      </c>
      <c r="C812" t="n">
        <v>59</v>
      </c>
      <c r="D812" t="n">
        <v>5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1</v>
      </c>
      <c r="K812" t="b">
        <v>0</v>
      </c>
      <c r="L812" t="n">
        <v>10</v>
      </c>
      <c r="N812" t="inlineStr">
        <is>
          <t>00000000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</row>
    <row r="813">
      <c r="A813" t="inlineStr">
        <is>
          <t>Operations</t>
        </is>
      </c>
      <c r="B813" t="inlineStr">
        <is>
          <t>F59</t>
        </is>
      </c>
      <c r="C813" t="n">
        <v>59</v>
      </c>
      <c r="D813" t="n">
        <v>6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1</v>
      </c>
      <c r="K813" t="b">
        <v>0</v>
      </c>
      <c r="L813" t="n">
        <v>10</v>
      </c>
      <c r="N813" t="inlineStr">
        <is>
          <t>00000000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</row>
    <row r="814">
      <c r="A814" t="inlineStr">
        <is>
          <t>Operations</t>
        </is>
      </c>
      <c r="B814" t="inlineStr">
        <is>
          <t>G59</t>
        </is>
      </c>
      <c r="C814" t="n">
        <v>59</v>
      </c>
      <c r="D814" t="n">
        <v>7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1</v>
      </c>
      <c r="K814" t="b">
        <v>0</v>
      </c>
      <c r="L814" t="n">
        <v>10</v>
      </c>
      <c r="N814" t="inlineStr">
        <is>
          <t>00000000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</row>
    <row r="815">
      <c r="A815" t="inlineStr">
        <is>
          <t>Operations</t>
        </is>
      </c>
      <c r="B815" t="inlineStr">
        <is>
          <t>H59</t>
        </is>
      </c>
      <c r="C815" t="n">
        <v>59</v>
      </c>
      <c r="D815" t="n">
        <v>8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1</v>
      </c>
      <c r="K815" t="b">
        <v>0</v>
      </c>
      <c r="L815" t="n">
        <v>10</v>
      </c>
      <c r="N815" t="inlineStr">
        <is>
          <t>00000000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</row>
    <row r="816">
      <c r="A816" t="inlineStr">
        <is>
          <t>Operations</t>
        </is>
      </c>
      <c r="B816" t="inlineStr">
        <is>
          <t>I59</t>
        </is>
      </c>
      <c r="C816" t="n">
        <v>59</v>
      </c>
      <c r="D816" t="n">
        <v>9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1</v>
      </c>
      <c r="K816" t="b">
        <v>0</v>
      </c>
      <c r="L816" t="n">
        <v>10</v>
      </c>
      <c r="N816" t="inlineStr">
        <is>
          <t>00000000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</row>
    <row r="817">
      <c r="A817" t="inlineStr">
        <is>
          <t>Operations</t>
        </is>
      </c>
      <c r="B817" t="inlineStr">
        <is>
          <t>J59</t>
        </is>
      </c>
      <c r="C817" t="n">
        <v>59</v>
      </c>
      <c r="D817" t="n">
        <v>10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1</v>
      </c>
      <c r="K817" t="b">
        <v>0</v>
      </c>
      <c r="L817" t="n">
        <v>10</v>
      </c>
      <c r="N817" t="inlineStr">
        <is>
          <t>00000000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</row>
    <row r="818">
      <c r="A818" t="inlineStr">
        <is>
          <t>Operations</t>
        </is>
      </c>
      <c r="B818" t="inlineStr">
        <is>
          <t>K59</t>
        </is>
      </c>
      <c r="C818" t="n">
        <v>59</v>
      </c>
      <c r="D818" t="n">
        <v>11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1</v>
      </c>
      <c r="K818" t="b">
        <v>0</v>
      </c>
      <c r="L818" t="n">
        <v>10</v>
      </c>
      <c r="N818" t="inlineStr">
        <is>
          <t>00000000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</row>
    <row r="819">
      <c r="A819" t="inlineStr">
        <is>
          <t>Operations</t>
        </is>
      </c>
      <c r="B819" t="inlineStr">
        <is>
          <t>L59</t>
        </is>
      </c>
      <c r="C819" t="n">
        <v>59</v>
      </c>
      <c r="D819" t="n">
        <v>12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1</v>
      </c>
      <c r="K819" t="b">
        <v>0</v>
      </c>
      <c r="L819" t="n">
        <v>10</v>
      </c>
      <c r="N819" t="inlineStr">
        <is>
          <t>00000000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</row>
    <row r="820">
      <c r="A820" t="inlineStr">
        <is>
          <t>Operations</t>
        </is>
      </c>
      <c r="B820" t="inlineStr">
        <is>
          <t>M59</t>
        </is>
      </c>
      <c r="C820" t="n">
        <v>59</v>
      </c>
      <c r="D820" t="n">
        <v>13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1</v>
      </c>
      <c r="K820" t="b">
        <v>0</v>
      </c>
      <c r="L820" t="n">
        <v>10</v>
      </c>
      <c r="N820" t="inlineStr">
        <is>
          <t>00000000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</row>
    <row r="821">
      <c r="A821" t="inlineStr">
        <is>
          <t>Operations</t>
        </is>
      </c>
      <c r="B821" t="inlineStr">
        <is>
          <t>N59</t>
        </is>
      </c>
      <c r="C821" t="n">
        <v>59</v>
      </c>
      <c r="D821" t="n">
        <v>14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1</v>
      </c>
      <c r="K821" t="b">
        <v>0</v>
      </c>
      <c r="L821" t="n">
        <v>10</v>
      </c>
      <c r="N821" t="inlineStr">
        <is>
          <t>00000000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</row>
    <row r="822">
      <c r="A822" t="inlineStr">
        <is>
          <t>Operations</t>
        </is>
      </c>
      <c r="B822" t="inlineStr">
        <is>
          <t>O59</t>
        </is>
      </c>
      <c r="C822" t="n">
        <v>59</v>
      </c>
      <c r="D822" t="n">
        <v>15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1</v>
      </c>
      <c r="K822" t="b">
        <v>0</v>
      </c>
      <c r="L822" t="n">
        <v>10</v>
      </c>
      <c r="N822" t="inlineStr">
        <is>
          <t>00000000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</row>
    <row r="823">
      <c r="A823" t="inlineStr">
        <is>
          <t>Operations</t>
        </is>
      </c>
      <c r="B823" t="inlineStr">
        <is>
          <t>A60</t>
        </is>
      </c>
      <c r="C823" t="n">
        <v>60</v>
      </c>
      <c r="D823" t="n">
        <v>1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1</v>
      </c>
      <c r="K823" t="b">
        <v>0</v>
      </c>
      <c r="L823" t="n">
        <v>10</v>
      </c>
      <c r="N823" t="inlineStr">
        <is>
          <t>00000000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</row>
    <row r="824">
      <c r="A824" t="inlineStr">
        <is>
          <t>Operations</t>
        </is>
      </c>
      <c r="B824" t="inlineStr">
        <is>
          <t>B60</t>
        </is>
      </c>
      <c r="C824" t="n">
        <v>60</v>
      </c>
      <c r="D824" t="n">
        <v>2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1</v>
      </c>
      <c r="K824" t="b">
        <v>0</v>
      </c>
      <c r="L824" t="n">
        <v>10</v>
      </c>
      <c r="N824" t="inlineStr">
        <is>
          <t>00000000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</row>
    <row r="825">
      <c r="A825" t="inlineStr">
        <is>
          <t>Operations</t>
        </is>
      </c>
      <c r="B825" t="inlineStr">
        <is>
          <t>C60</t>
        </is>
      </c>
      <c r="C825" t="n">
        <v>60</v>
      </c>
      <c r="D825" t="n">
        <v>3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1</v>
      </c>
      <c r="K825" t="b">
        <v>0</v>
      </c>
      <c r="L825" t="n">
        <v>10</v>
      </c>
      <c r="N825" t="inlineStr">
        <is>
          <t>00000000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</row>
    <row r="826">
      <c r="A826" t="inlineStr">
        <is>
          <t>Operations</t>
        </is>
      </c>
      <c r="B826" t="inlineStr">
        <is>
          <t>D60</t>
        </is>
      </c>
      <c r="C826" t="n">
        <v>60</v>
      </c>
      <c r="D826" t="n">
        <v>4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1</v>
      </c>
      <c r="K826" t="b">
        <v>0</v>
      </c>
      <c r="L826" t="n">
        <v>10</v>
      </c>
      <c r="N826" t="inlineStr">
        <is>
          <t>00000000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</row>
    <row r="827">
      <c r="A827" t="inlineStr">
        <is>
          <t>Operations</t>
        </is>
      </c>
      <c r="B827" t="inlineStr">
        <is>
          <t>E60</t>
        </is>
      </c>
      <c r="C827" t="n">
        <v>60</v>
      </c>
      <c r="D827" t="n">
        <v>5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1</v>
      </c>
      <c r="K827" t="b">
        <v>0</v>
      </c>
      <c r="L827" t="n">
        <v>10</v>
      </c>
      <c r="N827" t="inlineStr">
        <is>
          <t>00000000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</row>
    <row r="828">
      <c r="A828" t="inlineStr">
        <is>
          <t>Operations</t>
        </is>
      </c>
      <c r="B828" t="inlineStr">
        <is>
          <t>F60</t>
        </is>
      </c>
      <c r="C828" t="n">
        <v>60</v>
      </c>
      <c r="D828" t="n">
        <v>6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1</v>
      </c>
      <c r="K828" t="b">
        <v>0</v>
      </c>
      <c r="L828" t="n">
        <v>10</v>
      </c>
      <c r="N828" t="inlineStr">
        <is>
          <t>00000000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</row>
    <row r="829">
      <c r="A829" t="inlineStr">
        <is>
          <t>Operations</t>
        </is>
      </c>
      <c r="B829" t="inlineStr">
        <is>
          <t>G60</t>
        </is>
      </c>
      <c r="C829" t="n">
        <v>60</v>
      </c>
      <c r="D829" t="n">
        <v>7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1</v>
      </c>
      <c r="K829" t="b">
        <v>0</v>
      </c>
      <c r="L829" t="n">
        <v>10</v>
      </c>
      <c r="N829" t="inlineStr">
        <is>
          <t>00000000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</row>
    <row r="830">
      <c r="A830" t="inlineStr">
        <is>
          <t>Operations</t>
        </is>
      </c>
      <c r="B830" t="inlineStr">
        <is>
          <t>H60</t>
        </is>
      </c>
      <c r="C830" t="n">
        <v>60</v>
      </c>
      <c r="D830" t="n">
        <v>8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1</v>
      </c>
      <c r="K830" t="b">
        <v>0</v>
      </c>
      <c r="L830" t="n">
        <v>10</v>
      </c>
      <c r="N830" t="inlineStr">
        <is>
          <t>00000000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</row>
    <row r="831">
      <c r="A831" t="inlineStr">
        <is>
          <t>Operations</t>
        </is>
      </c>
      <c r="B831" t="inlineStr">
        <is>
          <t>I60</t>
        </is>
      </c>
      <c r="C831" t="n">
        <v>60</v>
      </c>
      <c r="D831" t="n">
        <v>9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1</v>
      </c>
      <c r="K831" t="b">
        <v>0</v>
      </c>
      <c r="L831" t="n">
        <v>10</v>
      </c>
      <c r="N831" t="inlineStr">
        <is>
          <t>00000000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</row>
    <row r="832">
      <c r="A832" t="inlineStr">
        <is>
          <t>Operations</t>
        </is>
      </c>
      <c r="B832" t="inlineStr">
        <is>
          <t>J60</t>
        </is>
      </c>
      <c r="C832" t="n">
        <v>60</v>
      </c>
      <c r="D832" t="n">
        <v>10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1</v>
      </c>
      <c r="K832" t="b">
        <v>0</v>
      </c>
      <c r="L832" t="n">
        <v>10</v>
      </c>
      <c r="N832" t="inlineStr">
        <is>
          <t>00000000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</row>
    <row r="833">
      <c r="A833" t="inlineStr">
        <is>
          <t>Operations</t>
        </is>
      </c>
      <c r="B833" t="inlineStr">
        <is>
          <t>K60</t>
        </is>
      </c>
      <c r="C833" t="n">
        <v>60</v>
      </c>
      <c r="D833" t="n">
        <v>11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1</v>
      </c>
      <c r="K833" t="b">
        <v>0</v>
      </c>
      <c r="L833" t="n">
        <v>10</v>
      </c>
      <c r="N833" t="inlineStr">
        <is>
          <t>00000000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</row>
    <row r="834">
      <c r="A834" t="inlineStr">
        <is>
          <t>Operations</t>
        </is>
      </c>
      <c r="B834" t="inlineStr">
        <is>
          <t>L60</t>
        </is>
      </c>
      <c r="C834" t="n">
        <v>60</v>
      </c>
      <c r="D834" t="n">
        <v>12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1</v>
      </c>
      <c r="K834" t="b">
        <v>0</v>
      </c>
      <c r="L834" t="n">
        <v>10</v>
      </c>
      <c r="N834" t="inlineStr">
        <is>
          <t>00000000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</row>
    <row r="835">
      <c r="A835" t="inlineStr">
        <is>
          <t>Operations</t>
        </is>
      </c>
      <c r="B835" t="inlineStr">
        <is>
          <t>M60</t>
        </is>
      </c>
      <c r="C835" t="n">
        <v>60</v>
      </c>
      <c r="D835" t="n">
        <v>13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1</v>
      </c>
      <c r="K835" t="b">
        <v>0</v>
      </c>
      <c r="L835" t="n">
        <v>10</v>
      </c>
      <c r="N835" t="inlineStr">
        <is>
          <t>00000000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</row>
    <row r="836">
      <c r="A836" t="inlineStr">
        <is>
          <t>Operations</t>
        </is>
      </c>
      <c r="B836" t="inlineStr">
        <is>
          <t>N60</t>
        </is>
      </c>
      <c r="C836" t="n">
        <v>60</v>
      </c>
      <c r="D836" t="n">
        <v>14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1</v>
      </c>
      <c r="K836" t="b">
        <v>0</v>
      </c>
      <c r="L836" t="n">
        <v>10</v>
      </c>
      <c r="N836" t="inlineStr">
        <is>
          <t>00000000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</row>
    <row r="837">
      <c r="A837" t="inlineStr">
        <is>
          <t>Operations</t>
        </is>
      </c>
      <c r="B837" t="inlineStr">
        <is>
          <t>O60</t>
        </is>
      </c>
      <c r="C837" t="n">
        <v>60</v>
      </c>
      <c r="D837" t="n">
        <v>15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1</v>
      </c>
      <c r="K837" t="b">
        <v>0</v>
      </c>
      <c r="L837" t="n">
        <v>10</v>
      </c>
      <c r="N837" t="inlineStr">
        <is>
          <t>00000000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</row>
    <row r="838">
      <c r="A838" t="inlineStr">
        <is>
          <t>Operations</t>
        </is>
      </c>
      <c r="B838" t="inlineStr">
        <is>
          <t>A61</t>
        </is>
      </c>
      <c r="C838" t="n">
        <v>61</v>
      </c>
      <c r="D838" t="n">
        <v>1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1</v>
      </c>
      <c r="K838" t="b">
        <v>0</v>
      </c>
      <c r="L838" t="n">
        <v>10</v>
      </c>
      <c r="N838" t="inlineStr">
        <is>
          <t>00000000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</row>
    <row r="839">
      <c r="A839" t="inlineStr">
        <is>
          <t>Operations</t>
        </is>
      </c>
      <c r="B839" t="inlineStr">
        <is>
          <t>B61</t>
        </is>
      </c>
      <c r="C839" t="n">
        <v>61</v>
      </c>
      <c r="D839" t="n">
        <v>2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1</v>
      </c>
      <c r="K839" t="b">
        <v>0</v>
      </c>
      <c r="L839" t="n">
        <v>10</v>
      </c>
      <c r="N839" t="inlineStr">
        <is>
          <t>00000000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</row>
    <row r="840">
      <c r="A840" t="inlineStr">
        <is>
          <t>Operations</t>
        </is>
      </c>
      <c r="B840" t="inlineStr">
        <is>
          <t>C61</t>
        </is>
      </c>
      <c r="C840" t="n">
        <v>61</v>
      </c>
      <c r="D840" t="n">
        <v>3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1</v>
      </c>
      <c r="K840" t="b">
        <v>0</v>
      </c>
      <c r="L840" t="n">
        <v>10</v>
      </c>
      <c r="N840" t="inlineStr">
        <is>
          <t>00000000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</row>
    <row r="841">
      <c r="A841" t="inlineStr">
        <is>
          <t>Operations</t>
        </is>
      </c>
      <c r="B841" t="inlineStr">
        <is>
          <t>D61</t>
        </is>
      </c>
      <c r="C841" t="n">
        <v>61</v>
      </c>
      <c r="D841" t="n">
        <v>4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1</v>
      </c>
      <c r="K841" t="b">
        <v>0</v>
      </c>
      <c r="L841" t="n">
        <v>10</v>
      </c>
      <c r="N841" t="inlineStr">
        <is>
          <t>00000000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</row>
    <row r="842">
      <c r="A842" t="inlineStr">
        <is>
          <t>Operations</t>
        </is>
      </c>
      <c r="B842" t="inlineStr">
        <is>
          <t>E61</t>
        </is>
      </c>
      <c r="C842" t="n">
        <v>61</v>
      </c>
      <c r="D842" t="n">
        <v>5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1</v>
      </c>
      <c r="K842" t="b">
        <v>0</v>
      </c>
      <c r="L842" t="n">
        <v>10</v>
      </c>
      <c r="N842" t="inlineStr">
        <is>
          <t>00000000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</row>
    <row r="843">
      <c r="A843" t="inlineStr">
        <is>
          <t>Operations</t>
        </is>
      </c>
      <c r="B843" t="inlineStr">
        <is>
          <t>F61</t>
        </is>
      </c>
      <c r="C843" t="n">
        <v>61</v>
      </c>
      <c r="D843" t="n">
        <v>6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1</v>
      </c>
      <c r="K843" t="b">
        <v>0</v>
      </c>
      <c r="L843" t="n">
        <v>10</v>
      </c>
      <c r="N843" t="inlineStr">
        <is>
          <t>00000000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</row>
    <row r="844">
      <c r="A844" t="inlineStr">
        <is>
          <t>Operations</t>
        </is>
      </c>
      <c r="B844" t="inlineStr">
        <is>
          <t>G61</t>
        </is>
      </c>
      <c r="C844" t="n">
        <v>61</v>
      </c>
      <c r="D844" t="n">
        <v>7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1</v>
      </c>
      <c r="K844" t="b">
        <v>0</v>
      </c>
      <c r="L844" t="n">
        <v>10</v>
      </c>
      <c r="N844" t="inlineStr">
        <is>
          <t>00000000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</row>
    <row r="845">
      <c r="A845" t="inlineStr">
        <is>
          <t>Operations</t>
        </is>
      </c>
      <c r="B845" t="inlineStr">
        <is>
          <t>H61</t>
        </is>
      </c>
      <c r="C845" t="n">
        <v>61</v>
      </c>
      <c r="D845" t="n">
        <v>8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1</v>
      </c>
      <c r="K845" t="b">
        <v>0</v>
      </c>
      <c r="L845" t="n">
        <v>10</v>
      </c>
      <c r="N845" t="inlineStr">
        <is>
          <t>00000000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</row>
    <row r="846">
      <c r="A846" t="inlineStr">
        <is>
          <t>Operations</t>
        </is>
      </c>
      <c r="B846" t="inlineStr">
        <is>
          <t>I61</t>
        </is>
      </c>
      <c r="C846" t="n">
        <v>61</v>
      </c>
      <c r="D846" t="n">
        <v>9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1</v>
      </c>
      <c r="K846" t="b">
        <v>0</v>
      </c>
      <c r="L846" t="n">
        <v>10</v>
      </c>
      <c r="N846" t="inlineStr">
        <is>
          <t>00000000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</row>
    <row r="847">
      <c r="A847" t="inlineStr">
        <is>
          <t>Operations</t>
        </is>
      </c>
      <c r="B847" t="inlineStr">
        <is>
          <t>J61</t>
        </is>
      </c>
      <c r="C847" t="n">
        <v>61</v>
      </c>
      <c r="D847" t="n">
        <v>10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1</v>
      </c>
      <c r="K847" t="b">
        <v>0</v>
      </c>
      <c r="L847" t="n">
        <v>10</v>
      </c>
      <c r="N847" t="inlineStr">
        <is>
          <t>00000000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</row>
    <row r="848">
      <c r="A848" t="inlineStr">
        <is>
          <t>Operations</t>
        </is>
      </c>
      <c r="B848" t="inlineStr">
        <is>
          <t>K61</t>
        </is>
      </c>
      <c r="C848" t="n">
        <v>61</v>
      </c>
      <c r="D848" t="n">
        <v>11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1</v>
      </c>
      <c r="K848" t="b">
        <v>0</v>
      </c>
      <c r="L848" t="n">
        <v>10</v>
      </c>
      <c r="N848" t="inlineStr">
        <is>
          <t>00000000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</row>
    <row r="849">
      <c r="A849" t="inlineStr">
        <is>
          <t>Operations</t>
        </is>
      </c>
      <c r="B849" t="inlineStr">
        <is>
          <t>L61</t>
        </is>
      </c>
      <c r="C849" t="n">
        <v>61</v>
      </c>
      <c r="D849" t="n">
        <v>12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1</v>
      </c>
      <c r="K849" t="b">
        <v>0</v>
      </c>
      <c r="L849" t="n">
        <v>10</v>
      </c>
      <c r="N849" t="inlineStr">
        <is>
          <t>00000000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</row>
    <row r="850">
      <c r="A850" t="inlineStr">
        <is>
          <t>Operations</t>
        </is>
      </c>
      <c r="B850" t="inlineStr">
        <is>
          <t>M61</t>
        </is>
      </c>
      <c r="C850" t="n">
        <v>61</v>
      </c>
      <c r="D850" t="n">
        <v>13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1</v>
      </c>
      <c r="K850" t="b">
        <v>0</v>
      </c>
      <c r="L850" t="n">
        <v>10</v>
      </c>
      <c r="N850" t="inlineStr">
        <is>
          <t>00000000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</row>
    <row r="851">
      <c r="A851" t="inlineStr">
        <is>
          <t>Operations</t>
        </is>
      </c>
      <c r="B851" t="inlineStr">
        <is>
          <t>N61</t>
        </is>
      </c>
      <c r="C851" t="n">
        <v>61</v>
      </c>
      <c r="D851" t="n">
        <v>14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1</v>
      </c>
      <c r="K851" t="b">
        <v>0</v>
      </c>
      <c r="L851" t="n">
        <v>10</v>
      </c>
      <c r="N851" t="inlineStr">
        <is>
          <t>00000000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</row>
    <row r="852">
      <c r="A852" t="inlineStr">
        <is>
          <t>Operations</t>
        </is>
      </c>
      <c r="B852" t="inlineStr">
        <is>
          <t>O61</t>
        </is>
      </c>
      <c r="C852" t="n">
        <v>61</v>
      </c>
      <c r="D852" t="n">
        <v>15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1</v>
      </c>
      <c r="K852" t="b">
        <v>0</v>
      </c>
      <c r="L852" t="n">
        <v>10</v>
      </c>
      <c r="N852" t="inlineStr">
        <is>
          <t>00000000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</row>
    <row r="853">
      <c r="A853" t="inlineStr">
        <is>
          <t>Operations</t>
        </is>
      </c>
      <c r="B853" t="inlineStr">
        <is>
          <t>A62</t>
        </is>
      </c>
      <c r="C853" t="n">
        <v>62</v>
      </c>
      <c r="D853" t="n">
        <v>1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1</v>
      </c>
      <c r="K853" t="b">
        <v>0</v>
      </c>
      <c r="L853" t="n">
        <v>10</v>
      </c>
      <c r="N853" t="inlineStr">
        <is>
          <t>00000000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</row>
    <row r="854">
      <c r="A854" t="inlineStr">
        <is>
          <t>Operations</t>
        </is>
      </c>
      <c r="B854" t="inlineStr">
        <is>
          <t>B62</t>
        </is>
      </c>
      <c r="C854" t="n">
        <v>62</v>
      </c>
      <c r="D854" t="n">
        <v>2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1</v>
      </c>
      <c r="K854" t="b">
        <v>0</v>
      </c>
      <c r="L854" t="n">
        <v>10</v>
      </c>
      <c r="N854" t="inlineStr">
        <is>
          <t>00000000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</row>
    <row r="855">
      <c r="A855" t="inlineStr">
        <is>
          <t>Operations</t>
        </is>
      </c>
      <c r="B855" t="inlineStr">
        <is>
          <t>C62</t>
        </is>
      </c>
      <c r="C855" t="n">
        <v>62</v>
      </c>
      <c r="D855" t="n">
        <v>3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1</v>
      </c>
      <c r="K855" t="b">
        <v>0</v>
      </c>
      <c r="L855" t="n">
        <v>10</v>
      </c>
      <c r="N855" t="inlineStr">
        <is>
          <t>00000000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</row>
    <row r="856">
      <c r="A856" t="inlineStr">
        <is>
          <t>Operations</t>
        </is>
      </c>
      <c r="B856" t="inlineStr">
        <is>
          <t>D62</t>
        </is>
      </c>
      <c r="C856" t="n">
        <v>62</v>
      </c>
      <c r="D856" t="n">
        <v>4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1</v>
      </c>
      <c r="K856" t="b">
        <v>0</v>
      </c>
      <c r="L856" t="n">
        <v>10</v>
      </c>
      <c r="N856" t="inlineStr">
        <is>
          <t>00000000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</row>
    <row r="857">
      <c r="A857" t="inlineStr">
        <is>
          <t>Operations</t>
        </is>
      </c>
      <c r="B857" t="inlineStr">
        <is>
          <t>E62</t>
        </is>
      </c>
      <c r="C857" t="n">
        <v>62</v>
      </c>
      <c r="D857" t="n">
        <v>5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1</v>
      </c>
      <c r="K857" t="b">
        <v>0</v>
      </c>
      <c r="L857" t="n">
        <v>10</v>
      </c>
      <c r="N857" t="inlineStr">
        <is>
          <t>00000000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</row>
    <row r="858">
      <c r="A858" t="inlineStr">
        <is>
          <t>Operations</t>
        </is>
      </c>
      <c r="B858" t="inlineStr">
        <is>
          <t>F62</t>
        </is>
      </c>
      <c r="C858" t="n">
        <v>62</v>
      </c>
      <c r="D858" t="n">
        <v>6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1</v>
      </c>
      <c r="K858" t="b">
        <v>0</v>
      </c>
      <c r="L858" t="n">
        <v>10</v>
      </c>
      <c r="N858" t="inlineStr">
        <is>
          <t>00000000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</row>
    <row r="859">
      <c r="A859" t="inlineStr">
        <is>
          <t>Operations</t>
        </is>
      </c>
      <c r="B859" t="inlineStr">
        <is>
          <t>G62</t>
        </is>
      </c>
      <c r="C859" t="n">
        <v>62</v>
      </c>
      <c r="D859" t="n">
        <v>7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1</v>
      </c>
      <c r="K859" t="b">
        <v>0</v>
      </c>
      <c r="L859" t="n">
        <v>10</v>
      </c>
      <c r="N859" t="inlineStr">
        <is>
          <t>00000000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</row>
    <row r="860">
      <c r="A860" t="inlineStr">
        <is>
          <t>Operations</t>
        </is>
      </c>
      <c r="B860" t="inlineStr">
        <is>
          <t>H62</t>
        </is>
      </c>
      <c r="C860" t="n">
        <v>62</v>
      </c>
      <c r="D860" t="n">
        <v>8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1</v>
      </c>
      <c r="K860" t="b">
        <v>0</v>
      </c>
      <c r="L860" t="n">
        <v>10</v>
      </c>
      <c r="N860" t="inlineStr">
        <is>
          <t>00000000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</row>
    <row r="861">
      <c r="A861" t="inlineStr">
        <is>
          <t>Operations</t>
        </is>
      </c>
      <c r="B861" t="inlineStr">
        <is>
          <t>I62</t>
        </is>
      </c>
      <c r="C861" t="n">
        <v>62</v>
      </c>
      <c r="D861" t="n">
        <v>9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1</v>
      </c>
      <c r="K861" t="b">
        <v>0</v>
      </c>
      <c r="L861" t="n">
        <v>10</v>
      </c>
      <c r="N861" t="inlineStr">
        <is>
          <t>00000000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</row>
    <row r="862">
      <c r="A862" t="inlineStr">
        <is>
          <t>Operations</t>
        </is>
      </c>
      <c r="B862" t="inlineStr">
        <is>
          <t>J62</t>
        </is>
      </c>
      <c r="C862" t="n">
        <v>62</v>
      </c>
      <c r="D862" t="n">
        <v>10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1</v>
      </c>
      <c r="K862" t="b">
        <v>0</v>
      </c>
      <c r="L862" t="n">
        <v>10</v>
      </c>
      <c r="N862" t="inlineStr">
        <is>
          <t>00000000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</row>
    <row r="863">
      <c r="A863" t="inlineStr">
        <is>
          <t>Operations</t>
        </is>
      </c>
      <c r="B863" t="inlineStr">
        <is>
          <t>K62</t>
        </is>
      </c>
      <c r="C863" t="n">
        <v>62</v>
      </c>
      <c r="D863" t="n">
        <v>11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1</v>
      </c>
      <c r="K863" t="b">
        <v>0</v>
      </c>
      <c r="L863" t="n">
        <v>10</v>
      </c>
      <c r="N863" t="inlineStr">
        <is>
          <t>00000000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</row>
    <row r="864">
      <c r="A864" t="inlineStr">
        <is>
          <t>Operations</t>
        </is>
      </c>
      <c r="B864" t="inlineStr">
        <is>
          <t>L62</t>
        </is>
      </c>
      <c r="C864" t="n">
        <v>62</v>
      </c>
      <c r="D864" t="n">
        <v>12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1</v>
      </c>
      <c r="K864" t="b">
        <v>0</v>
      </c>
      <c r="L864" t="n">
        <v>10</v>
      </c>
      <c r="N864" t="inlineStr">
        <is>
          <t>00000000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</row>
    <row r="865">
      <c r="A865" t="inlineStr">
        <is>
          <t>Operations</t>
        </is>
      </c>
      <c r="B865" t="inlineStr">
        <is>
          <t>M62</t>
        </is>
      </c>
      <c r="C865" t="n">
        <v>62</v>
      </c>
      <c r="D865" t="n">
        <v>13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1</v>
      </c>
      <c r="K865" t="b">
        <v>0</v>
      </c>
      <c r="L865" t="n">
        <v>10</v>
      </c>
      <c r="N865" t="inlineStr">
        <is>
          <t>00000000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</row>
    <row r="866">
      <c r="A866" t="inlineStr">
        <is>
          <t>Operations</t>
        </is>
      </c>
      <c r="B866" t="inlineStr">
        <is>
          <t>N62</t>
        </is>
      </c>
      <c r="C866" t="n">
        <v>62</v>
      </c>
      <c r="D866" t="n">
        <v>14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1</v>
      </c>
      <c r="K866" t="b">
        <v>0</v>
      </c>
      <c r="L866" t="n">
        <v>10</v>
      </c>
      <c r="N866" t="inlineStr">
        <is>
          <t>00000000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</row>
    <row r="867">
      <c r="A867" t="inlineStr">
        <is>
          <t>Operations</t>
        </is>
      </c>
      <c r="B867" t="inlineStr">
        <is>
          <t>O62</t>
        </is>
      </c>
      <c r="C867" t="n">
        <v>62</v>
      </c>
      <c r="D867" t="n">
        <v>15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1</v>
      </c>
      <c r="K867" t="b">
        <v>0</v>
      </c>
      <c r="L867" t="n">
        <v>10</v>
      </c>
      <c r="N867" t="inlineStr">
        <is>
          <t>00000000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</row>
    <row r="868">
      <c r="A868" t="inlineStr">
        <is>
          <t>Operations</t>
        </is>
      </c>
      <c r="B868" t="inlineStr">
        <is>
          <t>A63</t>
        </is>
      </c>
      <c r="C868" t="n">
        <v>63</v>
      </c>
      <c r="D868" t="n">
        <v>1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1</v>
      </c>
      <c r="K868" t="b">
        <v>0</v>
      </c>
      <c r="L868" t="n">
        <v>10</v>
      </c>
      <c r="N868" t="inlineStr">
        <is>
          <t>00000000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</row>
    <row r="869">
      <c r="A869" t="inlineStr">
        <is>
          <t>Operations</t>
        </is>
      </c>
      <c r="B869" t="inlineStr">
        <is>
          <t>B63</t>
        </is>
      </c>
      <c r="C869" t="n">
        <v>63</v>
      </c>
      <c r="D869" t="n">
        <v>2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1</v>
      </c>
      <c r="K869" t="b">
        <v>0</v>
      </c>
      <c r="L869" t="n">
        <v>10</v>
      </c>
      <c r="N869" t="inlineStr">
        <is>
          <t>00000000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</row>
    <row r="870">
      <c r="A870" t="inlineStr">
        <is>
          <t>Operations</t>
        </is>
      </c>
      <c r="B870" t="inlineStr">
        <is>
          <t>C63</t>
        </is>
      </c>
      <c r="C870" t="n">
        <v>63</v>
      </c>
      <c r="D870" t="n">
        <v>3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1</v>
      </c>
      <c r="K870" t="b">
        <v>0</v>
      </c>
      <c r="L870" t="n">
        <v>10</v>
      </c>
      <c r="N870" t="inlineStr">
        <is>
          <t>00000000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</row>
    <row r="871">
      <c r="A871" t="inlineStr">
        <is>
          <t>Operations</t>
        </is>
      </c>
      <c r="B871" t="inlineStr">
        <is>
          <t>D63</t>
        </is>
      </c>
      <c r="C871" t="n">
        <v>63</v>
      </c>
      <c r="D871" t="n">
        <v>4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1</v>
      </c>
      <c r="K871" t="b">
        <v>0</v>
      </c>
      <c r="L871" t="n">
        <v>10</v>
      </c>
      <c r="N871" t="inlineStr">
        <is>
          <t>00000000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</row>
    <row r="872">
      <c r="A872" t="inlineStr">
        <is>
          <t>Operations</t>
        </is>
      </c>
      <c r="B872" t="inlineStr">
        <is>
          <t>E63</t>
        </is>
      </c>
      <c r="C872" t="n">
        <v>63</v>
      </c>
      <c r="D872" t="n">
        <v>5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1</v>
      </c>
      <c r="K872" t="b">
        <v>0</v>
      </c>
      <c r="L872" t="n">
        <v>10</v>
      </c>
      <c r="N872" t="inlineStr">
        <is>
          <t>00000000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</row>
    <row r="873">
      <c r="A873" t="inlineStr">
        <is>
          <t>Operations</t>
        </is>
      </c>
      <c r="B873" t="inlineStr">
        <is>
          <t>F63</t>
        </is>
      </c>
      <c r="C873" t="n">
        <v>63</v>
      </c>
      <c r="D873" t="n">
        <v>6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1</v>
      </c>
      <c r="K873" t="b">
        <v>0</v>
      </c>
      <c r="L873" t="n">
        <v>10</v>
      </c>
      <c r="N873" t="inlineStr">
        <is>
          <t>00000000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</row>
    <row r="874">
      <c r="A874" t="inlineStr">
        <is>
          <t>Operations</t>
        </is>
      </c>
      <c r="B874" t="inlineStr">
        <is>
          <t>G63</t>
        </is>
      </c>
      <c r="C874" t="n">
        <v>63</v>
      </c>
      <c r="D874" t="n">
        <v>7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1</v>
      </c>
      <c r="K874" t="b">
        <v>0</v>
      </c>
      <c r="L874" t="n">
        <v>10</v>
      </c>
      <c r="N874" t="inlineStr">
        <is>
          <t>00000000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</row>
    <row r="875">
      <c r="A875" t="inlineStr">
        <is>
          <t>Operations</t>
        </is>
      </c>
      <c r="B875" t="inlineStr">
        <is>
          <t>H63</t>
        </is>
      </c>
      <c r="C875" t="n">
        <v>63</v>
      </c>
      <c r="D875" t="n">
        <v>8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1</v>
      </c>
      <c r="K875" t="b">
        <v>0</v>
      </c>
      <c r="L875" t="n">
        <v>10</v>
      </c>
      <c r="N875" t="inlineStr">
        <is>
          <t>00000000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</row>
    <row r="876">
      <c r="A876" t="inlineStr">
        <is>
          <t>Operations</t>
        </is>
      </c>
      <c r="B876" t="inlineStr">
        <is>
          <t>I63</t>
        </is>
      </c>
      <c r="C876" t="n">
        <v>63</v>
      </c>
      <c r="D876" t="n">
        <v>9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1</v>
      </c>
      <c r="K876" t="b">
        <v>0</v>
      </c>
      <c r="L876" t="n">
        <v>10</v>
      </c>
      <c r="N876" t="inlineStr">
        <is>
          <t>00000000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</row>
    <row r="877">
      <c r="A877" t="inlineStr">
        <is>
          <t>Operations</t>
        </is>
      </c>
      <c r="B877" t="inlineStr">
        <is>
          <t>J63</t>
        </is>
      </c>
      <c r="C877" t="n">
        <v>63</v>
      </c>
      <c r="D877" t="n">
        <v>10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1</v>
      </c>
      <c r="K877" t="b">
        <v>0</v>
      </c>
      <c r="L877" t="n">
        <v>10</v>
      </c>
      <c r="N877" t="inlineStr">
        <is>
          <t>00000000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</row>
    <row r="878">
      <c r="A878" t="inlineStr">
        <is>
          <t>Operations</t>
        </is>
      </c>
      <c r="B878" t="inlineStr">
        <is>
          <t>K63</t>
        </is>
      </c>
      <c r="C878" t="n">
        <v>63</v>
      </c>
      <c r="D878" t="n">
        <v>11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1</v>
      </c>
      <c r="K878" t="b">
        <v>0</v>
      </c>
      <c r="L878" t="n">
        <v>10</v>
      </c>
      <c r="N878" t="inlineStr">
        <is>
          <t>00000000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</row>
    <row r="879">
      <c r="A879" t="inlineStr">
        <is>
          <t>Operations</t>
        </is>
      </c>
      <c r="B879" t="inlineStr">
        <is>
          <t>L63</t>
        </is>
      </c>
      <c r="C879" t="n">
        <v>63</v>
      </c>
      <c r="D879" t="n">
        <v>12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1</v>
      </c>
      <c r="K879" t="b">
        <v>0</v>
      </c>
      <c r="L879" t="n">
        <v>10</v>
      </c>
      <c r="N879" t="inlineStr">
        <is>
          <t>00000000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</row>
    <row r="880">
      <c r="A880" t="inlineStr">
        <is>
          <t>Operations</t>
        </is>
      </c>
      <c r="B880" t="inlineStr">
        <is>
          <t>M63</t>
        </is>
      </c>
      <c r="C880" t="n">
        <v>63</v>
      </c>
      <c r="D880" t="n">
        <v>13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1</v>
      </c>
      <c r="K880" t="b">
        <v>0</v>
      </c>
      <c r="L880" t="n">
        <v>10</v>
      </c>
      <c r="N880" t="inlineStr">
        <is>
          <t>00000000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</row>
    <row r="881">
      <c r="A881" t="inlineStr">
        <is>
          <t>Operations</t>
        </is>
      </c>
      <c r="B881" t="inlineStr">
        <is>
          <t>N63</t>
        </is>
      </c>
      <c r="C881" t="n">
        <v>63</v>
      </c>
      <c r="D881" t="n">
        <v>14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1</v>
      </c>
      <c r="K881" t="b">
        <v>0</v>
      </c>
      <c r="L881" t="n">
        <v>10</v>
      </c>
      <c r="N881" t="inlineStr">
        <is>
          <t>00000000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</row>
    <row r="882">
      <c r="A882" t="inlineStr">
        <is>
          <t>Operations</t>
        </is>
      </c>
      <c r="B882" t="inlineStr">
        <is>
          <t>O63</t>
        </is>
      </c>
      <c r="C882" t="n">
        <v>63</v>
      </c>
      <c r="D882" t="n">
        <v>15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1</v>
      </c>
      <c r="K882" t="b">
        <v>0</v>
      </c>
      <c r="L882" t="n">
        <v>10</v>
      </c>
      <c r="N882" t="inlineStr">
        <is>
          <t>00000000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</row>
    <row r="883">
      <c r="A883" t="inlineStr">
        <is>
          <t>Operations</t>
        </is>
      </c>
      <c r="B883" t="inlineStr">
        <is>
          <t>A64</t>
        </is>
      </c>
      <c r="C883" t="n">
        <v>64</v>
      </c>
      <c r="D883" t="n">
        <v>1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1</v>
      </c>
      <c r="K883" t="b">
        <v>0</v>
      </c>
      <c r="L883" t="n">
        <v>10</v>
      </c>
      <c r="N883" t="inlineStr">
        <is>
          <t>00000000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</row>
    <row r="884">
      <c r="A884" t="inlineStr">
        <is>
          <t>Operations</t>
        </is>
      </c>
      <c r="B884" t="inlineStr">
        <is>
          <t>B64</t>
        </is>
      </c>
      <c r="C884" t="n">
        <v>64</v>
      </c>
      <c r="D884" t="n">
        <v>2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1</v>
      </c>
      <c r="K884" t="b">
        <v>0</v>
      </c>
      <c r="L884" t="n">
        <v>10</v>
      </c>
      <c r="N884" t="inlineStr">
        <is>
          <t>00000000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</row>
    <row r="885">
      <c r="A885" t="inlineStr">
        <is>
          <t>Operations</t>
        </is>
      </c>
      <c r="B885" t="inlineStr">
        <is>
          <t>C64</t>
        </is>
      </c>
      <c r="C885" t="n">
        <v>64</v>
      </c>
      <c r="D885" t="n">
        <v>3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1</v>
      </c>
      <c r="K885" t="b">
        <v>0</v>
      </c>
      <c r="L885" t="n">
        <v>10</v>
      </c>
      <c r="N885" t="inlineStr">
        <is>
          <t>00000000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</row>
    <row r="886">
      <c r="A886" t="inlineStr">
        <is>
          <t>Operations</t>
        </is>
      </c>
      <c r="B886" t="inlineStr">
        <is>
          <t>D64</t>
        </is>
      </c>
      <c r="C886" t="n">
        <v>64</v>
      </c>
      <c r="D886" t="n">
        <v>4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1</v>
      </c>
      <c r="K886" t="b">
        <v>0</v>
      </c>
      <c r="L886" t="n">
        <v>10</v>
      </c>
      <c r="N886" t="inlineStr">
        <is>
          <t>00000000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</row>
    <row r="887">
      <c r="A887" t="inlineStr">
        <is>
          <t>Operations</t>
        </is>
      </c>
      <c r="B887" t="inlineStr">
        <is>
          <t>E64</t>
        </is>
      </c>
      <c r="C887" t="n">
        <v>64</v>
      </c>
      <c r="D887" t="n">
        <v>5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1</v>
      </c>
      <c r="K887" t="b">
        <v>0</v>
      </c>
      <c r="L887" t="n">
        <v>10</v>
      </c>
      <c r="N887" t="inlineStr">
        <is>
          <t>00000000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</row>
    <row r="888">
      <c r="A888" t="inlineStr">
        <is>
          <t>Operations</t>
        </is>
      </c>
      <c r="B888" t="inlineStr">
        <is>
          <t>F64</t>
        </is>
      </c>
      <c r="C888" t="n">
        <v>64</v>
      </c>
      <c r="D888" t="n">
        <v>6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1</v>
      </c>
      <c r="K888" t="b">
        <v>0</v>
      </c>
      <c r="L888" t="n">
        <v>10</v>
      </c>
      <c r="N888" t="inlineStr">
        <is>
          <t>00000000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</row>
    <row r="889">
      <c r="A889" t="inlineStr">
        <is>
          <t>Operations</t>
        </is>
      </c>
      <c r="B889" t="inlineStr">
        <is>
          <t>G64</t>
        </is>
      </c>
      <c r="C889" t="n">
        <v>64</v>
      </c>
      <c r="D889" t="n">
        <v>7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1</v>
      </c>
      <c r="K889" t="b">
        <v>0</v>
      </c>
      <c r="L889" t="n">
        <v>10</v>
      </c>
      <c r="N889" t="inlineStr">
        <is>
          <t>00000000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</row>
    <row r="890">
      <c r="A890" t="inlineStr">
        <is>
          <t>Operations</t>
        </is>
      </c>
      <c r="B890" t="inlineStr">
        <is>
          <t>H64</t>
        </is>
      </c>
      <c r="C890" t="n">
        <v>64</v>
      </c>
      <c r="D890" t="n">
        <v>8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1</v>
      </c>
      <c r="K890" t="b">
        <v>0</v>
      </c>
      <c r="L890" t="n">
        <v>10</v>
      </c>
      <c r="N890" t="inlineStr">
        <is>
          <t>00000000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</row>
    <row r="891">
      <c r="A891" t="inlineStr">
        <is>
          <t>Operations</t>
        </is>
      </c>
      <c r="B891" t="inlineStr">
        <is>
          <t>I64</t>
        </is>
      </c>
      <c r="C891" t="n">
        <v>64</v>
      </c>
      <c r="D891" t="n">
        <v>9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1</v>
      </c>
      <c r="K891" t="b">
        <v>0</v>
      </c>
      <c r="L891" t="n">
        <v>10</v>
      </c>
      <c r="N891" t="inlineStr">
        <is>
          <t>00000000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</row>
    <row r="892">
      <c r="A892" t="inlineStr">
        <is>
          <t>Operations</t>
        </is>
      </c>
      <c r="B892" t="inlineStr">
        <is>
          <t>J64</t>
        </is>
      </c>
      <c r="C892" t="n">
        <v>64</v>
      </c>
      <c r="D892" t="n">
        <v>10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1</v>
      </c>
      <c r="K892" t="b">
        <v>0</v>
      </c>
      <c r="L892" t="n">
        <v>10</v>
      </c>
      <c r="N892" t="inlineStr">
        <is>
          <t>00000000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</row>
    <row r="893">
      <c r="A893" t="inlineStr">
        <is>
          <t>Operations</t>
        </is>
      </c>
      <c r="B893" t="inlineStr">
        <is>
          <t>K64</t>
        </is>
      </c>
      <c r="C893" t="n">
        <v>64</v>
      </c>
      <c r="D893" t="n">
        <v>11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1</v>
      </c>
      <c r="K893" t="b">
        <v>0</v>
      </c>
      <c r="L893" t="n">
        <v>10</v>
      </c>
      <c r="N893" t="inlineStr">
        <is>
          <t>00000000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</row>
    <row r="894">
      <c r="A894" t="inlineStr">
        <is>
          <t>Operations</t>
        </is>
      </c>
      <c r="B894" t="inlineStr">
        <is>
          <t>L64</t>
        </is>
      </c>
      <c r="C894" t="n">
        <v>64</v>
      </c>
      <c r="D894" t="n">
        <v>12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1</v>
      </c>
      <c r="K894" t="b">
        <v>0</v>
      </c>
      <c r="L894" t="n">
        <v>10</v>
      </c>
      <c r="N894" t="inlineStr">
        <is>
          <t>00000000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</row>
    <row r="895">
      <c r="A895" t="inlineStr">
        <is>
          <t>Operations</t>
        </is>
      </c>
      <c r="B895" t="inlineStr">
        <is>
          <t>M64</t>
        </is>
      </c>
      <c r="C895" t="n">
        <v>64</v>
      </c>
      <c r="D895" t="n">
        <v>13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1</v>
      </c>
      <c r="K895" t="b">
        <v>0</v>
      </c>
      <c r="L895" t="n">
        <v>10</v>
      </c>
      <c r="N895" t="inlineStr">
        <is>
          <t>00000000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</row>
    <row r="896">
      <c r="A896" t="inlineStr">
        <is>
          <t>Operations</t>
        </is>
      </c>
      <c r="B896" t="inlineStr">
        <is>
          <t>N64</t>
        </is>
      </c>
      <c r="C896" t="n">
        <v>64</v>
      </c>
      <c r="D896" t="n">
        <v>14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1</v>
      </c>
      <c r="K896" t="b">
        <v>0</v>
      </c>
      <c r="L896" t="n">
        <v>10</v>
      </c>
      <c r="N896" t="inlineStr">
        <is>
          <t>00000000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</row>
    <row r="897">
      <c r="A897" t="inlineStr">
        <is>
          <t>Operations</t>
        </is>
      </c>
      <c r="B897" t="inlineStr">
        <is>
          <t>O64</t>
        </is>
      </c>
      <c r="C897" t="n">
        <v>64</v>
      </c>
      <c r="D897" t="n">
        <v>15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1</v>
      </c>
      <c r="K897" t="b">
        <v>0</v>
      </c>
      <c r="L897" t="n">
        <v>10</v>
      </c>
      <c r="N897" t="inlineStr">
        <is>
          <t>00000000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</row>
    <row r="898">
      <c r="A898" t="inlineStr">
        <is>
          <t>Operations</t>
        </is>
      </c>
      <c r="B898" t="inlineStr">
        <is>
          <t>A65</t>
        </is>
      </c>
      <c r="C898" t="n">
        <v>65</v>
      </c>
      <c r="D898" t="n">
        <v>1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1</v>
      </c>
      <c r="K898" t="b">
        <v>0</v>
      </c>
      <c r="L898" t="n">
        <v>10</v>
      </c>
      <c r="N898" t="inlineStr">
        <is>
          <t>00000000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</row>
    <row r="899">
      <c r="A899" t="inlineStr">
        <is>
          <t>Operations</t>
        </is>
      </c>
      <c r="B899" t="inlineStr">
        <is>
          <t>B65</t>
        </is>
      </c>
      <c r="C899" t="n">
        <v>65</v>
      </c>
      <c r="D899" t="n">
        <v>2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1</v>
      </c>
      <c r="K899" t="b">
        <v>0</v>
      </c>
      <c r="L899" t="n">
        <v>10</v>
      </c>
      <c r="N899" t="inlineStr">
        <is>
          <t>00000000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</row>
    <row r="900">
      <c r="A900" t="inlineStr">
        <is>
          <t>Operations</t>
        </is>
      </c>
      <c r="B900" t="inlineStr">
        <is>
          <t>C65</t>
        </is>
      </c>
      <c r="C900" t="n">
        <v>65</v>
      </c>
      <c r="D900" t="n">
        <v>3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1</v>
      </c>
      <c r="K900" t="b">
        <v>0</v>
      </c>
      <c r="L900" t="n">
        <v>10</v>
      </c>
      <c r="N900" t="inlineStr">
        <is>
          <t>00000000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</row>
    <row r="901">
      <c r="A901" t="inlineStr">
        <is>
          <t>Operations</t>
        </is>
      </c>
      <c r="B901" t="inlineStr">
        <is>
          <t>D65</t>
        </is>
      </c>
      <c r="C901" t="n">
        <v>65</v>
      </c>
      <c r="D901" t="n">
        <v>4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1</v>
      </c>
      <c r="K901" t="b">
        <v>0</v>
      </c>
      <c r="L901" t="n">
        <v>10</v>
      </c>
      <c r="N901" t="inlineStr">
        <is>
          <t>00000000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</row>
    <row r="902">
      <c r="A902" t="inlineStr">
        <is>
          <t>Operations</t>
        </is>
      </c>
      <c r="B902" t="inlineStr">
        <is>
          <t>E65</t>
        </is>
      </c>
      <c r="C902" t="n">
        <v>65</v>
      </c>
      <c r="D902" t="n">
        <v>5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1</v>
      </c>
      <c r="K902" t="b">
        <v>0</v>
      </c>
      <c r="L902" t="n">
        <v>10</v>
      </c>
      <c r="N902" t="inlineStr">
        <is>
          <t>00000000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</row>
    <row r="903">
      <c r="A903" t="inlineStr">
        <is>
          <t>Operations</t>
        </is>
      </c>
      <c r="B903" t="inlineStr">
        <is>
          <t>F65</t>
        </is>
      </c>
      <c r="C903" t="n">
        <v>65</v>
      </c>
      <c r="D903" t="n">
        <v>6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1</v>
      </c>
      <c r="K903" t="b">
        <v>0</v>
      </c>
      <c r="L903" t="n">
        <v>10</v>
      </c>
      <c r="N903" t="inlineStr">
        <is>
          <t>00000000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</row>
    <row r="904">
      <c r="A904" t="inlineStr">
        <is>
          <t>Operations</t>
        </is>
      </c>
      <c r="B904" t="inlineStr">
        <is>
          <t>G65</t>
        </is>
      </c>
      <c r="C904" t="n">
        <v>65</v>
      </c>
      <c r="D904" t="n">
        <v>7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1</v>
      </c>
      <c r="K904" t="b">
        <v>0</v>
      </c>
      <c r="L904" t="n">
        <v>10</v>
      </c>
      <c r="N904" t="inlineStr">
        <is>
          <t>00000000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</row>
    <row r="905">
      <c r="A905" t="inlineStr">
        <is>
          <t>Operations</t>
        </is>
      </c>
      <c r="B905" t="inlineStr">
        <is>
          <t>H65</t>
        </is>
      </c>
      <c r="C905" t="n">
        <v>65</v>
      </c>
      <c r="D905" t="n">
        <v>8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1</v>
      </c>
      <c r="K905" t="b">
        <v>0</v>
      </c>
      <c r="L905" t="n">
        <v>10</v>
      </c>
      <c r="N905" t="inlineStr">
        <is>
          <t>00000000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</row>
    <row r="906">
      <c r="A906" t="inlineStr">
        <is>
          <t>Operations</t>
        </is>
      </c>
      <c r="B906" t="inlineStr">
        <is>
          <t>I65</t>
        </is>
      </c>
      <c r="C906" t="n">
        <v>65</v>
      </c>
      <c r="D906" t="n">
        <v>9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1</v>
      </c>
      <c r="K906" t="b">
        <v>0</v>
      </c>
      <c r="L906" t="n">
        <v>10</v>
      </c>
      <c r="N906" t="inlineStr">
        <is>
          <t>00000000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</row>
    <row r="907">
      <c r="A907" t="inlineStr">
        <is>
          <t>Operations</t>
        </is>
      </c>
      <c r="B907" t="inlineStr">
        <is>
          <t>J65</t>
        </is>
      </c>
      <c r="C907" t="n">
        <v>65</v>
      </c>
      <c r="D907" t="n">
        <v>10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1</v>
      </c>
      <c r="K907" t="b">
        <v>0</v>
      </c>
      <c r="L907" t="n">
        <v>10</v>
      </c>
      <c r="N907" t="inlineStr">
        <is>
          <t>00000000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</row>
    <row r="908">
      <c r="A908" t="inlineStr">
        <is>
          <t>Operations</t>
        </is>
      </c>
      <c r="B908" t="inlineStr">
        <is>
          <t>K65</t>
        </is>
      </c>
      <c r="C908" t="n">
        <v>65</v>
      </c>
      <c r="D908" t="n">
        <v>11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1</v>
      </c>
      <c r="K908" t="b">
        <v>0</v>
      </c>
      <c r="L908" t="n">
        <v>10</v>
      </c>
      <c r="N908" t="inlineStr">
        <is>
          <t>00000000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</row>
    <row r="909">
      <c r="A909" t="inlineStr">
        <is>
          <t>Operations</t>
        </is>
      </c>
      <c r="B909" t="inlineStr">
        <is>
          <t>L65</t>
        </is>
      </c>
      <c r="C909" t="n">
        <v>65</v>
      </c>
      <c r="D909" t="n">
        <v>12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1</v>
      </c>
      <c r="K909" t="b">
        <v>0</v>
      </c>
      <c r="L909" t="n">
        <v>10</v>
      </c>
      <c r="N909" t="inlineStr">
        <is>
          <t>00000000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</row>
    <row r="910">
      <c r="A910" t="inlineStr">
        <is>
          <t>Operations</t>
        </is>
      </c>
      <c r="B910" t="inlineStr">
        <is>
          <t>M65</t>
        </is>
      </c>
      <c r="C910" t="n">
        <v>65</v>
      </c>
      <c r="D910" t="n">
        <v>13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1</v>
      </c>
      <c r="K910" t="b">
        <v>0</v>
      </c>
      <c r="L910" t="n">
        <v>10</v>
      </c>
      <c r="N910" t="inlineStr">
        <is>
          <t>00000000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</row>
    <row r="911">
      <c r="A911" t="inlineStr">
        <is>
          <t>Operations</t>
        </is>
      </c>
      <c r="B911" t="inlineStr">
        <is>
          <t>N65</t>
        </is>
      </c>
      <c r="C911" t="n">
        <v>65</v>
      </c>
      <c r="D911" t="n">
        <v>14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1</v>
      </c>
      <c r="K911" t="b">
        <v>0</v>
      </c>
      <c r="L911" t="n">
        <v>10</v>
      </c>
      <c r="N911" t="inlineStr">
        <is>
          <t>00000000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</row>
    <row r="912">
      <c r="A912" t="inlineStr">
        <is>
          <t>Operations</t>
        </is>
      </c>
      <c r="B912" t="inlineStr">
        <is>
          <t>O65</t>
        </is>
      </c>
      <c r="C912" t="n">
        <v>65</v>
      </c>
      <c r="D912" t="n">
        <v>15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1</v>
      </c>
      <c r="K912" t="b">
        <v>0</v>
      </c>
      <c r="L912" t="n">
        <v>10</v>
      </c>
      <c r="N912" t="inlineStr">
        <is>
          <t>00000000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</row>
    <row r="913">
      <c r="A913" t="inlineStr">
        <is>
          <t>Operations</t>
        </is>
      </c>
      <c r="B913" t="inlineStr">
        <is>
          <t>A66</t>
        </is>
      </c>
      <c r="C913" t="n">
        <v>66</v>
      </c>
      <c r="D913" t="n">
        <v>1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1</v>
      </c>
      <c r="K913" t="b">
        <v>0</v>
      </c>
      <c r="L913" t="n">
        <v>10</v>
      </c>
      <c r="N913" t="inlineStr">
        <is>
          <t>00000000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</row>
    <row r="914">
      <c r="A914" t="inlineStr">
        <is>
          <t>Operations</t>
        </is>
      </c>
      <c r="B914" t="inlineStr">
        <is>
          <t>B66</t>
        </is>
      </c>
      <c r="C914" t="n">
        <v>66</v>
      </c>
      <c r="D914" t="n">
        <v>2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1</v>
      </c>
      <c r="K914" t="b">
        <v>0</v>
      </c>
      <c r="L914" t="n">
        <v>10</v>
      </c>
      <c r="N914" t="inlineStr">
        <is>
          <t>00000000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</row>
    <row r="915">
      <c r="A915" t="inlineStr">
        <is>
          <t>Operations</t>
        </is>
      </c>
      <c r="B915" t="inlineStr">
        <is>
          <t>C66</t>
        </is>
      </c>
      <c r="C915" t="n">
        <v>66</v>
      </c>
      <c r="D915" t="n">
        <v>3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1</v>
      </c>
      <c r="K915" t="b">
        <v>0</v>
      </c>
      <c r="L915" t="n">
        <v>10</v>
      </c>
      <c r="N915" t="inlineStr">
        <is>
          <t>00000000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</row>
    <row r="916">
      <c r="A916" t="inlineStr">
        <is>
          <t>Operations</t>
        </is>
      </c>
      <c r="B916" t="inlineStr">
        <is>
          <t>D66</t>
        </is>
      </c>
      <c r="C916" t="n">
        <v>66</v>
      </c>
      <c r="D916" t="n">
        <v>4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1</v>
      </c>
      <c r="K916" t="b">
        <v>0</v>
      </c>
      <c r="L916" t="n">
        <v>10</v>
      </c>
      <c r="N916" t="inlineStr">
        <is>
          <t>00000000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</row>
    <row r="917">
      <c r="A917" t="inlineStr">
        <is>
          <t>Operations</t>
        </is>
      </c>
      <c r="B917" t="inlineStr">
        <is>
          <t>E66</t>
        </is>
      </c>
      <c r="C917" t="n">
        <v>66</v>
      </c>
      <c r="D917" t="n">
        <v>5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1</v>
      </c>
      <c r="K917" t="b">
        <v>0</v>
      </c>
      <c r="L917" t="n">
        <v>10</v>
      </c>
      <c r="N917" t="inlineStr">
        <is>
          <t>00000000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</row>
    <row r="918">
      <c r="A918" t="inlineStr">
        <is>
          <t>Operations</t>
        </is>
      </c>
      <c r="B918" t="inlineStr">
        <is>
          <t>F66</t>
        </is>
      </c>
      <c r="C918" t="n">
        <v>66</v>
      </c>
      <c r="D918" t="n">
        <v>6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1</v>
      </c>
      <c r="K918" t="b">
        <v>0</v>
      </c>
      <c r="L918" t="n">
        <v>10</v>
      </c>
      <c r="N918" t="inlineStr">
        <is>
          <t>00000000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</row>
    <row r="919">
      <c r="A919" t="inlineStr">
        <is>
          <t>Operations</t>
        </is>
      </c>
      <c r="B919" t="inlineStr">
        <is>
          <t>G66</t>
        </is>
      </c>
      <c r="C919" t="n">
        <v>66</v>
      </c>
      <c r="D919" t="n">
        <v>7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1</v>
      </c>
      <c r="K919" t="b">
        <v>0</v>
      </c>
      <c r="L919" t="n">
        <v>10</v>
      </c>
      <c r="N919" t="inlineStr">
        <is>
          <t>00000000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</row>
    <row r="920">
      <c r="A920" t="inlineStr">
        <is>
          <t>Operations</t>
        </is>
      </c>
      <c r="B920" t="inlineStr">
        <is>
          <t>H66</t>
        </is>
      </c>
      <c r="C920" t="n">
        <v>66</v>
      </c>
      <c r="D920" t="n">
        <v>8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1</v>
      </c>
      <c r="K920" t="b">
        <v>0</v>
      </c>
      <c r="L920" t="n">
        <v>10</v>
      </c>
      <c r="N920" t="inlineStr">
        <is>
          <t>00000000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</row>
    <row r="921">
      <c r="A921" t="inlineStr">
        <is>
          <t>Operations</t>
        </is>
      </c>
      <c r="B921" t="inlineStr">
        <is>
          <t>I66</t>
        </is>
      </c>
      <c r="C921" t="n">
        <v>66</v>
      </c>
      <c r="D921" t="n">
        <v>9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1</v>
      </c>
      <c r="K921" t="b">
        <v>0</v>
      </c>
      <c r="L921" t="n">
        <v>10</v>
      </c>
      <c r="N921" t="inlineStr">
        <is>
          <t>00000000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</row>
    <row r="922">
      <c r="A922" t="inlineStr">
        <is>
          <t>Operations</t>
        </is>
      </c>
      <c r="B922" t="inlineStr">
        <is>
          <t>J66</t>
        </is>
      </c>
      <c r="C922" t="n">
        <v>66</v>
      </c>
      <c r="D922" t="n">
        <v>10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1</v>
      </c>
      <c r="K922" t="b">
        <v>0</v>
      </c>
      <c r="L922" t="n">
        <v>10</v>
      </c>
      <c r="N922" t="inlineStr">
        <is>
          <t>00000000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</row>
    <row r="923">
      <c r="A923" t="inlineStr">
        <is>
          <t>Operations</t>
        </is>
      </c>
      <c r="B923" t="inlineStr">
        <is>
          <t>K66</t>
        </is>
      </c>
      <c r="C923" t="n">
        <v>66</v>
      </c>
      <c r="D923" t="n">
        <v>11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1</v>
      </c>
      <c r="K923" t="b">
        <v>0</v>
      </c>
      <c r="L923" t="n">
        <v>10</v>
      </c>
      <c r="N923" t="inlineStr">
        <is>
          <t>00000000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</row>
    <row r="924">
      <c r="A924" t="inlineStr">
        <is>
          <t>Operations</t>
        </is>
      </c>
      <c r="B924" t="inlineStr">
        <is>
          <t>L66</t>
        </is>
      </c>
      <c r="C924" t="n">
        <v>66</v>
      </c>
      <c r="D924" t="n">
        <v>12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1</v>
      </c>
      <c r="K924" t="b">
        <v>0</v>
      </c>
      <c r="L924" t="n">
        <v>10</v>
      </c>
      <c r="N924" t="inlineStr">
        <is>
          <t>00000000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</row>
    <row r="925">
      <c r="A925" t="inlineStr">
        <is>
          <t>Operations</t>
        </is>
      </c>
      <c r="B925" t="inlineStr">
        <is>
          <t>M66</t>
        </is>
      </c>
      <c r="C925" t="n">
        <v>66</v>
      </c>
      <c r="D925" t="n">
        <v>13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1</v>
      </c>
      <c r="K925" t="b">
        <v>0</v>
      </c>
      <c r="L925" t="n">
        <v>10</v>
      </c>
      <c r="N925" t="inlineStr">
        <is>
          <t>00000000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</row>
    <row r="926">
      <c r="A926" t="inlineStr">
        <is>
          <t>Operations</t>
        </is>
      </c>
      <c r="B926" t="inlineStr">
        <is>
          <t>N66</t>
        </is>
      </c>
      <c r="C926" t="n">
        <v>66</v>
      </c>
      <c r="D926" t="n">
        <v>14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1</v>
      </c>
      <c r="K926" t="b">
        <v>0</v>
      </c>
      <c r="L926" t="n">
        <v>10</v>
      </c>
      <c r="N926" t="inlineStr">
        <is>
          <t>00000000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</row>
    <row r="927">
      <c r="A927" t="inlineStr">
        <is>
          <t>Operations</t>
        </is>
      </c>
      <c r="B927" t="inlineStr">
        <is>
          <t>O66</t>
        </is>
      </c>
      <c r="C927" t="n">
        <v>66</v>
      </c>
      <c r="D927" t="n">
        <v>15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1</v>
      </c>
      <c r="K927" t="b">
        <v>0</v>
      </c>
      <c r="L927" t="n">
        <v>10</v>
      </c>
      <c r="N927" t="inlineStr">
        <is>
          <t>00000000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</row>
    <row r="928">
      <c r="A928" t="inlineStr">
        <is>
          <t>Operations</t>
        </is>
      </c>
      <c r="B928" t="inlineStr">
        <is>
          <t>A67</t>
        </is>
      </c>
      <c r="C928" t="n">
        <v>67</v>
      </c>
      <c r="D928" t="n">
        <v>1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1</v>
      </c>
      <c r="K928" t="b">
        <v>0</v>
      </c>
      <c r="L928" t="n">
        <v>10</v>
      </c>
      <c r="N928" t="inlineStr">
        <is>
          <t>00000000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</row>
    <row r="929">
      <c r="A929" t="inlineStr">
        <is>
          <t>Operations</t>
        </is>
      </c>
      <c r="B929" t="inlineStr">
        <is>
          <t>B67</t>
        </is>
      </c>
      <c r="C929" t="n">
        <v>67</v>
      </c>
      <c r="D929" t="n">
        <v>2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1</v>
      </c>
      <c r="K929" t="b">
        <v>0</v>
      </c>
      <c r="L929" t="n">
        <v>10</v>
      </c>
      <c r="N929" t="inlineStr">
        <is>
          <t>00000000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</row>
    <row r="930">
      <c r="A930" t="inlineStr">
        <is>
          <t>Operations</t>
        </is>
      </c>
      <c r="B930" t="inlineStr">
        <is>
          <t>C67</t>
        </is>
      </c>
      <c r="C930" t="n">
        <v>67</v>
      </c>
      <c r="D930" t="n">
        <v>3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1</v>
      </c>
      <c r="K930" t="b">
        <v>0</v>
      </c>
      <c r="L930" t="n">
        <v>10</v>
      </c>
      <c r="N930" t="inlineStr">
        <is>
          <t>00000000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</row>
    <row r="931">
      <c r="A931" t="inlineStr">
        <is>
          <t>Operations</t>
        </is>
      </c>
      <c r="B931" t="inlineStr">
        <is>
          <t>D67</t>
        </is>
      </c>
      <c r="C931" t="n">
        <v>67</v>
      </c>
      <c r="D931" t="n">
        <v>4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1</v>
      </c>
      <c r="K931" t="b">
        <v>0</v>
      </c>
      <c r="L931" t="n">
        <v>10</v>
      </c>
      <c r="N931" t="inlineStr">
        <is>
          <t>00000000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</row>
    <row r="932">
      <c r="A932" t="inlineStr">
        <is>
          <t>Operations</t>
        </is>
      </c>
      <c r="B932" t="inlineStr">
        <is>
          <t>E67</t>
        </is>
      </c>
      <c r="C932" t="n">
        <v>67</v>
      </c>
      <c r="D932" t="n">
        <v>5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1</v>
      </c>
      <c r="K932" t="b">
        <v>0</v>
      </c>
      <c r="L932" t="n">
        <v>10</v>
      </c>
      <c r="N932" t="inlineStr">
        <is>
          <t>00000000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</row>
    <row r="933">
      <c r="A933" t="inlineStr">
        <is>
          <t>Operations</t>
        </is>
      </c>
      <c r="B933" t="inlineStr">
        <is>
          <t>F67</t>
        </is>
      </c>
      <c r="C933" t="n">
        <v>67</v>
      </c>
      <c r="D933" t="n">
        <v>6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1</v>
      </c>
      <c r="K933" t="b">
        <v>0</v>
      </c>
      <c r="L933" t="n">
        <v>10</v>
      </c>
      <c r="N933" t="inlineStr">
        <is>
          <t>00000000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</row>
    <row r="934">
      <c r="A934" t="inlineStr">
        <is>
          <t>Operations</t>
        </is>
      </c>
      <c r="B934" t="inlineStr">
        <is>
          <t>G67</t>
        </is>
      </c>
      <c r="C934" t="n">
        <v>67</v>
      </c>
      <c r="D934" t="n">
        <v>7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1</v>
      </c>
      <c r="K934" t="b">
        <v>0</v>
      </c>
      <c r="L934" t="n">
        <v>10</v>
      </c>
      <c r="N934" t="inlineStr">
        <is>
          <t>00000000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</row>
    <row r="935">
      <c r="A935" t="inlineStr">
        <is>
          <t>Operations</t>
        </is>
      </c>
      <c r="B935" t="inlineStr">
        <is>
          <t>H67</t>
        </is>
      </c>
      <c r="C935" t="n">
        <v>67</v>
      </c>
      <c r="D935" t="n">
        <v>8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1</v>
      </c>
      <c r="K935" t="b">
        <v>0</v>
      </c>
      <c r="L935" t="n">
        <v>10</v>
      </c>
      <c r="N935" t="inlineStr">
        <is>
          <t>00000000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</row>
    <row r="936">
      <c r="A936" t="inlineStr">
        <is>
          <t>Operations</t>
        </is>
      </c>
      <c r="B936" t="inlineStr">
        <is>
          <t>I67</t>
        </is>
      </c>
      <c r="C936" t="n">
        <v>67</v>
      </c>
      <c r="D936" t="n">
        <v>9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1</v>
      </c>
      <c r="K936" t="b">
        <v>0</v>
      </c>
      <c r="L936" t="n">
        <v>10</v>
      </c>
      <c r="N936" t="inlineStr">
        <is>
          <t>00000000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</row>
    <row r="937">
      <c r="A937" t="inlineStr">
        <is>
          <t>Operations</t>
        </is>
      </c>
      <c r="B937" t="inlineStr">
        <is>
          <t>J67</t>
        </is>
      </c>
      <c r="C937" t="n">
        <v>67</v>
      </c>
      <c r="D937" t="n">
        <v>10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1</v>
      </c>
      <c r="K937" t="b">
        <v>0</v>
      </c>
      <c r="L937" t="n">
        <v>10</v>
      </c>
      <c r="N937" t="inlineStr">
        <is>
          <t>00000000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</row>
    <row r="938">
      <c r="A938" t="inlineStr">
        <is>
          <t>Operations</t>
        </is>
      </c>
      <c r="B938" t="inlineStr">
        <is>
          <t>K67</t>
        </is>
      </c>
      <c r="C938" t="n">
        <v>67</v>
      </c>
      <c r="D938" t="n">
        <v>11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1</v>
      </c>
      <c r="K938" t="b">
        <v>0</v>
      </c>
      <c r="L938" t="n">
        <v>10</v>
      </c>
      <c r="N938" t="inlineStr">
        <is>
          <t>00000000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</row>
    <row r="939">
      <c r="A939" t="inlineStr">
        <is>
          <t>Operations</t>
        </is>
      </c>
      <c r="B939" t="inlineStr">
        <is>
          <t>L67</t>
        </is>
      </c>
      <c r="C939" t="n">
        <v>67</v>
      </c>
      <c r="D939" t="n">
        <v>12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1</v>
      </c>
      <c r="K939" t="b">
        <v>0</v>
      </c>
      <c r="L939" t="n">
        <v>10</v>
      </c>
      <c r="N939" t="inlineStr">
        <is>
          <t>00000000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</row>
    <row r="940">
      <c r="A940" t="inlineStr">
        <is>
          <t>Operations</t>
        </is>
      </c>
      <c r="B940" t="inlineStr">
        <is>
          <t>M67</t>
        </is>
      </c>
      <c r="C940" t="n">
        <v>67</v>
      </c>
      <c r="D940" t="n">
        <v>13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1</v>
      </c>
      <c r="K940" t="b">
        <v>0</v>
      </c>
      <c r="L940" t="n">
        <v>10</v>
      </c>
      <c r="N940" t="inlineStr">
        <is>
          <t>00000000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</row>
    <row r="941">
      <c r="A941" t="inlineStr">
        <is>
          <t>Operations</t>
        </is>
      </c>
      <c r="B941" t="inlineStr">
        <is>
          <t>N67</t>
        </is>
      </c>
      <c r="C941" t="n">
        <v>67</v>
      </c>
      <c r="D941" t="n">
        <v>14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1</v>
      </c>
      <c r="K941" t="b">
        <v>0</v>
      </c>
      <c r="L941" t="n">
        <v>10</v>
      </c>
      <c r="N941" t="inlineStr">
        <is>
          <t>00000000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</row>
    <row r="942">
      <c r="A942" t="inlineStr">
        <is>
          <t>Operations</t>
        </is>
      </c>
      <c r="B942" t="inlineStr">
        <is>
          <t>O67</t>
        </is>
      </c>
      <c r="C942" t="n">
        <v>67</v>
      </c>
      <c r="D942" t="n">
        <v>15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1</v>
      </c>
      <c r="K942" t="b">
        <v>0</v>
      </c>
      <c r="L942" t="n">
        <v>10</v>
      </c>
      <c r="N942" t="inlineStr">
        <is>
          <t>00000000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</row>
    <row r="943">
      <c r="A943" t="inlineStr">
        <is>
          <t>Operations</t>
        </is>
      </c>
      <c r="B943" t="inlineStr">
        <is>
          <t>A68</t>
        </is>
      </c>
      <c r="C943" t="n">
        <v>68</v>
      </c>
      <c r="D943" t="n">
        <v>1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1</v>
      </c>
      <c r="K943" t="b">
        <v>0</v>
      </c>
      <c r="L943" t="n">
        <v>10</v>
      </c>
      <c r="N943" t="inlineStr">
        <is>
          <t>00000000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</row>
    <row r="944">
      <c r="A944" t="inlineStr">
        <is>
          <t>Operations</t>
        </is>
      </c>
      <c r="B944" t="inlineStr">
        <is>
          <t>B68</t>
        </is>
      </c>
      <c r="C944" t="n">
        <v>68</v>
      </c>
      <c r="D944" t="n">
        <v>2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1</v>
      </c>
      <c r="K944" t="b">
        <v>0</v>
      </c>
      <c r="L944" t="n">
        <v>10</v>
      </c>
      <c r="N944" t="inlineStr">
        <is>
          <t>00000000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</row>
    <row r="945">
      <c r="A945" t="inlineStr">
        <is>
          <t>Operations</t>
        </is>
      </c>
      <c r="B945" t="inlineStr">
        <is>
          <t>C68</t>
        </is>
      </c>
      <c r="C945" t="n">
        <v>68</v>
      </c>
      <c r="D945" t="n">
        <v>3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1</v>
      </c>
      <c r="K945" t="b">
        <v>0</v>
      </c>
      <c r="L945" t="n">
        <v>10</v>
      </c>
      <c r="N945" t="inlineStr">
        <is>
          <t>00000000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</row>
    <row r="946">
      <c r="A946" t="inlineStr">
        <is>
          <t>Operations</t>
        </is>
      </c>
      <c r="B946" t="inlineStr">
        <is>
          <t>D68</t>
        </is>
      </c>
      <c r="C946" t="n">
        <v>68</v>
      </c>
      <c r="D946" t="n">
        <v>4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1</v>
      </c>
      <c r="K946" t="b">
        <v>0</v>
      </c>
      <c r="L946" t="n">
        <v>10</v>
      </c>
      <c r="N946" t="inlineStr">
        <is>
          <t>00000000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</row>
    <row r="947">
      <c r="A947" t="inlineStr">
        <is>
          <t>Operations</t>
        </is>
      </c>
      <c r="B947" t="inlineStr">
        <is>
          <t>E68</t>
        </is>
      </c>
      <c r="C947" t="n">
        <v>68</v>
      </c>
      <c r="D947" t="n">
        <v>5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1</v>
      </c>
      <c r="K947" t="b">
        <v>0</v>
      </c>
      <c r="L947" t="n">
        <v>10</v>
      </c>
      <c r="N947" t="inlineStr">
        <is>
          <t>00000000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</row>
    <row r="948">
      <c r="A948" t="inlineStr">
        <is>
          <t>Operations</t>
        </is>
      </c>
      <c r="B948" t="inlineStr">
        <is>
          <t>F68</t>
        </is>
      </c>
      <c r="C948" t="n">
        <v>68</v>
      </c>
      <c r="D948" t="n">
        <v>6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1</v>
      </c>
      <c r="K948" t="b">
        <v>0</v>
      </c>
      <c r="L948" t="n">
        <v>10</v>
      </c>
      <c r="N948" t="inlineStr">
        <is>
          <t>00000000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</row>
    <row r="949">
      <c r="A949" t="inlineStr">
        <is>
          <t>Operations</t>
        </is>
      </c>
      <c r="B949" t="inlineStr">
        <is>
          <t>G68</t>
        </is>
      </c>
      <c r="C949" t="n">
        <v>68</v>
      </c>
      <c r="D949" t="n">
        <v>7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1</v>
      </c>
      <c r="K949" t="b">
        <v>0</v>
      </c>
      <c r="L949" t="n">
        <v>10</v>
      </c>
      <c r="N949" t="inlineStr">
        <is>
          <t>00000000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</row>
    <row r="950">
      <c r="A950" t="inlineStr">
        <is>
          <t>Operations</t>
        </is>
      </c>
      <c r="B950" t="inlineStr">
        <is>
          <t>H68</t>
        </is>
      </c>
      <c r="C950" t="n">
        <v>68</v>
      </c>
      <c r="D950" t="n">
        <v>8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1</v>
      </c>
      <c r="K950" t="b">
        <v>0</v>
      </c>
      <c r="L950" t="n">
        <v>10</v>
      </c>
      <c r="N950" t="inlineStr">
        <is>
          <t>00000000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</row>
    <row r="951">
      <c r="A951" t="inlineStr">
        <is>
          <t>Operations</t>
        </is>
      </c>
      <c r="B951" t="inlineStr">
        <is>
          <t>I68</t>
        </is>
      </c>
      <c r="C951" t="n">
        <v>68</v>
      </c>
      <c r="D951" t="n">
        <v>9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1</v>
      </c>
      <c r="K951" t="b">
        <v>0</v>
      </c>
      <c r="L951" t="n">
        <v>10</v>
      </c>
      <c r="N951" t="inlineStr">
        <is>
          <t>00000000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</row>
    <row r="952">
      <c r="A952" t="inlineStr">
        <is>
          <t>Operations</t>
        </is>
      </c>
      <c r="B952" t="inlineStr">
        <is>
          <t>J68</t>
        </is>
      </c>
      <c r="C952" t="n">
        <v>68</v>
      </c>
      <c r="D952" t="n">
        <v>10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1</v>
      </c>
      <c r="K952" t="b">
        <v>0</v>
      </c>
      <c r="L952" t="n">
        <v>10</v>
      </c>
      <c r="N952" t="inlineStr">
        <is>
          <t>00000000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</row>
    <row r="953">
      <c r="A953" t="inlineStr">
        <is>
          <t>Operations</t>
        </is>
      </c>
      <c r="B953" t="inlineStr">
        <is>
          <t>K68</t>
        </is>
      </c>
      <c r="C953" t="n">
        <v>68</v>
      </c>
      <c r="D953" t="n">
        <v>11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1</v>
      </c>
      <c r="K953" t="b">
        <v>0</v>
      </c>
      <c r="L953" t="n">
        <v>10</v>
      </c>
      <c r="N953" t="inlineStr">
        <is>
          <t>00000000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</row>
    <row r="954">
      <c r="A954" t="inlineStr">
        <is>
          <t>Operations</t>
        </is>
      </c>
      <c r="B954" t="inlineStr">
        <is>
          <t>L68</t>
        </is>
      </c>
      <c r="C954" t="n">
        <v>68</v>
      </c>
      <c r="D954" t="n">
        <v>12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1</v>
      </c>
      <c r="K954" t="b">
        <v>0</v>
      </c>
      <c r="L954" t="n">
        <v>10</v>
      </c>
      <c r="N954" t="inlineStr">
        <is>
          <t>00000000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</row>
    <row r="955">
      <c r="A955" t="inlineStr">
        <is>
          <t>Operations</t>
        </is>
      </c>
      <c r="B955" t="inlineStr">
        <is>
          <t>M68</t>
        </is>
      </c>
      <c r="C955" t="n">
        <v>68</v>
      </c>
      <c r="D955" t="n">
        <v>13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1</v>
      </c>
      <c r="K955" t="b">
        <v>0</v>
      </c>
      <c r="L955" t="n">
        <v>10</v>
      </c>
      <c r="N955" t="inlineStr">
        <is>
          <t>00000000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</row>
    <row r="956">
      <c r="A956" t="inlineStr">
        <is>
          <t>Operations</t>
        </is>
      </c>
      <c r="B956" t="inlineStr">
        <is>
          <t>N68</t>
        </is>
      </c>
      <c r="C956" t="n">
        <v>68</v>
      </c>
      <c r="D956" t="n">
        <v>14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1</v>
      </c>
      <c r="K956" t="b">
        <v>0</v>
      </c>
      <c r="L956" t="n">
        <v>10</v>
      </c>
      <c r="N956" t="inlineStr">
        <is>
          <t>00000000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</row>
    <row r="957">
      <c r="A957" t="inlineStr">
        <is>
          <t>Operations</t>
        </is>
      </c>
      <c r="B957" t="inlineStr">
        <is>
          <t>O68</t>
        </is>
      </c>
      <c r="C957" t="n">
        <v>68</v>
      </c>
      <c r="D957" t="n">
        <v>15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1</v>
      </c>
      <c r="K957" t="b">
        <v>0</v>
      </c>
      <c r="L957" t="n">
        <v>10</v>
      </c>
      <c r="N957" t="inlineStr">
        <is>
          <t>00000000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</row>
    <row r="958">
      <c r="A958" t="inlineStr">
        <is>
          <t>Operations</t>
        </is>
      </c>
      <c r="B958" t="inlineStr">
        <is>
          <t>A69</t>
        </is>
      </c>
      <c r="C958" t="n">
        <v>69</v>
      </c>
      <c r="D958" t="n">
        <v>1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1</v>
      </c>
      <c r="K958" t="b">
        <v>0</v>
      </c>
      <c r="L958" t="n">
        <v>10</v>
      </c>
      <c r="N958" t="inlineStr">
        <is>
          <t>00000000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</row>
    <row r="959">
      <c r="A959" t="inlineStr">
        <is>
          <t>Operations</t>
        </is>
      </c>
      <c r="B959" t="inlineStr">
        <is>
          <t>B69</t>
        </is>
      </c>
      <c r="C959" t="n">
        <v>69</v>
      </c>
      <c r="D959" t="n">
        <v>2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1</v>
      </c>
      <c r="K959" t="b">
        <v>0</v>
      </c>
      <c r="L959" t="n">
        <v>10</v>
      </c>
      <c r="N959" t="inlineStr">
        <is>
          <t>00000000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</row>
    <row r="960">
      <c r="A960" t="inlineStr">
        <is>
          <t>Operations</t>
        </is>
      </c>
      <c r="B960" t="inlineStr">
        <is>
          <t>C69</t>
        </is>
      </c>
      <c r="C960" t="n">
        <v>69</v>
      </c>
      <c r="D960" t="n">
        <v>3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1</v>
      </c>
      <c r="K960" t="b">
        <v>0</v>
      </c>
      <c r="L960" t="n">
        <v>10</v>
      </c>
      <c r="N960" t="inlineStr">
        <is>
          <t>00000000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</row>
    <row r="961">
      <c r="A961" t="inlineStr">
        <is>
          <t>Operations</t>
        </is>
      </c>
      <c r="B961" t="inlineStr">
        <is>
          <t>D69</t>
        </is>
      </c>
      <c r="C961" t="n">
        <v>69</v>
      </c>
      <c r="D961" t="n">
        <v>4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1</v>
      </c>
      <c r="K961" t="b">
        <v>0</v>
      </c>
      <c r="L961" t="n">
        <v>10</v>
      </c>
      <c r="N961" t="inlineStr">
        <is>
          <t>00000000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</row>
    <row r="962">
      <c r="A962" t="inlineStr">
        <is>
          <t>Operations</t>
        </is>
      </c>
      <c r="B962" t="inlineStr">
        <is>
          <t>E69</t>
        </is>
      </c>
      <c r="C962" t="n">
        <v>69</v>
      </c>
      <c r="D962" t="n">
        <v>5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1</v>
      </c>
      <c r="K962" t="b">
        <v>0</v>
      </c>
      <c r="L962" t="n">
        <v>10</v>
      </c>
      <c r="N962" t="inlineStr">
        <is>
          <t>00000000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</row>
    <row r="963">
      <c r="A963" t="inlineStr">
        <is>
          <t>Operations</t>
        </is>
      </c>
      <c r="B963" t="inlineStr">
        <is>
          <t>F69</t>
        </is>
      </c>
      <c r="C963" t="n">
        <v>69</v>
      </c>
      <c r="D963" t="n">
        <v>6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1</v>
      </c>
      <c r="K963" t="b">
        <v>0</v>
      </c>
      <c r="L963" t="n">
        <v>10</v>
      </c>
      <c r="N963" t="inlineStr">
        <is>
          <t>00000000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</row>
    <row r="964">
      <c r="A964" t="inlineStr">
        <is>
          <t>Operations</t>
        </is>
      </c>
      <c r="B964" t="inlineStr">
        <is>
          <t>G69</t>
        </is>
      </c>
      <c r="C964" t="n">
        <v>69</v>
      </c>
      <c r="D964" t="n">
        <v>7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1</v>
      </c>
      <c r="K964" t="b">
        <v>0</v>
      </c>
      <c r="L964" t="n">
        <v>10</v>
      </c>
      <c r="N964" t="inlineStr">
        <is>
          <t>00000000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</row>
    <row r="965">
      <c r="A965" t="inlineStr">
        <is>
          <t>Operations</t>
        </is>
      </c>
      <c r="B965" t="inlineStr">
        <is>
          <t>H69</t>
        </is>
      </c>
      <c r="C965" t="n">
        <v>69</v>
      </c>
      <c r="D965" t="n">
        <v>8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1</v>
      </c>
      <c r="K965" t="b">
        <v>0</v>
      </c>
      <c r="L965" t="n">
        <v>10</v>
      </c>
      <c r="N965" t="inlineStr">
        <is>
          <t>00000000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</row>
    <row r="966">
      <c r="A966" t="inlineStr">
        <is>
          <t>Operations</t>
        </is>
      </c>
      <c r="B966" t="inlineStr">
        <is>
          <t>I69</t>
        </is>
      </c>
      <c r="C966" t="n">
        <v>69</v>
      </c>
      <c r="D966" t="n">
        <v>9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1</v>
      </c>
      <c r="K966" t="b">
        <v>0</v>
      </c>
      <c r="L966" t="n">
        <v>10</v>
      </c>
      <c r="N966" t="inlineStr">
        <is>
          <t>00000000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</row>
    <row r="967">
      <c r="A967" t="inlineStr">
        <is>
          <t>Operations</t>
        </is>
      </c>
      <c r="B967" t="inlineStr">
        <is>
          <t>J69</t>
        </is>
      </c>
      <c r="C967" t="n">
        <v>69</v>
      </c>
      <c r="D967" t="n">
        <v>10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1</v>
      </c>
      <c r="K967" t="b">
        <v>0</v>
      </c>
      <c r="L967" t="n">
        <v>10</v>
      </c>
      <c r="N967" t="inlineStr">
        <is>
          <t>00000000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</row>
    <row r="968">
      <c r="A968" t="inlineStr">
        <is>
          <t>Operations</t>
        </is>
      </c>
      <c r="B968" t="inlineStr">
        <is>
          <t>K69</t>
        </is>
      </c>
      <c r="C968" t="n">
        <v>69</v>
      </c>
      <c r="D968" t="n">
        <v>11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1</v>
      </c>
      <c r="K968" t="b">
        <v>0</v>
      </c>
      <c r="L968" t="n">
        <v>10</v>
      </c>
      <c r="N968" t="inlineStr">
        <is>
          <t>00000000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</row>
    <row r="969">
      <c r="A969" t="inlineStr">
        <is>
          <t>Operations</t>
        </is>
      </c>
      <c r="B969" t="inlineStr">
        <is>
          <t>L69</t>
        </is>
      </c>
      <c r="C969" t="n">
        <v>69</v>
      </c>
      <c r="D969" t="n">
        <v>12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1</v>
      </c>
      <c r="K969" t="b">
        <v>0</v>
      </c>
      <c r="L969" t="n">
        <v>10</v>
      </c>
      <c r="N969" t="inlineStr">
        <is>
          <t>00000000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</row>
    <row r="970">
      <c r="A970" t="inlineStr">
        <is>
          <t>Operations</t>
        </is>
      </c>
      <c r="B970" t="inlineStr">
        <is>
          <t>M69</t>
        </is>
      </c>
      <c r="C970" t="n">
        <v>69</v>
      </c>
      <c r="D970" t="n">
        <v>13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1</v>
      </c>
      <c r="K970" t="b">
        <v>0</v>
      </c>
      <c r="L970" t="n">
        <v>10</v>
      </c>
      <c r="N970" t="inlineStr">
        <is>
          <t>00000000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</row>
    <row r="971">
      <c r="A971" t="inlineStr">
        <is>
          <t>Operations</t>
        </is>
      </c>
      <c r="B971" t="inlineStr">
        <is>
          <t>N69</t>
        </is>
      </c>
      <c r="C971" t="n">
        <v>69</v>
      </c>
      <c r="D971" t="n">
        <v>14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1</v>
      </c>
      <c r="K971" t="b">
        <v>0</v>
      </c>
      <c r="L971" t="n">
        <v>10</v>
      </c>
      <c r="N971" t="inlineStr">
        <is>
          <t>00000000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</row>
    <row r="972">
      <c r="A972" t="inlineStr">
        <is>
          <t>Operations</t>
        </is>
      </c>
      <c r="B972" t="inlineStr">
        <is>
          <t>O69</t>
        </is>
      </c>
      <c r="C972" t="n">
        <v>69</v>
      </c>
      <c r="D972" t="n">
        <v>15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1</v>
      </c>
      <c r="K972" t="b">
        <v>0</v>
      </c>
      <c r="L972" t="n">
        <v>10</v>
      </c>
      <c r="N972" t="inlineStr">
        <is>
          <t>00000000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</row>
    <row r="973">
      <c r="A973" t="inlineStr">
        <is>
          <t>Operations</t>
        </is>
      </c>
      <c r="B973" t="inlineStr">
        <is>
          <t>A70</t>
        </is>
      </c>
      <c r="C973" t="n">
        <v>70</v>
      </c>
      <c r="D973" t="n">
        <v>1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1</v>
      </c>
      <c r="K973" t="b">
        <v>0</v>
      </c>
      <c r="L973" t="n">
        <v>10</v>
      </c>
      <c r="N973" t="inlineStr">
        <is>
          <t>00000000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</row>
    <row r="974">
      <c r="A974" t="inlineStr">
        <is>
          <t>Operations</t>
        </is>
      </c>
      <c r="B974" t="inlineStr">
        <is>
          <t>B70</t>
        </is>
      </c>
      <c r="C974" t="n">
        <v>70</v>
      </c>
      <c r="D974" t="n">
        <v>2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1</v>
      </c>
      <c r="K974" t="b">
        <v>0</v>
      </c>
      <c r="L974" t="n">
        <v>10</v>
      </c>
      <c r="N974" t="inlineStr">
        <is>
          <t>00000000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</row>
    <row r="975">
      <c r="A975" t="inlineStr">
        <is>
          <t>Operations</t>
        </is>
      </c>
      <c r="B975" t="inlineStr">
        <is>
          <t>C70</t>
        </is>
      </c>
      <c r="C975" t="n">
        <v>70</v>
      </c>
      <c r="D975" t="n">
        <v>3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1</v>
      </c>
      <c r="K975" t="b">
        <v>0</v>
      </c>
      <c r="L975" t="n">
        <v>10</v>
      </c>
      <c r="N975" t="inlineStr">
        <is>
          <t>00000000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</row>
    <row r="976">
      <c r="A976" t="inlineStr">
        <is>
          <t>Operations</t>
        </is>
      </c>
      <c r="B976" t="inlineStr">
        <is>
          <t>D70</t>
        </is>
      </c>
      <c r="C976" t="n">
        <v>70</v>
      </c>
      <c r="D976" t="n">
        <v>4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1</v>
      </c>
      <c r="K976" t="b">
        <v>0</v>
      </c>
      <c r="L976" t="n">
        <v>10</v>
      </c>
      <c r="N976" t="inlineStr">
        <is>
          <t>00000000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</row>
    <row r="977">
      <c r="A977" t="inlineStr">
        <is>
          <t>Operations</t>
        </is>
      </c>
      <c r="B977" t="inlineStr">
        <is>
          <t>E70</t>
        </is>
      </c>
      <c r="C977" t="n">
        <v>70</v>
      </c>
      <c r="D977" t="n">
        <v>5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1</v>
      </c>
      <c r="K977" t="b">
        <v>0</v>
      </c>
      <c r="L977" t="n">
        <v>10</v>
      </c>
      <c r="N977" t="inlineStr">
        <is>
          <t>00000000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</row>
    <row r="978">
      <c r="A978" t="inlineStr">
        <is>
          <t>Operations</t>
        </is>
      </c>
      <c r="B978" t="inlineStr">
        <is>
          <t>F70</t>
        </is>
      </c>
      <c r="C978" t="n">
        <v>70</v>
      </c>
      <c r="D978" t="n">
        <v>6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1</v>
      </c>
      <c r="K978" t="b">
        <v>0</v>
      </c>
      <c r="L978" t="n">
        <v>10</v>
      </c>
      <c r="N978" t="inlineStr">
        <is>
          <t>00000000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</row>
    <row r="979">
      <c r="A979" t="inlineStr">
        <is>
          <t>Operations</t>
        </is>
      </c>
      <c r="B979" t="inlineStr">
        <is>
          <t>G70</t>
        </is>
      </c>
      <c r="C979" t="n">
        <v>70</v>
      </c>
      <c r="D979" t="n">
        <v>7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1</v>
      </c>
      <c r="K979" t="b">
        <v>0</v>
      </c>
      <c r="L979" t="n">
        <v>10</v>
      </c>
      <c r="N979" t="inlineStr">
        <is>
          <t>00000000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</row>
    <row r="980">
      <c r="A980" t="inlineStr">
        <is>
          <t>Operations</t>
        </is>
      </c>
      <c r="B980" t="inlineStr">
        <is>
          <t>H70</t>
        </is>
      </c>
      <c r="C980" t="n">
        <v>70</v>
      </c>
      <c r="D980" t="n">
        <v>8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1</v>
      </c>
      <c r="K980" t="b">
        <v>0</v>
      </c>
      <c r="L980" t="n">
        <v>10</v>
      </c>
      <c r="N980" t="inlineStr">
        <is>
          <t>00000000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</row>
    <row r="981">
      <c r="A981" t="inlineStr">
        <is>
          <t>Operations</t>
        </is>
      </c>
      <c r="B981" t="inlineStr">
        <is>
          <t>I70</t>
        </is>
      </c>
      <c r="C981" t="n">
        <v>70</v>
      </c>
      <c r="D981" t="n">
        <v>9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1</v>
      </c>
      <c r="K981" t="b">
        <v>0</v>
      </c>
      <c r="L981" t="n">
        <v>10</v>
      </c>
      <c r="N981" t="inlineStr">
        <is>
          <t>00000000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</row>
    <row r="982">
      <c r="A982" t="inlineStr">
        <is>
          <t>Operations</t>
        </is>
      </c>
      <c r="B982" t="inlineStr">
        <is>
          <t>J70</t>
        </is>
      </c>
      <c r="C982" t="n">
        <v>70</v>
      </c>
      <c r="D982" t="n">
        <v>10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1</v>
      </c>
      <c r="K982" t="b">
        <v>0</v>
      </c>
      <c r="L982" t="n">
        <v>10</v>
      </c>
      <c r="N982" t="inlineStr">
        <is>
          <t>00000000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</row>
    <row r="983">
      <c r="A983" t="inlineStr">
        <is>
          <t>Operations</t>
        </is>
      </c>
      <c r="B983" t="inlineStr">
        <is>
          <t>K70</t>
        </is>
      </c>
      <c r="C983" t="n">
        <v>70</v>
      </c>
      <c r="D983" t="n">
        <v>11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1</v>
      </c>
      <c r="K983" t="b">
        <v>0</v>
      </c>
      <c r="L983" t="n">
        <v>10</v>
      </c>
      <c r="N983" t="inlineStr">
        <is>
          <t>00000000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</row>
    <row r="984">
      <c r="A984" t="inlineStr">
        <is>
          <t>Operations</t>
        </is>
      </c>
      <c r="B984" t="inlineStr">
        <is>
          <t>L70</t>
        </is>
      </c>
      <c r="C984" t="n">
        <v>70</v>
      </c>
      <c r="D984" t="n">
        <v>12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1</v>
      </c>
      <c r="K984" t="b">
        <v>0</v>
      </c>
      <c r="L984" t="n">
        <v>10</v>
      </c>
      <c r="N984" t="inlineStr">
        <is>
          <t>00000000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</row>
    <row r="985">
      <c r="A985" t="inlineStr">
        <is>
          <t>Operations</t>
        </is>
      </c>
      <c r="B985" t="inlineStr">
        <is>
          <t>M70</t>
        </is>
      </c>
      <c r="C985" t="n">
        <v>70</v>
      </c>
      <c r="D985" t="n">
        <v>13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1</v>
      </c>
      <c r="K985" t="b">
        <v>0</v>
      </c>
      <c r="L985" t="n">
        <v>10</v>
      </c>
      <c r="N985" t="inlineStr">
        <is>
          <t>00000000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</row>
    <row r="986">
      <c r="A986" t="inlineStr">
        <is>
          <t>Operations</t>
        </is>
      </c>
      <c r="B986" t="inlineStr">
        <is>
          <t>N70</t>
        </is>
      </c>
      <c r="C986" t="n">
        <v>70</v>
      </c>
      <c r="D986" t="n">
        <v>14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1</v>
      </c>
      <c r="K986" t="b">
        <v>0</v>
      </c>
      <c r="L986" t="n">
        <v>10</v>
      </c>
      <c r="N986" t="inlineStr">
        <is>
          <t>00000000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</row>
    <row r="987">
      <c r="A987" t="inlineStr">
        <is>
          <t>Operations</t>
        </is>
      </c>
      <c r="B987" t="inlineStr">
        <is>
          <t>O70</t>
        </is>
      </c>
      <c r="C987" t="n">
        <v>70</v>
      </c>
      <c r="D987" t="n">
        <v>15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1</v>
      </c>
      <c r="K987" t="b">
        <v>0</v>
      </c>
      <c r="L987" t="n">
        <v>10</v>
      </c>
      <c r="N987" t="inlineStr">
        <is>
          <t>00000000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</row>
    <row r="988">
      <c r="A988" t="inlineStr">
        <is>
          <t>Operations</t>
        </is>
      </c>
      <c r="B988" t="inlineStr">
        <is>
          <t>A71</t>
        </is>
      </c>
      <c r="C988" t="n">
        <v>71</v>
      </c>
      <c r="D988" t="n">
        <v>1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1</v>
      </c>
      <c r="K988" t="b">
        <v>0</v>
      </c>
      <c r="L988" t="n">
        <v>10</v>
      </c>
      <c r="N988" t="inlineStr">
        <is>
          <t>00000000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</row>
    <row r="989">
      <c r="A989" t="inlineStr">
        <is>
          <t>Operations</t>
        </is>
      </c>
      <c r="B989" t="inlineStr">
        <is>
          <t>B71</t>
        </is>
      </c>
      <c r="C989" t="n">
        <v>71</v>
      </c>
      <c r="D989" t="n">
        <v>2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1</v>
      </c>
      <c r="K989" t="b">
        <v>0</v>
      </c>
      <c r="L989" t="n">
        <v>10</v>
      </c>
      <c r="N989" t="inlineStr">
        <is>
          <t>00000000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</row>
    <row r="990">
      <c r="A990" t="inlineStr">
        <is>
          <t>Operations</t>
        </is>
      </c>
      <c r="B990" t="inlineStr">
        <is>
          <t>C71</t>
        </is>
      </c>
      <c r="C990" t="n">
        <v>71</v>
      </c>
      <c r="D990" t="n">
        <v>3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1</v>
      </c>
      <c r="K990" t="b">
        <v>0</v>
      </c>
      <c r="L990" t="n">
        <v>10</v>
      </c>
      <c r="N990" t="inlineStr">
        <is>
          <t>00000000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</row>
    <row r="991">
      <c r="A991" t="inlineStr">
        <is>
          <t>Operations</t>
        </is>
      </c>
      <c r="B991" t="inlineStr">
        <is>
          <t>D71</t>
        </is>
      </c>
      <c r="C991" t="n">
        <v>71</v>
      </c>
      <c r="D991" t="n">
        <v>4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1</v>
      </c>
      <c r="K991" t="b">
        <v>0</v>
      </c>
      <c r="L991" t="n">
        <v>10</v>
      </c>
      <c r="N991" t="inlineStr">
        <is>
          <t>00000000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</row>
    <row r="992">
      <c r="A992" t="inlineStr">
        <is>
          <t>Operations</t>
        </is>
      </c>
      <c r="B992" t="inlineStr">
        <is>
          <t>E71</t>
        </is>
      </c>
      <c r="C992" t="n">
        <v>71</v>
      </c>
      <c r="D992" t="n">
        <v>5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1</v>
      </c>
      <c r="K992" t="b">
        <v>0</v>
      </c>
      <c r="L992" t="n">
        <v>10</v>
      </c>
      <c r="N992" t="inlineStr">
        <is>
          <t>00000000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</row>
    <row r="993">
      <c r="A993" t="inlineStr">
        <is>
          <t>Operations</t>
        </is>
      </c>
      <c r="B993" t="inlineStr">
        <is>
          <t>F71</t>
        </is>
      </c>
      <c r="C993" t="n">
        <v>71</v>
      </c>
      <c r="D993" t="n">
        <v>6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1</v>
      </c>
      <c r="K993" t="b">
        <v>0</v>
      </c>
      <c r="L993" t="n">
        <v>10</v>
      </c>
      <c r="N993" t="inlineStr">
        <is>
          <t>00000000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</row>
    <row r="994">
      <c r="A994" t="inlineStr">
        <is>
          <t>Operations</t>
        </is>
      </c>
      <c r="B994" t="inlineStr">
        <is>
          <t>G71</t>
        </is>
      </c>
      <c r="C994" t="n">
        <v>71</v>
      </c>
      <c r="D994" t="n">
        <v>7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1</v>
      </c>
      <c r="K994" t="b">
        <v>0</v>
      </c>
      <c r="L994" t="n">
        <v>10</v>
      </c>
      <c r="N994" t="inlineStr">
        <is>
          <t>00000000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</row>
    <row r="995">
      <c r="A995" t="inlineStr">
        <is>
          <t>Operations</t>
        </is>
      </c>
      <c r="B995" t="inlineStr">
        <is>
          <t>H71</t>
        </is>
      </c>
      <c r="C995" t="n">
        <v>71</v>
      </c>
      <c r="D995" t="n">
        <v>8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1</v>
      </c>
      <c r="K995" t="b">
        <v>0</v>
      </c>
      <c r="L995" t="n">
        <v>10</v>
      </c>
      <c r="N995" t="inlineStr">
        <is>
          <t>00000000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</row>
    <row r="996">
      <c r="A996" t="inlineStr">
        <is>
          <t>Operations</t>
        </is>
      </c>
      <c r="B996" t="inlineStr">
        <is>
          <t>I71</t>
        </is>
      </c>
      <c r="C996" t="n">
        <v>71</v>
      </c>
      <c r="D996" t="n">
        <v>9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1</v>
      </c>
      <c r="K996" t="b">
        <v>0</v>
      </c>
      <c r="L996" t="n">
        <v>10</v>
      </c>
      <c r="N996" t="inlineStr">
        <is>
          <t>00000000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</row>
    <row r="997">
      <c r="A997" t="inlineStr">
        <is>
          <t>Operations</t>
        </is>
      </c>
      <c r="B997" t="inlineStr">
        <is>
          <t>J71</t>
        </is>
      </c>
      <c r="C997" t="n">
        <v>71</v>
      </c>
      <c r="D997" t="n">
        <v>10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1</v>
      </c>
      <c r="K997" t="b">
        <v>0</v>
      </c>
      <c r="L997" t="n">
        <v>10</v>
      </c>
      <c r="N997" t="inlineStr">
        <is>
          <t>00000000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</row>
    <row r="998">
      <c r="A998" t="inlineStr">
        <is>
          <t>Operations</t>
        </is>
      </c>
      <c r="B998" t="inlineStr">
        <is>
          <t>K71</t>
        </is>
      </c>
      <c r="C998" t="n">
        <v>71</v>
      </c>
      <c r="D998" t="n">
        <v>11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1</v>
      </c>
      <c r="K998" t="b">
        <v>0</v>
      </c>
      <c r="L998" t="n">
        <v>10</v>
      </c>
      <c r="N998" t="inlineStr">
        <is>
          <t>00000000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</row>
    <row r="999">
      <c r="A999" t="inlineStr">
        <is>
          <t>Operations</t>
        </is>
      </c>
      <c r="B999" t="inlineStr">
        <is>
          <t>L71</t>
        </is>
      </c>
      <c r="C999" t="n">
        <v>71</v>
      </c>
      <c r="D999" t="n">
        <v>12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1</v>
      </c>
      <c r="K999" t="b">
        <v>0</v>
      </c>
      <c r="L999" t="n">
        <v>10</v>
      </c>
      <c r="N999" t="inlineStr">
        <is>
          <t>00000000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</row>
    <row r="1000">
      <c r="A1000" t="inlineStr">
        <is>
          <t>Operations</t>
        </is>
      </c>
      <c r="B1000" t="inlineStr">
        <is>
          <t>M71</t>
        </is>
      </c>
      <c r="C1000" t="n">
        <v>71</v>
      </c>
      <c r="D1000" t="n">
        <v>13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1</v>
      </c>
      <c r="K1000" t="b">
        <v>0</v>
      </c>
      <c r="L1000" t="n">
        <v>10</v>
      </c>
      <c r="N1000" t="inlineStr">
        <is>
          <t>00000000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</row>
    <row r="1001">
      <c r="A1001" t="inlineStr">
        <is>
          <t>Operations</t>
        </is>
      </c>
      <c r="B1001" t="inlineStr">
        <is>
          <t>N71</t>
        </is>
      </c>
      <c r="C1001" t="n">
        <v>71</v>
      </c>
      <c r="D1001" t="n">
        <v>14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1</v>
      </c>
      <c r="K1001" t="b">
        <v>0</v>
      </c>
      <c r="L1001" t="n">
        <v>10</v>
      </c>
      <c r="N1001" t="inlineStr">
        <is>
          <t>00000000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</row>
    <row r="1002">
      <c r="A1002" t="inlineStr">
        <is>
          <t>Operations</t>
        </is>
      </c>
      <c r="B1002" t="inlineStr">
        <is>
          <t>O71</t>
        </is>
      </c>
      <c r="C1002" t="n">
        <v>71</v>
      </c>
      <c r="D1002" t="n">
        <v>15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1</v>
      </c>
      <c r="K1002" t="b">
        <v>0</v>
      </c>
      <c r="L1002" t="n">
        <v>10</v>
      </c>
      <c r="N1002" t="inlineStr">
        <is>
          <t>00000000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</row>
    <row r="1003">
      <c r="A1003" t="inlineStr">
        <is>
          <t>Operations</t>
        </is>
      </c>
      <c r="B1003" t="inlineStr">
        <is>
          <t>A72</t>
        </is>
      </c>
      <c r="C1003" t="n">
        <v>72</v>
      </c>
      <c r="D1003" t="n">
        <v>1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1</v>
      </c>
      <c r="K1003" t="b">
        <v>0</v>
      </c>
      <c r="L1003" t="n">
        <v>10</v>
      </c>
      <c r="N1003" t="inlineStr">
        <is>
          <t>00000000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</row>
    <row r="1004">
      <c r="A1004" t="inlineStr">
        <is>
          <t>Operations</t>
        </is>
      </c>
      <c r="B1004" t="inlineStr">
        <is>
          <t>B72</t>
        </is>
      </c>
      <c r="C1004" t="n">
        <v>72</v>
      </c>
      <c r="D1004" t="n">
        <v>2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1</v>
      </c>
      <c r="K1004" t="b">
        <v>0</v>
      </c>
      <c r="L1004" t="n">
        <v>10</v>
      </c>
      <c r="N1004" t="inlineStr">
        <is>
          <t>00000000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</row>
    <row r="1005">
      <c r="A1005" t="inlineStr">
        <is>
          <t>Operations</t>
        </is>
      </c>
      <c r="B1005" t="inlineStr">
        <is>
          <t>C72</t>
        </is>
      </c>
      <c r="C1005" t="n">
        <v>72</v>
      </c>
      <c r="D1005" t="n">
        <v>3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1</v>
      </c>
      <c r="K1005" t="b">
        <v>0</v>
      </c>
      <c r="L1005" t="n">
        <v>10</v>
      </c>
      <c r="N1005" t="inlineStr">
        <is>
          <t>00000000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</row>
    <row r="1006">
      <c r="A1006" t="inlineStr">
        <is>
          <t>Operations</t>
        </is>
      </c>
      <c r="B1006" t="inlineStr">
        <is>
          <t>D72</t>
        </is>
      </c>
      <c r="C1006" t="n">
        <v>72</v>
      </c>
      <c r="D1006" t="n">
        <v>4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1</v>
      </c>
      <c r="K1006" t="b">
        <v>0</v>
      </c>
      <c r="L1006" t="n">
        <v>10</v>
      </c>
      <c r="N1006" t="inlineStr">
        <is>
          <t>00000000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</row>
    <row r="1007">
      <c r="A1007" t="inlineStr">
        <is>
          <t>Operations</t>
        </is>
      </c>
      <c r="B1007" t="inlineStr">
        <is>
          <t>E72</t>
        </is>
      </c>
      <c r="C1007" t="n">
        <v>72</v>
      </c>
      <c r="D1007" t="n">
        <v>5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1</v>
      </c>
      <c r="K1007" t="b">
        <v>0</v>
      </c>
      <c r="L1007" t="n">
        <v>10</v>
      </c>
      <c r="N1007" t="inlineStr">
        <is>
          <t>00000000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</row>
    <row r="1008">
      <c r="A1008" t="inlineStr">
        <is>
          <t>Operations</t>
        </is>
      </c>
      <c r="B1008" t="inlineStr">
        <is>
          <t>F72</t>
        </is>
      </c>
      <c r="C1008" t="n">
        <v>72</v>
      </c>
      <c r="D1008" t="n">
        <v>6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1</v>
      </c>
      <c r="K1008" t="b">
        <v>0</v>
      </c>
      <c r="L1008" t="n">
        <v>10</v>
      </c>
      <c r="N1008" t="inlineStr">
        <is>
          <t>00000000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</row>
    <row r="1009">
      <c r="A1009" t="inlineStr">
        <is>
          <t>Operations</t>
        </is>
      </c>
      <c r="B1009" t="inlineStr">
        <is>
          <t>G72</t>
        </is>
      </c>
      <c r="C1009" t="n">
        <v>72</v>
      </c>
      <c r="D1009" t="n">
        <v>7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1</v>
      </c>
      <c r="K1009" t="b">
        <v>0</v>
      </c>
      <c r="L1009" t="n">
        <v>10</v>
      </c>
      <c r="N1009" t="inlineStr">
        <is>
          <t>00000000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</row>
    <row r="1010">
      <c r="A1010" t="inlineStr">
        <is>
          <t>Operations</t>
        </is>
      </c>
      <c r="B1010" t="inlineStr">
        <is>
          <t>H72</t>
        </is>
      </c>
      <c r="C1010" t="n">
        <v>72</v>
      </c>
      <c r="D1010" t="n">
        <v>8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1</v>
      </c>
      <c r="K1010" t="b">
        <v>0</v>
      </c>
      <c r="L1010" t="n">
        <v>10</v>
      </c>
      <c r="N1010" t="inlineStr">
        <is>
          <t>00000000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</row>
    <row r="1011">
      <c r="A1011" t="inlineStr">
        <is>
          <t>Operations</t>
        </is>
      </c>
      <c r="B1011" t="inlineStr">
        <is>
          <t>I72</t>
        </is>
      </c>
      <c r="C1011" t="n">
        <v>72</v>
      </c>
      <c r="D1011" t="n">
        <v>9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1</v>
      </c>
      <c r="K1011" t="b">
        <v>0</v>
      </c>
      <c r="L1011" t="n">
        <v>10</v>
      </c>
      <c r="N1011" t="inlineStr">
        <is>
          <t>00000000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</row>
    <row r="1012">
      <c r="A1012" t="inlineStr">
        <is>
          <t>Operations</t>
        </is>
      </c>
      <c r="B1012" t="inlineStr">
        <is>
          <t>J72</t>
        </is>
      </c>
      <c r="C1012" t="n">
        <v>72</v>
      </c>
      <c r="D1012" t="n">
        <v>10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1</v>
      </c>
      <c r="K1012" t="b">
        <v>0</v>
      </c>
      <c r="L1012" t="n">
        <v>10</v>
      </c>
      <c r="N1012" t="inlineStr">
        <is>
          <t>00000000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</row>
    <row r="1013">
      <c r="A1013" t="inlineStr">
        <is>
          <t>Operations</t>
        </is>
      </c>
      <c r="B1013" t="inlineStr">
        <is>
          <t>K72</t>
        </is>
      </c>
      <c r="C1013" t="n">
        <v>72</v>
      </c>
      <c r="D1013" t="n">
        <v>11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1</v>
      </c>
      <c r="K1013" t="b">
        <v>0</v>
      </c>
      <c r="L1013" t="n">
        <v>10</v>
      </c>
      <c r="N1013" t="inlineStr">
        <is>
          <t>00000000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</row>
    <row r="1014">
      <c r="A1014" t="inlineStr">
        <is>
          <t>Operations</t>
        </is>
      </c>
      <c r="B1014" t="inlineStr">
        <is>
          <t>L72</t>
        </is>
      </c>
      <c r="C1014" t="n">
        <v>72</v>
      </c>
      <c r="D1014" t="n">
        <v>12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1</v>
      </c>
      <c r="K1014" t="b">
        <v>0</v>
      </c>
      <c r="L1014" t="n">
        <v>10</v>
      </c>
      <c r="N1014" t="inlineStr">
        <is>
          <t>00000000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</row>
    <row r="1015">
      <c r="A1015" t="inlineStr">
        <is>
          <t>Operations</t>
        </is>
      </c>
      <c r="B1015" t="inlineStr">
        <is>
          <t>M72</t>
        </is>
      </c>
      <c r="C1015" t="n">
        <v>72</v>
      </c>
      <c r="D1015" t="n">
        <v>13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1</v>
      </c>
      <c r="K1015" t="b">
        <v>0</v>
      </c>
      <c r="L1015" t="n">
        <v>10</v>
      </c>
      <c r="N1015" t="inlineStr">
        <is>
          <t>00000000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</row>
    <row r="1016">
      <c r="A1016" t="inlineStr">
        <is>
          <t>Operations</t>
        </is>
      </c>
      <c r="B1016" t="inlineStr">
        <is>
          <t>N72</t>
        </is>
      </c>
      <c r="C1016" t="n">
        <v>72</v>
      </c>
      <c r="D1016" t="n">
        <v>14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1</v>
      </c>
      <c r="K1016" t="b">
        <v>0</v>
      </c>
      <c r="L1016" t="n">
        <v>10</v>
      </c>
      <c r="N1016" t="inlineStr">
        <is>
          <t>00000000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</row>
    <row r="1017">
      <c r="A1017" t="inlineStr">
        <is>
          <t>Operations</t>
        </is>
      </c>
      <c r="B1017" t="inlineStr">
        <is>
          <t>O72</t>
        </is>
      </c>
      <c r="C1017" t="n">
        <v>72</v>
      </c>
      <c r="D1017" t="n">
        <v>15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1</v>
      </c>
      <c r="K1017" t="b">
        <v>0</v>
      </c>
      <c r="L1017" t="n">
        <v>10</v>
      </c>
      <c r="N1017" t="inlineStr">
        <is>
          <t>00000000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</row>
    <row r="1018">
      <c r="A1018" t="inlineStr">
        <is>
          <t>Operations</t>
        </is>
      </c>
      <c r="B1018" t="inlineStr">
        <is>
          <t>A73</t>
        </is>
      </c>
      <c r="C1018" t="n">
        <v>73</v>
      </c>
      <c r="D1018" t="n">
        <v>1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1</v>
      </c>
      <c r="K1018" t="b">
        <v>0</v>
      </c>
      <c r="L1018" t="n">
        <v>10</v>
      </c>
      <c r="N1018" t="inlineStr">
        <is>
          <t>00000000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</row>
    <row r="1019">
      <c r="A1019" t="inlineStr">
        <is>
          <t>Operations</t>
        </is>
      </c>
      <c r="B1019" t="inlineStr">
        <is>
          <t>B73</t>
        </is>
      </c>
      <c r="C1019" t="n">
        <v>73</v>
      </c>
      <c r="D1019" t="n">
        <v>2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1</v>
      </c>
      <c r="K1019" t="b">
        <v>0</v>
      </c>
      <c r="L1019" t="n">
        <v>10</v>
      </c>
      <c r="N1019" t="inlineStr">
        <is>
          <t>00000000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</row>
    <row r="1020">
      <c r="A1020" t="inlineStr">
        <is>
          <t>Operations</t>
        </is>
      </c>
      <c r="B1020" t="inlineStr">
        <is>
          <t>C73</t>
        </is>
      </c>
      <c r="C1020" t="n">
        <v>73</v>
      </c>
      <c r="D1020" t="n">
        <v>3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1</v>
      </c>
      <c r="K1020" t="b">
        <v>0</v>
      </c>
      <c r="L1020" t="n">
        <v>10</v>
      </c>
      <c r="N1020" t="inlineStr">
        <is>
          <t>00000000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</row>
    <row r="1021">
      <c r="A1021" t="inlineStr">
        <is>
          <t>Operations</t>
        </is>
      </c>
      <c r="B1021" t="inlineStr">
        <is>
          <t>D73</t>
        </is>
      </c>
      <c r="C1021" t="n">
        <v>73</v>
      </c>
      <c r="D1021" t="n">
        <v>4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1</v>
      </c>
      <c r="K1021" t="b">
        <v>0</v>
      </c>
      <c r="L1021" t="n">
        <v>10</v>
      </c>
      <c r="N1021" t="inlineStr">
        <is>
          <t>00000000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</row>
    <row r="1022">
      <c r="A1022" t="inlineStr">
        <is>
          <t>Operations</t>
        </is>
      </c>
      <c r="B1022" t="inlineStr">
        <is>
          <t>E73</t>
        </is>
      </c>
      <c r="C1022" t="n">
        <v>73</v>
      </c>
      <c r="D1022" t="n">
        <v>5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1</v>
      </c>
      <c r="K1022" t="b">
        <v>0</v>
      </c>
      <c r="L1022" t="n">
        <v>10</v>
      </c>
      <c r="N1022" t="inlineStr">
        <is>
          <t>00000000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</row>
    <row r="1023">
      <c r="A1023" t="inlineStr">
        <is>
          <t>Operations</t>
        </is>
      </c>
      <c r="B1023" t="inlineStr">
        <is>
          <t>F73</t>
        </is>
      </c>
      <c r="C1023" t="n">
        <v>73</v>
      </c>
      <c r="D1023" t="n">
        <v>6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1</v>
      </c>
      <c r="K1023" t="b">
        <v>0</v>
      </c>
      <c r="L1023" t="n">
        <v>10</v>
      </c>
      <c r="N1023" t="inlineStr">
        <is>
          <t>00000000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</row>
    <row r="1024">
      <c r="A1024" t="inlineStr">
        <is>
          <t>Operations</t>
        </is>
      </c>
      <c r="B1024" t="inlineStr">
        <is>
          <t>G73</t>
        </is>
      </c>
      <c r="C1024" t="n">
        <v>73</v>
      </c>
      <c r="D1024" t="n">
        <v>7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1</v>
      </c>
      <c r="K1024" t="b">
        <v>0</v>
      </c>
      <c r="L1024" t="n">
        <v>10</v>
      </c>
      <c r="N1024" t="inlineStr">
        <is>
          <t>00000000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</row>
    <row r="1025">
      <c r="A1025" t="inlineStr">
        <is>
          <t>Operations</t>
        </is>
      </c>
      <c r="B1025" t="inlineStr">
        <is>
          <t>H73</t>
        </is>
      </c>
      <c r="C1025" t="n">
        <v>73</v>
      </c>
      <c r="D1025" t="n">
        <v>8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1</v>
      </c>
      <c r="K1025" t="b">
        <v>0</v>
      </c>
      <c r="L1025" t="n">
        <v>10</v>
      </c>
      <c r="N1025" t="inlineStr">
        <is>
          <t>00000000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</row>
    <row r="1026">
      <c r="A1026" t="inlineStr">
        <is>
          <t>Operations</t>
        </is>
      </c>
      <c r="B1026" t="inlineStr">
        <is>
          <t>I73</t>
        </is>
      </c>
      <c r="C1026" t="n">
        <v>73</v>
      </c>
      <c r="D1026" t="n">
        <v>9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1</v>
      </c>
      <c r="K1026" t="b">
        <v>0</v>
      </c>
      <c r="L1026" t="n">
        <v>10</v>
      </c>
      <c r="N1026" t="inlineStr">
        <is>
          <t>00000000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</row>
    <row r="1027">
      <c r="A1027" t="inlineStr">
        <is>
          <t>Operations</t>
        </is>
      </c>
      <c r="B1027" t="inlineStr">
        <is>
          <t>J73</t>
        </is>
      </c>
      <c r="C1027" t="n">
        <v>73</v>
      </c>
      <c r="D1027" t="n">
        <v>10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1</v>
      </c>
      <c r="K1027" t="b">
        <v>0</v>
      </c>
      <c r="L1027" t="n">
        <v>10</v>
      </c>
      <c r="N1027" t="inlineStr">
        <is>
          <t>00000000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</row>
    <row r="1028">
      <c r="A1028" t="inlineStr">
        <is>
          <t>Operations</t>
        </is>
      </c>
      <c r="B1028" t="inlineStr">
        <is>
          <t>K73</t>
        </is>
      </c>
      <c r="C1028" t="n">
        <v>73</v>
      </c>
      <c r="D1028" t="n">
        <v>11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1</v>
      </c>
      <c r="K1028" t="b">
        <v>0</v>
      </c>
      <c r="L1028" t="n">
        <v>10</v>
      </c>
      <c r="N1028" t="inlineStr">
        <is>
          <t>00000000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</row>
    <row r="1029">
      <c r="A1029" t="inlineStr">
        <is>
          <t>Operations</t>
        </is>
      </c>
      <c r="B1029" t="inlineStr">
        <is>
          <t>L73</t>
        </is>
      </c>
      <c r="C1029" t="n">
        <v>73</v>
      </c>
      <c r="D1029" t="n">
        <v>12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1</v>
      </c>
      <c r="K1029" t="b">
        <v>0</v>
      </c>
      <c r="L1029" t="n">
        <v>10</v>
      </c>
      <c r="N1029" t="inlineStr">
        <is>
          <t>00000000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</row>
    <row r="1030">
      <c r="A1030" t="inlineStr">
        <is>
          <t>Operations</t>
        </is>
      </c>
      <c r="B1030" t="inlineStr">
        <is>
          <t>M73</t>
        </is>
      </c>
      <c r="C1030" t="n">
        <v>73</v>
      </c>
      <c r="D1030" t="n">
        <v>13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1</v>
      </c>
      <c r="K1030" t="b">
        <v>0</v>
      </c>
      <c r="L1030" t="n">
        <v>10</v>
      </c>
      <c r="N1030" t="inlineStr">
        <is>
          <t>00000000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</row>
    <row r="1031">
      <c r="A1031" t="inlineStr">
        <is>
          <t>Operations</t>
        </is>
      </c>
      <c r="B1031" t="inlineStr">
        <is>
          <t>N73</t>
        </is>
      </c>
      <c r="C1031" t="n">
        <v>73</v>
      </c>
      <c r="D1031" t="n">
        <v>14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1</v>
      </c>
      <c r="K1031" t="b">
        <v>0</v>
      </c>
      <c r="L1031" t="n">
        <v>10</v>
      </c>
      <c r="N1031" t="inlineStr">
        <is>
          <t>00000000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</row>
    <row r="1032">
      <c r="A1032" t="inlineStr">
        <is>
          <t>Operations</t>
        </is>
      </c>
      <c r="B1032" t="inlineStr">
        <is>
          <t>O73</t>
        </is>
      </c>
      <c r="C1032" t="n">
        <v>73</v>
      </c>
      <c r="D1032" t="n">
        <v>15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1</v>
      </c>
      <c r="K1032" t="b">
        <v>0</v>
      </c>
      <c r="L1032" t="n">
        <v>10</v>
      </c>
      <c r="N1032" t="inlineStr">
        <is>
          <t>00000000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</row>
    <row r="1033">
      <c r="A1033" t="inlineStr">
        <is>
          <t>Operations</t>
        </is>
      </c>
      <c r="B1033" t="inlineStr">
        <is>
          <t>A74</t>
        </is>
      </c>
      <c r="C1033" t="n">
        <v>74</v>
      </c>
      <c r="D1033" t="n">
        <v>1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1</v>
      </c>
      <c r="K1033" t="b">
        <v>0</v>
      </c>
      <c r="L1033" t="n">
        <v>10</v>
      </c>
      <c r="N1033" t="inlineStr">
        <is>
          <t>00000000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</row>
    <row r="1034">
      <c r="A1034" t="inlineStr">
        <is>
          <t>Operations</t>
        </is>
      </c>
      <c r="B1034" t="inlineStr">
        <is>
          <t>B74</t>
        </is>
      </c>
      <c r="C1034" t="n">
        <v>74</v>
      </c>
      <c r="D1034" t="n">
        <v>2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1</v>
      </c>
      <c r="K1034" t="b">
        <v>0</v>
      </c>
      <c r="L1034" t="n">
        <v>10</v>
      </c>
      <c r="N1034" t="inlineStr">
        <is>
          <t>00000000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</row>
    <row r="1035">
      <c r="A1035" t="inlineStr">
        <is>
          <t>Operations</t>
        </is>
      </c>
      <c r="B1035" t="inlineStr">
        <is>
          <t>C74</t>
        </is>
      </c>
      <c r="C1035" t="n">
        <v>74</v>
      </c>
      <c r="D1035" t="n">
        <v>3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1</v>
      </c>
      <c r="K1035" t="b">
        <v>0</v>
      </c>
      <c r="L1035" t="n">
        <v>10</v>
      </c>
      <c r="N1035" t="inlineStr">
        <is>
          <t>00000000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</row>
    <row r="1036">
      <c r="A1036" t="inlineStr">
        <is>
          <t>Operations</t>
        </is>
      </c>
      <c r="B1036" t="inlineStr">
        <is>
          <t>D74</t>
        </is>
      </c>
      <c r="C1036" t="n">
        <v>74</v>
      </c>
      <c r="D1036" t="n">
        <v>4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1</v>
      </c>
      <c r="K1036" t="b">
        <v>0</v>
      </c>
      <c r="L1036" t="n">
        <v>10</v>
      </c>
      <c r="N1036" t="inlineStr">
        <is>
          <t>00000000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</row>
    <row r="1037">
      <c r="A1037" t="inlineStr">
        <is>
          <t>Operations</t>
        </is>
      </c>
      <c r="B1037" t="inlineStr">
        <is>
          <t>E74</t>
        </is>
      </c>
      <c r="C1037" t="n">
        <v>74</v>
      </c>
      <c r="D1037" t="n">
        <v>5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1</v>
      </c>
      <c r="K1037" t="b">
        <v>0</v>
      </c>
      <c r="L1037" t="n">
        <v>10</v>
      </c>
      <c r="N1037" t="inlineStr">
        <is>
          <t>00000000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</row>
    <row r="1038">
      <c r="A1038" t="inlineStr">
        <is>
          <t>Operations</t>
        </is>
      </c>
      <c r="B1038" t="inlineStr">
        <is>
          <t>F74</t>
        </is>
      </c>
      <c r="C1038" t="n">
        <v>74</v>
      </c>
      <c r="D1038" t="n">
        <v>6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1</v>
      </c>
      <c r="K1038" t="b">
        <v>0</v>
      </c>
      <c r="L1038" t="n">
        <v>10</v>
      </c>
      <c r="N1038" t="inlineStr">
        <is>
          <t>00000000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</row>
    <row r="1039">
      <c r="A1039" t="inlineStr">
        <is>
          <t>Operations</t>
        </is>
      </c>
      <c r="B1039" t="inlineStr">
        <is>
          <t>G74</t>
        </is>
      </c>
      <c r="C1039" t="n">
        <v>74</v>
      </c>
      <c r="D1039" t="n">
        <v>7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1</v>
      </c>
      <c r="K1039" t="b">
        <v>0</v>
      </c>
      <c r="L1039" t="n">
        <v>10</v>
      </c>
      <c r="N1039" t="inlineStr">
        <is>
          <t>00000000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</row>
    <row r="1040">
      <c r="A1040" t="inlineStr">
        <is>
          <t>Operations</t>
        </is>
      </c>
      <c r="B1040" t="inlineStr">
        <is>
          <t>H74</t>
        </is>
      </c>
      <c r="C1040" t="n">
        <v>74</v>
      </c>
      <c r="D1040" t="n">
        <v>8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1</v>
      </c>
      <c r="K1040" t="b">
        <v>0</v>
      </c>
      <c r="L1040" t="n">
        <v>10</v>
      </c>
      <c r="N1040" t="inlineStr">
        <is>
          <t>00000000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</row>
    <row r="1041">
      <c r="A1041" t="inlineStr">
        <is>
          <t>Operations</t>
        </is>
      </c>
      <c r="B1041" t="inlineStr">
        <is>
          <t>I74</t>
        </is>
      </c>
      <c r="C1041" t="n">
        <v>74</v>
      </c>
      <c r="D1041" t="n">
        <v>9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1</v>
      </c>
      <c r="K1041" t="b">
        <v>0</v>
      </c>
      <c r="L1041" t="n">
        <v>10</v>
      </c>
      <c r="N1041" t="inlineStr">
        <is>
          <t>00000000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</row>
    <row r="1042">
      <c r="A1042" t="inlineStr">
        <is>
          <t>Operations</t>
        </is>
      </c>
      <c r="B1042" t="inlineStr">
        <is>
          <t>J74</t>
        </is>
      </c>
      <c r="C1042" t="n">
        <v>74</v>
      </c>
      <c r="D1042" t="n">
        <v>10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1</v>
      </c>
      <c r="K1042" t="b">
        <v>0</v>
      </c>
      <c r="L1042" t="n">
        <v>10</v>
      </c>
      <c r="N1042" t="inlineStr">
        <is>
          <t>00000000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</row>
    <row r="1043">
      <c r="A1043" t="inlineStr">
        <is>
          <t>Operations</t>
        </is>
      </c>
      <c r="B1043" t="inlineStr">
        <is>
          <t>K74</t>
        </is>
      </c>
      <c r="C1043" t="n">
        <v>74</v>
      </c>
      <c r="D1043" t="n">
        <v>11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1</v>
      </c>
      <c r="K1043" t="b">
        <v>0</v>
      </c>
      <c r="L1043" t="n">
        <v>10</v>
      </c>
      <c r="N1043" t="inlineStr">
        <is>
          <t>00000000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</row>
    <row r="1044">
      <c r="A1044" t="inlineStr">
        <is>
          <t>Operations</t>
        </is>
      </c>
      <c r="B1044" t="inlineStr">
        <is>
          <t>L74</t>
        </is>
      </c>
      <c r="C1044" t="n">
        <v>74</v>
      </c>
      <c r="D1044" t="n">
        <v>12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1</v>
      </c>
      <c r="K1044" t="b">
        <v>0</v>
      </c>
      <c r="L1044" t="n">
        <v>10</v>
      </c>
      <c r="N1044" t="inlineStr">
        <is>
          <t>00000000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</row>
    <row r="1045">
      <c r="A1045" t="inlineStr">
        <is>
          <t>Operations</t>
        </is>
      </c>
      <c r="B1045" t="inlineStr">
        <is>
          <t>M74</t>
        </is>
      </c>
      <c r="C1045" t="n">
        <v>74</v>
      </c>
      <c r="D1045" t="n">
        <v>13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1</v>
      </c>
      <c r="K1045" t="b">
        <v>0</v>
      </c>
      <c r="L1045" t="n">
        <v>10</v>
      </c>
      <c r="N1045" t="inlineStr">
        <is>
          <t>00000000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</row>
    <row r="1046">
      <c r="A1046" t="inlineStr">
        <is>
          <t>Operations</t>
        </is>
      </c>
      <c r="B1046" t="inlineStr">
        <is>
          <t>N74</t>
        </is>
      </c>
      <c r="C1046" t="n">
        <v>74</v>
      </c>
      <c r="D1046" t="n">
        <v>14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1</v>
      </c>
      <c r="K1046" t="b">
        <v>0</v>
      </c>
      <c r="L1046" t="n">
        <v>10</v>
      </c>
      <c r="N1046" t="inlineStr">
        <is>
          <t>00000000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</row>
    <row r="1047">
      <c r="A1047" t="inlineStr">
        <is>
          <t>Operations</t>
        </is>
      </c>
      <c r="B1047" t="inlineStr">
        <is>
          <t>O74</t>
        </is>
      </c>
      <c r="C1047" t="n">
        <v>74</v>
      </c>
      <c r="D1047" t="n">
        <v>15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1</v>
      </c>
      <c r="K1047" t="b">
        <v>0</v>
      </c>
      <c r="L1047" t="n">
        <v>10</v>
      </c>
      <c r="N1047" t="inlineStr">
        <is>
          <t>00000000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</row>
    <row r="1048">
      <c r="A1048" t="inlineStr">
        <is>
          <t>Operations</t>
        </is>
      </c>
      <c r="B1048" t="inlineStr">
        <is>
          <t>A75</t>
        </is>
      </c>
      <c r="C1048" t="n">
        <v>75</v>
      </c>
      <c r="D1048" t="n">
        <v>1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1</v>
      </c>
      <c r="K1048" t="b">
        <v>0</v>
      </c>
      <c r="L1048" t="n">
        <v>10</v>
      </c>
      <c r="N1048" t="inlineStr">
        <is>
          <t>00000000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</row>
    <row r="1049">
      <c r="A1049" t="inlineStr">
        <is>
          <t>Operations</t>
        </is>
      </c>
      <c r="B1049" t="inlineStr">
        <is>
          <t>B75</t>
        </is>
      </c>
      <c r="C1049" t="n">
        <v>75</v>
      </c>
      <c r="D1049" t="n">
        <v>2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1</v>
      </c>
      <c r="K1049" t="b">
        <v>0</v>
      </c>
      <c r="L1049" t="n">
        <v>10</v>
      </c>
      <c r="N1049" t="inlineStr">
        <is>
          <t>00000000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</row>
    <row r="1050">
      <c r="A1050" t="inlineStr">
        <is>
          <t>Operations</t>
        </is>
      </c>
      <c r="B1050" t="inlineStr">
        <is>
          <t>C75</t>
        </is>
      </c>
      <c r="C1050" t="n">
        <v>75</v>
      </c>
      <c r="D1050" t="n">
        <v>3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1</v>
      </c>
      <c r="K1050" t="b">
        <v>0</v>
      </c>
      <c r="L1050" t="n">
        <v>10</v>
      </c>
      <c r="N1050" t="inlineStr">
        <is>
          <t>00000000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</row>
    <row r="1051">
      <c r="A1051" t="inlineStr">
        <is>
          <t>Operations</t>
        </is>
      </c>
      <c r="B1051" t="inlineStr">
        <is>
          <t>D75</t>
        </is>
      </c>
      <c r="C1051" t="n">
        <v>75</v>
      </c>
      <c r="D1051" t="n">
        <v>4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1</v>
      </c>
      <c r="K1051" t="b">
        <v>0</v>
      </c>
      <c r="L1051" t="n">
        <v>10</v>
      </c>
      <c r="N1051" t="inlineStr">
        <is>
          <t>00000000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</row>
    <row r="1052">
      <c r="A1052" t="inlineStr">
        <is>
          <t>Operations</t>
        </is>
      </c>
      <c r="B1052" t="inlineStr">
        <is>
          <t>E75</t>
        </is>
      </c>
      <c r="C1052" t="n">
        <v>75</v>
      </c>
      <c r="D1052" t="n">
        <v>5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1</v>
      </c>
      <c r="K1052" t="b">
        <v>0</v>
      </c>
      <c r="L1052" t="n">
        <v>10</v>
      </c>
      <c r="N1052" t="inlineStr">
        <is>
          <t>00000000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</row>
    <row r="1053">
      <c r="A1053" t="inlineStr">
        <is>
          <t>Operations</t>
        </is>
      </c>
      <c r="B1053" t="inlineStr">
        <is>
          <t>F75</t>
        </is>
      </c>
      <c r="C1053" t="n">
        <v>75</v>
      </c>
      <c r="D1053" t="n">
        <v>6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1</v>
      </c>
      <c r="K1053" t="b">
        <v>0</v>
      </c>
      <c r="L1053" t="n">
        <v>10</v>
      </c>
      <c r="N1053" t="inlineStr">
        <is>
          <t>00000000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</row>
    <row r="1054">
      <c r="A1054" t="inlineStr">
        <is>
          <t>Operations</t>
        </is>
      </c>
      <c r="B1054" t="inlineStr">
        <is>
          <t>G75</t>
        </is>
      </c>
      <c r="C1054" t="n">
        <v>75</v>
      </c>
      <c r="D1054" t="n">
        <v>7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1</v>
      </c>
      <c r="K1054" t="b">
        <v>0</v>
      </c>
      <c r="L1054" t="n">
        <v>10</v>
      </c>
      <c r="N1054" t="inlineStr">
        <is>
          <t>00000000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</row>
    <row r="1055">
      <c r="A1055" t="inlineStr">
        <is>
          <t>Operations</t>
        </is>
      </c>
      <c r="B1055" t="inlineStr">
        <is>
          <t>H75</t>
        </is>
      </c>
      <c r="C1055" t="n">
        <v>75</v>
      </c>
      <c r="D1055" t="n">
        <v>8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1</v>
      </c>
      <c r="K1055" t="b">
        <v>0</v>
      </c>
      <c r="L1055" t="n">
        <v>10</v>
      </c>
      <c r="N1055" t="inlineStr">
        <is>
          <t>00000000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</row>
    <row r="1056">
      <c r="A1056" t="inlineStr">
        <is>
          <t>Operations</t>
        </is>
      </c>
      <c r="B1056" t="inlineStr">
        <is>
          <t>I75</t>
        </is>
      </c>
      <c r="C1056" t="n">
        <v>75</v>
      </c>
      <c r="D1056" t="n">
        <v>9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1</v>
      </c>
      <c r="K1056" t="b">
        <v>0</v>
      </c>
      <c r="L1056" t="n">
        <v>10</v>
      </c>
      <c r="N1056" t="inlineStr">
        <is>
          <t>00000000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</row>
    <row r="1057">
      <c r="A1057" t="inlineStr">
        <is>
          <t>Operations</t>
        </is>
      </c>
      <c r="B1057" t="inlineStr">
        <is>
          <t>J75</t>
        </is>
      </c>
      <c r="C1057" t="n">
        <v>75</v>
      </c>
      <c r="D1057" t="n">
        <v>10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1</v>
      </c>
      <c r="K1057" t="b">
        <v>0</v>
      </c>
      <c r="L1057" t="n">
        <v>10</v>
      </c>
      <c r="N1057" t="inlineStr">
        <is>
          <t>00000000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</row>
    <row r="1058">
      <c r="A1058" t="inlineStr">
        <is>
          <t>Operations</t>
        </is>
      </c>
      <c r="B1058" t="inlineStr">
        <is>
          <t>K75</t>
        </is>
      </c>
      <c r="C1058" t="n">
        <v>75</v>
      </c>
      <c r="D1058" t="n">
        <v>11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1</v>
      </c>
      <c r="K1058" t="b">
        <v>0</v>
      </c>
      <c r="L1058" t="n">
        <v>10</v>
      </c>
      <c r="N1058" t="inlineStr">
        <is>
          <t>00000000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</row>
    <row r="1059">
      <c r="A1059" t="inlineStr">
        <is>
          <t>Operations</t>
        </is>
      </c>
      <c r="B1059" t="inlineStr">
        <is>
          <t>L75</t>
        </is>
      </c>
      <c r="C1059" t="n">
        <v>75</v>
      </c>
      <c r="D1059" t="n">
        <v>12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1</v>
      </c>
      <c r="K1059" t="b">
        <v>0</v>
      </c>
      <c r="L1059" t="n">
        <v>10</v>
      </c>
      <c r="N1059" t="inlineStr">
        <is>
          <t>00000000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</row>
    <row r="1060">
      <c r="A1060" t="inlineStr">
        <is>
          <t>Operations</t>
        </is>
      </c>
      <c r="B1060" t="inlineStr">
        <is>
          <t>M75</t>
        </is>
      </c>
      <c r="C1060" t="n">
        <v>75</v>
      </c>
      <c r="D1060" t="n">
        <v>13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1</v>
      </c>
      <c r="K1060" t="b">
        <v>0</v>
      </c>
      <c r="L1060" t="n">
        <v>10</v>
      </c>
      <c r="N1060" t="inlineStr">
        <is>
          <t>00000000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</row>
    <row r="1061">
      <c r="A1061" t="inlineStr">
        <is>
          <t>Operations</t>
        </is>
      </c>
      <c r="B1061" t="inlineStr">
        <is>
          <t>N75</t>
        </is>
      </c>
      <c r="C1061" t="n">
        <v>75</v>
      </c>
      <c r="D1061" t="n">
        <v>14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1</v>
      </c>
      <c r="K1061" t="b">
        <v>0</v>
      </c>
      <c r="L1061" t="n">
        <v>10</v>
      </c>
      <c r="N1061" t="inlineStr">
        <is>
          <t>00000000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</row>
    <row r="1062">
      <c r="A1062" t="inlineStr">
        <is>
          <t>Operations</t>
        </is>
      </c>
      <c r="B1062" t="inlineStr">
        <is>
          <t>O75</t>
        </is>
      </c>
      <c r="C1062" t="n">
        <v>75</v>
      </c>
      <c r="D1062" t="n">
        <v>15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1</v>
      </c>
      <c r="K1062" t="b">
        <v>0</v>
      </c>
      <c r="L1062" t="n">
        <v>10</v>
      </c>
      <c r="N1062" t="inlineStr">
        <is>
          <t>00000000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Financing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FINANCING ASSUMPTIONS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Financing</t>
        </is>
      </c>
      <c r="B3" t="inlineStr">
        <is>
          <t>A4</t>
        </is>
      </c>
      <c r="C3" t="n">
        <v>4</v>
      </c>
      <c r="D3" t="n">
        <v>1</v>
      </c>
      <c r="E3" t="inlineStr">
        <is>
          <t>Input</t>
        </is>
      </c>
      <c r="F3" t="n">
        <v/>
      </c>
      <c r="G3" t="inlineStr">
        <is>
          <t>Interest rate on long-term debt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n">
        <v/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Financing</t>
        </is>
      </c>
      <c r="B4" t="inlineStr">
        <is>
          <t>B4</t>
        </is>
      </c>
      <c r="C4" t="n">
        <v>4</v>
      </c>
      <c r="D4" t="n">
        <v>2</v>
      </c>
      <c r="E4" t="inlineStr">
        <is>
          <t>Input</t>
        </is>
      </c>
      <c r="F4" t="n">
        <v/>
      </c>
      <c r="G4" t="n">
        <v>0.11</v>
      </c>
      <c r="H4" t="inlineStr"/>
      <c r="I4" t="inlineStr">
        <is>
          <t>0%</t>
        </is>
      </c>
      <c r="J4" t="b">
        <v>1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Financing</t>
        </is>
      </c>
      <c r="B5" t="inlineStr">
        <is>
          <t>D4</t>
        </is>
      </c>
      <c r="C5" t="n">
        <v>4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0%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Financing</t>
        </is>
      </c>
      <c r="B6" t="inlineStr">
        <is>
          <t>E4</t>
        </is>
      </c>
      <c r="C6" t="n">
        <v>4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0%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Financing</t>
        </is>
      </c>
      <c r="B7" t="inlineStr">
        <is>
          <t>A5</t>
        </is>
      </c>
      <c r="C7" t="n">
        <v>5</v>
      </c>
      <c r="D7" t="n">
        <v>1</v>
      </c>
      <c r="E7" t="inlineStr">
        <is>
          <t>Input</t>
        </is>
      </c>
      <c r="F7" t="n">
        <v/>
      </c>
      <c r="G7" t="inlineStr">
        <is>
          <t>Interest rate on notes payable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Financing</t>
        </is>
      </c>
      <c r="B8" t="inlineStr">
        <is>
          <t>B5</t>
        </is>
      </c>
      <c r="C8" t="n">
        <v>5</v>
      </c>
      <c r="D8" t="n">
        <v>2</v>
      </c>
      <c r="E8" t="inlineStr">
        <is>
          <t>Input</t>
        </is>
      </c>
      <c r="F8" t="n">
        <v/>
      </c>
      <c r="G8" t="n">
        <v>0.09</v>
      </c>
      <c r="H8" t="inlineStr"/>
      <c r="I8" t="inlineStr">
        <is>
          <t>0%</t>
        </is>
      </c>
      <c r="J8" t="b">
        <v>1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Financing</t>
        </is>
      </c>
      <c r="B9" t="inlineStr">
        <is>
          <t>C5</t>
        </is>
      </c>
      <c r="C9" t="n">
        <v>5</v>
      </c>
      <c r="D9" t="n">
        <v>3</v>
      </c>
      <c r="E9" t="inlineStr">
        <is>
          <t>Input</t>
        </is>
      </c>
      <c r="F9" t="n">
        <v/>
      </c>
      <c r="H9" t="inlineStr"/>
      <c r="I9" t="inlineStr">
        <is>
          <t>_(* #,##0_);_(* \(#,##0\);_(* \-??_);_(@_)</t>
        </is>
      </c>
      <c r="J9" t="b">
        <v>1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Financing</t>
        </is>
      </c>
      <c r="B10" t="inlineStr">
        <is>
          <t>D5</t>
        </is>
      </c>
      <c r="C10" t="n">
        <v>5</v>
      </c>
      <c r="D10" t="n">
        <v>4</v>
      </c>
      <c r="E10" t="inlineStr">
        <is>
          <t>Input</t>
        </is>
      </c>
      <c r="F10" t="n">
        <v/>
      </c>
      <c r="H10" t="inlineStr"/>
      <c r="I10" t="inlineStr">
        <is>
          <t>_(* #,##0_);_(* \(#,##0\);_(* \-??_);_(@_)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Financing</t>
        </is>
      </c>
      <c r="B11" t="inlineStr">
        <is>
          <t>E5</t>
        </is>
      </c>
      <c r="C11" t="n">
        <v>5</v>
      </c>
      <c r="D11" t="n">
        <v>5</v>
      </c>
      <c r="E11" t="inlineStr">
        <is>
          <t>Input</t>
        </is>
      </c>
      <c r="F11" t="n">
        <v/>
      </c>
      <c r="H11" t="inlineStr"/>
      <c r="I11" t="inlineStr">
        <is>
          <t>_(* #,##0_);_(* \(#,##0\);_(* \-??_);_(@_)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Financing</t>
        </is>
      </c>
      <c r="B12" t="inlineStr">
        <is>
          <t>A7</t>
        </is>
      </c>
      <c r="C12" t="n">
        <v>7</v>
      </c>
      <c r="D12" t="n">
        <v>1</v>
      </c>
      <c r="E12" t="inlineStr">
        <is>
          <t>Input</t>
        </is>
      </c>
      <c r="F12" t="n">
        <v/>
      </c>
      <c r="G12" t="inlineStr">
        <is>
          <t>Year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Financing</t>
        </is>
      </c>
      <c r="B13" t="inlineStr">
        <is>
          <t>B7</t>
        </is>
      </c>
      <c r="C13" t="n">
        <v>7</v>
      </c>
      <c r="D13" t="n">
        <v>2</v>
      </c>
      <c r="E13" t="inlineStr">
        <is>
          <t>Input</t>
        </is>
      </c>
      <c r="F13" t="n">
        <v/>
      </c>
      <c r="G13" t="n">
        <v>0</v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Financing</t>
        </is>
      </c>
      <c r="B14" t="inlineStr">
        <is>
          <t>C7</t>
        </is>
      </c>
      <c r="C14" t="n">
        <v>7</v>
      </c>
      <c r="D14" t="n">
        <v>3</v>
      </c>
      <c r="E14" t="inlineStr">
        <is>
          <t>Input</t>
        </is>
      </c>
      <c r="F14" t="n">
        <v/>
      </c>
      <c r="G14" t="n">
        <v>1</v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Financing</t>
        </is>
      </c>
      <c r="B15" t="inlineStr">
        <is>
          <t>D7</t>
        </is>
      </c>
      <c r="C15" t="n">
        <v>7</v>
      </c>
      <c r="D15" t="n">
        <v>4</v>
      </c>
      <c r="E15" t="inlineStr">
        <is>
          <t>Input</t>
        </is>
      </c>
      <c r="F15" t="n">
        <v/>
      </c>
      <c r="G15" t="n">
        <v>2</v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Financing</t>
        </is>
      </c>
      <c r="B16" t="inlineStr">
        <is>
          <t>E7</t>
        </is>
      </c>
      <c r="C16" t="n">
        <v>7</v>
      </c>
      <c r="D16" t="n">
        <v>5</v>
      </c>
      <c r="E16" t="inlineStr">
        <is>
          <t>Input</t>
        </is>
      </c>
      <c r="F16" t="n">
        <v/>
      </c>
      <c r="G16" t="n">
        <v>3</v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Financing</t>
        </is>
      </c>
      <c r="B17" t="inlineStr">
        <is>
          <t>A9</t>
        </is>
      </c>
      <c r="C17" t="n">
        <v>9</v>
      </c>
      <c r="D17" t="n">
        <v>1</v>
      </c>
      <c r="E17" t="inlineStr">
        <is>
          <t>Input</t>
        </is>
      </c>
      <c r="F17" t="n">
        <v/>
      </c>
      <c r="G17" t="inlineStr">
        <is>
          <t>Long-term debt outstanding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Financing</t>
        </is>
      </c>
      <c r="B18" t="inlineStr">
        <is>
          <t>B9</t>
        </is>
      </c>
      <c r="C18" t="n">
        <v>9</v>
      </c>
      <c r="D18" t="n">
        <v>2</v>
      </c>
      <c r="E18" t="inlineStr">
        <is>
          <t>Input</t>
        </is>
      </c>
      <c r="F18" t="n">
        <v/>
      </c>
      <c r="G18" t="n">
        <v>200</v>
      </c>
      <c r="H18" t="inlineStr"/>
      <c r="I18" t="inlineStr">
        <is>
          <t>_(* #,##0_);_(* \(#,##0\);_(* \-??_);_(@_)</t>
        </is>
      </c>
      <c r="J18" t="b">
        <v>1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Financing</t>
        </is>
      </c>
      <c r="B19" t="inlineStr">
        <is>
          <t>C9</t>
        </is>
      </c>
      <c r="C19" t="n">
        <v>9</v>
      </c>
      <c r="D19" t="n">
        <v>3</v>
      </c>
      <c r="E19" t="inlineStr">
        <is>
          <t>Input</t>
        </is>
      </c>
      <c r="F19" t="n">
        <v/>
      </c>
      <c r="G19" t="n">
        <v>200</v>
      </c>
      <c r="H19" t="inlineStr"/>
      <c r="I19" t="inlineStr">
        <is>
          <t>_(* #,##0_);_(* \(#,##0\);_(* \-??_);_(@_)</t>
        </is>
      </c>
      <c r="J19" t="b">
        <v>1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Financing</t>
        </is>
      </c>
      <c r="B20" t="inlineStr">
        <is>
          <t>D9</t>
        </is>
      </c>
      <c r="C20" t="n">
        <v>9</v>
      </c>
      <c r="D20" t="n">
        <v>4</v>
      </c>
      <c r="E20" t="inlineStr">
        <is>
          <t>Input</t>
        </is>
      </c>
      <c r="F20" t="n">
        <v/>
      </c>
      <c r="G20" t="n">
        <v>200</v>
      </c>
      <c r="H20" t="inlineStr"/>
      <c r="I20" t="inlineStr">
        <is>
          <t>_(* #,##0_);_(* \(#,##0\);_(* \-??_);_(@_)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Financing</t>
        </is>
      </c>
      <c r="B21" t="inlineStr">
        <is>
          <t>E9</t>
        </is>
      </c>
      <c r="C21" t="n">
        <v>9</v>
      </c>
      <c r="D21" t="n">
        <v>5</v>
      </c>
      <c r="E21" t="inlineStr">
        <is>
          <t>Input</t>
        </is>
      </c>
      <c r="F21" t="n">
        <v/>
      </c>
      <c r="G21" t="n">
        <v>200</v>
      </c>
      <c r="H21" t="inlineStr"/>
      <c r="I21" t="inlineStr">
        <is>
          <t>_(* #,##0_);_(* \(#,##0\);_(* \-??_);_(@_)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Financing</t>
        </is>
      </c>
      <c r="B22" t="inlineStr">
        <is>
          <t>A10</t>
        </is>
      </c>
      <c r="C22" t="n">
        <v>10</v>
      </c>
      <c r="D22" t="n">
        <v>1</v>
      </c>
      <c r="E22" t="inlineStr">
        <is>
          <t>Input</t>
        </is>
      </c>
      <c r="F22" t="n">
        <v/>
      </c>
      <c r="G22" t="inlineStr">
        <is>
          <t>Bank notes payable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Financing</t>
        </is>
      </c>
      <c r="B23" t="inlineStr">
        <is>
          <t>B10</t>
        </is>
      </c>
      <c r="C23" t="n">
        <v>10</v>
      </c>
      <c r="D23" t="n">
        <v>2</v>
      </c>
      <c r="E23" t="inlineStr">
        <is>
          <t>Input</t>
        </is>
      </c>
      <c r="F23" t="n">
        <v/>
      </c>
      <c r="G23" t="n">
        <v>0</v>
      </c>
      <c r="H23" t="inlineStr"/>
      <c r="I23" t="inlineStr">
        <is>
          <t>_(* #,##0_);_(* \(#,##0\);_(* \-??_);_(@_)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Financing</t>
        </is>
      </c>
      <c r="B24" t="inlineStr">
        <is>
          <t>C10</t>
        </is>
      </c>
      <c r="C24" t="n">
        <v>10</v>
      </c>
      <c r="D24" t="n">
        <v>3</v>
      </c>
      <c r="E24" t="inlineStr">
        <is>
          <t>Input</t>
        </is>
      </c>
      <c r="F24" t="n">
        <v/>
      </c>
      <c r="G24" t="n">
        <v>28.2722513089005</v>
      </c>
      <c r="H24" t="inlineStr"/>
      <c r="I24" t="inlineStr">
        <is>
          <t>_(* #,##0_);_(* \(#,##0\);_(* \-??_);_(@_)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Financing</t>
        </is>
      </c>
      <c r="B25" t="inlineStr">
        <is>
          <t>D10</t>
        </is>
      </c>
      <c r="C25" t="n">
        <v>10</v>
      </c>
      <c r="D25" t="n">
        <v>4</v>
      </c>
      <c r="E25" t="inlineStr">
        <is>
          <t>Input</t>
        </is>
      </c>
      <c r="F25" t="n">
        <v/>
      </c>
      <c r="G25" t="n">
        <v>68.6329870343466</v>
      </c>
      <c r="H25" t="inlineStr"/>
      <c r="I25" t="inlineStr">
        <is>
          <t>_(* #,##0_);_(* \(#,##0\);_(* \-??_);_(@_)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Financing</t>
        </is>
      </c>
      <c r="B26" t="inlineStr">
        <is>
          <t>E10</t>
        </is>
      </c>
      <c r="C26" t="n">
        <v>10</v>
      </c>
      <c r="D26" t="n">
        <v>5</v>
      </c>
      <c r="E26" t="inlineStr">
        <is>
          <t>Input</t>
        </is>
      </c>
      <c r="F26" t="n">
        <v/>
      </c>
      <c r="G26" t="n">
        <v>62.0120119904631</v>
      </c>
      <c r="H26" t="inlineStr"/>
      <c r="I26" t="inlineStr">
        <is>
          <t>_(* #,##0_);_(* \(#,##0\);_(* \-??_);_(@_)</t>
        </is>
      </c>
      <c r="J26" t="b">
        <v>1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Financing</t>
        </is>
      </c>
      <c r="B27" t="inlineStr">
        <is>
          <t>A11</t>
        </is>
      </c>
      <c r="C27" t="n">
        <v>11</v>
      </c>
      <c r="D27" t="n">
        <v>1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Financing</t>
        </is>
      </c>
      <c r="B28" t="inlineStr">
        <is>
          <t>B11</t>
        </is>
      </c>
      <c r="C28" t="n">
        <v>11</v>
      </c>
      <c r="D28" t="n">
        <v>2</v>
      </c>
      <c r="E28" t="inlineStr">
        <is>
          <t>Input</t>
        </is>
      </c>
      <c r="F28" t="n">
        <v/>
      </c>
      <c r="H28" t="inlineStr"/>
      <c r="I28" t="inlineStr">
        <is>
          <t>_(* #,##0_);_(* \(#,##0\);_(* \-??_);_(@_)</t>
        </is>
      </c>
      <c r="J28" t="b">
        <v>1</v>
      </c>
      <c r="K28" t="b">
        <v>0</v>
      </c>
      <c r="L28" t="n">
        <v>10</v>
      </c>
      <c r="M28" t="n">
        <v/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Financing</t>
        </is>
      </c>
      <c r="B29" t="inlineStr">
        <is>
          <t>C11</t>
        </is>
      </c>
      <c r="C29" t="n">
        <v>11</v>
      </c>
      <c r="D29" t="n">
        <v>3</v>
      </c>
      <c r="E29" t="inlineStr">
        <is>
          <t>Input</t>
        </is>
      </c>
      <c r="F29" t="n">
        <v/>
      </c>
      <c r="H29" t="inlineStr"/>
      <c r="I29" t="inlineStr">
        <is>
          <t>_(* #,##0_);_(* \(#,##0\);_(* \-??_);_(@_)</t>
        </is>
      </c>
      <c r="J29" t="b">
        <v>1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Financing</t>
        </is>
      </c>
      <c r="B30" t="inlineStr">
        <is>
          <t>D11</t>
        </is>
      </c>
      <c r="C30" t="n">
        <v>11</v>
      </c>
      <c r="D30" t="n">
        <v>4</v>
      </c>
      <c r="E30" t="inlineStr">
        <is>
          <t>Input</t>
        </is>
      </c>
      <c r="F30" t="n">
        <v/>
      </c>
      <c r="H30" t="inlineStr"/>
      <c r="I30" t="inlineStr">
        <is>
          <t>_(* #,##0_);_(* \(#,##0\);_(* \-??_);_(@_)</t>
        </is>
      </c>
      <c r="J30" t="b">
        <v>1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Financing</t>
        </is>
      </c>
      <c r="B31" t="inlineStr">
        <is>
          <t>E11</t>
        </is>
      </c>
      <c r="C31" t="n">
        <v>11</v>
      </c>
      <c r="D31" t="n">
        <v>5</v>
      </c>
      <c r="E31" t="inlineStr">
        <is>
          <t>Input</t>
        </is>
      </c>
      <c r="F31" t="n">
        <v/>
      </c>
      <c r="H31" t="inlineStr"/>
      <c r="I31" t="inlineStr">
        <is>
          <t>_(* #,##0_);_(* \(#,##0\);_(* \-??_);_(@_)</t>
        </is>
      </c>
      <c r="J31" t="b">
        <v>1</v>
      </c>
      <c r="K31" t="b">
        <v>0</v>
      </c>
      <c r="L31" t="n">
        <v>10</v>
      </c>
      <c r="M31" t="n">
        <v/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Financing</t>
        </is>
      </c>
      <c r="B32" t="inlineStr">
        <is>
          <t>A12</t>
        </is>
      </c>
      <c r="C32" t="n">
        <v>12</v>
      </c>
      <c r="D32" t="n">
        <v>1</v>
      </c>
      <c r="E32" t="inlineStr">
        <is>
          <t>Input</t>
        </is>
      </c>
      <c r="F32" t="n">
        <v/>
      </c>
      <c r="G32" t="inlineStr">
        <is>
          <t>Net new equity capital raised</t>
        </is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Financing</t>
        </is>
      </c>
      <c r="B33" t="inlineStr">
        <is>
          <t>B12</t>
        </is>
      </c>
      <c r="C33" t="n">
        <v>12</v>
      </c>
      <c r="D33" t="n">
        <v>2</v>
      </c>
      <c r="E33" t="inlineStr">
        <is>
          <t>Input</t>
        </is>
      </c>
      <c r="F33" t="n">
        <v/>
      </c>
      <c r="G33" t="n">
        <v>300</v>
      </c>
      <c r="H33" t="inlineStr"/>
      <c r="I33" t="inlineStr">
        <is>
          <t>_(* #,##0_);_(* \(#,##0\);_(* \-??_);_(@_)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Financing</t>
        </is>
      </c>
      <c r="B34" t="inlineStr">
        <is>
          <t>C12</t>
        </is>
      </c>
      <c r="C34" t="n">
        <v>12</v>
      </c>
      <c r="D34" t="n">
        <v>3</v>
      </c>
      <c r="E34" t="inlineStr">
        <is>
          <t>Input</t>
        </is>
      </c>
      <c r="F34" t="n">
        <v/>
      </c>
      <c r="G34" t="n">
        <v>0</v>
      </c>
      <c r="H34" t="inlineStr"/>
      <c r="I34" t="inlineStr">
        <is>
          <t>_(* #,##0_);_(* \(#,##0\);_(* \-??_);_(@_)</t>
        </is>
      </c>
      <c r="J34" t="b">
        <v>1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Financing</t>
        </is>
      </c>
      <c r="B35" t="inlineStr">
        <is>
          <t>D12</t>
        </is>
      </c>
      <c r="C35" t="n">
        <v>12</v>
      </c>
      <c r="D35" t="n">
        <v>4</v>
      </c>
      <c r="E35" t="inlineStr">
        <is>
          <t>Input</t>
        </is>
      </c>
      <c r="F35" t="n">
        <v/>
      </c>
      <c r="G35" t="n">
        <v>0</v>
      </c>
      <c r="H35" t="inlineStr"/>
      <c r="I35" t="inlineStr">
        <is>
          <t>_(* #,##0_);_(* \(#,##0\);_(* \-??_);_(@_)</t>
        </is>
      </c>
      <c r="J35" t="b">
        <v>1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Financing</t>
        </is>
      </c>
      <c r="B36" t="inlineStr">
        <is>
          <t>E12</t>
        </is>
      </c>
      <c r="C36" t="n">
        <v>12</v>
      </c>
      <c r="D36" t="n">
        <v>5</v>
      </c>
      <c r="E36" t="inlineStr">
        <is>
          <t>Input</t>
        </is>
      </c>
      <c r="F36" t="n">
        <v/>
      </c>
      <c r="G36" t="n">
        <v>0</v>
      </c>
      <c r="H36" t="inlineStr"/>
      <c r="I36" t="inlineStr">
        <is>
          <t>_(* #,##0_);_(* \(#,##0\);_(* \-??_);_(@_)</t>
        </is>
      </c>
      <c r="J36" t="b">
        <v>1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Financing</t>
        </is>
      </c>
      <c r="B37" t="inlineStr">
        <is>
          <t>A13</t>
        </is>
      </c>
      <c r="C37" t="n">
        <v>13</v>
      </c>
      <c r="D37" t="n">
        <v>1</v>
      </c>
      <c r="E37" t="inlineStr">
        <is>
          <t>Input</t>
        </is>
      </c>
      <c r="F37" t="n">
        <v/>
      </c>
      <c r="G37" t="inlineStr">
        <is>
          <t>Dividends paid (as positive number)</t>
        </is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Financing</t>
        </is>
      </c>
      <c r="B38" t="inlineStr">
        <is>
          <t>B13</t>
        </is>
      </c>
      <c r="C38" t="n">
        <v>13</v>
      </c>
      <c r="D38" t="n">
        <v>2</v>
      </c>
      <c r="E38" t="inlineStr">
        <is>
          <t>Input</t>
        </is>
      </c>
      <c r="F38" t="n">
        <v/>
      </c>
      <c r="H38" t="inlineStr"/>
      <c r="I38" t="inlineStr">
        <is>
          <t>_(* #,##0_);_(* \(#,##0\);_(* \-??_);_(@_)</t>
        </is>
      </c>
      <c r="J38" t="b">
        <v>1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Financing</t>
        </is>
      </c>
      <c r="B39" t="inlineStr">
        <is>
          <t>C13</t>
        </is>
      </c>
      <c r="C39" t="n">
        <v>13</v>
      </c>
      <c r="D39" t="n">
        <v>3</v>
      </c>
      <c r="E39" t="inlineStr">
        <is>
          <t>Input</t>
        </is>
      </c>
      <c r="F39" t="n">
        <v/>
      </c>
      <c r="G39" t="n">
        <v>0</v>
      </c>
      <c r="H39" t="inlineStr"/>
      <c r="I39" t="inlineStr">
        <is>
          <t>_(* #,##0_);_(* \(#,##0\);_(* \-??_);_(@_)</t>
        </is>
      </c>
      <c r="J39" t="b">
        <v>1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Financing</t>
        </is>
      </c>
      <c r="B40" t="inlineStr">
        <is>
          <t>D13</t>
        </is>
      </c>
      <c r="C40" t="n">
        <v>13</v>
      </c>
      <c r="D40" t="n">
        <v>4</v>
      </c>
      <c r="E40" t="inlineStr">
        <is>
          <t>Input</t>
        </is>
      </c>
      <c r="F40" t="n">
        <v/>
      </c>
      <c r="G40" t="n">
        <v>0</v>
      </c>
      <c r="H40" t="inlineStr"/>
      <c r="I40" t="inlineStr">
        <is>
          <t>_(* #,##0_);_(* \(#,##0\);_(* \-??_);_(@_)</t>
        </is>
      </c>
      <c r="J40" t="b">
        <v>1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Financing</t>
        </is>
      </c>
      <c r="B41" t="inlineStr">
        <is>
          <t>E13</t>
        </is>
      </c>
      <c r="C41" t="n">
        <v>13</v>
      </c>
      <c r="D41" t="n">
        <v>5</v>
      </c>
      <c r="E41" t="inlineStr">
        <is>
          <t>Input</t>
        </is>
      </c>
      <c r="F41" t="n">
        <v/>
      </c>
      <c r="G41" t="n">
        <v>0</v>
      </c>
      <c r="H41" t="inlineStr"/>
      <c r="I41" t="inlineStr">
        <is>
          <t>_(* #,##0_);_(* \(#,##0\);_(* \-??_);_(@_)</t>
        </is>
      </c>
      <c r="J41" t="b">
        <v>1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Financing</t>
        </is>
      </c>
      <c r="B42" t="inlineStr">
        <is>
          <t>A14</t>
        </is>
      </c>
      <c r="C42" t="n">
        <v>14</v>
      </c>
      <c r="D42" t="n">
        <v>1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Financing</t>
        </is>
      </c>
      <c r="B43" t="inlineStr">
        <is>
          <t>B14</t>
        </is>
      </c>
      <c r="C43" t="n">
        <v>14</v>
      </c>
      <c r="D43" t="n">
        <v>2</v>
      </c>
      <c r="E43" t="inlineStr">
        <is>
          <t>Input</t>
        </is>
      </c>
      <c r="F43" t="n">
        <v/>
      </c>
      <c r="H43" t="inlineStr"/>
      <c r="I43" t="inlineStr">
        <is>
          <t>_(* #,##0_);_(* \(#,##0\);_(* \-??_);_(@_)</t>
        </is>
      </c>
      <c r="J43" t="b">
        <v>1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Financing</t>
        </is>
      </c>
      <c r="B44" t="inlineStr">
        <is>
          <t>C14</t>
        </is>
      </c>
      <c r="C44" t="n">
        <v>14</v>
      </c>
      <c r="D44" t="n">
        <v>3</v>
      </c>
      <c r="E44" t="inlineStr">
        <is>
          <t>Input</t>
        </is>
      </c>
      <c r="F44" t="n">
        <v/>
      </c>
      <c r="H44" t="inlineStr"/>
      <c r="I44" t="inlineStr">
        <is>
          <t>_(* #,##0_);_(* \(#,##0\);_(* \-??_);_(@_)</t>
        </is>
      </c>
      <c r="J44" t="b">
        <v>1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Financing</t>
        </is>
      </c>
      <c r="B45" t="inlineStr">
        <is>
          <t>D14</t>
        </is>
      </c>
      <c r="C45" t="n">
        <v>14</v>
      </c>
      <c r="D45" t="n">
        <v>4</v>
      </c>
      <c r="E45" t="inlineStr">
        <is>
          <t>Input</t>
        </is>
      </c>
      <c r="F45" t="n">
        <v/>
      </c>
      <c r="H45" t="inlineStr"/>
      <c r="I45" t="inlineStr">
        <is>
          <t>_(* #,##0_);_(* \(#,##0\);_(* \-??_);_(@_)</t>
        </is>
      </c>
      <c r="J45" t="b">
        <v>1</v>
      </c>
      <c r="K45" t="b">
        <v>0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Financing</t>
        </is>
      </c>
      <c r="B46" t="inlineStr">
        <is>
          <t>E14</t>
        </is>
      </c>
      <c r="C46" t="n">
        <v>14</v>
      </c>
      <c r="D46" t="n">
        <v>5</v>
      </c>
      <c r="E46" t="inlineStr">
        <is>
          <t>Input</t>
        </is>
      </c>
      <c r="F46" t="n">
        <v/>
      </c>
      <c r="H46" t="inlineStr"/>
      <c r="I46" t="inlineStr">
        <is>
          <t>_(* #,##0_);_(* \(#,##0\);_(* \-??_);_(@_)</t>
        </is>
      </c>
      <c r="J46" t="b">
        <v>1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Financing</t>
        </is>
      </c>
      <c r="B47" t="inlineStr">
        <is>
          <t>A16</t>
        </is>
      </c>
      <c r="C47" t="n">
        <v>16</v>
      </c>
      <c r="D47" t="n">
        <v>1</v>
      </c>
      <c r="E47" t="inlineStr">
        <is>
          <t>Input</t>
        </is>
      </c>
      <c r="F47" t="n">
        <v/>
      </c>
      <c r="G47" t="inlineStr">
        <is>
          <t>FINANCING CALCULATIONS</t>
        </is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M47" t="n">
        <v/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Financing</t>
        </is>
      </c>
      <c r="B48" t="inlineStr">
        <is>
          <t>A18</t>
        </is>
      </c>
      <c r="C48" t="n">
        <v>18</v>
      </c>
      <c r="D48" t="n">
        <v>1</v>
      </c>
      <c r="E48" t="inlineStr">
        <is>
          <t>Input</t>
        </is>
      </c>
      <c r="F48" t="n">
        <v/>
      </c>
      <c r="G48" t="inlineStr">
        <is>
          <t>Interest Expense</t>
        </is>
      </c>
      <c r="H48" t="inlineStr"/>
      <c r="I48" t="inlineStr">
        <is>
          <t>General</t>
        </is>
      </c>
      <c r="J48" t="b">
        <v>1</v>
      </c>
      <c r="K48" t="b">
        <v>1</v>
      </c>
      <c r="L48" t="n">
        <v>10</v>
      </c>
      <c r="M48" t="n">
        <v/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Financing</t>
        </is>
      </c>
      <c r="B49" t="inlineStr">
        <is>
          <t>A20</t>
        </is>
      </c>
      <c r="C49" t="n">
        <v>20</v>
      </c>
      <c r="D49" t="n">
        <v>1</v>
      </c>
      <c r="E49" t="inlineStr">
        <is>
          <t>Input</t>
        </is>
      </c>
      <c r="F49" t="n">
        <v/>
      </c>
      <c r="G49" t="inlineStr">
        <is>
          <t>Year</t>
        </is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Financing</t>
        </is>
      </c>
      <c r="B50" t="inlineStr">
        <is>
          <t>B20</t>
        </is>
      </c>
      <c r="C50" t="n">
        <v>20</v>
      </c>
      <c r="D50" t="n">
        <v>2</v>
      </c>
      <c r="E50" t="inlineStr">
        <is>
          <t>Input</t>
        </is>
      </c>
      <c r="F50" t="n">
        <v/>
      </c>
      <c r="G50" t="n">
        <v>0</v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Financing</t>
        </is>
      </c>
      <c r="B51" t="inlineStr">
        <is>
          <t>C20</t>
        </is>
      </c>
      <c r="C51" t="n">
        <v>20</v>
      </c>
      <c r="D51" t="n">
        <v>3</v>
      </c>
      <c r="E51" t="inlineStr">
        <is>
          <t>Input</t>
        </is>
      </c>
      <c r="F51" t="n">
        <v/>
      </c>
      <c r="G51" t="n">
        <v>1</v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Financing</t>
        </is>
      </c>
      <c r="B52" t="inlineStr">
        <is>
          <t>D20</t>
        </is>
      </c>
      <c r="C52" t="n">
        <v>20</v>
      </c>
      <c r="D52" t="n">
        <v>4</v>
      </c>
      <c r="E52" t="inlineStr">
        <is>
          <t>Input</t>
        </is>
      </c>
      <c r="F52" t="n">
        <v/>
      </c>
      <c r="G52" t="n">
        <v>2</v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Financing</t>
        </is>
      </c>
      <c r="B53" t="inlineStr">
        <is>
          <t>E20</t>
        </is>
      </c>
      <c r="C53" t="n">
        <v>20</v>
      </c>
      <c r="D53" t="n">
        <v>5</v>
      </c>
      <c r="E53" t="inlineStr">
        <is>
          <t>Input</t>
        </is>
      </c>
      <c r="F53" t="n">
        <v/>
      </c>
      <c r="G53" t="n">
        <v>3</v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Financing</t>
        </is>
      </c>
      <c r="B54" t="inlineStr">
        <is>
          <t>A22</t>
        </is>
      </c>
      <c r="C54" t="n">
        <v>22</v>
      </c>
      <c r="D54" t="n">
        <v>1</v>
      </c>
      <c r="E54" t="inlineStr">
        <is>
          <t>Input</t>
        </is>
      </c>
      <c r="F54" t="n">
        <v/>
      </c>
      <c r="G54" t="inlineStr">
        <is>
          <t>Long-term debt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Financing</t>
        </is>
      </c>
      <c r="B55" t="inlineStr">
        <is>
          <t>B22</t>
        </is>
      </c>
      <c r="C55" t="n">
        <v>22</v>
      </c>
      <c r="D55" t="n">
        <v>2</v>
      </c>
      <c r="E55" t="inlineStr">
        <is>
          <t>Input</t>
        </is>
      </c>
      <c r="F55" t="n">
        <v/>
      </c>
      <c r="H55" t="inlineStr"/>
      <c r="I55" t="inlineStr">
        <is>
          <t>_(* #,##0.0_);_(* \(#,##0.0\);_(* \-??_);_(@_)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Financing</t>
        </is>
      </c>
      <c r="B56" t="inlineStr">
        <is>
          <t>C22</t>
        </is>
      </c>
      <c r="C56" t="n">
        <v>22</v>
      </c>
      <c r="D56" t="n">
        <v>3</v>
      </c>
      <c r="E56" t="inlineStr">
        <is>
          <t>Calculation</t>
        </is>
      </c>
      <c r="F56" t="inlineStr">
        <is>
          <t>'=$B$4*(B9+C9)/2</t>
        </is>
      </c>
      <c r="G56" t="n">
        <v>22</v>
      </c>
      <c r="H56" t="inlineStr"/>
      <c r="I56" t="inlineStr">
        <is>
          <t>_(* #,##0.0_);_(* \(#,##0.0\);_(* \-??_);_(@_)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1</v>
      </c>
      <c r="S56" t="inlineStr">
        <is>
          <t>G000007</t>
        </is>
      </c>
      <c r="T56" t="inlineStr">
        <is>
          <t>Horizontal</t>
        </is>
      </c>
      <c r="U56" t="n">
        <v>3</v>
      </c>
      <c r="V56" t="b">
        <v>1</v>
      </c>
      <c r="W56" t="inlineStr">
        <is>
          <t>Financing!C22:E22</t>
        </is>
      </c>
      <c r="X56">
        <f>R4C2*(R[-13]C[-1]+R[-13]C[0])/2</f>
        <v/>
      </c>
    </row>
    <row r="57">
      <c r="A57" t="inlineStr">
        <is>
          <t>Financing</t>
        </is>
      </c>
      <c r="B57" t="inlineStr">
        <is>
          <t>D22</t>
        </is>
      </c>
      <c r="C57" t="n">
        <v>22</v>
      </c>
      <c r="D57" t="n">
        <v>4</v>
      </c>
      <c r="E57" t="inlineStr">
        <is>
          <t>Calculation</t>
        </is>
      </c>
      <c r="F57" t="inlineStr">
        <is>
          <t>'=$B$4*(C9+D9)/2</t>
        </is>
      </c>
      <c r="G57" t="n">
        <v>22</v>
      </c>
      <c r="H57" t="inlineStr"/>
      <c r="I57" t="inlineStr">
        <is>
          <t>_(* #,##0.0_);_(* \(#,##0.0\);_(* \-??_);_(@_)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1</v>
      </c>
      <c r="S57" t="inlineStr">
        <is>
          <t>G000007</t>
        </is>
      </c>
      <c r="T57" t="inlineStr">
        <is>
          <t>Horizontal</t>
        </is>
      </c>
      <c r="U57" t="n">
        <v>3</v>
      </c>
      <c r="V57" t="b">
        <v>1</v>
      </c>
      <c r="W57" t="inlineStr">
        <is>
          <t>Financing!C22:E22</t>
        </is>
      </c>
      <c r="X57">
        <f>R4C2*(R[-13]C[-1]+R[-13]C[0])/2</f>
        <v/>
      </c>
    </row>
    <row r="58">
      <c r="A58" t="inlineStr">
        <is>
          <t>Financing</t>
        </is>
      </c>
      <c r="B58" t="inlineStr">
        <is>
          <t>E22</t>
        </is>
      </c>
      <c r="C58" t="n">
        <v>22</v>
      </c>
      <c r="D58" t="n">
        <v>5</v>
      </c>
      <c r="E58" t="inlineStr">
        <is>
          <t>Calculation</t>
        </is>
      </c>
      <c r="F58" t="inlineStr">
        <is>
          <t>'=$B$4*(D9+E9)/2</t>
        </is>
      </c>
      <c r="G58" t="n">
        <v>22</v>
      </c>
      <c r="H58" t="inlineStr"/>
      <c r="I58" t="inlineStr">
        <is>
          <t>_(* #,##0.0_);_(* \(#,##0.0\);_(* \-??_);_(@_)</t>
        </is>
      </c>
      <c r="J58" t="b">
        <v>1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S58" t="inlineStr">
        <is>
          <t>G000007</t>
        </is>
      </c>
      <c r="T58" t="inlineStr">
        <is>
          <t>Horizontal</t>
        </is>
      </c>
      <c r="U58" t="n">
        <v>3</v>
      </c>
      <c r="V58" t="b">
        <v>1</v>
      </c>
      <c r="W58" t="inlineStr">
        <is>
          <t>Financing!C22:E22</t>
        </is>
      </c>
      <c r="X58">
        <f>R4C2*(R[-13]C[-1]+R[-13]C[0])/2</f>
        <v/>
      </c>
    </row>
    <row r="59">
      <c r="A59" t="inlineStr">
        <is>
          <t>Financing</t>
        </is>
      </c>
      <c r="B59" t="inlineStr">
        <is>
          <t>A23</t>
        </is>
      </c>
      <c r="C59" t="n">
        <v>23</v>
      </c>
      <c r="D59" t="n">
        <v>1</v>
      </c>
      <c r="E59" t="inlineStr">
        <is>
          <t>Input</t>
        </is>
      </c>
      <c r="F59" t="n">
        <v/>
      </c>
      <c r="G59" t="inlineStr">
        <is>
          <t>Bank notes payable</t>
        </is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10</v>
      </c>
      <c r="M59" t="n">
        <v/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Financing</t>
        </is>
      </c>
      <c r="B60" t="inlineStr">
        <is>
          <t>B23</t>
        </is>
      </c>
      <c r="C60" t="n">
        <v>23</v>
      </c>
      <c r="D60" t="n">
        <v>2</v>
      </c>
      <c r="E60" t="inlineStr">
        <is>
          <t>Input</t>
        </is>
      </c>
      <c r="F60" t="n">
        <v/>
      </c>
      <c r="H60" t="inlineStr"/>
      <c r="I60" t="inlineStr">
        <is>
          <t>_(* #,##0.0_);_(* \(#,##0.0\);_(* \-??_);_(@_)</t>
        </is>
      </c>
      <c r="J60" t="b">
        <v>1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Financing</t>
        </is>
      </c>
      <c r="B61" t="inlineStr">
        <is>
          <t>C23</t>
        </is>
      </c>
      <c r="C61" t="n">
        <v>23</v>
      </c>
      <c r="D61" t="n">
        <v>3</v>
      </c>
      <c r="E61" t="inlineStr">
        <is>
          <t>Calculation</t>
        </is>
      </c>
      <c r="F61" t="inlineStr">
        <is>
          <t>'=$B$5*(B10+C10)/2</t>
        </is>
      </c>
      <c r="G61" t="n">
        <v>1.27225130890052</v>
      </c>
      <c r="H61" t="inlineStr"/>
      <c r="I61" t="inlineStr">
        <is>
          <t>_(* #,##0.0_);_(* \(#,##0.0\);_(* \-??_);_(@_)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S61" t="inlineStr">
        <is>
          <t>G000008</t>
        </is>
      </c>
      <c r="T61" t="inlineStr">
        <is>
          <t>Horizontal</t>
        </is>
      </c>
      <c r="U61" t="n">
        <v>3</v>
      </c>
      <c r="V61" t="b">
        <v>1</v>
      </c>
      <c r="W61" t="inlineStr">
        <is>
          <t>Financing!C23:E23</t>
        </is>
      </c>
      <c r="X61">
        <f>R5C2*(R[-13]C[-1]+R[-13]C[0])/2</f>
        <v/>
      </c>
    </row>
    <row r="62">
      <c r="A62" t="inlineStr">
        <is>
          <t>Financing</t>
        </is>
      </c>
      <c r="B62" t="inlineStr">
        <is>
          <t>D23</t>
        </is>
      </c>
      <c r="C62" t="n">
        <v>23</v>
      </c>
      <c r="D62" t="n">
        <v>4</v>
      </c>
      <c r="E62" t="inlineStr">
        <is>
          <t>Calculation</t>
        </is>
      </c>
      <c r="F62" t="inlineStr">
        <is>
          <t>'=$B$5*(C10+D10)/2</t>
        </is>
      </c>
      <c r="G62" t="n">
        <v>4.36073572544612</v>
      </c>
      <c r="H62" t="inlineStr"/>
      <c r="I62" t="inlineStr">
        <is>
          <t>_(* #,##0.0_);_(* \(#,##0.0\);_(* \-??_);_(@_)</t>
        </is>
      </c>
      <c r="J62" t="b">
        <v>1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1</v>
      </c>
      <c r="S62" t="inlineStr">
        <is>
          <t>G000008</t>
        </is>
      </c>
      <c r="T62" t="inlineStr">
        <is>
          <t>Horizontal</t>
        </is>
      </c>
      <c r="U62" t="n">
        <v>3</v>
      </c>
      <c r="V62" t="b">
        <v>1</v>
      </c>
      <c r="W62" t="inlineStr">
        <is>
          <t>Financing!C23:E23</t>
        </is>
      </c>
      <c r="X62">
        <f>R5C2*(R[-13]C[-1]+R[-13]C[0])/2</f>
        <v/>
      </c>
    </row>
    <row r="63">
      <c r="A63" t="inlineStr">
        <is>
          <t>Financing</t>
        </is>
      </c>
      <c r="B63" t="inlineStr">
        <is>
          <t>E23</t>
        </is>
      </c>
      <c r="C63" t="n">
        <v>23</v>
      </c>
      <c r="D63" t="n">
        <v>5</v>
      </c>
      <c r="E63" t="inlineStr">
        <is>
          <t>Calculation</t>
        </is>
      </c>
      <c r="F63" t="inlineStr">
        <is>
          <t>'=$B$5*(D10+E10)/2</t>
        </is>
      </c>
      <c r="G63" t="n">
        <v>5.87902495611644</v>
      </c>
      <c r="H63" t="inlineStr"/>
      <c r="I63" t="inlineStr">
        <is>
          <t>_(* #,##0.0_);_(* \(#,##0.0\);_(* \-??_);_(@_)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1</v>
      </c>
      <c r="S63" t="inlineStr">
        <is>
          <t>G000008</t>
        </is>
      </c>
      <c r="T63" t="inlineStr">
        <is>
          <t>Horizontal</t>
        </is>
      </c>
      <c r="U63" t="n">
        <v>3</v>
      </c>
      <c r="V63" t="b">
        <v>1</v>
      </c>
      <c r="W63" t="inlineStr">
        <is>
          <t>Financing!C23:E23</t>
        </is>
      </c>
      <c r="X63">
        <f>R5C2*(R[-13]C[-1]+R[-13]C[0])/2</f>
        <v/>
      </c>
    </row>
    <row r="64">
      <c r="A64" t="inlineStr">
        <is>
          <t>Financing</t>
        </is>
      </c>
      <c r="B64" t="inlineStr">
        <is>
          <t>A24</t>
        </is>
      </c>
      <c r="C64" t="n">
        <v>24</v>
      </c>
      <c r="D64" t="n">
        <v>1</v>
      </c>
      <c r="E64" t="inlineStr">
        <is>
          <t>Input</t>
        </is>
      </c>
      <c r="F64" t="n">
        <v/>
      </c>
      <c r="G64" t="inlineStr">
        <is>
          <t>Total</t>
        </is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Financing</t>
        </is>
      </c>
      <c r="B65" t="inlineStr">
        <is>
          <t>B24</t>
        </is>
      </c>
      <c r="C65" t="n">
        <v>24</v>
      </c>
      <c r="D65" t="n">
        <v>2</v>
      </c>
      <c r="E65" t="inlineStr">
        <is>
          <t>Input</t>
        </is>
      </c>
      <c r="F65" t="n">
        <v/>
      </c>
      <c r="H65" t="inlineStr"/>
      <c r="I65" t="inlineStr">
        <is>
          <t>_(* #,##0.0_);_(* \(#,##0.0\);_(* \-??_);_(@_)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Financing</t>
        </is>
      </c>
      <c r="B66" t="inlineStr">
        <is>
          <t>C24</t>
        </is>
      </c>
      <c r="C66" t="n">
        <v>24</v>
      </c>
      <c r="D66" t="n">
        <v>3</v>
      </c>
      <c r="E66" t="inlineStr">
        <is>
          <t>Calculation</t>
        </is>
      </c>
      <c r="F66" t="inlineStr">
        <is>
          <t>'=C22+C23</t>
        </is>
      </c>
      <c r="G66" t="n">
        <v>23.2722513089005</v>
      </c>
      <c r="H66" t="inlineStr"/>
      <c r="I66" t="inlineStr">
        <is>
          <t>_(* #,##0.0_);_(* \(#,##0.0\);_(* \-??_);_(@_)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1</v>
      </c>
      <c r="S66" t="inlineStr">
        <is>
          <t>G000009</t>
        </is>
      </c>
      <c r="T66" t="inlineStr">
        <is>
          <t>Horizontal</t>
        </is>
      </c>
      <c r="U66" t="n">
        <v>3</v>
      </c>
      <c r="V66" t="b">
        <v>1</v>
      </c>
      <c r="W66" t="inlineStr">
        <is>
          <t>Financing!C24:E24</t>
        </is>
      </c>
      <c r="X66">
        <f>R[-2]C[0]+R[-1]C[0]</f>
        <v/>
      </c>
    </row>
    <row r="67">
      <c r="A67" t="inlineStr">
        <is>
          <t>Financing</t>
        </is>
      </c>
      <c r="B67" t="inlineStr">
        <is>
          <t>D24</t>
        </is>
      </c>
      <c r="C67" t="n">
        <v>24</v>
      </c>
      <c r="D67" t="n">
        <v>4</v>
      </c>
      <c r="E67" t="inlineStr">
        <is>
          <t>Calculation</t>
        </is>
      </c>
      <c r="F67" t="inlineStr">
        <is>
          <t>'=D22+D23</t>
        </is>
      </c>
      <c r="G67" t="n">
        <v>26.3607357254461</v>
      </c>
      <c r="H67" t="inlineStr"/>
      <c r="I67" t="inlineStr">
        <is>
          <t>_(* #,##0.0_);_(* \(#,##0.0\);_(* \-??_);_(@_)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inlineStr">
        <is>
          <t>G000009</t>
        </is>
      </c>
      <c r="T67" t="inlineStr">
        <is>
          <t>Horizontal</t>
        </is>
      </c>
      <c r="U67" t="n">
        <v>3</v>
      </c>
      <c r="V67" t="b">
        <v>1</v>
      </c>
      <c r="W67" t="inlineStr">
        <is>
          <t>Financing!C24:E24</t>
        </is>
      </c>
      <c r="X67">
        <f>R[-2]C[0]+R[-1]C[0]</f>
        <v/>
      </c>
    </row>
    <row r="68">
      <c r="A68" t="inlineStr">
        <is>
          <t>Financing</t>
        </is>
      </c>
      <c r="B68" t="inlineStr">
        <is>
          <t>E24</t>
        </is>
      </c>
      <c r="C68" t="n">
        <v>24</v>
      </c>
      <c r="D68" t="n">
        <v>5</v>
      </c>
      <c r="E68" t="inlineStr">
        <is>
          <t>Calculation</t>
        </is>
      </c>
      <c r="F68" t="inlineStr">
        <is>
          <t>'=E22+E23</t>
        </is>
      </c>
      <c r="G68" t="n">
        <v>27.8790249561164</v>
      </c>
      <c r="H68" t="inlineStr"/>
      <c r="I68" t="inlineStr">
        <is>
          <t>_(* #,##0.0_);_(* \(#,##0.0\);_(* \-??_);_(@_)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inlineStr">
        <is>
          <t>G000009</t>
        </is>
      </c>
      <c r="T68" t="inlineStr">
        <is>
          <t>Horizontal</t>
        </is>
      </c>
      <c r="U68" t="n">
        <v>3</v>
      </c>
      <c r="V68" t="b">
        <v>1</v>
      </c>
      <c r="W68" t="inlineStr">
        <is>
          <t>Financing!C24:E24</t>
        </is>
      </c>
      <c r="X68">
        <f>R[-2]C[0]+R[-1]C[0]</f>
        <v/>
      </c>
    </row>
    <row r="69">
      <c r="A69" t="inlineStr">
        <is>
          <t>Financing</t>
        </is>
      </c>
      <c r="B69" t="inlineStr">
        <is>
          <t>A26</t>
        </is>
      </c>
      <c r="C69" t="n">
        <v>26</v>
      </c>
      <c r="D69" t="n">
        <v>1</v>
      </c>
      <c r="E69" t="inlineStr">
        <is>
          <t>Input</t>
        </is>
      </c>
      <c r="F69" t="n">
        <v/>
      </c>
      <c r="G69" t="inlineStr">
        <is>
          <t xml:space="preserve">Cash Balance </t>
        </is>
      </c>
      <c r="H69" t="inlineStr"/>
      <c r="I69" t="inlineStr">
        <is>
          <t>General</t>
        </is>
      </c>
      <c r="J69" t="b">
        <v>1</v>
      </c>
      <c r="K69" t="b">
        <v>1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Financing</t>
        </is>
      </c>
      <c r="B70" t="inlineStr">
        <is>
          <t>A28</t>
        </is>
      </c>
      <c r="C70" t="n">
        <v>28</v>
      </c>
      <c r="D70" t="n">
        <v>1</v>
      </c>
      <c r="E70" t="inlineStr">
        <is>
          <t>Input</t>
        </is>
      </c>
      <c r="F70" t="n">
        <v/>
      </c>
      <c r="G70" t="inlineStr">
        <is>
          <t>Year</t>
        </is>
      </c>
      <c r="H70" t="inlineStr"/>
      <c r="I70" t="inlineStr">
        <is>
          <t>General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Financing</t>
        </is>
      </c>
      <c r="B71" t="inlineStr">
        <is>
          <t>B28</t>
        </is>
      </c>
      <c r="C71" t="n">
        <v>28</v>
      </c>
      <c r="D71" t="n">
        <v>2</v>
      </c>
      <c r="E71" t="inlineStr">
        <is>
          <t>Input</t>
        </is>
      </c>
      <c r="F71" t="n">
        <v/>
      </c>
      <c r="G71" t="n">
        <v>0</v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Financing</t>
        </is>
      </c>
      <c r="B72" t="inlineStr">
        <is>
          <t>C28</t>
        </is>
      </c>
      <c r="C72" t="n">
        <v>28</v>
      </c>
      <c r="D72" t="n">
        <v>3</v>
      </c>
      <c r="E72" t="inlineStr">
        <is>
          <t>Input</t>
        </is>
      </c>
      <c r="F72" t="n">
        <v/>
      </c>
      <c r="G72" t="n">
        <v>1</v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Financing</t>
        </is>
      </c>
      <c r="B73" t="inlineStr">
        <is>
          <t>D28</t>
        </is>
      </c>
      <c r="C73" t="n">
        <v>28</v>
      </c>
      <c r="D73" t="n">
        <v>4</v>
      </c>
      <c r="E73" t="inlineStr">
        <is>
          <t>Input</t>
        </is>
      </c>
      <c r="F73" t="n">
        <v/>
      </c>
      <c r="G73" t="n">
        <v>2</v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Financing</t>
        </is>
      </c>
      <c r="B74" t="inlineStr">
        <is>
          <t>E28</t>
        </is>
      </c>
      <c r="C74" t="n">
        <v>28</v>
      </c>
      <c r="D74" t="n">
        <v>5</v>
      </c>
      <c r="E74" t="inlineStr">
        <is>
          <t>Input</t>
        </is>
      </c>
      <c r="F74" t="n">
        <v/>
      </c>
      <c r="G74" t="n">
        <v>3</v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Financing</t>
        </is>
      </c>
      <c r="B75" t="inlineStr">
        <is>
          <t>A30</t>
        </is>
      </c>
      <c r="C75" t="n">
        <v>30</v>
      </c>
      <c r="D75" t="n">
        <v>1</v>
      </c>
      <c r="E75" t="inlineStr">
        <is>
          <t>Input</t>
        </is>
      </c>
      <c r="F75" t="n">
        <v/>
      </c>
      <c r="G75" t="inlineStr">
        <is>
          <t>Beginning cash balance</t>
        </is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inlineStr">
        <is>
          <t>FF0000FF</t>
        </is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Financing</t>
        </is>
      </c>
      <c r="B76" t="inlineStr">
        <is>
          <t>B30</t>
        </is>
      </c>
      <c r="C76" t="n">
        <v>30</v>
      </c>
      <c r="D76" t="n">
        <v>2</v>
      </c>
      <c r="E76" t="inlineStr">
        <is>
          <t>Input</t>
        </is>
      </c>
      <c r="F76" t="n">
        <v/>
      </c>
      <c r="G76" t="n">
        <v>0</v>
      </c>
      <c r="H76" t="inlineStr"/>
      <c r="I76" t="inlineStr">
        <is>
          <t>_(* #,##0_);_(* \(#,##0\);_(* \-??_);_(@_)</t>
        </is>
      </c>
      <c r="J76" t="b">
        <v>1</v>
      </c>
      <c r="K76" t="b">
        <v>0</v>
      </c>
      <c r="L76" t="n">
        <v>10</v>
      </c>
      <c r="M76" t="inlineStr">
        <is>
          <t>FF0000FF</t>
        </is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Financing</t>
        </is>
      </c>
      <c r="B77" t="inlineStr">
        <is>
          <t>C30</t>
        </is>
      </c>
      <c r="C77" t="n">
        <v>30</v>
      </c>
      <c r="D77" t="n">
        <v>3</v>
      </c>
      <c r="E77" t="inlineStr">
        <is>
          <t>Calculation</t>
        </is>
      </c>
      <c r="F77" t="inlineStr">
        <is>
          <t>'=B32</t>
        </is>
      </c>
      <c r="G77" t="n">
        <v>98</v>
      </c>
      <c r="H77" t="inlineStr"/>
      <c r="I77" t="inlineStr">
        <is>
          <t>_(* #,##0_);_(* \(#,##0\);_(* \-??_);_(@_)</t>
        </is>
      </c>
      <c r="J77" t="b">
        <v>1</v>
      </c>
      <c r="K77" t="b">
        <v>0</v>
      </c>
      <c r="L77" t="n">
        <v>10</v>
      </c>
      <c r="M77" t="inlineStr">
        <is>
          <t>FF0000FF</t>
        </is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1</v>
      </c>
      <c r="S77" t="inlineStr">
        <is>
          <t>G000012</t>
        </is>
      </c>
      <c r="T77" t="inlineStr">
        <is>
          <t>Horizontal</t>
        </is>
      </c>
      <c r="U77" t="n">
        <v>3</v>
      </c>
      <c r="V77" t="b">
        <v>1</v>
      </c>
      <c r="W77" t="inlineStr">
        <is>
          <t>Financing!C30:E30</t>
        </is>
      </c>
      <c r="X77">
        <f>R[2]C[-1]</f>
        <v/>
      </c>
    </row>
    <row r="78">
      <c r="A78" t="inlineStr">
        <is>
          <t>Financing</t>
        </is>
      </c>
      <c r="B78" t="inlineStr">
        <is>
          <t>D30</t>
        </is>
      </c>
      <c r="C78" t="n">
        <v>30</v>
      </c>
      <c r="D78" t="n">
        <v>4</v>
      </c>
      <c r="E78" t="inlineStr">
        <is>
          <t>Calculation</t>
        </is>
      </c>
      <c r="F78" t="inlineStr">
        <is>
          <t>'=C32</t>
        </is>
      </c>
      <c r="G78" t="n">
        <v>20</v>
      </c>
      <c r="H78" t="inlineStr"/>
      <c r="I78" t="inlineStr">
        <is>
          <t>_(* #,##0_);_(* \(#,##0\);_(* \-??_);_(@_)</t>
        </is>
      </c>
      <c r="J78" t="b">
        <v>1</v>
      </c>
      <c r="K78" t="b">
        <v>0</v>
      </c>
      <c r="L78" t="n">
        <v>10</v>
      </c>
      <c r="M78" t="inlineStr">
        <is>
          <t>FF0000FF</t>
        </is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inlineStr">
        <is>
          <t>G000012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Financing!C30:E30</t>
        </is>
      </c>
      <c r="X78">
        <f>R[2]C[-1]</f>
        <v/>
      </c>
    </row>
    <row r="79">
      <c r="A79" t="inlineStr">
        <is>
          <t>Financing</t>
        </is>
      </c>
      <c r="B79" t="inlineStr">
        <is>
          <t>E30</t>
        </is>
      </c>
      <c r="C79" t="n">
        <v>30</v>
      </c>
      <c r="D79" t="n">
        <v>5</v>
      </c>
      <c r="E79" t="inlineStr">
        <is>
          <t>Calculation</t>
        </is>
      </c>
      <c r="F79" t="inlineStr">
        <is>
          <t>'=D32</t>
        </is>
      </c>
      <c r="G79" t="n">
        <v>28</v>
      </c>
      <c r="H79" t="inlineStr"/>
      <c r="I79" t="inlineStr">
        <is>
          <t>_(* #,##0_);_(* \(#,##0\);_(* \-??_);_(@_)</t>
        </is>
      </c>
      <c r="J79" t="b">
        <v>1</v>
      </c>
      <c r="K79" t="b">
        <v>0</v>
      </c>
      <c r="L79" t="n">
        <v>10</v>
      </c>
      <c r="M79" t="inlineStr">
        <is>
          <t>FF0000FF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inlineStr">
        <is>
          <t>G000012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Financing!C30:E30</t>
        </is>
      </c>
      <c r="X79">
        <f>R[2]C[-1]</f>
        <v/>
      </c>
    </row>
    <row r="80">
      <c r="A80" t="inlineStr">
        <is>
          <t>Financing</t>
        </is>
      </c>
      <c r="B80" t="inlineStr">
        <is>
          <t>A31</t>
        </is>
      </c>
      <c r="C80" t="n">
        <v>31</v>
      </c>
      <c r="D80" t="n">
        <v>1</v>
      </c>
      <c r="E80" t="inlineStr">
        <is>
          <t>Input</t>
        </is>
      </c>
      <c r="F80" t="n">
        <v/>
      </c>
      <c r="G80" t="inlineStr">
        <is>
          <t>Plus cash flow from ops, invests, and fin</t>
        </is>
      </c>
      <c r="H80" t="inlineStr"/>
      <c r="I80" t="inlineStr">
        <is>
          <t>General</t>
        </is>
      </c>
      <c r="J80" t="b">
        <v>1</v>
      </c>
      <c r="K80" t="b">
        <v>0</v>
      </c>
      <c r="L80" t="n">
        <v>10</v>
      </c>
      <c r="M80" t="inlineStr">
        <is>
          <t>FF008000</t>
        </is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Financing</t>
        </is>
      </c>
      <c r="B81" t="inlineStr">
        <is>
          <t>B31</t>
        </is>
      </c>
      <c r="C81" t="n">
        <v>31</v>
      </c>
      <c r="D81" t="n">
        <v>2</v>
      </c>
      <c r="E81" t="inlineStr">
        <is>
          <t>Calculation</t>
        </is>
      </c>
      <c r="F81" t="inlineStr">
        <is>
          <t>'='Cash flows'!B18</t>
        </is>
      </c>
      <c r="G81" t="n">
        <v>98</v>
      </c>
      <c r="H81" t="inlineStr"/>
      <c r="I81" t="inlineStr">
        <is>
          <t>_(* #,##0_);_(* \(#,##0\);_(* \-??_);_(@_)</t>
        </is>
      </c>
      <c r="J81" t="b">
        <v>1</v>
      </c>
      <c r="K81" t="b">
        <v>0</v>
      </c>
      <c r="L81" t="n">
        <v>10</v>
      </c>
      <c r="M81" t="inlineStr">
        <is>
          <t>FF008000</t>
        </is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1</v>
      </c>
      <c r="S81" t="inlineStr">
        <is>
          <t>G000013</t>
        </is>
      </c>
      <c r="T81" t="inlineStr">
        <is>
          <t>Horizontal</t>
        </is>
      </c>
      <c r="U81" t="n">
        <v>4</v>
      </c>
      <c r="V81" t="b">
        <v>1</v>
      </c>
      <c r="W81" t="inlineStr">
        <is>
          <t>Financing!B31:E31</t>
        </is>
      </c>
      <c r="X81">
        <f>'Cash flows'!R[-13]C[0]</f>
        <v/>
      </c>
    </row>
    <row r="82">
      <c r="A82" t="inlineStr">
        <is>
          <t>Financing</t>
        </is>
      </c>
      <c r="B82" t="inlineStr">
        <is>
          <t>C31</t>
        </is>
      </c>
      <c r="C82" t="n">
        <v>31</v>
      </c>
      <c r="D82" t="n">
        <v>3</v>
      </c>
      <c r="E82" t="inlineStr">
        <is>
          <t>Calculation</t>
        </is>
      </c>
      <c r="F82" t="inlineStr">
        <is>
          <t>'='Cash flows'!C18</t>
        </is>
      </c>
      <c r="G82" t="n">
        <v>-78</v>
      </c>
      <c r="H82" t="inlineStr"/>
      <c r="I82" t="inlineStr">
        <is>
          <t>_(* #,##0_);_(* \(#,##0\);_(* \-??_);_(@_)</t>
        </is>
      </c>
      <c r="J82" t="b">
        <v>1</v>
      </c>
      <c r="K82" t="b">
        <v>0</v>
      </c>
      <c r="L82" t="n">
        <v>10</v>
      </c>
      <c r="M82" t="inlineStr">
        <is>
          <t>FF008000</t>
        </is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S82" t="inlineStr">
        <is>
          <t>G000013</t>
        </is>
      </c>
      <c r="T82" t="inlineStr">
        <is>
          <t>Horizontal</t>
        </is>
      </c>
      <c r="U82" t="n">
        <v>4</v>
      </c>
      <c r="V82" t="b">
        <v>1</v>
      </c>
      <c r="W82" t="inlineStr">
        <is>
          <t>Financing!B31:E31</t>
        </is>
      </c>
      <c r="X82">
        <f>'Cash flows'!R[-13]C[0]</f>
        <v/>
      </c>
    </row>
    <row r="83">
      <c r="A83" t="inlineStr">
        <is>
          <t>Financing</t>
        </is>
      </c>
      <c r="B83" t="inlineStr">
        <is>
          <t>D31</t>
        </is>
      </c>
      <c r="C83" t="n">
        <v>31</v>
      </c>
      <c r="D83" t="n">
        <v>4</v>
      </c>
      <c r="E83" t="inlineStr">
        <is>
          <t>Calculation</t>
        </is>
      </c>
      <c r="F83" t="inlineStr">
        <is>
          <t>'='Cash flows'!D18</t>
        </is>
      </c>
      <c r="G83" t="n">
        <v>8</v>
      </c>
      <c r="H83" t="inlineStr"/>
      <c r="I83" t="inlineStr">
        <is>
          <t>_(* #,##0_);_(* \(#,##0\);_(* \-??_);_(@_)</t>
        </is>
      </c>
      <c r="J83" t="b">
        <v>1</v>
      </c>
      <c r="K83" t="b">
        <v>0</v>
      </c>
      <c r="L83" t="n">
        <v>10</v>
      </c>
      <c r="M83" t="inlineStr">
        <is>
          <t>FF008000</t>
        </is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1</v>
      </c>
      <c r="S83" t="inlineStr">
        <is>
          <t>G000013</t>
        </is>
      </c>
      <c r="T83" t="inlineStr">
        <is>
          <t>Horizontal</t>
        </is>
      </c>
      <c r="U83" t="n">
        <v>4</v>
      </c>
      <c r="V83" t="b">
        <v>1</v>
      </c>
      <c r="W83" t="inlineStr">
        <is>
          <t>Financing!B31:E31</t>
        </is>
      </c>
      <c r="X83">
        <f>'Cash flows'!R[-13]C[0]</f>
        <v/>
      </c>
    </row>
    <row r="84">
      <c r="A84" t="inlineStr">
        <is>
          <t>Financing</t>
        </is>
      </c>
      <c r="B84" t="inlineStr">
        <is>
          <t>E31</t>
        </is>
      </c>
      <c r="C84" t="n">
        <v>31</v>
      </c>
      <c r="D84" t="n">
        <v>5</v>
      </c>
      <c r="E84" t="inlineStr">
        <is>
          <t>Calculation</t>
        </is>
      </c>
      <c r="F84" t="inlineStr">
        <is>
          <t>'='Cash flows'!E18</t>
        </is>
      </c>
      <c r="G84" t="n">
        <v>6.00000000000002</v>
      </c>
      <c r="H84" t="inlineStr"/>
      <c r="I84" t="inlineStr">
        <is>
          <t>_(* #,##0_);_(* \(#,##0\);_(* \-??_);_(@_)</t>
        </is>
      </c>
      <c r="J84" t="b">
        <v>1</v>
      </c>
      <c r="K84" t="b">
        <v>0</v>
      </c>
      <c r="L84" t="n">
        <v>10</v>
      </c>
      <c r="M84" t="inlineStr">
        <is>
          <t>FF008000</t>
        </is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1</v>
      </c>
      <c r="S84" t="inlineStr">
        <is>
          <t>G000013</t>
        </is>
      </c>
      <c r="T84" t="inlineStr">
        <is>
          <t>Horizontal</t>
        </is>
      </c>
      <c r="U84" t="n">
        <v>4</v>
      </c>
      <c r="V84" t="b">
        <v>1</v>
      </c>
      <c r="W84" t="inlineStr">
        <is>
          <t>Financing!B31:E31</t>
        </is>
      </c>
      <c r="X84">
        <f>'Cash flows'!R[-13]C[0]</f>
        <v/>
      </c>
    </row>
    <row r="85">
      <c r="A85" t="inlineStr">
        <is>
          <t>Financing</t>
        </is>
      </c>
      <c r="B85" t="inlineStr">
        <is>
          <t>A32</t>
        </is>
      </c>
      <c r="C85" t="n">
        <v>32</v>
      </c>
      <c r="D85" t="n">
        <v>1</v>
      </c>
      <c r="E85" t="inlineStr">
        <is>
          <t>Input</t>
        </is>
      </c>
      <c r="F85" t="n">
        <v/>
      </c>
      <c r="G85" t="inlineStr">
        <is>
          <t>Ending cash balance</t>
        </is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inlineStr">
        <is>
          <t>FF0000FF</t>
        </is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Financing</t>
        </is>
      </c>
      <c r="B86" t="inlineStr">
        <is>
          <t>B32</t>
        </is>
      </c>
      <c r="C86" t="n">
        <v>32</v>
      </c>
      <c r="D86" t="n">
        <v>2</v>
      </c>
      <c r="E86" t="inlineStr">
        <is>
          <t>Calculation</t>
        </is>
      </c>
      <c r="F86" t="inlineStr">
        <is>
          <t>'=B30+B31</t>
        </is>
      </c>
      <c r="G86" t="n">
        <v>98</v>
      </c>
      <c r="H86" t="inlineStr"/>
      <c r="I86" t="inlineStr">
        <is>
          <t>_(* #,##0_);_(* \(#,##0\);_(* \-??_);_(@_)</t>
        </is>
      </c>
      <c r="J86" t="b">
        <v>1</v>
      </c>
      <c r="K86" t="b">
        <v>0</v>
      </c>
      <c r="L86" t="n">
        <v>10</v>
      </c>
      <c r="M86" t="inlineStr">
        <is>
          <t>FF0000FF</t>
        </is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1</v>
      </c>
      <c r="S86" t="inlineStr">
        <is>
          <t>G000010</t>
        </is>
      </c>
      <c r="T86" t="inlineStr">
        <is>
          <t>Horizontal</t>
        </is>
      </c>
      <c r="U86" t="n">
        <v>4</v>
      </c>
      <c r="V86" t="b">
        <v>1</v>
      </c>
      <c r="W86" t="inlineStr">
        <is>
          <t>Financing!B32:E32</t>
        </is>
      </c>
      <c r="X86">
        <f>R[-2]C[0]+R[-1]C[0]</f>
        <v/>
      </c>
    </row>
    <row r="87">
      <c r="A87" t="inlineStr">
        <is>
          <t>Financing</t>
        </is>
      </c>
      <c r="B87" t="inlineStr">
        <is>
          <t>C32</t>
        </is>
      </c>
      <c r="C87" t="n">
        <v>32</v>
      </c>
      <c r="D87" t="n">
        <v>3</v>
      </c>
      <c r="E87" t="inlineStr">
        <is>
          <t>Calculation</t>
        </is>
      </c>
      <c r="F87" t="inlineStr">
        <is>
          <t>'=C30+C31</t>
        </is>
      </c>
      <c r="G87" t="n">
        <v>20</v>
      </c>
      <c r="H87" t="inlineStr"/>
      <c r="I87" t="inlineStr">
        <is>
          <t>_(* #,##0_);_(* \(#,##0\);_(* \-??_);_(@_)</t>
        </is>
      </c>
      <c r="J87" t="b">
        <v>1</v>
      </c>
      <c r="K87" t="b">
        <v>0</v>
      </c>
      <c r="L87" t="n">
        <v>10</v>
      </c>
      <c r="M87" t="inlineStr">
        <is>
          <t>FF0000FF</t>
        </is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1</v>
      </c>
      <c r="S87" t="inlineStr">
        <is>
          <t>G000010</t>
        </is>
      </c>
      <c r="T87" t="inlineStr">
        <is>
          <t>Horizontal</t>
        </is>
      </c>
      <c r="U87" t="n">
        <v>4</v>
      </c>
      <c r="V87" t="b">
        <v>1</v>
      </c>
      <c r="W87" t="inlineStr">
        <is>
          <t>Financing!B32:E32</t>
        </is>
      </c>
      <c r="X87">
        <f>R[-2]C[0]+R[-1]C[0]</f>
        <v/>
      </c>
    </row>
    <row r="88">
      <c r="A88" t="inlineStr">
        <is>
          <t>Financing</t>
        </is>
      </c>
      <c r="B88" t="inlineStr">
        <is>
          <t>D32</t>
        </is>
      </c>
      <c r="C88" t="n">
        <v>32</v>
      </c>
      <c r="D88" t="n">
        <v>4</v>
      </c>
      <c r="E88" t="inlineStr">
        <is>
          <t>Calculation</t>
        </is>
      </c>
      <c r="F88" t="inlineStr">
        <is>
          <t>'=D30+D31</t>
        </is>
      </c>
      <c r="G88" t="n">
        <v>28</v>
      </c>
      <c r="H88" t="inlineStr"/>
      <c r="I88" t="inlineStr">
        <is>
          <t>_(* #,##0_);_(* \(#,##0\);_(* \-??_);_(@_)</t>
        </is>
      </c>
      <c r="J88" t="b">
        <v>1</v>
      </c>
      <c r="K88" t="b">
        <v>0</v>
      </c>
      <c r="L88" t="n">
        <v>10</v>
      </c>
      <c r="M88" t="inlineStr">
        <is>
          <t>FF0000FF</t>
        </is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S88" t="inlineStr">
        <is>
          <t>G000010</t>
        </is>
      </c>
      <c r="T88" t="inlineStr">
        <is>
          <t>Horizontal</t>
        </is>
      </c>
      <c r="U88" t="n">
        <v>4</v>
      </c>
      <c r="V88" t="b">
        <v>1</v>
      </c>
      <c r="W88" t="inlineStr">
        <is>
          <t>Financing!B32:E32</t>
        </is>
      </c>
      <c r="X88">
        <f>R[-2]C[0]+R[-1]C[0]</f>
        <v/>
      </c>
    </row>
    <row r="89">
      <c r="A89" t="inlineStr">
        <is>
          <t>Financing</t>
        </is>
      </c>
      <c r="B89" t="inlineStr">
        <is>
          <t>E32</t>
        </is>
      </c>
      <c r="C89" t="n">
        <v>32</v>
      </c>
      <c r="D89" t="n">
        <v>5</v>
      </c>
      <c r="E89" t="inlineStr">
        <is>
          <t>Calculation</t>
        </is>
      </c>
      <c r="F89" t="inlineStr">
        <is>
          <t>'=E30+E31</t>
        </is>
      </c>
      <c r="G89" t="n">
        <v>34</v>
      </c>
      <c r="H89" t="inlineStr"/>
      <c r="I89" t="inlineStr">
        <is>
          <t>_(* #,##0_);_(* \(#,##0\);_(* \-??_);_(@_)</t>
        </is>
      </c>
      <c r="J89" t="b">
        <v>1</v>
      </c>
      <c r="K89" t="b">
        <v>0</v>
      </c>
      <c r="L89" t="n">
        <v>10</v>
      </c>
      <c r="M89" t="inlineStr">
        <is>
          <t>FF0000FF</t>
        </is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S89" t="inlineStr">
        <is>
          <t>G000010</t>
        </is>
      </c>
      <c r="T89" t="inlineStr">
        <is>
          <t>Horizontal</t>
        </is>
      </c>
      <c r="U89" t="n">
        <v>4</v>
      </c>
      <c r="V89" t="b">
        <v>1</v>
      </c>
      <c r="W89" t="inlineStr">
        <is>
          <t>Financing!B32:E32</t>
        </is>
      </c>
      <c r="X89">
        <f>R[-2]C[0]+R[-1]C[0]</f>
        <v/>
      </c>
    </row>
    <row r="90">
      <c r="A90" t="inlineStr">
        <is>
          <t>Financing</t>
        </is>
      </c>
      <c r="B90" t="inlineStr">
        <is>
          <t>A33</t>
        </is>
      </c>
      <c r="C90" t="n">
        <v>33</v>
      </c>
      <c r="D90" t="n">
        <v>1</v>
      </c>
      <c r="E90" t="inlineStr">
        <is>
          <t>Input</t>
        </is>
      </c>
      <c r="F90" t="n">
        <v/>
      </c>
      <c r="G90" t="inlineStr">
        <is>
          <t>Less minimum cash balance required</t>
        </is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Financing</t>
        </is>
      </c>
      <c r="B91" t="inlineStr">
        <is>
          <t>B33</t>
        </is>
      </c>
      <c r="C91" t="n">
        <v>33</v>
      </c>
      <c r="D91" t="n">
        <v>2</v>
      </c>
      <c r="E91" t="inlineStr">
        <is>
          <t>Calculation</t>
        </is>
      </c>
      <c r="F91" t="inlineStr">
        <is>
          <t>'=-Operations!B27</t>
        </is>
      </c>
      <c r="G91" t="n">
        <v>-8</v>
      </c>
      <c r="H91" t="inlineStr"/>
      <c r="I91" t="inlineStr">
        <is>
          <t>_(* #,##0_);_(* \(#,##0\);_(* \-??_);_(@_)</t>
        </is>
      </c>
      <c r="J91" t="b">
        <v>1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1</v>
      </c>
      <c r="S91" t="inlineStr">
        <is>
          <t>G000014</t>
        </is>
      </c>
      <c r="T91" t="inlineStr">
        <is>
          <t>Horizontal</t>
        </is>
      </c>
      <c r="U91" t="n">
        <v>4</v>
      </c>
      <c r="V91" t="b">
        <v>1</v>
      </c>
      <c r="W91" t="inlineStr">
        <is>
          <t>Financing!B33:E33</t>
        </is>
      </c>
      <c r="X91">
        <f>-'Operations'!R[-6]C[0]</f>
        <v/>
      </c>
    </row>
    <row r="92">
      <c r="A92" t="inlineStr">
        <is>
          <t>Financing</t>
        </is>
      </c>
      <c r="B92" t="inlineStr">
        <is>
          <t>C33</t>
        </is>
      </c>
      <c r="C92" t="n">
        <v>33</v>
      </c>
      <c r="D92" t="n">
        <v>3</v>
      </c>
      <c r="E92" t="inlineStr">
        <is>
          <t>Calculation</t>
        </is>
      </c>
      <c r="F92" t="inlineStr">
        <is>
          <t>'=-Operations!C27</t>
        </is>
      </c>
      <c r="G92" t="n">
        <v>-20</v>
      </c>
      <c r="H92" t="inlineStr"/>
      <c r="I92" t="inlineStr">
        <is>
          <t>_(* #,##0_);_(* \(#,##0\);_(* \-??_);_(@_)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1</v>
      </c>
      <c r="S92" t="inlineStr">
        <is>
          <t>G000014</t>
        </is>
      </c>
      <c r="T92" t="inlineStr">
        <is>
          <t>Horizontal</t>
        </is>
      </c>
      <c r="U92" t="n">
        <v>4</v>
      </c>
      <c r="V92" t="b">
        <v>1</v>
      </c>
      <c r="W92" t="inlineStr">
        <is>
          <t>Financing!B33:E33</t>
        </is>
      </c>
      <c r="X92">
        <f>-'Operations'!R[-6]C[0]</f>
        <v/>
      </c>
    </row>
    <row r="93">
      <c r="A93" t="inlineStr">
        <is>
          <t>Financing</t>
        </is>
      </c>
      <c r="B93" t="inlineStr">
        <is>
          <t>D33</t>
        </is>
      </c>
      <c r="C93" t="n">
        <v>33</v>
      </c>
      <c r="D93" t="n">
        <v>4</v>
      </c>
      <c r="E93" t="inlineStr">
        <is>
          <t>Calculation</t>
        </is>
      </c>
      <c r="F93" t="inlineStr">
        <is>
          <t>'=-Operations!D27</t>
        </is>
      </c>
      <c r="G93" t="n">
        <v>-28</v>
      </c>
      <c r="H93" t="inlineStr"/>
      <c r="I93" t="inlineStr">
        <is>
          <t>_(* #,##0_);_(* \(#,##0\);_(* \-??_);_(@_)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1</v>
      </c>
      <c r="S93" t="inlineStr">
        <is>
          <t>G000014</t>
        </is>
      </c>
      <c r="T93" t="inlineStr">
        <is>
          <t>Horizontal</t>
        </is>
      </c>
      <c r="U93" t="n">
        <v>4</v>
      </c>
      <c r="V93" t="b">
        <v>1</v>
      </c>
      <c r="W93" t="inlineStr">
        <is>
          <t>Financing!B33:E33</t>
        </is>
      </c>
      <c r="X93">
        <f>-'Operations'!R[-6]C[0]</f>
        <v/>
      </c>
    </row>
    <row r="94">
      <c r="A94" t="inlineStr">
        <is>
          <t>Financing</t>
        </is>
      </c>
      <c r="B94" t="inlineStr">
        <is>
          <t>E33</t>
        </is>
      </c>
      <c r="C94" t="n">
        <v>33</v>
      </c>
      <c r="D94" t="n">
        <v>5</v>
      </c>
      <c r="E94" t="inlineStr">
        <is>
          <t>Calculation</t>
        </is>
      </c>
      <c r="F94" t="inlineStr">
        <is>
          <t>'=-Operations!E27</t>
        </is>
      </c>
      <c r="G94" t="n">
        <v>-34</v>
      </c>
      <c r="H94" t="inlineStr"/>
      <c r="I94" t="inlineStr">
        <is>
          <t>_(* #,##0_);_(* \(#,##0\);_(* \-??_);_(@_)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inlineStr">
        <is>
          <t>G000014</t>
        </is>
      </c>
      <c r="T94" t="inlineStr">
        <is>
          <t>Horizontal</t>
        </is>
      </c>
      <c r="U94" t="n">
        <v>4</v>
      </c>
      <c r="V94" t="b">
        <v>1</v>
      </c>
      <c r="W94" t="inlineStr">
        <is>
          <t>Financing!B33:E33</t>
        </is>
      </c>
      <c r="X94">
        <f>-'Operations'!R[-6]C[0]</f>
        <v/>
      </c>
    </row>
    <row r="95">
      <c r="A95" t="inlineStr">
        <is>
          <t>Financing</t>
        </is>
      </c>
      <c r="B95" t="inlineStr">
        <is>
          <t>A34</t>
        </is>
      </c>
      <c r="C95" t="n">
        <v>34</v>
      </c>
      <c r="D95" t="n">
        <v>1</v>
      </c>
      <c r="E95" t="inlineStr">
        <is>
          <t>Input</t>
        </is>
      </c>
      <c r="F95" t="n">
        <v/>
      </c>
      <c r="G95" t="inlineStr">
        <is>
          <t>Excess cash</t>
        </is>
      </c>
      <c r="H95" t="inlineStr"/>
      <c r="I95" t="inlineStr">
        <is>
          <t>General</t>
        </is>
      </c>
      <c r="J95" t="b">
        <v>1</v>
      </c>
      <c r="K95" t="b">
        <v>0</v>
      </c>
      <c r="L95" t="n">
        <v>10</v>
      </c>
      <c r="M95" t="inlineStr">
        <is>
          <t>FF0000FF</t>
        </is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Financing</t>
        </is>
      </c>
      <c r="B96" t="inlineStr">
        <is>
          <t>B34</t>
        </is>
      </c>
      <c r="C96" t="n">
        <v>34</v>
      </c>
      <c r="D96" t="n">
        <v>2</v>
      </c>
      <c r="E96" t="inlineStr">
        <is>
          <t>Output</t>
        </is>
      </c>
      <c r="F96" t="inlineStr">
        <is>
          <t>'=B32+B33</t>
        </is>
      </c>
      <c r="G96" t="n">
        <v>90</v>
      </c>
      <c r="H96" t="inlineStr"/>
      <c r="I96" t="inlineStr">
        <is>
          <t>_(* #,##0.0_);_(* \(#,##0.0\);_(* \-??_);_(@_)</t>
        </is>
      </c>
      <c r="J96" t="b">
        <v>1</v>
      </c>
      <c r="K96" t="b">
        <v>0</v>
      </c>
      <c r="L96" t="n">
        <v>10</v>
      </c>
      <c r="M96" t="inlineStr">
        <is>
          <t>FF0000FF</t>
        </is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inlineStr">
        <is>
          <t>G000011</t>
        </is>
      </c>
      <c r="T96" t="inlineStr">
        <is>
          <t>Horizontal</t>
        </is>
      </c>
      <c r="U96" t="n">
        <v>4</v>
      </c>
      <c r="V96" t="b">
        <v>1</v>
      </c>
      <c r="W96" t="inlineStr">
        <is>
          <t>Financing!B34:E34</t>
        </is>
      </c>
      <c r="X96">
        <f>R[-2]C[0]+R[-1]C[0]</f>
        <v/>
      </c>
    </row>
    <row r="97">
      <c r="A97" t="inlineStr">
        <is>
          <t>Financing</t>
        </is>
      </c>
      <c r="B97" t="inlineStr">
        <is>
          <t>C34</t>
        </is>
      </c>
      <c r="C97" t="n">
        <v>34</v>
      </c>
      <c r="D97" t="n">
        <v>3</v>
      </c>
      <c r="E97" t="inlineStr">
        <is>
          <t>Output</t>
        </is>
      </c>
      <c r="F97" t="inlineStr">
        <is>
          <t>'=C32+C33</t>
        </is>
      </c>
      <c r="G97" t="n">
        <v>0</v>
      </c>
      <c r="H97" t="inlineStr"/>
      <c r="I97" t="inlineStr">
        <is>
          <t>_(* #,##0.0_);_(* \(#,##0.0\);_(* \-??_);_(@_)</t>
        </is>
      </c>
      <c r="J97" t="b">
        <v>1</v>
      </c>
      <c r="K97" t="b">
        <v>0</v>
      </c>
      <c r="L97" t="n">
        <v>10</v>
      </c>
      <c r="M97" t="inlineStr">
        <is>
          <t>FF0000FF</t>
        </is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inlineStr">
        <is>
          <t>G000011</t>
        </is>
      </c>
      <c r="T97" t="inlineStr">
        <is>
          <t>Horizontal</t>
        </is>
      </c>
      <c r="U97" t="n">
        <v>4</v>
      </c>
      <c r="V97" t="b">
        <v>1</v>
      </c>
      <c r="W97" t="inlineStr">
        <is>
          <t>Financing!B34:E34</t>
        </is>
      </c>
      <c r="X97">
        <f>R[-2]C[0]+R[-1]C[0]</f>
        <v/>
      </c>
    </row>
    <row r="98">
      <c r="A98" t="inlineStr">
        <is>
          <t>Financing</t>
        </is>
      </c>
      <c r="B98" t="inlineStr">
        <is>
          <t>D34</t>
        </is>
      </c>
      <c r="C98" t="n">
        <v>34</v>
      </c>
      <c r="D98" t="n">
        <v>4</v>
      </c>
      <c r="E98" t="inlineStr">
        <is>
          <t>Output</t>
        </is>
      </c>
      <c r="F98" t="inlineStr">
        <is>
          <t>'=D32+D33</t>
        </is>
      </c>
      <c r="G98" t="n">
        <v>0</v>
      </c>
      <c r="H98" t="inlineStr"/>
      <c r="I98" t="inlineStr">
        <is>
          <t>_(* #,##0.0_);_(* \(#,##0.0\);_(* \-??_);_(@_)</t>
        </is>
      </c>
      <c r="J98" t="b">
        <v>1</v>
      </c>
      <c r="K98" t="b">
        <v>0</v>
      </c>
      <c r="L98" t="n">
        <v>10</v>
      </c>
      <c r="M98" t="inlineStr">
        <is>
          <t>FF0000FF</t>
        </is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G000011</t>
        </is>
      </c>
      <c r="T98" t="inlineStr">
        <is>
          <t>Horizontal</t>
        </is>
      </c>
      <c r="U98" t="n">
        <v>4</v>
      </c>
      <c r="V98" t="b">
        <v>1</v>
      </c>
      <c r="W98" t="inlineStr">
        <is>
          <t>Financing!B34:E34</t>
        </is>
      </c>
      <c r="X98">
        <f>R[-2]C[0]+R[-1]C[0]</f>
        <v/>
      </c>
    </row>
    <row r="99">
      <c r="A99" t="inlineStr">
        <is>
          <t>Financing</t>
        </is>
      </c>
      <c r="B99" t="inlineStr">
        <is>
          <t>E34</t>
        </is>
      </c>
      <c r="C99" t="n">
        <v>34</v>
      </c>
      <c r="D99" t="n">
        <v>5</v>
      </c>
      <c r="E99" t="inlineStr">
        <is>
          <t>Output</t>
        </is>
      </c>
      <c r="F99" t="inlineStr">
        <is>
          <t>'=E32+E33</t>
        </is>
      </c>
      <c r="G99" t="n">
        <v>0</v>
      </c>
      <c r="H99" t="inlineStr"/>
      <c r="I99" t="inlineStr">
        <is>
          <t>_(* #,##0.0_);_(* \(#,##0.0\);_(* \-??_);_(@_)</t>
        </is>
      </c>
      <c r="J99" t="b">
        <v>1</v>
      </c>
      <c r="K99" t="b">
        <v>0</v>
      </c>
      <c r="L99" t="n">
        <v>10</v>
      </c>
      <c r="M99" t="inlineStr">
        <is>
          <t>FF0000FF</t>
        </is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S99" t="inlineStr">
        <is>
          <t>G000011</t>
        </is>
      </c>
      <c r="T99" t="inlineStr">
        <is>
          <t>Horizontal</t>
        </is>
      </c>
      <c r="U99" t="n">
        <v>4</v>
      </c>
      <c r="V99" t="b">
        <v>1</v>
      </c>
      <c r="W99" t="inlineStr">
        <is>
          <t>Financing!B34:E34</t>
        </is>
      </c>
      <c r="X99">
        <f>R[-2]C[0]+R[-1]C[0]</f>
        <v/>
      </c>
    </row>
    <row r="100">
      <c r="A100" t="inlineStr">
        <is>
          <t>Financing</t>
        </is>
      </c>
      <c r="B100" t="inlineStr">
        <is>
          <t>A36</t>
        </is>
      </c>
      <c r="C100" t="n">
        <v>36</v>
      </c>
      <c r="D100" t="n">
        <v>1</v>
      </c>
      <c r="E100" t="inlineStr">
        <is>
          <t>Input</t>
        </is>
      </c>
      <c r="F100" t="n">
        <v/>
      </c>
      <c r="G100" t="inlineStr">
        <is>
          <t xml:space="preserve">It is undesirable to hold excess cash when there are bank notes outstanding.  </t>
        </is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Financing</t>
        </is>
      </c>
      <c r="B101" t="inlineStr">
        <is>
          <t>B36</t>
        </is>
      </c>
      <c r="C101" t="n">
        <v>36</v>
      </c>
      <c r="D101" t="n">
        <v>2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Financing</t>
        </is>
      </c>
      <c r="B102" t="inlineStr">
        <is>
          <t>C36</t>
        </is>
      </c>
      <c r="C102" t="n">
        <v>36</v>
      </c>
      <c r="D102" t="n">
        <v>3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Financing</t>
        </is>
      </c>
      <c r="B103" t="inlineStr">
        <is>
          <t>D36</t>
        </is>
      </c>
      <c r="C103" t="n">
        <v>36</v>
      </c>
      <c r="D103" t="n">
        <v>4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1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Financing</t>
        </is>
      </c>
      <c r="B104" t="inlineStr">
        <is>
          <t>E36</t>
        </is>
      </c>
      <c r="C104" t="n">
        <v>36</v>
      </c>
      <c r="D104" t="n">
        <v>5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10</v>
      </c>
      <c r="M104" t="n">
        <v/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Financing</t>
        </is>
      </c>
      <c r="B105" t="inlineStr">
        <is>
          <t>F36</t>
        </is>
      </c>
      <c r="C105" t="n">
        <v>36</v>
      </c>
      <c r="D105" t="n">
        <v>6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Financing</t>
        </is>
      </c>
      <c r="B106" t="inlineStr">
        <is>
          <t>G36</t>
        </is>
      </c>
      <c r="C106" t="n">
        <v>36</v>
      </c>
      <c r="D106" t="n">
        <v>7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Financing</t>
        </is>
      </c>
      <c r="B107" t="inlineStr">
        <is>
          <t>A37</t>
        </is>
      </c>
      <c r="C107" t="n">
        <v>37</v>
      </c>
      <c r="D107" t="n">
        <v>1</v>
      </c>
      <c r="E107" t="inlineStr">
        <is>
          <t>Input</t>
        </is>
      </c>
      <c r="F107" t="n">
        <v/>
      </c>
      <c r="G107" t="inlineStr">
        <is>
          <t xml:space="preserve">The cash should be used to reduce the bank loan.  To do this, minimize the </t>
        </is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Financing</t>
        </is>
      </c>
      <c r="B108" t="inlineStr">
        <is>
          <t>B37</t>
        </is>
      </c>
      <c r="C108" t="n">
        <v>37</v>
      </c>
      <c r="D108" t="n">
        <v>2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Financing</t>
        </is>
      </c>
      <c r="B109" t="inlineStr">
        <is>
          <t>C37</t>
        </is>
      </c>
      <c r="C109" t="n">
        <v>37</v>
      </c>
      <c r="D109" t="n">
        <v>3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n">
        <v/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Financing</t>
        </is>
      </c>
      <c r="B110" t="inlineStr">
        <is>
          <t>D37</t>
        </is>
      </c>
      <c r="C110" t="n">
        <v>37</v>
      </c>
      <c r="D110" t="n">
        <v>4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Financing</t>
        </is>
      </c>
      <c r="B111" t="inlineStr">
        <is>
          <t>E37</t>
        </is>
      </c>
      <c r="C111" t="n">
        <v>37</v>
      </c>
      <c r="D111" t="n">
        <v>5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Financing</t>
        </is>
      </c>
      <c r="B112" t="inlineStr">
        <is>
          <t>F37</t>
        </is>
      </c>
      <c r="C112" t="n">
        <v>37</v>
      </c>
      <c r="D112" t="n">
        <v>6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10</v>
      </c>
      <c r="M112" t="n">
        <v/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Financing</t>
        </is>
      </c>
      <c r="B113" t="inlineStr">
        <is>
          <t>G37</t>
        </is>
      </c>
      <c r="C113" t="n">
        <v>37</v>
      </c>
      <c r="D113" t="n">
        <v>7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Financing</t>
        </is>
      </c>
      <c r="B114" t="inlineStr">
        <is>
          <t>A38</t>
        </is>
      </c>
      <c r="C114" t="n">
        <v>38</v>
      </c>
      <c r="D114" t="n">
        <v>1</v>
      </c>
      <c r="E114" t="inlineStr">
        <is>
          <t>Input</t>
        </is>
      </c>
      <c r="F114" t="n">
        <v/>
      </c>
      <c r="G114" t="inlineStr">
        <is>
          <t xml:space="preserve">present value of the interest expense subject to excess cash being 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10</v>
      </c>
      <c r="M114" t="n">
        <v/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Financing</t>
        </is>
      </c>
      <c r="B115" t="inlineStr">
        <is>
          <t>B38</t>
        </is>
      </c>
      <c r="C115" t="n">
        <v>38</v>
      </c>
      <c r="D115" t="n">
        <v>2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Financing</t>
        </is>
      </c>
      <c r="B116" t="inlineStr">
        <is>
          <t>C38</t>
        </is>
      </c>
      <c r="C116" t="n">
        <v>38</v>
      </c>
      <c r="D116" t="n">
        <v>3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1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Financing</t>
        </is>
      </c>
      <c r="B117" t="inlineStr">
        <is>
          <t>D38</t>
        </is>
      </c>
      <c r="C117" t="n">
        <v>38</v>
      </c>
      <c r="D117" t="n">
        <v>4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10</v>
      </c>
      <c r="M117" t="n">
        <v/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Financing</t>
        </is>
      </c>
      <c r="B118" t="inlineStr">
        <is>
          <t>E38</t>
        </is>
      </c>
      <c r="C118" t="n">
        <v>38</v>
      </c>
      <c r="D118" t="n">
        <v>5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M118" t="n">
        <v/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Financing</t>
        </is>
      </c>
      <c r="B119" t="inlineStr">
        <is>
          <t>F38</t>
        </is>
      </c>
      <c r="C119" t="n">
        <v>38</v>
      </c>
      <c r="D119" t="n">
        <v>6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M119" t="n">
        <v/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Financing</t>
        </is>
      </c>
      <c r="B120" t="inlineStr">
        <is>
          <t>G38</t>
        </is>
      </c>
      <c r="C120" t="n">
        <v>38</v>
      </c>
      <c r="D120" t="n">
        <v>7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M120" t="n">
        <v/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Financing</t>
        </is>
      </c>
      <c r="B121" t="inlineStr">
        <is>
          <t>A39</t>
        </is>
      </c>
      <c r="C121" t="n">
        <v>39</v>
      </c>
      <c r="D121" t="n">
        <v>1</v>
      </c>
      <c r="E121" t="inlineStr">
        <is>
          <t>Input</t>
        </is>
      </c>
      <c r="F121" t="n">
        <v/>
      </c>
      <c r="G121" t="inlineStr">
        <is>
          <t xml:space="preserve">nonnegative.  Click on Solver (from the Tools menu), click on Solve in the next box </t>
        </is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M121" t="n">
        <v/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Financing</t>
        </is>
      </c>
      <c r="B122" t="inlineStr">
        <is>
          <t>B39</t>
        </is>
      </c>
      <c r="C122" t="n">
        <v>39</v>
      </c>
      <c r="D122" t="n">
        <v>2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1</v>
      </c>
      <c r="K122" t="b">
        <v>0</v>
      </c>
      <c r="L122" t="n">
        <v>10</v>
      </c>
      <c r="M122" t="n">
        <v/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Financing</t>
        </is>
      </c>
      <c r="B123" t="inlineStr">
        <is>
          <t>C39</t>
        </is>
      </c>
      <c r="C123" t="n">
        <v>39</v>
      </c>
      <c r="D123" t="n">
        <v>3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1</v>
      </c>
      <c r="K123" t="b">
        <v>0</v>
      </c>
      <c r="L123" t="n">
        <v>10</v>
      </c>
      <c r="M123" t="n">
        <v/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Financing</t>
        </is>
      </c>
      <c r="B124" t="inlineStr">
        <is>
          <t>D39</t>
        </is>
      </c>
      <c r="C124" t="n">
        <v>39</v>
      </c>
      <c r="D124" t="n">
        <v>4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1</v>
      </c>
      <c r="K124" t="b">
        <v>0</v>
      </c>
      <c r="L124" t="n">
        <v>10</v>
      </c>
      <c r="M124" t="n">
        <v/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Financing</t>
        </is>
      </c>
      <c r="B125" t="inlineStr">
        <is>
          <t>E39</t>
        </is>
      </c>
      <c r="C125" t="n">
        <v>39</v>
      </c>
      <c r="D125" t="n">
        <v>5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1</v>
      </c>
      <c r="K125" t="b">
        <v>0</v>
      </c>
      <c r="L125" t="n">
        <v>10</v>
      </c>
      <c r="M125" t="n">
        <v/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Financing</t>
        </is>
      </c>
      <c r="B126" t="inlineStr">
        <is>
          <t>F39</t>
        </is>
      </c>
      <c r="C126" t="n">
        <v>39</v>
      </c>
      <c r="D126" t="n">
        <v>6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1</v>
      </c>
      <c r="K126" t="b">
        <v>0</v>
      </c>
      <c r="L126" t="n">
        <v>10</v>
      </c>
      <c r="M126" t="n">
        <v/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Financing</t>
        </is>
      </c>
      <c r="B127" t="inlineStr">
        <is>
          <t>G39</t>
        </is>
      </c>
      <c r="C127" t="n">
        <v>39</v>
      </c>
      <c r="D127" t="n">
        <v>7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0</v>
      </c>
      <c r="L127" t="n">
        <v>10</v>
      </c>
      <c r="M127" t="n">
        <v/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Financing</t>
        </is>
      </c>
      <c r="B128" t="inlineStr">
        <is>
          <t>A40</t>
        </is>
      </c>
      <c r="C128" t="n">
        <v>40</v>
      </c>
      <c r="D128" t="n">
        <v>1</v>
      </c>
      <c r="E128" t="inlineStr">
        <is>
          <t>Input</t>
        </is>
      </c>
      <c r="F128" t="n">
        <v/>
      </c>
      <c r="G128" t="inlineStr">
        <is>
          <t>that appears, and click on OK in the next box.</t>
        </is>
      </c>
      <c r="H128" t="inlineStr"/>
      <c r="I128" t="inlineStr">
        <is>
          <t>General</t>
        </is>
      </c>
      <c r="J128" t="b">
        <v>1</v>
      </c>
      <c r="K128" t="b">
        <v>0</v>
      </c>
      <c r="L128" t="n">
        <v>10</v>
      </c>
      <c r="M128" t="n">
        <v/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Financing</t>
        </is>
      </c>
      <c r="B129" t="inlineStr">
        <is>
          <t>B40</t>
        </is>
      </c>
      <c r="C129" t="n">
        <v>40</v>
      </c>
      <c r="D129" t="n">
        <v>2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Financing</t>
        </is>
      </c>
      <c r="B130" t="inlineStr">
        <is>
          <t>C40</t>
        </is>
      </c>
      <c r="C130" t="n">
        <v>40</v>
      </c>
      <c r="D130" t="n">
        <v>3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M130" t="n">
        <v/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Financing</t>
        </is>
      </c>
      <c r="B131" t="inlineStr">
        <is>
          <t>D40</t>
        </is>
      </c>
      <c r="C131" t="n">
        <v>40</v>
      </c>
      <c r="D131" t="n">
        <v>4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1</v>
      </c>
      <c r="K131" t="b">
        <v>0</v>
      </c>
      <c r="L131" t="n">
        <v>10</v>
      </c>
      <c r="M131" t="n">
        <v/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Financing</t>
        </is>
      </c>
      <c r="B132" t="inlineStr">
        <is>
          <t>E40</t>
        </is>
      </c>
      <c r="C132" t="n">
        <v>40</v>
      </c>
      <c r="D132" t="n">
        <v>5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1</v>
      </c>
      <c r="K132" t="b">
        <v>0</v>
      </c>
      <c r="L132" t="n">
        <v>10</v>
      </c>
      <c r="M132" t="n">
        <v/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Financing</t>
        </is>
      </c>
      <c r="B133" t="inlineStr">
        <is>
          <t>F40</t>
        </is>
      </c>
      <c r="C133" t="n">
        <v>40</v>
      </c>
      <c r="D133" t="n">
        <v>6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1</v>
      </c>
      <c r="K133" t="b">
        <v>0</v>
      </c>
      <c r="L133" t="n">
        <v>10</v>
      </c>
      <c r="M133" t="n">
        <v/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Financing</t>
        </is>
      </c>
      <c r="B134" t="inlineStr">
        <is>
          <t>G40</t>
        </is>
      </c>
      <c r="C134" t="n">
        <v>40</v>
      </c>
      <c r="D134" t="n">
        <v>7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1</v>
      </c>
      <c r="K134" t="b">
        <v>0</v>
      </c>
      <c r="L134" t="n">
        <v>10</v>
      </c>
      <c r="M134" t="n">
        <v/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Financing</t>
        </is>
      </c>
      <c r="B135" t="inlineStr">
        <is>
          <t>A41</t>
        </is>
      </c>
      <c r="C135" t="n">
        <v>41</v>
      </c>
      <c r="D135" t="n">
        <v>1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1</v>
      </c>
      <c r="K135" t="b">
        <v>0</v>
      </c>
      <c r="L135" t="n">
        <v>10</v>
      </c>
      <c r="M135" t="n">
        <v/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Financing</t>
        </is>
      </c>
      <c r="B136" t="inlineStr">
        <is>
          <t>B41</t>
        </is>
      </c>
      <c r="C136" t="n">
        <v>41</v>
      </c>
      <c r="D136" t="n">
        <v>2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0</v>
      </c>
      <c r="L136" t="n">
        <v>10</v>
      </c>
      <c r="M136" t="n">
        <v/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Financing</t>
        </is>
      </c>
      <c r="B137" t="inlineStr">
        <is>
          <t>C41</t>
        </is>
      </c>
      <c r="C137" t="n">
        <v>41</v>
      </c>
      <c r="D137" t="n">
        <v>3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Financing</t>
        </is>
      </c>
      <c r="B138" t="inlineStr">
        <is>
          <t>D41</t>
        </is>
      </c>
      <c r="C138" t="n">
        <v>41</v>
      </c>
      <c r="D138" t="n">
        <v>4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Financing</t>
        </is>
      </c>
      <c r="B139" t="inlineStr">
        <is>
          <t>E41</t>
        </is>
      </c>
      <c r="C139" t="n">
        <v>41</v>
      </c>
      <c r="D139" t="n">
        <v>5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n">
        <v/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Financing</t>
        </is>
      </c>
      <c r="B140" t="inlineStr">
        <is>
          <t>F41</t>
        </is>
      </c>
      <c r="C140" t="n">
        <v>41</v>
      </c>
      <c r="D140" t="n">
        <v>6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10</v>
      </c>
      <c r="M140" t="n">
        <v/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Financing</t>
        </is>
      </c>
      <c r="B141" t="inlineStr">
        <is>
          <t>G41</t>
        </is>
      </c>
      <c r="C141" t="n">
        <v>41</v>
      </c>
      <c r="D141" t="n">
        <v>7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1</v>
      </c>
      <c r="K141" t="b">
        <v>0</v>
      </c>
      <c r="L141" t="n">
        <v>10</v>
      </c>
      <c r="M141" t="n">
        <v/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Financing</t>
        </is>
      </c>
      <c r="B142" t="inlineStr">
        <is>
          <t>A42</t>
        </is>
      </c>
      <c r="C142" t="n">
        <v>42</v>
      </c>
      <c r="D142" t="n">
        <v>1</v>
      </c>
      <c r="E142" t="inlineStr">
        <is>
          <t>Input</t>
        </is>
      </c>
      <c r="F142" t="n">
        <v/>
      </c>
      <c r="G142" t="inlineStr">
        <is>
          <t>Present value of interest on bank notes</t>
        </is>
      </c>
      <c r="H142" t="inlineStr"/>
      <c r="I142" t="inlineStr">
        <is>
          <t>General</t>
        </is>
      </c>
      <c r="J142" t="b">
        <v>1</v>
      </c>
      <c r="K142" t="b">
        <v>0</v>
      </c>
      <c r="L142" t="n">
        <v>10</v>
      </c>
      <c r="M142" t="n">
        <v/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Financing</t>
        </is>
      </c>
      <c r="B143" t="inlineStr">
        <is>
          <t>B42</t>
        </is>
      </c>
      <c r="C143" t="n">
        <v>42</v>
      </c>
      <c r="D143" t="n">
        <v>2</v>
      </c>
      <c r="E143" t="inlineStr">
        <is>
          <t>Output</t>
        </is>
      </c>
      <c r="F143" t="inlineStr">
        <is>
          <t>'=NPV(B5,C23:E23)</t>
        </is>
      </c>
      <c r="G143" t="n">
        <v>9.37723300169913</v>
      </c>
      <c r="H143" t="inlineStr"/>
      <c r="I143" t="inlineStr">
        <is>
          <t>_(* #,##0.00_);_(* \(#,##0.00\);_(* \-??_);_(@_)</t>
        </is>
      </c>
      <c r="J143" t="b">
        <v>1</v>
      </c>
      <c r="K143" t="b">
        <v>0</v>
      </c>
      <c r="L143" t="n">
        <v>10</v>
      </c>
      <c r="M143" t="n">
        <v/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>
        <f>NPV(R[-37]C[0],R[-19]C[1]:R[-19]C[3])</f>
        <v/>
      </c>
    </row>
    <row r="144">
      <c r="A144" t="inlineStr">
        <is>
          <t>Financing</t>
        </is>
      </c>
      <c r="B144" t="inlineStr">
        <is>
          <t>C42</t>
        </is>
      </c>
      <c r="C144" t="n">
        <v>42</v>
      </c>
      <c r="D144" t="n">
        <v>3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M144" t="n">
        <v/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Financing</t>
        </is>
      </c>
      <c r="B145" t="inlineStr">
        <is>
          <t>D42</t>
        </is>
      </c>
      <c r="C145" t="n">
        <v>42</v>
      </c>
      <c r="D145" t="n">
        <v>4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M145" t="n">
        <v/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Financing</t>
        </is>
      </c>
      <c r="B146" t="inlineStr">
        <is>
          <t>E42</t>
        </is>
      </c>
      <c r="C146" t="n">
        <v>42</v>
      </c>
      <c r="D146" t="n">
        <v>5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Financing</t>
        </is>
      </c>
      <c r="B147" t="inlineStr">
        <is>
          <t>F42</t>
        </is>
      </c>
      <c r="C147" t="n">
        <v>42</v>
      </c>
      <c r="D147" t="n">
        <v>6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M147" t="n">
        <v/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Financing</t>
        </is>
      </c>
      <c r="B148" t="inlineStr">
        <is>
          <t>G42</t>
        </is>
      </c>
      <c r="C148" t="n">
        <v>42</v>
      </c>
      <c r="D148" t="n">
        <v>7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M148" t="n">
        <v/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Financing</t>
        </is>
      </c>
      <c r="B149" t="inlineStr">
        <is>
          <t>A43</t>
        </is>
      </c>
      <c r="C149" t="n">
        <v>43</v>
      </c>
      <c r="D149" t="n">
        <v>1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10</v>
      </c>
      <c r="M149" t="n">
        <v/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Financing</t>
        </is>
      </c>
      <c r="B150" t="inlineStr">
        <is>
          <t>B43</t>
        </is>
      </c>
      <c r="C150" t="n">
        <v>43</v>
      </c>
      <c r="D150" t="n">
        <v>2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10</v>
      </c>
      <c r="M150" t="n">
        <v/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Financing</t>
        </is>
      </c>
      <c r="B151" t="inlineStr">
        <is>
          <t>C43</t>
        </is>
      </c>
      <c r="C151" t="n">
        <v>43</v>
      </c>
      <c r="D151" t="n">
        <v>3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10</v>
      </c>
      <c r="M151" t="n">
        <v/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Financing</t>
        </is>
      </c>
      <c r="B152" t="inlineStr">
        <is>
          <t>D43</t>
        </is>
      </c>
      <c r="C152" t="n">
        <v>43</v>
      </c>
      <c r="D152" t="n">
        <v>4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1</v>
      </c>
      <c r="K152" t="b">
        <v>0</v>
      </c>
      <c r="L152" t="n">
        <v>10</v>
      </c>
      <c r="M152" t="n">
        <v/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Financing</t>
        </is>
      </c>
      <c r="B153" t="inlineStr">
        <is>
          <t>E43</t>
        </is>
      </c>
      <c r="C153" t="n">
        <v>43</v>
      </c>
      <c r="D153" t="n">
        <v>5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10</v>
      </c>
      <c r="M153" t="n">
        <v/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Financing</t>
        </is>
      </c>
      <c r="B154" t="inlineStr">
        <is>
          <t>F43</t>
        </is>
      </c>
      <c r="C154" t="n">
        <v>43</v>
      </c>
      <c r="D154" t="n">
        <v>6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10</v>
      </c>
      <c r="M154" t="n">
        <v/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Financing</t>
        </is>
      </c>
      <c r="B155" t="inlineStr">
        <is>
          <t>G43</t>
        </is>
      </c>
      <c r="C155" t="n">
        <v>43</v>
      </c>
      <c r="D155" t="n">
        <v>7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n">
        <v/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Financing</t>
        </is>
      </c>
      <c r="B156" t="inlineStr">
        <is>
          <t>A44</t>
        </is>
      </c>
      <c r="C156" t="n">
        <v>44</v>
      </c>
      <c r="D156" t="n">
        <v>1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10</v>
      </c>
      <c r="M156" t="n">
        <v/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Financing</t>
        </is>
      </c>
      <c r="B157" t="inlineStr">
        <is>
          <t>B44</t>
        </is>
      </c>
      <c r="C157" t="n">
        <v>44</v>
      </c>
      <c r="D157" t="n">
        <v>2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10</v>
      </c>
      <c r="M157" t="n">
        <v/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Financing</t>
        </is>
      </c>
      <c r="B158" t="inlineStr">
        <is>
          <t>C44</t>
        </is>
      </c>
      <c r="C158" t="n">
        <v>44</v>
      </c>
      <c r="D158" t="n">
        <v>3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10</v>
      </c>
      <c r="M158" t="n">
        <v/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Financing</t>
        </is>
      </c>
      <c r="B159" t="inlineStr">
        <is>
          <t>D44</t>
        </is>
      </c>
      <c r="C159" t="n">
        <v>44</v>
      </c>
      <c r="D159" t="n">
        <v>4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10</v>
      </c>
      <c r="M159" t="n">
        <v/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Financing</t>
        </is>
      </c>
      <c r="B160" t="inlineStr">
        <is>
          <t>E44</t>
        </is>
      </c>
      <c r="C160" t="n">
        <v>44</v>
      </c>
      <c r="D160" t="n">
        <v>5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10</v>
      </c>
      <c r="M160" t="n">
        <v/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Financing</t>
        </is>
      </c>
      <c r="B161" t="inlineStr">
        <is>
          <t>F44</t>
        </is>
      </c>
      <c r="C161" t="n">
        <v>44</v>
      </c>
      <c r="D161" t="n">
        <v>6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1</v>
      </c>
      <c r="K161" t="b">
        <v>0</v>
      </c>
      <c r="L161" t="n">
        <v>10</v>
      </c>
      <c r="M161" t="n">
        <v/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Financing</t>
        </is>
      </c>
      <c r="B162" t="inlineStr">
        <is>
          <t>G44</t>
        </is>
      </c>
      <c r="C162" t="n">
        <v>44</v>
      </c>
      <c r="D162" t="n">
        <v>7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M162" t="n">
        <v/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Income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INCOME STATEMENTS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Income</t>
        </is>
      </c>
      <c r="B3" t="inlineStr">
        <is>
          <t>A3</t>
        </is>
      </c>
      <c r="C3" t="n">
        <v>3</v>
      </c>
      <c r="D3" t="n">
        <v>1</v>
      </c>
      <c r="E3" t="inlineStr">
        <is>
          <t>Input</t>
        </is>
      </c>
      <c r="F3" t="n">
        <v/>
      </c>
      <c r="G3" t="inlineStr">
        <is>
          <t>Year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n">
        <v/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Income</t>
        </is>
      </c>
      <c r="B4" t="inlineStr">
        <is>
          <t>B3</t>
        </is>
      </c>
      <c r="C4" t="n">
        <v>3</v>
      </c>
      <c r="D4" t="n">
        <v>2</v>
      </c>
      <c r="E4" t="inlineStr">
        <is>
          <t>Input</t>
        </is>
      </c>
      <c r="F4" t="n">
        <v/>
      </c>
      <c r="G4" t="n">
        <v>0</v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Income</t>
        </is>
      </c>
      <c r="B5" t="inlineStr">
        <is>
          <t>C3</t>
        </is>
      </c>
      <c r="C5" t="n">
        <v>3</v>
      </c>
      <c r="D5" t="n">
        <v>3</v>
      </c>
      <c r="E5" t="inlineStr">
        <is>
          <t>Input</t>
        </is>
      </c>
      <c r="F5" t="n">
        <v/>
      </c>
      <c r="G5" t="n">
        <v>1</v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Income</t>
        </is>
      </c>
      <c r="B6" t="inlineStr">
        <is>
          <t>D3</t>
        </is>
      </c>
      <c r="C6" t="n">
        <v>3</v>
      </c>
      <c r="D6" t="n">
        <v>4</v>
      </c>
      <c r="E6" t="inlineStr">
        <is>
          <t>Input</t>
        </is>
      </c>
      <c r="F6" t="n">
        <v/>
      </c>
      <c r="G6" t="n">
        <v>2</v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Income</t>
        </is>
      </c>
      <c r="B7" t="inlineStr">
        <is>
          <t>E3</t>
        </is>
      </c>
      <c r="C7" t="n">
        <v>3</v>
      </c>
      <c r="D7" t="n">
        <v>5</v>
      </c>
      <c r="E7" t="inlineStr">
        <is>
          <t>Input</t>
        </is>
      </c>
      <c r="F7" t="n">
        <v/>
      </c>
      <c r="G7" t="n">
        <v>3</v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Income</t>
        </is>
      </c>
      <c r="B8" t="inlineStr">
        <is>
          <t>A4</t>
        </is>
      </c>
      <c r="C8" t="n">
        <v>4</v>
      </c>
      <c r="D8" t="n">
        <v>1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Income</t>
        </is>
      </c>
      <c r="B9" t="inlineStr">
        <is>
          <t>B4</t>
        </is>
      </c>
      <c r="C9" t="n">
        <v>4</v>
      </c>
      <c r="D9" t="n">
        <v>2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1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Income</t>
        </is>
      </c>
      <c r="B10" t="inlineStr">
        <is>
          <t>C4</t>
        </is>
      </c>
      <c r="C10" t="n">
        <v>4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Income</t>
        </is>
      </c>
      <c r="B11" t="inlineStr">
        <is>
          <t>D4</t>
        </is>
      </c>
      <c r="C11" t="n">
        <v>4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Income</t>
        </is>
      </c>
      <c r="B12" t="inlineStr">
        <is>
          <t>E4</t>
        </is>
      </c>
      <c r="C12" t="n">
        <v>4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Income</t>
        </is>
      </c>
      <c r="B13" t="inlineStr">
        <is>
          <t>A5</t>
        </is>
      </c>
      <c r="C13" t="n">
        <v>5</v>
      </c>
      <c r="D13" t="n">
        <v>1</v>
      </c>
      <c r="E13" t="inlineStr">
        <is>
          <t>Input</t>
        </is>
      </c>
      <c r="F13" t="n">
        <v/>
      </c>
      <c r="G13" t="inlineStr">
        <is>
          <t>Sales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Income</t>
        </is>
      </c>
      <c r="B14" t="inlineStr">
        <is>
          <t>B5</t>
        </is>
      </c>
      <c r="C14" t="n">
        <v>5</v>
      </c>
      <c r="D14" t="n">
        <v>2</v>
      </c>
      <c r="E14" t="inlineStr">
        <is>
          <t>Input</t>
        </is>
      </c>
      <c r="F14" t="n">
        <v/>
      </c>
      <c r="H14" t="inlineStr"/>
      <c r="I14" t="inlineStr">
        <is>
          <t>_(* #,##0_);_(* \(#,##0\);_(* \-??_);_(@_)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Income</t>
        </is>
      </c>
      <c r="B15" t="inlineStr">
        <is>
          <t>C5</t>
        </is>
      </c>
      <c r="C15" t="n">
        <v>5</v>
      </c>
      <c r="D15" t="n">
        <v>3</v>
      </c>
      <c r="E15" t="inlineStr">
        <is>
          <t>Calculation</t>
        </is>
      </c>
      <c r="F15" t="inlineStr">
        <is>
          <t>'=Operations!C6</t>
        </is>
      </c>
      <c r="G15" t="n">
        <v>400</v>
      </c>
      <c r="H15" t="inlineStr"/>
      <c r="I15" t="inlineStr">
        <is>
          <t>_(* #,##0_);_(* \(#,##0\);_(* \-??_);_(@_)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1</v>
      </c>
      <c r="S15" t="inlineStr">
        <is>
          <t>G000015</t>
        </is>
      </c>
      <c r="T15" t="inlineStr">
        <is>
          <t>Horizontal</t>
        </is>
      </c>
      <c r="U15" t="n">
        <v>3</v>
      </c>
      <c r="V15" t="b">
        <v>1</v>
      </c>
      <c r="W15" t="inlineStr">
        <is>
          <t>Income!C5:E5</t>
        </is>
      </c>
      <c r="X15">
        <f>'Operations'!R[1]C[0]</f>
        <v/>
      </c>
    </row>
    <row r="16">
      <c r="A16" t="inlineStr">
        <is>
          <t>Income</t>
        </is>
      </c>
      <c r="B16" t="inlineStr">
        <is>
          <t>D5</t>
        </is>
      </c>
      <c r="C16" t="n">
        <v>5</v>
      </c>
      <c r="D16" t="n">
        <v>4</v>
      </c>
      <c r="E16" t="inlineStr">
        <is>
          <t>Calculation</t>
        </is>
      </c>
      <c r="F16" t="inlineStr">
        <is>
          <t>'=Operations!D6</t>
        </is>
      </c>
      <c r="G16" t="n">
        <v>600</v>
      </c>
      <c r="H16" t="inlineStr"/>
      <c r="I16" t="inlineStr">
        <is>
          <t>_(* #,##0_);_(* \(#,##0\);_(* \-??_);_(@_)</t>
        </is>
      </c>
      <c r="J16" t="b">
        <v>1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inlineStr">
        <is>
          <t>G000015</t>
        </is>
      </c>
      <c r="T16" t="inlineStr">
        <is>
          <t>Horizontal</t>
        </is>
      </c>
      <c r="U16" t="n">
        <v>3</v>
      </c>
      <c r="V16" t="b">
        <v>1</v>
      </c>
      <c r="W16" t="inlineStr">
        <is>
          <t>Income!C5:E5</t>
        </is>
      </c>
      <c r="X16">
        <f>'Operations'!R[1]C[0]</f>
        <v/>
      </c>
    </row>
    <row r="17">
      <c r="A17" t="inlineStr">
        <is>
          <t>Income</t>
        </is>
      </c>
      <c r="B17" t="inlineStr">
        <is>
          <t>E5</t>
        </is>
      </c>
      <c r="C17" t="n">
        <v>5</v>
      </c>
      <c r="D17" t="n">
        <v>5</v>
      </c>
      <c r="E17" t="inlineStr">
        <is>
          <t>Calculation</t>
        </is>
      </c>
      <c r="F17" t="inlineStr">
        <is>
          <t>'=Operations!E6</t>
        </is>
      </c>
      <c r="G17" t="n">
        <v>800</v>
      </c>
      <c r="H17" t="inlineStr"/>
      <c r="I17" t="inlineStr">
        <is>
          <t>_(* #,##0_);_(* \(#,##0\);_(* \-??_);_(@_)</t>
        </is>
      </c>
      <c r="J17" t="b">
        <v>1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inlineStr">
        <is>
          <t>G000015</t>
        </is>
      </c>
      <c r="T17" t="inlineStr">
        <is>
          <t>Horizontal</t>
        </is>
      </c>
      <c r="U17" t="n">
        <v>3</v>
      </c>
      <c r="V17" t="b">
        <v>1</v>
      </c>
      <c r="W17" t="inlineStr">
        <is>
          <t>Income!C5:E5</t>
        </is>
      </c>
      <c r="X17">
        <f>'Operations'!R[1]C[0]</f>
        <v/>
      </c>
    </row>
    <row r="18">
      <c r="A18" t="inlineStr">
        <is>
          <t>Income</t>
        </is>
      </c>
      <c r="B18" t="inlineStr">
        <is>
          <t>F5</t>
        </is>
      </c>
      <c r="C18" t="n">
        <v>5</v>
      </c>
      <c r="D18" t="n">
        <v>6</v>
      </c>
      <c r="E18" t="inlineStr">
        <is>
          <t>Input</t>
        </is>
      </c>
      <c r="F18" t="n">
        <v/>
      </c>
      <c r="H18" t="inlineStr"/>
      <c r="I18" t="inlineStr">
        <is>
          <t>_(* #,##0_);_(* \(#,##0\);_(* \-??_);_(@_)</t>
        </is>
      </c>
      <c r="J18" t="b">
        <v>1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Income</t>
        </is>
      </c>
      <c r="B19" t="inlineStr">
        <is>
          <t>G5</t>
        </is>
      </c>
      <c r="C19" t="n">
        <v>5</v>
      </c>
      <c r="D19" t="n">
        <v>7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Income</t>
        </is>
      </c>
      <c r="B20" t="inlineStr">
        <is>
          <t>H5</t>
        </is>
      </c>
      <c r="C20" t="n">
        <v>5</v>
      </c>
      <c r="D20" t="n">
        <v>8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Income</t>
        </is>
      </c>
      <c r="B21" t="inlineStr">
        <is>
          <t>I5</t>
        </is>
      </c>
      <c r="C21" t="n">
        <v>5</v>
      </c>
      <c r="D21" t="n">
        <v>9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Income</t>
        </is>
      </c>
      <c r="B22" t="inlineStr">
        <is>
          <t>A6</t>
        </is>
      </c>
      <c r="C22" t="n">
        <v>6</v>
      </c>
      <c r="D22" t="n">
        <v>1</v>
      </c>
      <c r="E22" t="inlineStr">
        <is>
          <t>Input</t>
        </is>
      </c>
      <c r="F22" t="n">
        <v/>
      </c>
      <c r="G22" t="inlineStr">
        <is>
          <t xml:space="preserve">Less COGS 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Income</t>
        </is>
      </c>
      <c r="B23" t="inlineStr">
        <is>
          <t>B6</t>
        </is>
      </c>
      <c r="C23" t="n">
        <v>6</v>
      </c>
      <c r="D23" t="n">
        <v>2</v>
      </c>
      <c r="E23" t="inlineStr">
        <is>
          <t>Input</t>
        </is>
      </c>
      <c r="F23" t="n">
        <v/>
      </c>
      <c r="H23" t="inlineStr"/>
      <c r="I23" t="inlineStr">
        <is>
          <t>_(* #,##0_);_(* \(#,##0\);_(* \-??_);_(@_)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Income</t>
        </is>
      </c>
      <c r="B24" t="inlineStr">
        <is>
          <t>C6</t>
        </is>
      </c>
      <c r="C24" t="n">
        <v>6</v>
      </c>
      <c r="D24" t="n">
        <v>3</v>
      </c>
      <c r="E24" t="inlineStr">
        <is>
          <t>Calculation</t>
        </is>
      </c>
      <c r="F24" t="inlineStr">
        <is>
          <t>'=-Operations!C7*Operations!C6</t>
        </is>
      </c>
      <c r="G24" t="n">
        <v>-200</v>
      </c>
      <c r="H24" t="inlineStr"/>
      <c r="I24" t="inlineStr">
        <is>
          <t>_(* #,##0_);_(* \(#,##0\);_(* \-??_);_(@_)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S24" t="inlineStr">
        <is>
          <t>G000016</t>
        </is>
      </c>
      <c r="T24" t="inlineStr">
        <is>
          <t>Horizontal</t>
        </is>
      </c>
      <c r="U24" t="n">
        <v>3</v>
      </c>
      <c r="V24" t="b">
        <v>1</v>
      </c>
      <c r="W24" t="inlineStr">
        <is>
          <t>Income!C6:E6</t>
        </is>
      </c>
      <c r="X24">
        <f>-'Operations'!R[1]C[0]*'Operations'!R[0]C[0]</f>
        <v/>
      </c>
    </row>
    <row r="25">
      <c r="A25" t="inlineStr">
        <is>
          <t>Income</t>
        </is>
      </c>
      <c r="B25" t="inlineStr">
        <is>
          <t>D6</t>
        </is>
      </c>
      <c r="C25" t="n">
        <v>6</v>
      </c>
      <c r="D25" t="n">
        <v>4</v>
      </c>
      <c r="E25" t="inlineStr">
        <is>
          <t>Calculation</t>
        </is>
      </c>
      <c r="F25" t="inlineStr">
        <is>
          <t>'=-Operations!D7*Operations!D6</t>
        </is>
      </c>
      <c r="G25" t="n">
        <v>-300</v>
      </c>
      <c r="H25" t="inlineStr"/>
      <c r="I25" t="inlineStr">
        <is>
          <t>_(* #,##0_);_(* \(#,##0\);_(* \-??_);_(@_)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inlineStr">
        <is>
          <t>G000016</t>
        </is>
      </c>
      <c r="T25" t="inlineStr">
        <is>
          <t>Horizontal</t>
        </is>
      </c>
      <c r="U25" t="n">
        <v>3</v>
      </c>
      <c r="V25" t="b">
        <v>1</v>
      </c>
      <c r="W25" t="inlineStr">
        <is>
          <t>Income!C6:E6</t>
        </is>
      </c>
      <c r="X25">
        <f>-'Operations'!R[1]C[0]*'Operations'!R[0]C[0]</f>
        <v/>
      </c>
    </row>
    <row r="26">
      <c r="A26" t="inlineStr">
        <is>
          <t>Income</t>
        </is>
      </c>
      <c r="B26" t="inlineStr">
        <is>
          <t>E6</t>
        </is>
      </c>
      <c r="C26" t="n">
        <v>6</v>
      </c>
      <c r="D26" t="n">
        <v>5</v>
      </c>
      <c r="E26" t="inlineStr">
        <is>
          <t>Calculation</t>
        </is>
      </c>
      <c r="F26" t="inlineStr">
        <is>
          <t>'=-Operations!E7*Operations!E6</t>
        </is>
      </c>
      <c r="G26" t="n">
        <v>-400</v>
      </c>
      <c r="H26" t="inlineStr"/>
      <c r="I26" t="inlineStr">
        <is>
          <t>_(* #,##0_);_(* \(#,##0\);_(* \-??_);_(@_)</t>
        </is>
      </c>
      <c r="J26" t="b">
        <v>1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inlineStr">
        <is>
          <t>G000016</t>
        </is>
      </c>
      <c r="T26" t="inlineStr">
        <is>
          <t>Horizontal</t>
        </is>
      </c>
      <c r="U26" t="n">
        <v>3</v>
      </c>
      <c r="V26" t="b">
        <v>1</v>
      </c>
      <c r="W26" t="inlineStr">
        <is>
          <t>Income!C6:E6</t>
        </is>
      </c>
      <c r="X26">
        <f>-'Operations'!R[1]C[0]*'Operations'!R[0]C[0]</f>
        <v/>
      </c>
    </row>
    <row r="27">
      <c r="A27" t="inlineStr">
        <is>
          <t>Income</t>
        </is>
      </c>
      <c r="B27" t="inlineStr">
        <is>
          <t>F6</t>
        </is>
      </c>
      <c r="C27" t="n">
        <v>6</v>
      </c>
      <c r="D27" t="n">
        <v>6</v>
      </c>
      <c r="E27" t="inlineStr">
        <is>
          <t>Input</t>
        </is>
      </c>
      <c r="F27" t="n">
        <v/>
      </c>
      <c r="H27" t="inlineStr"/>
      <c r="I27" t="inlineStr">
        <is>
          <t>_(* #,##0_);_(* \(#,##0\);_(* \-??_);_(@_)</t>
        </is>
      </c>
      <c r="J27" t="b">
        <v>1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Income</t>
        </is>
      </c>
      <c r="B28" t="inlineStr">
        <is>
          <t>G6</t>
        </is>
      </c>
      <c r="C28" t="n">
        <v>6</v>
      </c>
      <c r="D28" t="n">
        <v>7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M28" t="n">
        <v/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Income</t>
        </is>
      </c>
      <c r="B29" t="inlineStr">
        <is>
          <t>H6</t>
        </is>
      </c>
      <c r="C29" t="n">
        <v>6</v>
      </c>
      <c r="D29" t="n">
        <v>8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Income</t>
        </is>
      </c>
      <c r="B30" t="inlineStr">
        <is>
          <t>I6</t>
        </is>
      </c>
      <c r="C30" t="n">
        <v>6</v>
      </c>
      <c r="D30" t="n">
        <v>9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Income</t>
        </is>
      </c>
      <c r="B31" t="inlineStr">
        <is>
          <t>A7</t>
        </is>
      </c>
      <c r="C31" t="n">
        <v>7</v>
      </c>
      <c r="D31" t="n">
        <v>1</v>
      </c>
      <c r="E31" t="inlineStr">
        <is>
          <t>Input</t>
        </is>
      </c>
      <c r="F31" t="n">
        <v/>
      </c>
      <c r="G31" t="inlineStr">
        <is>
          <t>Gross profit</t>
        </is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M31" t="n">
        <v/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Income</t>
        </is>
      </c>
      <c r="B32" t="inlineStr">
        <is>
          <t>B7</t>
        </is>
      </c>
      <c r="C32" t="n">
        <v>7</v>
      </c>
      <c r="D32" t="n">
        <v>2</v>
      </c>
      <c r="E32" t="inlineStr">
        <is>
          <t>Input</t>
        </is>
      </c>
      <c r="F32" t="n">
        <v/>
      </c>
      <c r="H32" t="inlineStr"/>
      <c r="I32" t="inlineStr">
        <is>
          <t>_(* #,##0_);_(* \(#,##0\);_(* \-??_);_(@_)</t>
        </is>
      </c>
      <c r="J32" t="b">
        <v>1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Income</t>
        </is>
      </c>
      <c r="B33" t="inlineStr">
        <is>
          <t>C7</t>
        </is>
      </c>
      <c r="C33" t="n">
        <v>7</v>
      </c>
      <c r="D33" t="n">
        <v>3</v>
      </c>
      <c r="E33" t="inlineStr">
        <is>
          <t>Calculation</t>
        </is>
      </c>
      <c r="F33" t="inlineStr">
        <is>
          <t>'=C5+C6</t>
        </is>
      </c>
      <c r="G33" t="n">
        <v>200</v>
      </c>
      <c r="H33" t="inlineStr"/>
      <c r="I33" t="inlineStr">
        <is>
          <t>_(* #,##0_);_(* \(#,##0\);_(* \-??_);_(@_)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inlineStr">
        <is>
          <t>G000017</t>
        </is>
      </c>
      <c r="T33" t="inlineStr">
        <is>
          <t>Horizontal</t>
        </is>
      </c>
      <c r="U33" t="n">
        <v>3</v>
      </c>
      <c r="V33" t="b">
        <v>1</v>
      </c>
      <c r="W33" t="inlineStr">
        <is>
          <t>Income!C7:E7</t>
        </is>
      </c>
      <c r="X33">
        <f>R[-2]C[0]+R[-1]C[0]</f>
        <v/>
      </c>
    </row>
    <row r="34">
      <c r="A34" t="inlineStr">
        <is>
          <t>Income</t>
        </is>
      </c>
      <c r="B34" t="inlineStr">
        <is>
          <t>D7</t>
        </is>
      </c>
      <c r="C34" t="n">
        <v>7</v>
      </c>
      <c r="D34" t="n">
        <v>4</v>
      </c>
      <c r="E34" t="inlineStr">
        <is>
          <t>Calculation</t>
        </is>
      </c>
      <c r="F34" t="inlineStr">
        <is>
          <t>'=D5+D6</t>
        </is>
      </c>
      <c r="G34" t="n">
        <v>300</v>
      </c>
      <c r="H34" t="inlineStr"/>
      <c r="I34" t="inlineStr">
        <is>
          <t>_(* #,##0_);_(* \(#,##0\);_(* \-??_);_(@_)</t>
        </is>
      </c>
      <c r="J34" t="b">
        <v>1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inlineStr">
        <is>
          <t>G000017</t>
        </is>
      </c>
      <c r="T34" t="inlineStr">
        <is>
          <t>Horizontal</t>
        </is>
      </c>
      <c r="U34" t="n">
        <v>3</v>
      </c>
      <c r="V34" t="b">
        <v>1</v>
      </c>
      <c r="W34" t="inlineStr">
        <is>
          <t>Income!C7:E7</t>
        </is>
      </c>
      <c r="X34">
        <f>R[-2]C[0]+R[-1]C[0]</f>
        <v/>
      </c>
    </row>
    <row r="35">
      <c r="A35" t="inlineStr">
        <is>
          <t>Income</t>
        </is>
      </c>
      <c r="B35" t="inlineStr">
        <is>
          <t>E7</t>
        </is>
      </c>
      <c r="C35" t="n">
        <v>7</v>
      </c>
      <c r="D35" t="n">
        <v>5</v>
      </c>
      <c r="E35" t="inlineStr">
        <is>
          <t>Calculation</t>
        </is>
      </c>
      <c r="F35" t="inlineStr">
        <is>
          <t>'=E5+E6</t>
        </is>
      </c>
      <c r="G35" t="n">
        <v>400</v>
      </c>
      <c r="H35" t="inlineStr"/>
      <c r="I35" t="inlineStr">
        <is>
          <t>_(* #,##0_);_(* \(#,##0\);_(* \-??_);_(@_)</t>
        </is>
      </c>
      <c r="J35" t="b">
        <v>1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inlineStr">
        <is>
          <t>G000017</t>
        </is>
      </c>
      <c r="T35" t="inlineStr">
        <is>
          <t>Horizontal</t>
        </is>
      </c>
      <c r="U35" t="n">
        <v>3</v>
      </c>
      <c r="V35" t="b">
        <v>1</v>
      </c>
      <c r="W35" t="inlineStr">
        <is>
          <t>Income!C7:E7</t>
        </is>
      </c>
      <c r="X35">
        <f>R[-2]C[0]+R[-1]C[0]</f>
        <v/>
      </c>
    </row>
    <row r="36">
      <c r="A36" t="inlineStr">
        <is>
          <t>Income</t>
        </is>
      </c>
      <c r="B36" t="inlineStr">
        <is>
          <t>F7</t>
        </is>
      </c>
      <c r="C36" t="n">
        <v>7</v>
      </c>
      <c r="D36" t="n">
        <v>6</v>
      </c>
      <c r="E36" t="inlineStr">
        <is>
          <t>Input</t>
        </is>
      </c>
      <c r="F36" t="n">
        <v/>
      </c>
      <c r="H36" t="inlineStr"/>
      <c r="I36" t="inlineStr">
        <is>
          <t>_(* #,##0_);_(* \(#,##0\);_(* \-??_);_(@_)</t>
        </is>
      </c>
      <c r="J36" t="b">
        <v>1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Income</t>
        </is>
      </c>
      <c r="B37" t="inlineStr">
        <is>
          <t>G7</t>
        </is>
      </c>
      <c r="C37" t="n">
        <v>7</v>
      </c>
      <c r="D37" t="n">
        <v>7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Income</t>
        </is>
      </c>
      <c r="B38" t="inlineStr">
        <is>
          <t>H7</t>
        </is>
      </c>
      <c r="C38" t="n">
        <v>7</v>
      </c>
      <c r="D38" t="n">
        <v>8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Income</t>
        </is>
      </c>
      <c r="B39" t="inlineStr">
        <is>
          <t>I7</t>
        </is>
      </c>
      <c r="C39" t="n">
        <v>7</v>
      </c>
      <c r="D39" t="n">
        <v>9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Income</t>
        </is>
      </c>
      <c r="B40" t="inlineStr">
        <is>
          <t>A8</t>
        </is>
      </c>
      <c r="C40" t="n">
        <v>8</v>
      </c>
      <c r="D40" t="n">
        <v>1</v>
      </c>
      <c r="E40" t="inlineStr">
        <is>
          <t>Input</t>
        </is>
      </c>
      <c r="F40" t="n">
        <v/>
      </c>
      <c r="G40" t="inlineStr">
        <is>
          <t>Less SG&amp;A expenses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Income</t>
        </is>
      </c>
      <c r="B41" t="inlineStr">
        <is>
          <t>B8</t>
        </is>
      </c>
      <c r="C41" t="n">
        <v>8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_(* #,##0_);_(* \(#,##0\);_(* \-??_);_(@_)</t>
        </is>
      </c>
      <c r="J41" t="b">
        <v>1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Income</t>
        </is>
      </c>
      <c r="B42" t="inlineStr">
        <is>
          <t>C8</t>
        </is>
      </c>
      <c r="C42" t="n">
        <v>8</v>
      </c>
      <c r="D42" t="n">
        <v>3</v>
      </c>
      <c r="E42" t="inlineStr">
        <is>
          <t>Calculation</t>
        </is>
      </c>
      <c r="F42" t="inlineStr">
        <is>
          <t>'=-Operations!C8*Operations!C6</t>
        </is>
      </c>
      <c r="G42" t="n">
        <v>-120</v>
      </c>
      <c r="H42" t="inlineStr"/>
      <c r="I42" t="inlineStr">
        <is>
          <t>_(* #,##0_);_(* \(#,##0\);_(* \-??_);_(@_)</t>
        </is>
      </c>
      <c r="J42" t="b">
        <v>1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S42" t="inlineStr">
        <is>
          <t>G000020</t>
        </is>
      </c>
      <c r="T42" t="inlineStr">
        <is>
          <t>Horizontal</t>
        </is>
      </c>
      <c r="U42" t="n">
        <v>3</v>
      </c>
      <c r="V42" t="b">
        <v>1</v>
      </c>
      <c r="W42" t="inlineStr">
        <is>
          <t>Income!C8:E8</t>
        </is>
      </c>
      <c r="X42">
        <f>-'Operations'!R[0]C[0]*'Operations'!R[-2]C[0]</f>
        <v/>
      </c>
    </row>
    <row r="43">
      <c r="A43" t="inlineStr">
        <is>
          <t>Income</t>
        </is>
      </c>
      <c r="B43" t="inlineStr">
        <is>
          <t>D8</t>
        </is>
      </c>
      <c r="C43" t="n">
        <v>8</v>
      </c>
      <c r="D43" t="n">
        <v>4</v>
      </c>
      <c r="E43" t="inlineStr">
        <is>
          <t>Calculation</t>
        </is>
      </c>
      <c r="F43" t="inlineStr">
        <is>
          <t>'=-Operations!D8*Operations!D6</t>
        </is>
      </c>
      <c r="G43" t="n">
        <v>-180</v>
      </c>
      <c r="H43" t="inlineStr"/>
      <c r="I43" t="inlineStr">
        <is>
          <t>_(* #,##0_);_(* \(#,##0\);_(* \-??_);_(@_)</t>
        </is>
      </c>
      <c r="J43" t="b">
        <v>1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1</v>
      </c>
      <c r="S43" t="inlineStr">
        <is>
          <t>G000020</t>
        </is>
      </c>
      <c r="T43" t="inlineStr">
        <is>
          <t>Horizontal</t>
        </is>
      </c>
      <c r="U43" t="n">
        <v>3</v>
      </c>
      <c r="V43" t="b">
        <v>1</v>
      </c>
      <c r="W43" t="inlineStr">
        <is>
          <t>Income!C8:E8</t>
        </is>
      </c>
      <c r="X43">
        <f>-'Operations'!R[0]C[0]*'Operations'!R[-2]C[0]</f>
        <v/>
      </c>
    </row>
    <row r="44">
      <c r="A44" t="inlineStr">
        <is>
          <t>Income</t>
        </is>
      </c>
      <c r="B44" t="inlineStr">
        <is>
          <t>E8</t>
        </is>
      </c>
      <c r="C44" t="n">
        <v>8</v>
      </c>
      <c r="D44" t="n">
        <v>5</v>
      </c>
      <c r="E44" t="inlineStr">
        <is>
          <t>Calculation</t>
        </is>
      </c>
      <c r="F44" t="inlineStr">
        <is>
          <t>'=-Operations!E8*Operations!E6</t>
        </is>
      </c>
      <c r="G44" t="n">
        <v>-240</v>
      </c>
      <c r="H44" t="inlineStr"/>
      <c r="I44" t="inlineStr">
        <is>
          <t>_(* #,##0_);_(* \(#,##0\);_(* \-??_);_(@_)</t>
        </is>
      </c>
      <c r="J44" t="b">
        <v>1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1</v>
      </c>
      <c r="S44" t="inlineStr">
        <is>
          <t>G000020</t>
        </is>
      </c>
      <c r="T44" t="inlineStr">
        <is>
          <t>Horizontal</t>
        </is>
      </c>
      <c r="U44" t="n">
        <v>3</v>
      </c>
      <c r="V44" t="b">
        <v>1</v>
      </c>
      <c r="W44" t="inlineStr">
        <is>
          <t>Income!C8:E8</t>
        </is>
      </c>
      <c r="X44">
        <f>-'Operations'!R[0]C[0]*'Operations'!R[-2]C[0]</f>
        <v/>
      </c>
    </row>
    <row r="45">
      <c r="A45" t="inlineStr">
        <is>
          <t>Income</t>
        </is>
      </c>
      <c r="B45" t="inlineStr">
        <is>
          <t>F8</t>
        </is>
      </c>
      <c r="C45" t="n">
        <v>8</v>
      </c>
      <c r="D45" t="n">
        <v>6</v>
      </c>
      <c r="E45" t="inlineStr">
        <is>
          <t>Input</t>
        </is>
      </c>
      <c r="F45" t="n">
        <v/>
      </c>
      <c r="H45" t="inlineStr"/>
      <c r="I45" t="inlineStr">
        <is>
          <t>_(* #,##0_);_(* \(#,##0\);_(* \-??_);_(@_)</t>
        </is>
      </c>
      <c r="J45" t="b">
        <v>1</v>
      </c>
      <c r="K45" t="b">
        <v>0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Income</t>
        </is>
      </c>
      <c r="B46" t="inlineStr">
        <is>
          <t>G8</t>
        </is>
      </c>
      <c r="C46" t="n">
        <v>8</v>
      </c>
      <c r="D46" t="n">
        <v>7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Income</t>
        </is>
      </c>
      <c r="B47" t="inlineStr">
        <is>
          <t>H8</t>
        </is>
      </c>
      <c r="C47" t="n">
        <v>8</v>
      </c>
      <c r="D47" t="n">
        <v>8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M47" t="n">
        <v/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Income</t>
        </is>
      </c>
      <c r="B48" t="inlineStr">
        <is>
          <t>I8</t>
        </is>
      </c>
      <c r="C48" t="n">
        <v>8</v>
      </c>
      <c r="D48" t="n">
        <v>9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n">
        <v/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Income</t>
        </is>
      </c>
      <c r="B49" t="inlineStr">
        <is>
          <t>A9</t>
        </is>
      </c>
      <c r="C49" t="n">
        <v>9</v>
      </c>
      <c r="D49" t="n">
        <v>1</v>
      </c>
      <c r="E49" t="inlineStr">
        <is>
          <t>Input</t>
        </is>
      </c>
      <c r="F49" t="n">
        <v/>
      </c>
      <c r="G49" t="inlineStr">
        <is>
          <t>Less depreciation</t>
        </is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Income</t>
        </is>
      </c>
      <c r="B50" t="inlineStr">
        <is>
          <t>B9</t>
        </is>
      </c>
      <c r="C50" t="n">
        <v>9</v>
      </c>
      <c r="D50" t="n">
        <v>2</v>
      </c>
      <c r="E50" t="inlineStr">
        <is>
          <t>Input</t>
        </is>
      </c>
      <c r="F50" t="n">
        <v/>
      </c>
      <c r="H50" t="inlineStr"/>
      <c r="I50" t="inlineStr">
        <is>
          <t>_(* #,##0_);_(* \(#,##0\);_(* \-??_);_(@_)</t>
        </is>
      </c>
      <c r="J50" t="b">
        <v>1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Income</t>
        </is>
      </c>
      <c r="B51" t="inlineStr">
        <is>
          <t>C9</t>
        </is>
      </c>
      <c r="C51" t="n">
        <v>9</v>
      </c>
      <c r="D51" t="n">
        <v>3</v>
      </c>
      <c r="E51" t="inlineStr">
        <is>
          <t>Calculation</t>
        </is>
      </c>
      <c r="F51" t="inlineStr">
        <is>
          <t>'=-Operations!C17</t>
        </is>
      </c>
      <c r="G51" t="n">
        <v>-100</v>
      </c>
      <c r="H51" t="inlineStr"/>
      <c r="I51" t="inlineStr">
        <is>
          <t>_(* #,##0_);_(* \(#,##0\);_(* \-??_);_(@_)</t>
        </is>
      </c>
      <c r="J51" t="b">
        <v>1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1</v>
      </c>
      <c r="S51" t="inlineStr">
        <is>
          <t>G000021</t>
        </is>
      </c>
      <c r="T51" t="inlineStr">
        <is>
          <t>Horizontal</t>
        </is>
      </c>
      <c r="U51" t="n">
        <v>3</v>
      </c>
      <c r="V51" t="b">
        <v>1</v>
      </c>
      <c r="W51" t="inlineStr">
        <is>
          <t>Income!C9:E9</t>
        </is>
      </c>
      <c r="X51">
        <f>-'Operations'!R[8]C[0]</f>
        <v/>
      </c>
    </row>
    <row r="52">
      <c r="A52" t="inlineStr">
        <is>
          <t>Income</t>
        </is>
      </c>
      <c r="B52" t="inlineStr">
        <is>
          <t>D9</t>
        </is>
      </c>
      <c r="C52" t="n">
        <v>9</v>
      </c>
      <c r="D52" t="n">
        <v>4</v>
      </c>
      <c r="E52" t="inlineStr">
        <is>
          <t>Calculation</t>
        </is>
      </c>
      <c r="F52" t="inlineStr">
        <is>
          <t>'=-Operations!D17</t>
        </is>
      </c>
      <c r="G52" t="n">
        <v>-100</v>
      </c>
      <c r="H52" t="inlineStr"/>
      <c r="I52" t="inlineStr">
        <is>
          <t>_(* #,##0_);_(* \(#,##0\);_(* \-??_);_(@_)</t>
        </is>
      </c>
      <c r="J52" t="b">
        <v>1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inlineStr">
        <is>
          <t>G000021</t>
        </is>
      </c>
      <c r="T52" t="inlineStr">
        <is>
          <t>Horizontal</t>
        </is>
      </c>
      <c r="U52" t="n">
        <v>3</v>
      </c>
      <c r="V52" t="b">
        <v>1</v>
      </c>
      <c r="W52" t="inlineStr">
        <is>
          <t>Income!C9:E9</t>
        </is>
      </c>
      <c r="X52">
        <f>-'Operations'!R[8]C[0]</f>
        <v/>
      </c>
    </row>
    <row r="53">
      <c r="A53" t="inlineStr">
        <is>
          <t>Income</t>
        </is>
      </c>
      <c r="B53" t="inlineStr">
        <is>
          <t>E9</t>
        </is>
      </c>
      <c r="C53" t="n">
        <v>9</v>
      </c>
      <c r="D53" t="n">
        <v>5</v>
      </c>
      <c r="E53" t="inlineStr">
        <is>
          <t>Calculation</t>
        </is>
      </c>
      <c r="F53" t="inlineStr">
        <is>
          <t>'=-Operations!E17</t>
        </is>
      </c>
      <c r="G53" t="n">
        <v>-100</v>
      </c>
      <c r="H53" t="inlineStr"/>
      <c r="I53" t="inlineStr">
        <is>
          <t>_(* #,##0_);_(* \(#,##0\);_(* \-??_);_(@_)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inlineStr">
        <is>
          <t>G000021</t>
        </is>
      </c>
      <c r="T53" t="inlineStr">
        <is>
          <t>Horizontal</t>
        </is>
      </c>
      <c r="U53" t="n">
        <v>3</v>
      </c>
      <c r="V53" t="b">
        <v>1</v>
      </c>
      <c r="W53" t="inlineStr">
        <is>
          <t>Income!C9:E9</t>
        </is>
      </c>
      <c r="X53">
        <f>-'Operations'!R[8]C[0]</f>
        <v/>
      </c>
    </row>
    <row r="54">
      <c r="A54" t="inlineStr">
        <is>
          <t>Income</t>
        </is>
      </c>
      <c r="B54" t="inlineStr">
        <is>
          <t>F9</t>
        </is>
      </c>
      <c r="C54" t="n">
        <v>9</v>
      </c>
      <c r="D54" t="n">
        <v>6</v>
      </c>
      <c r="E54" t="inlineStr">
        <is>
          <t>Input</t>
        </is>
      </c>
      <c r="F54" t="n">
        <v/>
      </c>
      <c r="H54" t="inlineStr"/>
      <c r="I54" t="inlineStr">
        <is>
          <t>_(* #,##0_);_(* \(#,##0\);_(* \-??_);_(@_)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Income</t>
        </is>
      </c>
      <c r="B55" t="inlineStr">
        <is>
          <t>G9</t>
        </is>
      </c>
      <c r="C55" t="n">
        <v>9</v>
      </c>
      <c r="D55" t="n">
        <v>7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Income</t>
        </is>
      </c>
      <c r="B56" t="inlineStr">
        <is>
          <t>H9</t>
        </is>
      </c>
      <c r="C56" t="n">
        <v>9</v>
      </c>
      <c r="D56" t="n">
        <v>8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Income</t>
        </is>
      </c>
      <c r="B57" t="inlineStr">
        <is>
          <t>I9</t>
        </is>
      </c>
      <c r="C57" t="n">
        <v>9</v>
      </c>
      <c r="D57" t="n">
        <v>9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Income</t>
        </is>
      </c>
      <c r="B58" t="inlineStr">
        <is>
          <t>A10</t>
        </is>
      </c>
      <c r="C58" t="n">
        <v>10</v>
      </c>
      <c r="D58" t="n">
        <v>1</v>
      </c>
      <c r="E58" t="inlineStr">
        <is>
          <t>Input</t>
        </is>
      </c>
      <c r="F58" t="n">
        <v/>
      </c>
      <c r="G58" t="inlineStr">
        <is>
          <t>Earnings before interest and taxes</t>
        </is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Income</t>
        </is>
      </c>
      <c r="B59" t="inlineStr">
        <is>
          <t>B10</t>
        </is>
      </c>
      <c r="C59" t="n">
        <v>10</v>
      </c>
      <c r="D59" t="n">
        <v>2</v>
      </c>
      <c r="E59" t="inlineStr">
        <is>
          <t>Input</t>
        </is>
      </c>
      <c r="F59" t="n">
        <v/>
      </c>
      <c r="H59" t="inlineStr"/>
      <c r="I59" t="inlineStr">
        <is>
          <t>_(* #,##0_);_(* \(#,##0\);_(* \-??_);_(@_)</t>
        </is>
      </c>
      <c r="J59" t="b">
        <v>1</v>
      </c>
      <c r="K59" t="b">
        <v>0</v>
      </c>
      <c r="L59" t="n">
        <v>10</v>
      </c>
      <c r="M59" t="n">
        <v/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Income</t>
        </is>
      </c>
      <c r="B60" t="inlineStr">
        <is>
          <t>C10</t>
        </is>
      </c>
      <c r="C60" t="n">
        <v>10</v>
      </c>
      <c r="D60" t="n">
        <v>3</v>
      </c>
      <c r="E60" t="inlineStr">
        <is>
          <t>Calculation</t>
        </is>
      </c>
      <c r="F60" t="inlineStr">
        <is>
          <t>'=SUM(C7:C9)</t>
        </is>
      </c>
      <c r="G60" t="n">
        <v>-20</v>
      </c>
      <c r="H60" t="inlineStr"/>
      <c r="I60" t="inlineStr">
        <is>
          <t>_(* #,##0_);_(* \(#,##0\);_(* \-??_);_(@_)</t>
        </is>
      </c>
      <c r="J60" t="b">
        <v>1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1</v>
      </c>
      <c r="S60" t="inlineStr">
        <is>
          <t>G000022</t>
        </is>
      </c>
      <c r="T60" t="inlineStr">
        <is>
          <t>Horizontal</t>
        </is>
      </c>
      <c r="U60" t="n">
        <v>3</v>
      </c>
      <c r="V60" t="b">
        <v>1</v>
      </c>
      <c r="W60" t="inlineStr">
        <is>
          <t>Income!C10:E10</t>
        </is>
      </c>
      <c r="X60">
        <f>SUM(R[-3]C[0]:R[-1]C[0])</f>
        <v/>
      </c>
    </row>
    <row r="61">
      <c r="A61" t="inlineStr">
        <is>
          <t>Income</t>
        </is>
      </c>
      <c r="B61" t="inlineStr">
        <is>
          <t>D10</t>
        </is>
      </c>
      <c r="C61" t="n">
        <v>10</v>
      </c>
      <c r="D61" t="n">
        <v>4</v>
      </c>
      <c r="E61" t="inlineStr">
        <is>
          <t>Calculation</t>
        </is>
      </c>
      <c r="F61" t="inlineStr">
        <is>
          <t>'=SUM(D7:D9)</t>
        </is>
      </c>
      <c r="G61" t="n">
        <v>20</v>
      </c>
      <c r="H61" t="inlineStr"/>
      <c r="I61" t="inlineStr">
        <is>
          <t>_(* #,##0_);_(* \(#,##0\);_(* \-??_);_(@_)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S61" t="inlineStr">
        <is>
          <t>G000022</t>
        </is>
      </c>
      <c r="T61" t="inlineStr">
        <is>
          <t>Horizontal</t>
        </is>
      </c>
      <c r="U61" t="n">
        <v>3</v>
      </c>
      <c r="V61" t="b">
        <v>1</v>
      </c>
      <c r="W61" t="inlineStr">
        <is>
          <t>Income!C10:E10</t>
        </is>
      </c>
      <c r="X61">
        <f>SUM(R[-3]C[0]:R[-1]C[0])</f>
        <v/>
      </c>
    </row>
    <row r="62">
      <c r="A62" t="inlineStr">
        <is>
          <t>Income</t>
        </is>
      </c>
      <c r="B62" t="inlineStr">
        <is>
          <t>E10</t>
        </is>
      </c>
      <c r="C62" t="n">
        <v>10</v>
      </c>
      <c r="D62" t="n">
        <v>5</v>
      </c>
      <c r="E62" t="inlineStr">
        <is>
          <t>Calculation</t>
        </is>
      </c>
      <c r="F62" t="inlineStr">
        <is>
          <t>'=SUM(E7:E9)</t>
        </is>
      </c>
      <c r="G62" t="n">
        <v>60</v>
      </c>
      <c r="H62" t="inlineStr"/>
      <c r="I62" t="inlineStr">
        <is>
          <t>_(* #,##0_);_(* \(#,##0\);_(* \-??_);_(@_)</t>
        </is>
      </c>
      <c r="J62" t="b">
        <v>1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1</v>
      </c>
      <c r="S62" t="inlineStr">
        <is>
          <t>G000022</t>
        </is>
      </c>
      <c r="T62" t="inlineStr">
        <is>
          <t>Horizontal</t>
        </is>
      </c>
      <c r="U62" t="n">
        <v>3</v>
      </c>
      <c r="V62" t="b">
        <v>1</v>
      </c>
      <c r="W62" t="inlineStr">
        <is>
          <t>Income!C10:E10</t>
        </is>
      </c>
      <c r="X62">
        <f>SUM(R[-3]C[0]:R[-1]C[0])</f>
        <v/>
      </c>
    </row>
    <row r="63">
      <c r="A63" t="inlineStr">
        <is>
          <t>Income</t>
        </is>
      </c>
      <c r="B63" t="inlineStr">
        <is>
          <t>F10</t>
        </is>
      </c>
      <c r="C63" t="n">
        <v>10</v>
      </c>
      <c r="D63" t="n">
        <v>6</v>
      </c>
      <c r="E63" t="inlineStr">
        <is>
          <t>Input</t>
        </is>
      </c>
      <c r="F63" t="n">
        <v/>
      </c>
      <c r="H63" t="inlineStr"/>
      <c r="I63" t="inlineStr">
        <is>
          <t>_(* #,##0_);_(* \(#,##0\);_(* \-??_);_(@_)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Income</t>
        </is>
      </c>
      <c r="B64" t="inlineStr">
        <is>
          <t>G10</t>
        </is>
      </c>
      <c r="C64" t="n">
        <v>10</v>
      </c>
      <c r="D64" t="n">
        <v>7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Income</t>
        </is>
      </c>
      <c r="B65" t="inlineStr">
        <is>
          <t>H10</t>
        </is>
      </c>
      <c r="C65" t="n">
        <v>10</v>
      </c>
      <c r="D65" t="n">
        <v>8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Income</t>
        </is>
      </c>
      <c r="B66" t="inlineStr">
        <is>
          <t>I10</t>
        </is>
      </c>
      <c r="C66" t="n">
        <v>10</v>
      </c>
      <c r="D66" t="n">
        <v>9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Income</t>
        </is>
      </c>
      <c r="B67" t="inlineStr">
        <is>
          <t>A11</t>
        </is>
      </c>
      <c r="C67" t="n">
        <v>11</v>
      </c>
      <c r="D67" t="n">
        <v>1</v>
      </c>
      <c r="E67" t="inlineStr">
        <is>
          <t>Input</t>
        </is>
      </c>
      <c r="F67" t="n">
        <v/>
      </c>
      <c r="G67" t="inlineStr">
        <is>
          <t>Less interest expense</t>
        </is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Income</t>
        </is>
      </c>
      <c r="B68" t="inlineStr">
        <is>
          <t>B11</t>
        </is>
      </c>
      <c r="C68" t="n">
        <v>11</v>
      </c>
      <c r="D68" t="n">
        <v>2</v>
      </c>
      <c r="E68" t="inlineStr">
        <is>
          <t>Input</t>
        </is>
      </c>
      <c r="F68" t="n">
        <v/>
      </c>
      <c r="H68" t="inlineStr"/>
      <c r="I68" t="inlineStr">
        <is>
          <t>_(* #,##0_);_(* \(#,##0\);_(* \-??_);_(@_)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Income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Calculation</t>
        </is>
      </c>
      <c r="F69" t="inlineStr">
        <is>
          <t>'=-Financing!C24</t>
        </is>
      </c>
      <c r="G69" t="n">
        <v>-23.2722513089005</v>
      </c>
      <c r="H69" t="inlineStr"/>
      <c r="I69" t="inlineStr">
        <is>
          <t>_(* #,##0_);_(* \(#,##0\);_(* \-??_);_(@_)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S69" t="inlineStr">
        <is>
          <t>G000023</t>
        </is>
      </c>
      <c r="T69" t="inlineStr">
        <is>
          <t>Horizontal</t>
        </is>
      </c>
      <c r="U69" t="n">
        <v>3</v>
      </c>
      <c r="V69" t="b">
        <v>1</v>
      </c>
      <c r="W69" t="inlineStr">
        <is>
          <t>Income!C11:E11</t>
        </is>
      </c>
      <c r="X69">
        <f>-'Financing'!R[13]C[0]</f>
        <v/>
      </c>
    </row>
    <row r="70">
      <c r="A70" t="inlineStr">
        <is>
          <t>Income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Calculation</t>
        </is>
      </c>
      <c r="F70" t="inlineStr">
        <is>
          <t>'=-Financing!D24</t>
        </is>
      </c>
      <c r="G70" t="n">
        <v>-26.3607357254461</v>
      </c>
      <c r="H70" t="inlineStr"/>
      <c r="I70" t="inlineStr">
        <is>
          <t>_(* #,##0_);_(* \(#,##0\);_(* \-??_);_(@_)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1</v>
      </c>
      <c r="S70" t="inlineStr">
        <is>
          <t>G000023</t>
        </is>
      </c>
      <c r="T70" t="inlineStr">
        <is>
          <t>Horizontal</t>
        </is>
      </c>
      <c r="U70" t="n">
        <v>3</v>
      </c>
      <c r="V70" t="b">
        <v>1</v>
      </c>
      <c r="W70" t="inlineStr">
        <is>
          <t>Income!C11:E11</t>
        </is>
      </c>
      <c r="X70">
        <f>-'Financing'!R[13]C[0]</f>
        <v/>
      </c>
    </row>
    <row r="71">
      <c r="A71" t="inlineStr">
        <is>
          <t>Income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Calculation</t>
        </is>
      </c>
      <c r="F71" t="inlineStr">
        <is>
          <t>'=-Financing!E24</t>
        </is>
      </c>
      <c r="G71" t="n">
        <v>-27.8790249561164</v>
      </c>
      <c r="H71" t="inlineStr"/>
      <c r="I71" t="inlineStr">
        <is>
          <t>_(* #,##0_);_(* \(#,##0\);_(* \-??_);_(@_)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1</v>
      </c>
      <c r="S71" t="inlineStr">
        <is>
          <t>G000023</t>
        </is>
      </c>
      <c r="T71" t="inlineStr">
        <is>
          <t>Horizontal</t>
        </is>
      </c>
      <c r="U71" t="n">
        <v>3</v>
      </c>
      <c r="V71" t="b">
        <v>1</v>
      </c>
      <c r="W71" t="inlineStr">
        <is>
          <t>Income!C11:E11</t>
        </is>
      </c>
      <c r="X71">
        <f>-'Financing'!R[13]C[0]</f>
        <v/>
      </c>
    </row>
    <row r="72">
      <c r="A72" t="inlineStr">
        <is>
          <t>Income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F72" t="n">
        <v/>
      </c>
      <c r="H72" t="inlineStr"/>
      <c r="I72" t="inlineStr">
        <is>
          <t>_(* #,##0_);_(* \(#,##0\);_(* \-??_);_(@_)</t>
        </is>
      </c>
      <c r="J72" t="b">
        <v>1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Income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Income</t>
        </is>
      </c>
      <c r="B74" t="inlineStr">
        <is>
          <t>H11</t>
        </is>
      </c>
      <c r="C74" t="n">
        <v>11</v>
      </c>
      <c r="D74" t="n">
        <v>8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Income</t>
        </is>
      </c>
      <c r="B75" t="inlineStr">
        <is>
          <t>I11</t>
        </is>
      </c>
      <c r="C75" t="n">
        <v>11</v>
      </c>
      <c r="D75" t="n">
        <v>9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Income</t>
        </is>
      </c>
      <c r="B76" t="inlineStr">
        <is>
          <t>A12</t>
        </is>
      </c>
      <c r="C76" t="n">
        <v>12</v>
      </c>
      <c r="D76" t="n">
        <v>1</v>
      </c>
      <c r="E76" t="inlineStr">
        <is>
          <t>Input</t>
        </is>
      </c>
      <c r="F76" t="n">
        <v/>
      </c>
      <c r="G76" t="inlineStr">
        <is>
          <t>Pre-tax income</t>
        </is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10</v>
      </c>
      <c r="M76" t="inlineStr">
        <is>
          <t>FF008000</t>
        </is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Income</t>
        </is>
      </c>
      <c r="B77" t="inlineStr">
        <is>
          <t>B12</t>
        </is>
      </c>
      <c r="C77" t="n">
        <v>12</v>
      </c>
      <c r="D77" t="n">
        <v>2</v>
      </c>
      <c r="E77" t="inlineStr">
        <is>
          <t>Input</t>
        </is>
      </c>
      <c r="F77" t="n">
        <v/>
      </c>
      <c r="H77" t="inlineStr"/>
      <c r="I77" t="inlineStr">
        <is>
          <t>_(* #,##0_);_(* \(#,##0\);_(* \-??_);_(@_)</t>
        </is>
      </c>
      <c r="J77" t="b">
        <v>1</v>
      </c>
      <c r="K77" t="b">
        <v>0</v>
      </c>
      <c r="L77" t="n">
        <v>10</v>
      </c>
      <c r="M77" t="inlineStr">
        <is>
          <t>FF008000</t>
        </is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Income</t>
        </is>
      </c>
      <c r="B78" t="inlineStr">
        <is>
          <t>C12</t>
        </is>
      </c>
      <c r="C78" t="n">
        <v>12</v>
      </c>
      <c r="D78" t="n">
        <v>3</v>
      </c>
      <c r="E78" t="inlineStr">
        <is>
          <t>Calculation</t>
        </is>
      </c>
      <c r="F78" t="inlineStr">
        <is>
          <t>'=C10+C11</t>
        </is>
      </c>
      <c r="G78" t="n">
        <v>-43.2722513089005</v>
      </c>
      <c r="H78" t="inlineStr"/>
      <c r="I78" t="inlineStr">
        <is>
          <t>_(* #,##0_);_(* \(#,##0\);_(* \-??_);_(@_)</t>
        </is>
      </c>
      <c r="J78" t="b">
        <v>1</v>
      </c>
      <c r="K78" t="b">
        <v>0</v>
      </c>
      <c r="L78" t="n">
        <v>10</v>
      </c>
      <c r="M78" t="inlineStr">
        <is>
          <t>FF008000</t>
        </is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inlineStr">
        <is>
          <t>G000018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Income!C12:E12</t>
        </is>
      </c>
      <c r="X78">
        <f>R[-2]C[0]+R[-1]C[0]</f>
        <v/>
      </c>
    </row>
    <row r="79">
      <c r="A79" t="inlineStr">
        <is>
          <t>Income</t>
        </is>
      </c>
      <c r="B79" t="inlineStr">
        <is>
          <t>D12</t>
        </is>
      </c>
      <c r="C79" t="n">
        <v>12</v>
      </c>
      <c r="D79" t="n">
        <v>4</v>
      </c>
      <c r="E79" t="inlineStr">
        <is>
          <t>Calculation</t>
        </is>
      </c>
      <c r="F79" t="inlineStr">
        <is>
          <t>'=D10+D11</t>
        </is>
      </c>
      <c r="G79" t="n">
        <v>-6.36073572544612</v>
      </c>
      <c r="H79" t="inlineStr"/>
      <c r="I79" t="inlineStr">
        <is>
          <t>_(* #,##0_);_(* \(#,##0\);_(* \-??_);_(@_)</t>
        </is>
      </c>
      <c r="J79" t="b">
        <v>1</v>
      </c>
      <c r="K79" t="b">
        <v>0</v>
      </c>
      <c r="L79" t="n">
        <v>10</v>
      </c>
      <c r="M79" t="inlineStr">
        <is>
          <t>FF008000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inlineStr">
        <is>
          <t>G000018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Income!C12:E12</t>
        </is>
      </c>
      <c r="X79">
        <f>R[-2]C[0]+R[-1]C[0]</f>
        <v/>
      </c>
    </row>
    <row r="80">
      <c r="A80" t="inlineStr">
        <is>
          <t>Income</t>
        </is>
      </c>
      <c r="B80" t="inlineStr">
        <is>
          <t>E12</t>
        </is>
      </c>
      <c r="C80" t="n">
        <v>12</v>
      </c>
      <c r="D80" t="n">
        <v>5</v>
      </c>
      <c r="E80" t="inlineStr">
        <is>
          <t>Calculation</t>
        </is>
      </c>
      <c r="F80" t="inlineStr">
        <is>
          <t>'=E10+E11</t>
        </is>
      </c>
      <c r="G80" t="n">
        <v>32.1209750438836</v>
      </c>
      <c r="H80" t="inlineStr"/>
      <c r="I80" t="inlineStr">
        <is>
          <t>_(* #,##0_);_(* \(#,##0\);_(* \-??_);_(@_)</t>
        </is>
      </c>
      <c r="J80" t="b">
        <v>1</v>
      </c>
      <c r="K80" t="b">
        <v>0</v>
      </c>
      <c r="L80" t="n">
        <v>10</v>
      </c>
      <c r="M80" t="inlineStr">
        <is>
          <t>FF008000</t>
        </is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inlineStr">
        <is>
          <t>G000018</t>
        </is>
      </c>
      <c r="T80" t="inlineStr">
        <is>
          <t>Horizontal</t>
        </is>
      </c>
      <c r="U80" t="n">
        <v>3</v>
      </c>
      <c r="V80" t="b">
        <v>1</v>
      </c>
      <c r="W80" t="inlineStr">
        <is>
          <t>Income!C12:E12</t>
        </is>
      </c>
      <c r="X80">
        <f>R[-2]C[0]+R[-1]C[0]</f>
        <v/>
      </c>
    </row>
    <row r="81">
      <c r="A81" t="inlineStr">
        <is>
          <t>Income</t>
        </is>
      </c>
      <c r="B81" t="inlineStr">
        <is>
          <t>F12</t>
        </is>
      </c>
      <c r="C81" t="n">
        <v>12</v>
      </c>
      <c r="D81" t="n">
        <v>6</v>
      </c>
      <c r="E81" t="inlineStr">
        <is>
          <t>Input</t>
        </is>
      </c>
      <c r="F81" t="n">
        <v/>
      </c>
      <c r="H81" t="inlineStr"/>
      <c r="I81" t="inlineStr">
        <is>
          <t>_(* #,##0_);_(* \(#,##0\);_(* \-??_);_(@_)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Income</t>
        </is>
      </c>
      <c r="B82" t="inlineStr">
        <is>
          <t>G12</t>
        </is>
      </c>
      <c r="C82" t="n">
        <v>12</v>
      </c>
      <c r="D82" t="n">
        <v>7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Income</t>
        </is>
      </c>
      <c r="B83" t="inlineStr">
        <is>
          <t>H12</t>
        </is>
      </c>
      <c r="C83" t="n">
        <v>12</v>
      </c>
      <c r="D83" t="n">
        <v>8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M83" t="n">
        <v/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Income</t>
        </is>
      </c>
      <c r="B84" t="inlineStr">
        <is>
          <t>I12</t>
        </is>
      </c>
      <c r="C84" t="n">
        <v>12</v>
      </c>
      <c r="D84" t="n">
        <v>9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Income</t>
        </is>
      </c>
      <c r="B85" t="inlineStr">
        <is>
          <t>A13</t>
        </is>
      </c>
      <c r="C85" t="n">
        <v>13</v>
      </c>
      <c r="D85" t="n">
        <v>1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inlineStr">
        <is>
          <t>FF000000</t>
        </is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Income</t>
        </is>
      </c>
      <c r="B86" t="inlineStr">
        <is>
          <t>B13</t>
        </is>
      </c>
      <c r="C86" t="n">
        <v>13</v>
      </c>
      <c r="D86" t="n">
        <v>2</v>
      </c>
      <c r="E86" t="inlineStr">
        <is>
          <t>Input</t>
        </is>
      </c>
      <c r="F86" t="n">
        <v/>
      </c>
      <c r="H86" t="inlineStr"/>
      <c r="I86" t="inlineStr">
        <is>
          <t>_(* #,##0_);_(* \(#,##0\);_(* \-??_);_(@_)</t>
        </is>
      </c>
      <c r="J86" t="b">
        <v>1</v>
      </c>
      <c r="K86" t="b">
        <v>0</v>
      </c>
      <c r="L86" t="n">
        <v>10</v>
      </c>
      <c r="M86" t="inlineStr">
        <is>
          <t>FF000000</t>
        </is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Income</t>
        </is>
      </c>
      <c r="B87" t="inlineStr">
        <is>
          <t>C13</t>
        </is>
      </c>
      <c r="C87" t="n">
        <v>13</v>
      </c>
      <c r="D87" t="n">
        <v>3</v>
      </c>
      <c r="E87" t="inlineStr">
        <is>
          <t>Input</t>
        </is>
      </c>
      <c r="F87" t="n">
        <v/>
      </c>
      <c r="H87" t="inlineStr"/>
      <c r="I87" t="inlineStr">
        <is>
          <t>_(* #,##0_);_(* \(#,##0\);_(* \-??_);_(@_)</t>
        </is>
      </c>
      <c r="J87" t="b">
        <v>1</v>
      </c>
      <c r="K87" t="b">
        <v>0</v>
      </c>
      <c r="L87" t="n">
        <v>10</v>
      </c>
      <c r="M87" t="inlineStr">
        <is>
          <t>FF000000</t>
        </is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Income</t>
        </is>
      </c>
      <c r="B88" t="inlineStr">
        <is>
          <t>D13</t>
        </is>
      </c>
      <c r="C88" t="n">
        <v>13</v>
      </c>
      <c r="D88" t="n">
        <v>4</v>
      </c>
      <c r="E88" t="inlineStr">
        <is>
          <t>Input</t>
        </is>
      </c>
      <c r="F88" t="n">
        <v/>
      </c>
      <c r="H88" t="inlineStr"/>
      <c r="I88" t="inlineStr">
        <is>
          <t>_(* #,##0_);_(* \(#,##0\);_(* \-??_);_(@_)</t>
        </is>
      </c>
      <c r="J88" t="b">
        <v>1</v>
      </c>
      <c r="K88" t="b">
        <v>0</v>
      </c>
      <c r="L88" t="n">
        <v>10</v>
      </c>
      <c r="M88" t="inlineStr">
        <is>
          <t>FF000000</t>
        </is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Income</t>
        </is>
      </c>
      <c r="B89" t="inlineStr">
        <is>
          <t>E13</t>
        </is>
      </c>
      <c r="C89" t="n">
        <v>13</v>
      </c>
      <c r="D89" t="n">
        <v>5</v>
      </c>
      <c r="E89" t="inlineStr">
        <is>
          <t>Input</t>
        </is>
      </c>
      <c r="F89" t="n">
        <v/>
      </c>
      <c r="H89" t="inlineStr"/>
      <c r="I89" t="inlineStr">
        <is>
          <t>_(* #,##0_);_(* \(#,##0\);_(* \-??_);_(@_)</t>
        </is>
      </c>
      <c r="J89" t="b">
        <v>1</v>
      </c>
      <c r="K89" t="b">
        <v>0</v>
      </c>
      <c r="L89" t="n">
        <v>10</v>
      </c>
      <c r="M89" t="inlineStr">
        <is>
          <t>FF000000</t>
        </is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Income</t>
        </is>
      </c>
      <c r="B90" t="inlineStr">
        <is>
          <t>F13</t>
        </is>
      </c>
      <c r="C90" t="n">
        <v>13</v>
      </c>
      <c r="D90" t="n">
        <v>6</v>
      </c>
      <c r="E90" t="inlineStr">
        <is>
          <t>Input</t>
        </is>
      </c>
      <c r="F90" t="n">
        <v/>
      </c>
      <c r="H90" t="inlineStr"/>
      <c r="I90" t="inlineStr">
        <is>
          <t>_(* #,##0_);_(* \(#,##0\);_(* \-??_);_(@_)</t>
        </is>
      </c>
      <c r="J90" t="b">
        <v>1</v>
      </c>
      <c r="K90" t="b">
        <v>0</v>
      </c>
      <c r="L90" t="n">
        <v>10</v>
      </c>
      <c r="M90" t="inlineStr">
        <is>
          <t>FF000000</t>
        </is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Income</t>
        </is>
      </c>
      <c r="B91" t="inlineStr">
        <is>
          <t>G13</t>
        </is>
      </c>
      <c r="C91" t="n">
        <v>13</v>
      </c>
      <c r="D91" t="n">
        <v>7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0</v>
      </c>
      <c r="L91" t="n">
        <v>10</v>
      </c>
      <c r="M91" t="inlineStr">
        <is>
          <t>FF000000</t>
        </is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Income</t>
        </is>
      </c>
      <c r="B92" t="inlineStr">
        <is>
          <t>H13</t>
        </is>
      </c>
      <c r="C92" t="n">
        <v>13</v>
      </c>
      <c r="D92" t="n">
        <v>8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Income</t>
        </is>
      </c>
      <c r="B93" t="inlineStr">
        <is>
          <t>I13</t>
        </is>
      </c>
      <c r="C93" t="n">
        <v>13</v>
      </c>
      <c r="D93" t="n">
        <v>9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Income</t>
        </is>
      </c>
      <c r="B94" t="inlineStr">
        <is>
          <t>A14</t>
        </is>
      </c>
      <c r="C94" t="n">
        <v>14</v>
      </c>
      <c r="D94" t="n">
        <v>1</v>
      </c>
      <c r="E94" t="inlineStr">
        <is>
          <t>Input</t>
        </is>
      </c>
      <c r="F94" t="n">
        <v/>
      </c>
      <c r="G94" t="inlineStr">
        <is>
          <t>Cumulative pre-tax income (NOL)</t>
        </is>
      </c>
      <c r="H94" t="inlineStr"/>
      <c r="I94" t="inlineStr">
        <is>
          <t>General</t>
        </is>
      </c>
      <c r="J94" t="b">
        <v>1</v>
      </c>
      <c r="K94" t="b">
        <v>0</v>
      </c>
      <c r="L94" t="n">
        <v>10</v>
      </c>
      <c r="M94" t="inlineStr">
        <is>
          <t>FF000000</t>
        </is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Income</t>
        </is>
      </c>
      <c r="B95" t="inlineStr">
        <is>
          <t>B14</t>
        </is>
      </c>
      <c r="C95" t="n">
        <v>14</v>
      </c>
      <c r="D95" t="n">
        <v>2</v>
      </c>
      <c r="E95" t="inlineStr">
        <is>
          <t>Input</t>
        </is>
      </c>
      <c r="F95" t="n">
        <v/>
      </c>
      <c r="H95" t="inlineStr"/>
      <c r="I95" t="inlineStr">
        <is>
          <t>_(* #,##0_);_(* \(#,##0\);_(* \-??_);_(@_)</t>
        </is>
      </c>
      <c r="J95" t="b">
        <v>1</v>
      </c>
      <c r="K95" t="b">
        <v>0</v>
      </c>
      <c r="L95" t="n">
        <v>10</v>
      </c>
      <c r="M95" t="inlineStr">
        <is>
          <t>FF000000</t>
        </is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Income</t>
        </is>
      </c>
      <c r="B96" t="inlineStr">
        <is>
          <t>C14</t>
        </is>
      </c>
      <c r="C96" t="n">
        <v>14</v>
      </c>
      <c r="D96" t="n">
        <v>3</v>
      </c>
      <c r="E96" t="inlineStr">
        <is>
          <t>Calculation</t>
        </is>
      </c>
      <c r="F96" t="inlineStr">
        <is>
          <t>'=C12</t>
        </is>
      </c>
      <c r="G96" t="n">
        <v>-43.2722513089005</v>
      </c>
      <c r="H96" t="inlineStr"/>
      <c r="I96" t="inlineStr">
        <is>
          <t>_(* #,##0_);_(* \(#,##0\);_(* \-??_);_(@_)</t>
        </is>
      </c>
      <c r="J96" t="b">
        <v>1</v>
      </c>
      <c r="K96" t="b">
        <v>0</v>
      </c>
      <c r="L96" t="n">
        <v>10</v>
      </c>
      <c r="M96" t="inlineStr">
        <is>
          <t>FF000000</t>
        </is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>
        <f>R[-2]C[0]</f>
        <v/>
      </c>
    </row>
    <row r="97">
      <c r="A97" t="inlineStr">
        <is>
          <t>Income</t>
        </is>
      </c>
      <c r="B97" t="inlineStr">
        <is>
          <t>D14</t>
        </is>
      </c>
      <c r="C97" t="n">
        <v>14</v>
      </c>
      <c r="D97" t="n">
        <v>4</v>
      </c>
      <c r="E97" t="inlineStr">
        <is>
          <t>Calculation</t>
        </is>
      </c>
      <c r="F97" t="inlineStr">
        <is>
          <t>'=C14+D12</t>
        </is>
      </c>
      <c r="G97" t="n">
        <v>-49.6329870343466</v>
      </c>
      <c r="H97" t="inlineStr"/>
      <c r="I97" t="inlineStr">
        <is>
          <t>_(* #,##0_);_(* \(#,##0\);_(* \-??_);_(@_)</t>
        </is>
      </c>
      <c r="J97" t="b">
        <v>1</v>
      </c>
      <c r="K97" t="b">
        <v>0</v>
      </c>
      <c r="L97" t="n">
        <v>10</v>
      </c>
      <c r="M97" t="inlineStr">
        <is>
          <t>FF000000</t>
        </is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inlineStr">
        <is>
          <t>G000024</t>
        </is>
      </c>
      <c r="T97" t="inlineStr">
        <is>
          <t>Horizontal</t>
        </is>
      </c>
      <c r="U97" t="n">
        <v>2</v>
      </c>
      <c r="V97" t="b">
        <v>1</v>
      </c>
      <c r="W97" t="inlineStr">
        <is>
          <t>Income!D14:E14</t>
        </is>
      </c>
      <c r="X97">
        <f>R[0]C[-1]+R[-2]C[0]</f>
        <v/>
      </c>
    </row>
    <row r="98">
      <c r="A98" t="inlineStr">
        <is>
          <t>Income</t>
        </is>
      </c>
      <c r="B98" t="inlineStr">
        <is>
          <t>E14</t>
        </is>
      </c>
      <c r="C98" t="n">
        <v>14</v>
      </c>
      <c r="D98" t="n">
        <v>5</v>
      </c>
      <c r="E98" t="inlineStr">
        <is>
          <t>Output</t>
        </is>
      </c>
      <c r="F98" t="inlineStr">
        <is>
          <t>'=D14+E12</t>
        </is>
      </c>
      <c r="G98" t="n">
        <v>-17.5120119904631</v>
      </c>
      <c r="H98" t="inlineStr"/>
      <c r="I98" t="inlineStr">
        <is>
          <t>_(* #,##0_);_(* \(#,##0\);_(* \-??_);_(@_)</t>
        </is>
      </c>
      <c r="J98" t="b">
        <v>1</v>
      </c>
      <c r="K98" t="b">
        <v>0</v>
      </c>
      <c r="L98" t="n">
        <v>10</v>
      </c>
      <c r="M98" t="inlineStr">
        <is>
          <t>FF000000</t>
        </is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G000024</t>
        </is>
      </c>
      <c r="T98" t="inlineStr">
        <is>
          <t>Horizontal</t>
        </is>
      </c>
      <c r="U98" t="n">
        <v>2</v>
      </c>
      <c r="V98" t="b">
        <v>1</v>
      </c>
      <c r="W98" t="inlineStr">
        <is>
          <t>Income!D14:E14</t>
        </is>
      </c>
      <c r="X98">
        <f>R[0]C[-1]+R[-2]C[0]</f>
        <v/>
      </c>
    </row>
    <row r="99">
      <c r="A99" t="inlineStr">
        <is>
          <t>Income</t>
        </is>
      </c>
      <c r="B99" t="inlineStr">
        <is>
          <t>F14</t>
        </is>
      </c>
      <c r="C99" t="n">
        <v>14</v>
      </c>
      <c r="D99" t="n">
        <v>6</v>
      </c>
      <c r="E99" t="inlineStr">
        <is>
          <t>Input</t>
        </is>
      </c>
      <c r="F99" t="n">
        <v/>
      </c>
      <c r="H99" t="inlineStr"/>
      <c r="I99" t="inlineStr">
        <is>
          <t>_(* #,##0_);_(* \(#,##0\);_(* \-??_);_(@_)</t>
        </is>
      </c>
      <c r="J99" t="b">
        <v>1</v>
      </c>
      <c r="K99" t="b">
        <v>0</v>
      </c>
      <c r="L99" t="n">
        <v>10</v>
      </c>
      <c r="M99" t="inlineStr">
        <is>
          <t>FF000000</t>
        </is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Income</t>
        </is>
      </c>
      <c r="B100" t="inlineStr">
        <is>
          <t>G14</t>
        </is>
      </c>
      <c r="C100" t="n">
        <v>14</v>
      </c>
      <c r="D100" t="n">
        <v>7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M100" t="inlineStr">
        <is>
          <t>FF000000</t>
        </is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Income</t>
        </is>
      </c>
      <c r="B101" t="inlineStr">
        <is>
          <t>H14</t>
        </is>
      </c>
      <c r="C101" t="n">
        <v>14</v>
      </c>
      <c r="D101" t="n">
        <v>8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Income</t>
        </is>
      </c>
      <c r="B102" t="inlineStr">
        <is>
          <t>I14</t>
        </is>
      </c>
      <c r="C102" t="n">
        <v>14</v>
      </c>
      <c r="D102" t="n">
        <v>9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Income</t>
        </is>
      </c>
      <c r="B103" t="inlineStr">
        <is>
          <t>A15</t>
        </is>
      </c>
      <c r="C103" t="n">
        <v>15</v>
      </c>
      <c r="D103" t="n">
        <v>1</v>
      </c>
      <c r="E103" t="inlineStr">
        <is>
          <t>Input</t>
        </is>
      </c>
      <c r="F103" t="n">
        <v/>
      </c>
      <c r="G103" t="inlineStr">
        <is>
          <t>Taxes</t>
        </is>
      </c>
      <c r="H103" t="inlineStr"/>
      <c r="I103" t="inlineStr">
        <is>
          <t>General</t>
        </is>
      </c>
      <c r="J103" t="b">
        <v>1</v>
      </c>
      <c r="K103" t="b">
        <v>0</v>
      </c>
      <c r="L103" t="n">
        <v>10</v>
      </c>
      <c r="M103" t="inlineStr">
        <is>
          <t>FFFF0000</t>
        </is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Income</t>
        </is>
      </c>
      <c r="B104" t="inlineStr">
        <is>
          <t>B15</t>
        </is>
      </c>
      <c r="C104" t="n">
        <v>15</v>
      </c>
      <c r="D104" t="n">
        <v>2</v>
      </c>
      <c r="E104" t="inlineStr">
        <is>
          <t>Input</t>
        </is>
      </c>
      <c r="F104" t="n">
        <v/>
      </c>
      <c r="H104" t="inlineStr"/>
      <c r="I104" t="inlineStr">
        <is>
          <t>_(* #,##0_);_(* \(#,##0\);_(* \-??_);_(@_)</t>
        </is>
      </c>
      <c r="J104" t="b">
        <v>1</v>
      </c>
      <c r="K104" t="b">
        <v>0</v>
      </c>
      <c r="L104" t="n">
        <v>10</v>
      </c>
      <c r="M104" t="inlineStr">
        <is>
          <t>FFFF0000</t>
        </is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Income</t>
        </is>
      </c>
      <c r="B105" t="inlineStr">
        <is>
          <t>C15</t>
        </is>
      </c>
      <c r="C105" t="n">
        <v>15</v>
      </c>
      <c r="D105" t="n">
        <v>3</v>
      </c>
      <c r="E105" t="inlineStr">
        <is>
          <t>Calculation</t>
        </is>
      </c>
      <c r="F105" t="inlineStr">
        <is>
          <t>'=IF(B14&gt;=0,MAX(Operations!C9*Income!C12,-Operations!C9*Income!B14),MAX(0,Operations!C9*(Income!C12+Income!B14)))</t>
        </is>
      </c>
      <c r="G105" t="n">
        <v>0</v>
      </c>
      <c r="H105" t="inlineStr"/>
      <c r="I105" t="inlineStr">
        <is>
          <t>_(* #,##0_);_(* \(#,##0\);_(* \-??_);_(@_)</t>
        </is>
      </c>
      <c r="J105" t="b">
        <v>1</v>
      </c>
      <c r="K105" t="b">
        <v>0</v>
      </c>
      <c r="L105" t="n">
        <v>10</v>
      </c>
      <c r="M105" t="inlineStr">
        <is>
          <t>FFFF0000</t>
        </is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S105" t="inlineStr">
        <is>
          <t>G000025</t>
        </is>
      </c>
      <c r="T105" t="inlineStr">
        <is>
          <t>Horizontal</t>
        </is>
      </c>
      <c r="U105" t="n">
        <v>3</v>
      </c>
      <c r="V105" t="b">
        <v>1</v>
      </c>
      <c r="W105" t="inlineStr">
        <is>
          <t>Income!C15:E15</t>
        </is>
      </c>
      <c r="X105">
        <f>IF(R[-1]C[-1]&gt;=0,MAX('Operations'!R[-6]C[0]*R[-3]C[0],-'Operations'!R[-6]C[0]*R[-1]C[-1]),MAX(0,'Operations'!R[-6]C[0]*(R[-3]C[0]+R[-1]C[-1])))</f>
        <v/>
      </c>
    </row>
    <row r="106">
      <c r="A106" t="inlineStr">
        <is>
          <t>Income</t>
        </is>
      </c>
      <c r="B106" t="inlineStr">
        <is>
          <t>D15</t>
        </is>
      </c>
      <c r="C106" t="n">
        <v>15</v>
      </c>
      <c r="D106" t="n">
        <v>4</v>
      </c>
      <c r="E106" t="inlineStr">
        <is>
          <t>Calculation</t>
        </is>
      </c>
      <c r="F106" t="inlineStr">
        <is>
          <t>'=IF(C14&gt;=0,MAX(Operations!D9*Income!D12,-Operations!D9*Income!C14),MAX(0,Operations!D9*(Income!D12+Income!C14)))</t>
        </is>
      </c>
      <c r="G106" t="n">
        <v>0</v>
      </c>
      <c r="H106" t="inlineStr"/>
      <c r="I106" t="inlineStr">
        <is>
          <t>_(* #,##0_);_(* \(#,##0\);_(* \-??_);_(@_)</t>
        </is>
      </c>
      <c r="J106" t="b">
        <v>1</v>
      </c>
      <c r="K106" t="b">
        <v>0</v>
      </c>
      <c r="L106" t="n">
        <v>10</v>
      </c>
      <c r="M106" t="inlineStr">
        <is>
          <t>FFFF0000</t>
        </is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1</v>
      </c>
      <c r="S106" t="inlineStr">
        <is>
          <t>G000025</t>
        </is>
      </c>
      <c r="T106" t="inlineStr">
        <is>
          <t>Horizontal</t>
        </is>
      </c>
      <c r="U106" t="n">
        <v>3</v>
      </c>
      <c r="V106" t="b">
        <v>1</v>
      </c>
      <c r="W106" t="inlineStr">
        <is>
          <t>Income!C15:E15</t>
        </is>
      </c>
      <c r="X106">
        <f>IF(R[-1]C[-1]&gt;=0,MAX('Operations'!R[-6]C[0]*R[-3]C[0],-'Operations'!R[-6]C[0]*R[-1]C[-1]),MAX(0,'Operations'!R[-6]C[0]*(R[-3]C[0]+R[-1]C[-1])))</f>
        <v/>
      </c>
    </row>
    <row r="107">
      <c r="A107" t="inlineStr">
        <is>
          <t>Income</t>
        </is>
      </c>
      <c r="B107" t="inlineStr">
        <is>
          <t>E15</t>
        </is>
      </c>
      <c r="C107" t="n">
        <v>15</v>
      </c>
      <c r="D107" t="n">
        <v>5</v>
      </c>
      <c r="E107" t="inlineStr">
        <is>
          <t>Calculation</t>
        </is>
      </c>
      <c r="F107" t="inlineStr">
        <is>
          <t>'=IF(D14&gt;=0,MAX(Operations!E9*Income!E12,-Operations!E9*Income!D14),MAX(0,Operations!E9*(Income!E12+Income!D14)))</t>
        </is>
      </c>
      <c r="G107" t="n">
        <v>0</v>
      </c>
      <c r="H107" t="inlineStr"/>
      <c r="I107" t="inlineStr">
        <is>
          <t>_(* #,##0_);_(* \(#,##0\);_(* \-??_);_(@_)</t>
        </is>
      </c>
      <c r="J107" t="b">
        <v>1</v>
      </c>
      <c r="K107" t="b">
        <v>0</v>
      </c>
      <c r="L107" t="n">
        <v>10</v>
      </c>
      <c r="M107" t="inlineStr">
        <is>
          <t>FFFF0000</t>
        </is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inlineStr">
        <is>
          <t>G000025</t>
        </is>
      </c>
      <c r="T107" t="inlineStr">
        <is>
          <t>Horizontal</t>
        </is>
      </c>
      <c r="U107" t="n">
        <v>3</v>
      </c>
      <c r="V107" t="b">
        <v>1</v>
      </c>
      <c r="W107" t="inlineStr">
        <is>
          <t>Income!C15:E15</t>
        </is>
      </c>
      <c r="X107">
        <f>IF(R[-1]C[-1]&gt;=0,MAX('Operations'!R[-6]C[0]*R[-3]C[0],-'Operations'!R[-6]C[0]*R[-1]C[-1]),MAX(0,'Operations'!R[-6]C[0]*(R[-3]C[0]+R[-1]C[-1])))</f>
        <v/>
      </c>
    </row>
    <row r="108">
      <c r="A108" t="inlineStr">
        <is>
          <t>Income</t>
        </is>
      </c>
      <c r="B108" t="inlineStr">
        <is>
          <t>F15</t>
        </is>
      </c>
      <c r="C108" t="n">
        <v>15</v>
      </c>
      <c r="D108" t="n">
        <v>6</v>
      </c>
      <c r="E108" t="inlineStr">
        <is>
          <t>Input</t>
        </is>
      </c>
      <c r="F108" t="n">
        <v/>
      </c>
      <c r="H108" t="inlineStr"/>
      <c r="I108" t="inlineStr">
        <is>
          <t>_(* #,##0_);_(* \(#,##0\);_(* \-??_);_(@_)</t>
        </is>
      </c>
      <c r="J108" t="b">
        <v>1</v>
      </c>
      <c r="K108" t="b">
        <v>0</v>
      </c>
      <c r="L108" t="n">
        <v>10</v>
      </c>
      <c r="M108" t="inlineStr">
        <is>
          <t>FF000000</t>
        </is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Income</t>
        </is>
      </c>
      <c r="B109" t="inlineStr">
        <is>
          <t>G15</t>
        </is>
      </c>
      <c r="C109" t="n">
        <v>15</v>
      </c>
      <c r="D109" t="n">
        <v>7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inlineStr">
        <is>
          <t>FF000000</t>
        </is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Income</t>
        </is>
      </c>
      <c r="B110" t="inlineStr">
        <is>
          <t>H15</t>
        </is>
      </c>
      <c r="C110" t="n">
        <v>15</v>
      </c>
      <c r="D110" t="n">
        <v>8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Income</t>
        </is>
      </c>
      <c r="B111" t="inlineStr">
        <is>
          <t>I15</t>
        </is>
      </c>
      <c r="C111" t="n">
        <v>15</v>
      </c>
      <c r="D111" t="n">
        <v>9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Income</t>
        </is>
      </c>
      <c r="B112" t="inlineStr">
        <is>
          <t>A16</t>
        </is>
      </c>
      <c r="C112" t="n">
        <v>16</v>
      </c>
      <c r="D112" t="n">
        <v>1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10</v>
      </c>
      <c r="M112" t="inlineStr">
        <is>
          <t>FF000000</t>
        </is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Income</t>
        </is>
      </c>
      <c r="B113" t="inlineStr">
        <is>
          <t>B16</t>
        </is>
      </c>
      <c r="C113" t="n">
        <v>16</v>
      </c>
      <c r="D113" t="n">
        <v>2</v>
      </c>
      <c r="E113" t="inlineStr">
        <is>
          <t>Input</t>
        </is>
      </c>
      <c r="F113" t="n">
        <v/>
      </c>
      <c r="H113" t="inlineStr"/>
      <c r="I113" t="inlineStr">
        <is>
          <t>_(* #,##0_);_(* \(#,##0\);_(* \-??_);_(@_)</t>
        </is>
      </c>
      <c r="J113" t="b">
        <v>1</v>
      </c>
      <c r="K113" t="b">
        <v>0</v>
      </c>
      <c r="L113" t="n">
        <v>10</v>
      </c>
      <c r="M113" t="inlineStr">
        <is>
          <t>FF000000</t>
        </is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Income</t>
        </is>
      </c>
      <c r="B114" t="inlineStr">
        <is>
          <t>C16</t>
        </is>
      </c>
      <c r="C114" t="n">
        <v>16</v>
      </c>
      <c r="D114" t="n">
        <v>3</v>
      </c>
      <c r="E114" t="inlineStr">
        <is>
          <t>Input</t>
        </is>
      </c>
      <c r="F114" t="n">
        <v/>
      </c>
      <c r="H114" t="inlineStr"/>
      <c r="I114" t="inlineStr">
        <is>
          <t>_(* #,##0_);_(* \(#,##0\);_(* \-??_);_(@_)</t>
        </is>
      </c>
      <c r="J114" t="b">
        <v>1</v>
      </c>
      <c r="K114" t="b">
        <v>0</v>
      </c>
      <c r="L114" t="n">
        <v>10</v>
      </c>
      <c r="M114" t="inlineStr">
        <is>
          <t>FF000000</t>
        </is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Income</t>
        </is>
      </c>
      <c r="B115" t="inlineStr">
        <is>
          <t>D16</t>
        </is>
      </c>
      <c r="C115" t="n">
        <v>16</v>
      </c>
      <c r="D115" t="n">
        <v>4</v>
      </c>
      <c r="E115" t="inlineStr">
        <is>
          <t>Input</t>
        </is>
      </c>
      <c r="F115" t="n">
        <v/>
      </c>
      <c r="H115" t="inlineStr"/>
      <c r="I115" t="inlineStr">
        <is>
          <t>_(* #,##0_);_(* \(#,##0\);_(* \-??_);_(@_)</t>
        </is>
      </c>
      <c r="J115" t="b">
        <v>1</v>
      </c>
      <c r="K115" t="b">
        <v>0</v>
      </c>
      <c r="L115" t="n">
        <v>10</v>
      </c>
      <c r="M115" t="inlineStr">
        <is>
          <t>FF000000</t>
        </is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Income</t>
        </is>
      </c>
      <c r="B116" t="inlineStr">
        <is>
          <t>E16</t>
        </is>
      </c>
      <c r="C116" t="n">
        <v>16</v>
      </c>
      <c r="D116" t="n">
        <v>5</v>
      </c>
      <c r="E116" t="inlineStr">
        <is>
          <t>Input</t>
        </is>
      </c>
      <c r="F116" t="n">
        <v/>
      </c>
      <c r="H116" t="inlineStr"/>
      <c r="I116" t="inlineStr">
        <is>
          <t>_(* #,##0_);_(* \(#,##0\);_(* \-??_);_(@_)</t>
        </is>
      </c>
      <c r="J116" t="b">
        <v>1</v>
      </c>
      <c r="K116" t="b">
        <v>0</v>
      </c>
      <c r="L116" t="n">
        <v>10</v>
      </c>
      <c r="M116" t="inlineStr">
        <is>
          <t>FF000000</t>
        </is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Income</t>
        </is>
      </c>
      <c r="B117" t="inlineStr">
        <is>
          <t>F16</t>
        </is>
      </c>
      <c r="C117" t="n">
        <v>16</v>
      </c>
      <c r="D117" t="n">
        <v>6</v>
      </c>
      <c r="E117" t="inlineStr">
        <is>
          <t>Input</t>
        </is>
      </c>
      <c r="F117" t="n">
        <v/>
      </c>
      <c r="H117" t="inlineStr"/>
      <c r="I117" t="inlineStr">
        <is>
          <t>_(* #,##0_);_(* \(#,##0\);_(* \-??_);_(@_)</t>
        </is>
      </c>
      <c r="J117" t="b">
        <v>1</v>
      </c>
      <c r="K117" t="b">
        <v>0</v>
      </c>
      <c r="L117" t="n">
        <v>10</v>
      </c>
      <c r="M117" t="inlineStr">
        <is>
          <t>FF000000</t>
        </is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Income</t>
        </is>
      </c>
      <c r="B118" t="inlineStr">
        <is>
          <t>G16</t>
        </is>
      </c>
      <c r="C118" t="n">
        <v>16</v>
      </c>
      <c r="D118" t="n">
        <v>7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M118" t="inlineStr">
        <is>
          <t>FF000000</t>
        </is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Income</t>
        </is>
      </c>
      <c r="B119" t="inlineStr">
        <is>
          <t>H16</t>
        </is>
      </c>
      <c r="C119" t="n">
        <v>16</v>
      </c>
      <c r="D119" t="n">
        <v>8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M119" t="n">
        <v/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Income</t>
        </is>
      </c>
      <c r="B120" t="inlineStr">
        <is>
          <t>I16</t>
        </is>
      </c>
      <c r="C120" t="n">
        <v>16</v>
      </c>
      <c r="D120" t="n">
        <v>9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M120" t="n">
        <v/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Income</t>
        </is>
      </c>
      <c r="B121" t="inlineStr">
        <is>
          <t>A17</t>
        </is>
      </c>
      <c r="C121" t="n">
        <v>17</v>
      </c>
      <c r="D121" t="n">
        <v>1</v>
      </c>
      <c r="E121" t="inlineStr">
        <is>
          <t>Input</t>
        </is>
      </c>
      <c r="F121" t="n">
        <v/>
      </c>
      <c r="G121" t="inlineStr">
        <is>
          <t>Pre-tax income</t>
        </is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M121" t="inlineStr">
        <is>
          <t>FF000000</t>
        </is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Income</t>
        </is>
      </c>
      <c r="B122" t="inlineStr">
        <is>
          <t>B17</t>
        </is>
      </c>
      <c r="C122" t="n">
        <v>17</v>
      </c>
      <c r="D122" t="n">
        <v>2</v>
      </c>
      <c r="E122" t="inlineStr">
        <is>
          <t>Input</t>
        </is>
      </c>
      <c r="F122" t="n">
        <v/>
      </c>
      <c r="H122" t="inlineStr"/>
      <c r="I122" t="inlineStr">
        <is>
          <t>_(* #,##0_);_(* \(#,##0\);_(* \-??_);_(@_)</t>
        </is>
      </c>
      <c r="J122" t="b">
        <v>1</v>
      </c>
      <c r="K122" t="b">
        <v>0</v>
      </c>
      <c r="L122" t="n">
        <v>10</v>
      </c>
      <c r="M122" t="inlineStr">
        <is>
          <t>FF000000</t>
        </is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Income</t>
        </is>
      </c>
      <c r="B123" t="inlineStr">
        <is>
          <t>C17</t>
        </is>
      </c>
      <c r="C123" t="n">
        <v>17</v>
      </c>
      <c r="D123" t="n">
        <v>3</v>
      </c>
      <c r="E123" t="inlineStr">
        <is>
          <t>Calculation</t>
        </is>
      </c>
      <c r="F123" t="inlineStr">
        <is>
          <t>'=C12</t>
        </is>
      </c>
      <c r="G123" t="n">
        <v>-43.2722513089005</v>
      </c>
      <c r="H123" t="inlineStr"/>
      <c r="I123" t="inlineStr">
        <is>
          <t>_(* #,##0_);_(* \(#,##0\);_(* \-??_);_(@_)</t>
        </is>
      </c>
      <c r="J123" t="b">
        <v>1</v>
      </c>
      <c r="K123" t="b">
        <v>0</v>
      </c>
      <c r="L123" t="n">
        <v>10</v>
      </c>
      <c r="M123" t="inlineStr">
        <is>
          <t>FF000000</t>
        </is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inlineStr">
        <is>
          <t>G000026</t>
        </is>
      </c>
      <c r="T123" t="inlineStr">
        <is>
          <t>Horizontal</t>
        </is>
      </c>
      <c r="U123" t="n">
        <v>3</v>
      </c>
      <c r="V123" t="b">
        <v>1</v>
      </c>
      <c r="W123" t="inlineStr">
        <is>
          <t>Income!C17:E17</t>
        </is>
      </c>
      <c r="X123">
        <f>R[-5]C[0]</f>
        <v/>
      </c>
    </row>
    <row r="124">
      <c r="A124" t="inlineStr">
        <is>
          <t>Income</t>
        </is>
      </c>
      <c r="B124" t="inlineStr">
        <is>
          <t>D17</t>
        </is>
      </c>
      <c r="C124" t="n">
        <v>17</v>
      </c>
      <c r="D124" t="n">
        <v>4</v>
      </c>
      <c r="E124" t="inlineStr">
        <is>
          <t>Calculation</t>
        </is>
      </c>
      <c r="F124" t="inlineStr">
        <is>
          <t>'=D12</t>
        </is>
      </c>
      <c r="G124" t="n">
        <v>-6.36073572544612</v>
      </c>
      <c r="H124" t="inlineStr"/>
      <c r="I124" t="inlineStr">
        <is>
          <t>_(* #,##0_);_(* \(#,##0\);_(* \-??_);_(@_)</t>
        </is>
      </c>
      <c r="J124" t="b">
        <v>1</v>
      </c>
      <c r="K124" t="b">
        <v>0</v>
      </c>
      <c r="L124" t="n">
        <v>10</v>
      </c>
      <c r="M124" t="inlineStr">
        <is>
          <t>FF000000</t>
        </is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inlineStr">
        <is>
          <t>G000026</t>
        </is>
      </c>
      <c r="T124" t="inlineStr">
        <is>
          <t>Horizontal</t>
        </is>
      </c>
      <c r="U124" t="n">
        <v>3</v>
      </c>
      <c r="V124" t="b">
        <v>1</v>
      </c>
      <c r="W124" t="inlineStr">
        <is>
          <t>Income!C17:E17</t>
        </is>
      </c>
      <c r="X124">
        <f>R[-5]C[0]</f>
        <v/>
      </c>
    </row>
    <row r="125">
      <c r="A125" t="inlineStr">
        <is>
          <t>Income</t>
        </is>
      </c>
      <c r="B125" t="inlineStr">
        <is>
          <t>E17</t>
        </is>
      </c>
      <c r="C125" t="n">
        <v>17</v>
      </c>
      <c r="D125" t="n">
        <v>5</v>
      </c>
      <c r="E125" t="inlineStr">
        <is>
          <t>Calculation</t>
        </is>
      </c>
      <c r="F125" t="inlineStr">
        <is>
          <t>'=E12</t>
        </is>
      </c>
      <c r="G125" t="n">
        <v>32.1209750438836</v>
      </c>
      <c r="H125" t="inlineStr"/>
      <c r="I125" t="inlineStr">
        <is>
          <t>_(* #,##0_);_(* \(#,##0\);_(* \-??_);_(@_)</t>
        </is>
      </c>
      <c r="J125" t="b">
        <v>1</v>
      </c>
      <c r="K125" t="b">
        <v>0</v>
      </c>
      <c r="L125" t="n">
        <v>10</v>
      </c>
      <c r="M125" t="inlineStr">
        <is>
          <t>FF000000</t>
        </is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1</v>
      </c>
      <c r="S125" t="inlineStr">
        <is>
          <t>G000026</t>
        </is>
      </c>
      <c r="T125" t="inlineStr">
        <is>
          <t>Horizontal</t>
        </is>
      </c>
      <c r="U125" t="n">
        <v>3</v>
      </c>
      <c r="V125" t="b">
        <v>1</v>
      </c>
      <c r="W125" t="inlineStr">
        <is>
          <t>Income!C17:E17</t>
        </is>
      </c>
      <c r="X125">
        <f>R[-5]C[0]</f>
        <v/>
      </c>
    </row>
    <row r="126">
      <c r="A126" t="inlineStr">
        <is>
          <t>Income</t>
        </is>
      </c>
      <c r="B126" t="inlineStr">
        <is>
          <t>F17</t>
        </is>
      </c>
      <c r="C126" t="n">
        <v>17</v>
      </c>
      <c r="D126" t="n">
        <v>6</v>
      </c>
      <c r="E126" t="inlineStr">
        <is>
          <t>Input</t>
        </is>
      </c>
      <c r="F126" t="n">
        <v/>
      </c>
      <c r="H126" t="inlineStr"/>
      <c r="I126" t="inlineStr">
        <is>
          <t>_(* #,##0_);_(* \(#,##0\);_(* \-??_);_(@_)</t>
        </is>
      </c>
      <c r="J126" t="b">
        <v>1</v>
      </c>
      <c r="K126" t="b">
        <v>0</v>
      </c>
      <c r="L126" t="n">
        <v>10</v>
      </c>
      <c r="M126" t="inlineStr">
        <is>
          <t>FF000000</t>
        </is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Income</t>
        </is>
      </c>
      <c r="B127" t="inlineStr">
        <is>
          <t>G17</t>
        </is>
      </c>
      <c r="C127" t="n">
        <v>17</v>
      </c>
      <c r="D127" t="n">
        <v>7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0</v>
      </c>
      <c r="L127" t="n">
        <v>10</v>
      </c>
      <c r="M127" t="inlineStr">
        <is>
          <t>FF000000</t>
        </is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Income</t>
        </is>
      </c>
      <c r="B128" t="inlineStr">
        <is>
          <t>H17</t>
        </is>
      </c>
      <c r="C128" t="n">
        <v>17</v>
      </c>
      <c r="D128" t="n">
        <v>8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1</v>
      </c>
      <c r="K128" t="b">
        <v>0</v>
      </c>
      <c r="L128" t="n">
        <v>10</v>
      </c>
      <c r="M128" t="n">
        <v/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Income</t>
        </is>
      </c>
      <c r="B129" t="inlineStr">
        <is>
          <t>I17</t>
        </is>
      </c>
      <c r="C129" t="n">
        <v>17</v>
      </c>
      <c r="D129" t="n">
        <v>9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Income</t>
        </is>
      </c>
      <c r="B130" t="inlineStr">
        <is>
          <t>A18</t>
        </is>
      </c>
      <c r="C130" t="n">
        <v>18</v>
      </c>
      <c r="D130" t="n">
        <v>1</v>
      </c>
      <c r="E130" t="inlineStr">
        <is>
          <t>Input</t>
        </is>
      </c>
      <c r="F130" t="n">
        <v/>
      </c>
      <c r="G130" t="inlineStr">
        <is>
          <t>Less taxes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M130" t="inlineStr">
        <is>
          <t>FF000000</t>
        </is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Income</t>
        </is>
      </c>
      <c r="B131" t="inlineStr">
        <is>
          <t>B18</t>
        </is>
      </c>
      <c r="C131" t="n">
        <v>18</v>
      </c>
      <c r="D131" t="n">
        <v>2</v>
      </c>
      <c r="E131" t="inlineStr">
        <is>
          <t>Input</t>
        </is>
      </c>
      <c r="F131" t="n">
        <v/>
      </c>
      <c r="H131" t="inlineStr"/>
      <c r="I131" t="inlineStr">
        <is>
          <t>_(* #,##0_);_(* \(#,##0\);_(* \-??_);_(@_)</t>
        </is>
      </c>
      <c r="J131" t="b">
        <v>1</v>
      </c>
      <c r="K131" t="b">
        <v>0</v>
      </c>
      <c r="L131" t="n">
        <v>10</v>
      </c>
      <c r="M131" t="inlineStr">
        <is>
          <t>FF000000</t>
        </is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Income</t>
        </is>
      </c>
      <c r="B132" t="inlineStr">
        <is>
          <t>C18</t>
        </is>
      </c>
      <c r="C132" t="n">
        <v>18</v>
      </c>
      <c r="D132" t="n">
        <v>3</v>
      </c>
      <c r="E132" t="inlineStr">
        <is>
          <t>Calculation</t>
        </is>
      </c>
      <c r="F132" t="inlineStr">
        <is>
          <t>'=-C15</t>
        </is>
      </c>
      <c r="G132" t="n">
        <v>0</v>
      </c>
      <c r="H132" t="inlineStr"/>
      <c r="I132" t="inlineStr">
        <is>
          <t>_(* #,##0_);_(* \(#,##0\);_(* \-??_);_(@_)</t>
        </is>
      </c>
      <c r="J132" t="b">
        <v>1</v>
      </c>
      <c r="K132" t="b">
        <v>0</v>
      </c>
      <c r="L132" t="n">
        <v>10</v>
      </c>
      <c r="M132" t="inlineStr">
        <is>
          <t>FF000000</t>
        </is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inlineStr">
        <is>
          <t>G000027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Income!C18:E18</t>
        </is>
      </c>
      <c r="X132">
        <f>-R[-3]C[0]</f>
        <v/>
      </c>
    </row>
    <row r="133">
      <c r="A133" t="inlineStr">
        <is>
          <t>Income</t>
        </is>
      </c>
      <c r="B133" t="inlineStr">
        <is>
          <t>D18</t>
        </is>
      </c>
      <c r="C133" t="n">
        <v>18</v>
      </c>
      <c r="D133" t="n">
        <v>4</v>
      </c>
      <c r="E133" t="inlineStr">
        <is>
          <t>Calculation</t>
        </is>
      </c>
      <c r="F133" t="inlineStr">
        <is>
          <t>'=-D15</t>
        </is>
      </c>
      <c r="G133" t="n">
        <v>0</v>
      </c>
      <c r="H133" t="inlineStr"/>
      <c r="I133" t="inlineStr">
        <is>
          <t>_(* #,##0_);_(* \(#,##0\);_(* \-??_);_(@_)</t>
        </is>
      </c>
      <c r="J133" t="b">
        <v>1</v>
      </c>
      <c r="K133" t="b">
        <v>0</v>
      </c>
      <c r="L133" t="n">
        <v>10</v>
      </c>
      <c r="M133" t="inlineStr">
        <is>
          <t>FF000000</t>
        </is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inlineStr">
        <is>
          <t>G000027</t>
        </is>
      </c>
      <c r="T133" t="inlineStr">
        <is>
          <t>Horizontal</t>
        </is>
      </c>
      <c r="U133" t="n">
        <v>3</v>
      </c>
      <c r="V133" t="b">
        <v>1</v>
      </c>
      <c r="W133" t="inlineStr">
        <is>
          <t>Income!C18:E18</t>
        </is>
      </c>
      <c r="X133">
        <f>-R[-3]C[0]</f>
        <v/>
      </c>
    </row>
    <row r="134">
      <c r="A134" t="inlineStr">
        <is>
          <t>Income</t>
        </is>
      </c>
      <c r="B134" t="inlineStr">
        <is>
          <t>E18</t>
        </is>
      </c>
      <c r="C134" t="n">
        <v>18</v>
      </c>
      <c r="D134" t="n">
        <v>5</v>
      </c>
      <c r="E134" t="inlineStr">
        <is>
          <t>Calculation</t>
        </is>
      </c>
      <c r="F134" t="inlineStr">
        <is>
          <t>'=-E15</t>
        </is>
      </c>
      <c r="G134" t="n">
        <v>0</v>
      </c>
      <c r="H134" t="inlineStr"/>
      <c r="I134" t="inlineStr">
        <is>
          <t>_(* #,##0_);_(* \(#,##0\);_(* \-??_);_(@_)</t>
        </is>
      </c>
      <c r="J134" t="b">
        <v>1</v>
      </c>
      <c r="K134" t="b">
        <v>0</v>
      </c>
      <c r="L134" t="n">
        <v>10</v>
      </c>
      <c r="M134" t="inlineStr">
        <is>
          <t>FF000000</t>
        </is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1</v>
      </c>
      <c r="S134" t="inlineStr">
        <is>
          <t>G000027</t>
        </is>
      </c>
      <c r="T134" t="inlineStr">
        <is>
          <t>Horizontal</t>
        </is>
      </c>
      <c r="U134" t="n">
        <v>3</v>
      </c>
      <c r="V134" t="b">
        <v>1</v>
      </c>
      <c r="W134" t="inlineStr">
        <is>
          <t>Income!C18:E18</t>
        </is>
      </c>
      <c r="X134">
        <f>-R[-3]C[0]</f>
        <v/>
      </c>
    </row>
    <row r="135">
      <c r="A135" t="inlineStr">
        <is>
          <t>Income</t>
        </is>
      </c>
      <c r="B135" t="inlineStr">
        <is>
          <t>F18</t>
        </is>
      </c>
      <c r="C135" t="n">
        <v>18</v>
      </c>
      <c r="D135" t="n">
        <v>6</v>
      </c>
      <c r="E135" t="inlineStr">
        <is>
          <t>Input</t>
        </is>
      </c>
      <c r="F135" t="n">
        <v/>
      </c>
      <c r="H135" t="inlineStr"/>
      <c r="I135" t="inlineStr">
        <is>
          <t>_(* #,##0_);_(* \(#,##0\);_(* \-??_);_(@_)</t>
        </is>
      </c>
      <c r="J135" t="b">
        <v>1</v>
      </c>
      <c r="K135" t="b">
        <v>0</v>
      </c>
      <c r="L135" t="n">
        <v>10</v>
      </c>
      <c r="M135" t="inlineStr">
        <is>
          <t>FF000000</t>
        </is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Income</t>
        </is>
      </c>
      <c r="B136" t="inlineStr">
        <is>
          <t>G18</t>
        </is>
      </c>
      <c r="C136" t="n">
        <v>18</v>
      </c>
      <c r="D136" t="n">
        <v>7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0</v>
      </c>
      <c r="L136" t="n">
        <v>10</v>
      </c>
      <c r="M136" t="inlineStr">
        <is>
          <t>FF000000</t>
        </is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Income</t>
        </is>
      </c>
      <c r="B137" t="inlineStr">
        <is>
          <t>H18</t>
        </is>
      </c>
      <c r="C137" t="n">
        <v>18</v>
      </c>
      <c r="D137" t="n">
        <v>8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Income</t>
        </is>
      </c>
      <c r="B138" t="inlineStr">
        <is>
          <t>I18</t>
        </is>
      </c>
      <c r="C138" t="n">
        <v>18</v>
      </c>
      <c r="D138" t="n">
        <v>9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Income</t>
        </is>
      </c>
      <c r="B139" t="inlineStr">
        <is>
          <t>A19</t>
        </is>
      </c>
      <c r="C139" t="n">
        <v>19</v>
      </c>
      <c r="D139" t="n">
        <v>1</v>
      </c>
      <c r="E139" t="inlineStr">
        <is>
          <t>Input</t>
        </is>
      </c>
      <c r="F139" t="n">
        <v/>
      </c>
      <c r="G139" t="inlineStr">
        <is>
          <t>Net income</t>
        </is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inlineStr">
        <is>
          <t>FF0000FF</t>
        </is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Income</t>
        </is>
      </c>
      <c r="B140" t="inlineStr">
        <is>
          <t>B19</t>
        </is>
      </c>
      <c r="C140" t="n">
        <v>19</v>
      </c>
      <c r="D140" t="n">
        <v>2</v>
      </c>
      <c r="E140" t="inlineStr">
        <is>
          <t>Input</t>
        </is>
      </c>
      <c r="F140" t="n">
        <v/>
      </c>
      <c r="H140" t="inlineStr"/>
      <c r="I140" t="inlineStr">
        <is>
          <t>_(* #,##0_);_(* \(#,##0\);_(* \-??_);_(@_)</t>
        </is>
      </c>
      <c r="J140" t="b">
        <v>1</v>
      </c>
      <c r="K140" t="b">
        <v>0</v>
      </c>
      <c r="L140" t="n">
        <v>10</v>
      </c>
      <c r="M140" t="inlineStr">
        <is>
          <t>FF0000FF</t>
        </is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Income</t>
        </is>
      </c>
      <c r="B141" t="inlineStr">
        <is>
          <t>C19</t>
        </is>
      </c>
      <c r="C141" t="n">
        <v>19</v>
      </c>
      <c r="D141" t="n">
        <v>3</v>
      </c>
      <c r="E141" t="inlineStr">
        <is>
          <t>Calculation</t>
        </is>
      </c>
      <c r="F141" t="inlineStr">
        <is>
          <t>'=C17+C18</t>
        </is>
      </c>
      <c r="G141" t="n">
        <v>-43.2722513089005</v>
      </c>
      <c r="H141" t="inlineStr"/>
      <c r="I141" t="inlineStr">
        <is>
          <t>_(* #,##0_);_(* \(#,##0\);_(* \-??_);_(@_)</t>
        </is>
      </c>
      <c r="J141" t="b">
        <v>1</v>
      </c>
      <c r="K141" t="b">
        <v>0</v>
      </c>
      <c r="L141" t="n">
        <v>10</v>
      </c>
      <c r="M141" t="inlineStr">
        <is>
          <t>FF0000FF</t>
        </is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1</v>
      </c>
      <c r="S141" t="inlineStr">
        <is>
          <t>G000019</t>
        </is>
      </c>
      <c r="T141" t="inlineStr">
        <is>
          <t>Horizontal</t>
        </is>
      </c>
      <c r="U141" t="n">
        <v>3</v>
      </c>
      <c r="V141" t="b">
        <v>1</v>
      </c>
      <c r="W141" t="inlineStr">
        <is>
          <t>Income!C19:E19</t>
        </is>
      </c>
      <c r="X141">
        <f>R[-2]C[0]+R[-1]C[0]</f>
        <v/>
      </c>
    </row>
    <row r="142">
      <c r="A142" t="inlineStr">
        <is>
          <t>Income</t>
        </is>
      </c>
      <c r="B142" t="inlineStr">
        <is>
          <t>D19</t>
        </is>
      </c>
      <c r="C142" t="n">
        <v>19</v>
      </c>
      <c r="D142" t="n">
        <v>4</v>
      </c>
      <c r="E142" t="inlineStr">
        <is>
          <t>Calculation</t>
        </is>
      </c>
      <c r="F142" t="inlineStr">
        <is>
          <t>'=D17+D18</t>
        </is>
      </c>
      <c r="G142" t="n">
        <v>-6.36073572544612</v>
      </c>
      <c r="H142" t="inlineStr"/>
      <c r="I142" t="inlineStr">
        <is>
          <t>_(* #,##0_);_(* \(#,##0\);_(* \-??_);_(@_)</t>
        </is>
      </c>
      <c r="J142" t="b">
        <v>1</v>
      </c>
      <c r="K142" t="b">
        <v>0</v>
      </c>
      <c r="L142" t="n">
        <v>10</v>
      </c>
      <c r="M142" t="inlineStr">
        <is>
          <t>FF0000FF</t>
        </is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inlineStr">
        <is>
          <t>G000019</t>
        </is>
      </c>
      <c r="T142" t="inlineStr">
        <is>
          <t>Horizontal</t>
        </is>
      </c>
      <c r="U142" t="n">
        <v>3</v>
      </c>
      <c r="V142" t="b">
        <v>1</v>
      </c>
      <c r="W142" t="inlineStr">
        <is>
          <t>Income!C19:E19</t>
        </is>
      </c>
      <c r="X142">
        <f>R[-2]C[0]+R[-1]C[0]</f>
        <v/>
      </c>
    </row>
    <row r="143">
      <c r="A143" t="inlineStr">
        <is>
          <t>Income</t>
        </is>
      </c>
      <c r="B143" t="inlineStr">
        <is>
          <t>E19</t>
        </is>
      </c>
      <c r="C143" t="n">
        <v>19</v>
      </c>
      <c r="D143" t="n">
        <v>5</v>
      </c>
      <c r="E143" t="inlineStr">
        <is>
          <t>Calculation</t>
        </is>
      </c>
      <c r="F143" t="inlineStr">
        <is>
          <t>'=E17+E18</t>
        </is>
      </c>
      <c r="G143" t="n">
        <v>32.1209750438836</v>
      </c>
      <c r="H143" t="inlineStr"/>
      <c r="I143" t="inlineStr">
        <is>
          <t>_(* #,##0_);_(* \(#,##0\);_(* \-??_);_(@_)</t>
        </is>
      </c>
      <c r="J143" t="b">
        <v>1</v>
      </c>
      <c r="K143" t="b">
        <v>0</v>
      </c>
      <c r="L143" t="n">
        <v>10</v>
      </c>
      <c r="M143" t="inlineStr">
        <is>
          <t>FF0000FF</t>
        </is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inlineStr">
        <is>
          <t>G000019</t>
        </is>
      </c>
      <c r="T143" t="inlineStr">
        <is>
          <t>Horizontal</t>
        </is>
      </c>
      <c r="U143" t="n">
        <v>3</v>
      </c>
      <c r="V143" t="b">
        <v>1</v>
      </c>
      <c r="W143" t="inlineStr">
        <is>
          <t>Income!C19:E19</t>
        </is>
      </c>
      <c r="X143">
        <f>R[-2]C[0]+R[-1]C[0]</f>
        <v/>
      </c>
    </row>
    <row r="144">
      <c r="A144" t="inlineStr">
        <is>
          <t>Income</t>
        </is>
      </c>
      <c r="B144" t="inlineStr">
        <is>
          <t>F19</t>
        </is>
      </c>
      <c r="C144" t="n">
        <v>19</v>
      </c>
      <c r="D144" t="n">
        <v>6</v>
      </c>
      <c r="E144" t="inlineStr">
        <is>
          <t>Input</t>
        </is>
      </c>
      <c r="F144" t="n">
        <v/>
      </c>
      <c r="H144" t="inlineStr"/>
      <c r="I144" t="inlineStr">
        <is>
          <t>_(* #,##0_);_(* \(#,##0\);_(* \-??_);_(@_)</t>
        </is>
      </c>
      <c r="J144" t="b">
        <v>1</v>
      </c>
      <c r="K144" t="b">
        <v>0</v>
      </c>
      <c r="L144" t="n">
        <v>10</v>
      </c>
      <c r="M144" t="inlineStr">
        <is>
          <t>FF000000</t>
        </is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Income</t>
        </is>
      </c>
      <c r="B145" t="inlineStr">
        <is>
          <t>G19</t>
        </is>
      </c>
      <c r="C145" t="n">
        <v>19</v>
      </c>
      <c r="D145" t="n">
        <v>7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M145" t="inlineStr">
        <is>
          <t>FF000000</t>
        </is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Income</t>
        </is>
      </c>
      <c r="B146" t="inlineStr">
        <is>
          <t>H19</t>
        </is>
      </c>
      <c r="C146" t="n">
        <v>19</v>
      </c>
      <c r="D146" t="n">
        <v>8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Income</t>
        </is>
      </c>
      <c r="B147" t="inlineStr">
        <is>
          <t>I19</t>
        </is>
      </c>
      <c r="C147" t="n">
        <v>19</v>
      </c>
      <c r="D147" t="n">
        <v>9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M147" t="n">
        <v/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Income</t>
        </is>
      </c>
      <c r="B148" t="inlineStr">
        <is>
          <t>A20</t>
        </is>
      </c>
      <c r="C148" t="n">
        <v>20</v>
      </c>
      <c r="D148" t="n">
        <v>1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M148" t="inlineStr">
        <is>
          <t>FF000000</t>
        </is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Income</t>
        </is>
      </c>
      <c r="B149" t="inlineStr">
        <is>
          <t>B20</t>
        </is>
      </c>
      <c r="C149" t="n">
        <v>20</v>
      </c>
      <c r="D149" t="n">
        <v>2</v>
      </c>
      <c r="E149" t="inlineStr">
        <is>
          <t>Input</t>
        </is>
      </c>
      <c r="F149" t="n">
        <v/>
      </c>
      <c r="H149" t="inlineStr"/>
      <c r="I149" t="inlineStr">
        <is>
          <t>_(* #,##0_);_(* \(#,##0\);_(* \-??_);_(@_)</t>
        </is>
      </c>
      <c r="J149" t="b">
        <v>1</v>
      </c>
      <c r="K149" t="b">
        <v>0</v>
      </c>
      <c r="L149" t="n">
        <v>10</v>
      </c>
      <c r="M149" t="inlineStr">
        <is>
          <t>FF000000</t>
        </is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Income</t>
        </is>
      </c>
      <c r="B150" t="inlineStr">
        <is>
          <t>C20</t>
        </is>
      </c>
      <c r="C150" t="n">
        <v>20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_(* #,##0_);_(* \(#,##0\);_(* \-??_);_(@_)</t>
        </is>
      </c>
      <c r="J150" t="b">
        <v>1</v>
      </c>
      <c r="K150" t="b">
        <v>0</v>
      </c>
      <c r="L150" t="n">
        <v>10</v>
      </c>
      <c r="M150" t="inlineStr">
        <is>
          <t>FF000000</t>
        </is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Income</t>
        </is>
      </c>
      <c r="B151" t="inlineStr">
        <is>
          <t>D20</t>
        </is>
      </c>
      <c r="C151" t="n">
        <v>20</v>
      </c>
      <c r="D151" t="n">
        <v>4</v>
      </c>
      <c r="E151" t="inlineStr">
        <is>
          <t>Input</t>
        </is>
      </c>
      <c r="F151" t="n">
        <v/>
      </c>
      <c r="H151" t="inlineStr"/>
      <c r="I151" t="inlineStr">
        <is>
          <t>_(* #,##0_);_(* \(#,##0\);_(* \-??_);_(@_)</t>
        </is>
      </c>
      <c r="J151" t="b">
        <v>1</v>
      </c>
      <c r="K151" t="b">
        <v>0</v>
      </c>
      <c r="L151" t="n">
        <v>10</v>
      </c>
      <c r="M151" t="inlineStr">
        <is>
          <t>FF000000</t>
        </is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Income</t>
        </is>
      </c>
      <c r="B152" t="inlineStr">
        <is>
          <t>E20</t>
        </is>
      </c>
      <c r="C152" t="n">
        <v>20</v>
      </c>
      <c r="D152" t="n">
        <v>5</v>
      </c>
      <c r="E152" t="inlineStr">
        <is>
          <t>Input</t>
        </is>
      </c>
      <c r="F152" t="n">
        <v/>
      </c>
      <c r="H152" t="inlineStr"/>
      <c r="I152" t="inlineStr">
        <is>
          <t>_(* #,##0_);_(* \(#,##0\);_(* \-??_);_(@_)</t>
        </is>
      </c>
      <c r="J152" t="b">
        <v>1</v>
      </c>
      <c r="K152" t="b">
        <v>0</v>
      </c>
      <c r="L152" t="n">
        <v>10</v>
      </c>
      <c r="M152" t="inlineStr">
        <is>
          <t>FF000000</t>
        </is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Income</t>
        </is>
      </c>
      <c r="B153" t="inlineStr">
        <is>
          <t>F20</t>
        </is>
      </c>
      <c r="C153" t="n">
        <v>20</v>
      </c>
      <c r="D153" t="n">
        <v>6</v>
      </c>
      <c r="E153" t="inlineStr">
        <is>
          <t>Input</t>
        </is>
      </c>
      <c r="F153" t="n">
        <v/>
      </c>
      <c r="H153" t="inlineStr"/>
      <c r="I153" t="inlineStr">
        <is>
          <t>_(* #,##0_);_(* \(#,##0\);_(* \-??_);_(@_)</t>
        </is>
      </c>
      <c r="J153" t="b">
        <v>1</v>
      </c>
      <c r="K153" t="b">
        <v>0</v>
      </c>
      <c r="L153" t="n">
        <v>10</v>
      </c>
      <c r="M153" t="inlineStr">
        <is>
          <t>FF000000</t>
        </is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Income</t>
        </is>
      </c>
      <c r="B154" t="inlineStr">
        <is>
          <t>G20</t>
        </is>
      </c>
      <c r="C154" t="n">
        <v>20</v>
      </c>
      <c r="D154" t="n">
        <v>7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10</v>
      </c>
      <c r="M154" t="inlineStr">
        <is>
          <t>FF000000</t>
        </is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Income</t>
        </is>
      </c>
      <c r="B155" t="inlineStr">
        <is>
          <t>H20</t>
        </is>
      </c>
      <c r="C155" t="n">
        <v>20</v>
      </c>
      <c r="D155" t="n">
        <v>8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n">
        <v/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Income</t>
        </is>
      </c>
      <c r="B156" t="inlineStr">
        <is>
          <t>I20</t>
        </is>
      </c>
      <c r="C156" t="n">
        <v>20</v>
      </c>
      <c r="D156" t="n">
        <v>9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10</v>
      </c>
      <c r="M156" t="n">
        <v/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Income</t>
        </is>
      </c>
      <c r="B157" t="inlineStr">
        <is>
          <t>A21</t>
        </is>
      </c>
      <c r="C157" t="n">
        <v>21</v>
      </c>
      <c r="D157" t="n">
        <v>1</v>
      </c>
      <c r="E157" t="inlineStr">
        <is>
          <t>Input</t>
        </is>
      </c>
      <c r="F157" t="n">
        <v/>
      </c>
      <c r="G157" t="inlineStr">
        <is>
          <t>Note:  Net operating losses can be carried forward or backwards.  There is a limit on the</t>
        </is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10</v>
      </c>
      <c r="M157" t="inlineStr">
        <is>
          <t>FF000000</t>
        </is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Income</t>
        </is>
      </c>
      <c r="B158" t="inlineStr">
        <is>
          <t>B21</t>
        </is>
      </c>
      <c r="C158" t="n">
        <v>21</v>
      </c>
      <c r="D158" t="n">
        <v>2</v>
      </c>
      <c r="E158" t="inlineStr">
        <is>
          <t>Input</t>
        </is>
      </c>
      <c r="F158" t="n">
        <v/>
      </c>
      <c r="H158" t="inlineStr"/>
      <c r="I158" t="inlineStr">
        <is>
          <t>_(* #,##0_);_(* \(#,##0\);_(* \-??_);_(@_)</t>
        </is>
      </c>
      <c r="J158" t="b">
        <v>1</v>
      </c>
      <c r="K158" t="b">
        <v>0</v>
      </c>
      <c r="L158" t="n">
        <v>10</v>
      </c>
      <c r="M158" t="inlineStr">
        <is>
          <t>FF000000</t>
        </is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Income</t>
        </is>
      </c>
      <c r="B159" t="inlineStr">
        <is>
          <t>C21</t>
        </is>
      </c>
      <c r="C159" t="n">
        <v>21</v>
      </c>
      <c r="D159" t="n">
        <v>3</v>
      </c>
      <c r="E159" t="inlineStr">
        <is>
          <t>Input</t>
        </is>
      </c>
      <c r="F159" t="n">
        <v/>
      </c>
      <c r="H159" t="inlineStr"/>
      <c r="I159" t="inlineStr">
        <is>
          <t>_(* #,##0_);_(* \(#,##0\);_(* \-??_);_(@_)</t>
        </is>
      </c>
      <c r="J159" t="b">
        <v>1</v>
      </c>
      <c r="K159" t="b">
        <v>0</v>
      </c>
      <c r="L159" t="n">
        <v>10</v>
      </c>
      <c r="M159" t="inlineStr">
        <is>
          <t>FF000000</t>
        </is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Income</t>
        </is>
      </c>
      <c r="B160" t="inlineStr">
        <is>
          <t>D21</t>
        </is>
      </c>
      <c r="C160" t="n">
        <v>21</v>
      </c>
      <c r="D160" t="n">
        <v>4</v>
      </c>
      <c r="E160" t="inlineStr">
        <is>
          <t>Input</t>
        </is>
      </c>
      <c r="F160" t="n">
        <v/>
      </c>
      <c r="H160" t="inlineStr"/>
      <c r="I160" t="inlineStr">
        <is>
          <t>_(* #,##0_);_(* \(#,##0\);_(* \-??_);_(@_)</t>
        </is>
      </c>
      <c r="J160" t="b">
        <v>1</v>
      </c>
      <c r="K160" t="b">
        <v>0</v>
      </c>
      <c r="L160" t="n">
        <v>10</v>
      </c>
      <c r="M160" t="inlineStr">
        <is>
          <t>FF000000</t>
        </is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Income</t>
        </is>
      </c>
      <c r="B161" t="inlineStr">
        <is>
          <t>E21</t>
        </is>
      </c>
      <c r="C161" t="n">
        <v>21</v>
      </c>
      <c r="D161" t="n">
        <v>5</v>
      </c>
      <c r="E161" t="inlineStr">
        <is>
          <t>Input</t>
        </is>
      </c>
      <c r="F161" t="n">
        <v/>
      </c>
      <c r="H161" t="inlineStr"/>
      <c r="I161" t="inlineStr">
        <is>
          <t>_(* #,##0_);_(* \(#,##0\);_(* \-??_);_(@_)</t>
        </is>
      </c>
      <c r="J161" t="b">
        <v>1</v>
      </c>
      <c r="K161" t="b">
        <v>0</v>
      </c>
      <c r="L161" t="n">
        <v>10</v>
      </c>
      <c r="M161" t="inlineStr">
        <is>
          <t>FF000000</t>
        </is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Income</t>
        </is>
      </c>
      <c r="B162" t="inlineStr">
        <is>
          <t>F21</t>
        </is>
      </c>
      <c r="C162" t="n">
        <v>21</v>
      </c>
      <c r="D162" t="n">
        <v>6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M162" t="inlineStr">
        <is>
          <t>FF000000</t>
        </is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Income</t>
        </is>
      </c>
      <c r="B163" t="inlineStr">
        <is>
          <t>G21</t>
        </is>
      </c>
      <c r="C163" t="n">
        <v>21</v>
      </c>
      <c r="D163" t="n">
        <v>7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10</v>
      </c>
      <c r="M163" t="inlineStr">
        <is>
          <t>FF000000</t>
        </is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Income</t>
        </is>
      </c>
      <c r="B164" t="inlineStr">
        <is>
          <t>H21</t>
        </is>
      </c>
      <c r="C164" t="n">
        <v>21</v>
      </c>
      <c r="D164" t="n">
        <v>8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10</v>
      </c>
      <c r="M164" t="n">
        <v/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Income</t>
        </is>
      </c>
      <c r="B165" t="inlineStr">
        <is>
          <t>I21</t>
        </is>
      </c>
      <c r="C165" t="n">
        <v>21</v>
      </c>
      <c r="D165" t="n">
        <v>9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M165" t="n">
        <v/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Income</t>
        </is>
      </c>
      <c r="B166" t="inlineStr">
        <is>
          <t>A22</t>
        </is>
      </c>
      <c r="C166" t="n">
        <v>22</v>
      </c>
      <c r="D166" t="n">
        <v>1</v>
      </c>
      <c r="E166" t="inlineStr">
        <is>
          <t>Input</t>
        </is>
      </c>
      <c r="F166" t="n">
        <v/>
      </c>
      <c r="G166" t="inlineStr">
        <is>
          <t xml:space="preserve">number of years they can be carried forward or backwards, but this is not incorporated </t>
        </is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M166" t="inlineStr">
        <is>
          <t>FF000000</t>
        </is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Income</t>
        </is>
      </c>
      <c r="B167" t="inlineStr">
        <is>
          <t>B22</t>
        </is>
      </c>
      <c r="C167" t="n">
        <v>22</v>
      </c>
      <c r="D167" t="n">
        <v>2</v>
      </c>
      <c r="E167" t="inlineStr">
        <is>
          <t>Input</t>
        </is>
      </c>
      <c r="F167" t="n">
        <v/>
      </c>
      <c r="H167" t="inlineStr"/>
      <c r="I167" t="inlineStr">
        <is>
          <t>_(* #,##0_);_(* \(#,##0\);_(* \-??_);_(@_)</t>
        </is>
      </c>
      <c r="J167" t="b">
        <v>1</v>
      </c>
      <c r="K167" t="b">
        <v>0</v>
      </c>
      <c r="L167" t="n">
        <v>10</v>
      </c>
      <c r="M167" t="inlineStr">
        <is>
          <t>FF000000</t>
        </is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Income</t>
        </is>
      </c>
      <c r="B168" t="inlineStr">
        <is>
          <t>C22</t>
        </is>
      </c>
      <c r="C168" t="n">
        <v>22</v>
      </c>
      <c r="D168" t="n">
        <v>3</v>
      </c>
      <c r="E168" t="inlineStr">
        <is>
          <t>Input</t>
        </is>
      </c>
      <c r="F168" t="n">
        <v/>
      </c>
      <c r="H168" t="inlineStr"/>
      <c r="I168" t="inlineStr">
        <is>
          <t>_(* #,##0_);_(* \(#,##0\);_(* \-??_);_(@_)</t>
        </is>
      </c>
      <c r="J168" t="b">
        <v>1</v>
      </c>
      <c r="K168" t="b">
        <v>0</v>
      </c>
      <c r="L168" t="n">
        <v>10</v>
      </c>
      <c r="M168" t="inlineStr">
        <is>
          <t>FF000000</t>
        </is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Income</t>
        </is>
      </c>
      <c r="B169" t="inlineStr">
        <is>
          <t>D22</t>
        </is>
      </c>
      <c r="C169" t="n">
        <v>22</v>
      </c>
      <c r="D169" t="n">
        <v>4</v>
      </c>
      <c r="E169" t="inlineStr">
        <is>
          <t>Input</t>
        </is>
      </c>
      <c r="F169" t="n">
        <v/>
      </c>
      <c r="H169" t="inlineStr"/>
      <c r="I169" t="inlineStr">
        <is>
          <t>_(* #,##0_);_(* \(#,##0\);_(* \-??_);_(@_)</t>
        </is>
      </c>
      <c r="J169" t="b">
        <v>1</v>
      </c>
      <c r="K169" t="b">
        <v>0</v>
      </c>
      <c r="L169" t="n">
        <v>10</v>
      </c>
      <c r="M169" t="inlineStr">
        <is>
          <t>FF000000</t>
        </is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Income</t>
        </is>
      </c>
      <c r="B170" t="inlineStr">
        <is>
          <t>E22</t>
        </is>
      </c>
      <c r="C170" t="n">
        <v>22</v>
      </c>
      <c r="D170" t="n">
        <v>5</v>
      </c>
      <c r="E170" t="inlineStr">
        <is>
          <t>Input</t>
        </is>
      </c>
      <c r="F170" t="n">
        <v/>
      </c>
      <c r="H170" t="inlineStr"/>
      <c r="I170" t="inlineStr">
        <is>
          <t>_(* #,##0_);_(* \(#,##0\);_(* \-??_);_(@_)</t>
        </is>
      </c>
      <c r="J170" t="b">
        <v>1</v>
      </c>
      <c r="K170" t="b">
        <v>0</v>
      </c>
      <c r="L170" t="n">
        <v>10</v>
      </c>
      <c r="M170" t="inlineStr">
        <is>
          <t>FF000000</t>
        </is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Income</t>
        </is>
      </c>
      <c r="B171" t="inlineStr">
        <is>
          <t>F22</t>
        </is>
      </c>
      <c r="C171" t="n">
        <v>22</v>
      </c>
      <c r="D171" t="n">
        <v>6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1</v>
      </c>
      <c r="K171" t="b">
        <v>0</v>
      </c>
      <c r="L171" t="n">
        <v>10</v>
      </c>
      <c r="M171" t="inlineStr">
        <is>
          <t>FF000000</t>
        </is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Income</t>
        </is>
      </c>
      <c r="B172" t="inlineStr">
        <is>
          <t>G22</t>
        </is>
      </c>
      <c r="C172" t="n">
        <v>22</v>
      </c>
      <c r="D172" t="n">
        <v>7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1</v>
      </c>
      <c r="K172" t="b">
        <v>0</v>
      </c>
      <c r="L172" t="n">
        <v>10</v>
      </c>
      <c r="M172" t="inlineStr">
        <is>
          <t>FF000000</t>
        </is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Income</t>
        </is>
      </c>
      <c r="B173" t="inlineStr">
        <is>
          <t>H22</t>
        </is>
      </c>
      <c r="C173" t="n">
        <v>22</v>
      </c>
      <c r="D173" t="n">
        <v>8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10</v>
      </c>
      <c r="M173" t="n">
        <v/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Income</t>
        </is>
      </c>
      <c r="B174" t="inlineStr">
        <is>
          <t>I22</t>
        </is>
      </c>
      <c r="C174" t="n">
        <v>22</v>
      </c>
      <c r="D174" t="n">
        <v>9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1</v>
      </c>
      <c r="K174" t="b">
        <v>0</v>
      </c>
      <c r="L174" t="n">
        <v>10</v>
      </c>
      <c r="M174" t="n">
        <v/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Income</t>
        </is>
      </c>
      <c r="B175" t="inlineStr">
        <is>
          <t>A23</t>
        </is>
      </c>
      <c r="C175" t="n">
        <v>23</v>
      </c>
      <c r="D175" t="n">
        <v>1</v>
      </c>
      <c r="E175" t="inlineStr">
        <is>
          <t>Input</t>
        </is>
      </c>
      <c r="F175" t="n">
        <v/>
      </c>
      <c r="G175" t="inlineStr">
        <is>
          <t>into the spreadsheet.</t>
        </is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10</v>
      </c>
      <c r="M175" t="inlineStr">
        <is>
          <t>FF000000</t>
        </is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Income</t>
        </is>
      </c>
      <c r="B176" t="inlineStr">
        <is>
          <t>B23</t>
        </is>
      </c>
      <c r="C176" t="n">
        <v>23</v>
      </c>
      <c r="D176" t="n">
        <v>2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10</v>
      </c>
      <c r="M176" t="inlineStr">
        <is>
          <t>FF000000</t>
        </is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Income</t>
        </is>
      </c>
      <c r="B177" t="inlineStr">
        <is>
          <t>C23</t>
        </is>
      </c>
      <c r="C177" t="n">
        <v>23</v>
      </c>
      <c r="D177" t="n">
        <v>3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10</v>
      </c>
      <c r="M177" t="inlineStr">
        <is>
          <t>FF000000</t>
        </is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Income</t>
        </is>
      </c>
      <c r="B178" t="inlineStr">
        <is>
          <t>D23</t>
        </is>
      </c>
      <c r="C178" t="n">
        <v>23</v>
      </c>
      <c r="D178" t="n">
        <v>4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1</v>
      </c>
      <c r="K178" t="b">
        <v>0</v>
      </c>
      <c r="L178" t="n">
        <v>10</v>
      </c>
      <c r="M178" t="inlineStr">
        <is>
          <t>FF000000</t>
        </is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Income</t>
        </is>
      </c>
      <c r="B179" t="inlineStr">
        <is>
          <t>E23</t>
        </is>
      </c>
      <c r="C179" t="n">
        <v>23</v>
      </c>
      <c r="D179" t="n">
        <v>5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1</v>
      </c>
      <c r="K179" t="b">
        <v>0</v>
      </c>
      <c r="L179" t="n">
        <v>10</v>
      </c>
      <c r="M179" t="inlineStr">
        <is>
          <t>FF000000</t>
        </is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Income</t>
        </is>
      </c>
      <c r="B180" t="inlineStr">
        <is>
          <t>F23</t>
        </is>
      </c>
      <c r="C180" t="n">
        <v>23</v>
      </c>
      <c r="D180" t="n">
        <v>6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1</v>
      </c>
      <c r="K180" t="b">
        <v>0</v>
      </c>
      <c r="L180" t="n">
        <v>10</v>
      </c>
      <c r="M180" t="inlineStr">
        <is>
          <t>FF000000</t>
        </is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Income</t>
        </is>
      </c>
      <c r="B181" t="inlineStr">
        <is>
          <t>G23</t>
        </is>
      </c>
      <c r="C181" t="n">
        <v>23</v>
      </c>
      <c r="D181" t="n">
        <v>7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1</v>
      </c>
      <c r="K181" t="b">
        <v>0</v>
      </c>
      <c r="L181" t="n">
        <v>10</v>
      </c>
      <c r="M181" t="inlineStr">
        <is>
          <t>FF000000</t>
        </is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Income</t>
        </is>
      </c>
      <c r="B182" t="inlineStr">
        <is>
          <t>H23</t>
        </is>
      </c>
      <c r="C182" t="n">
        <v>23</v>
      </c>
      <c r="D182" t="n">
        <v>8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10</v>
      </c>
      <c r="M182" t="n">
        <v/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Income</t>
        </is>
      </c>
      <c r="B183" t="inlineStr">
        <is>
          <t>I23</t>
        </is>
      </c>
      <c r="C183" t="n">
        <v>23</v>
      </c>
      <c r="D183" t="n">
        <v>9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1</v>
      </c>
      <c r="K183" t="b">
        <v>0</v>
      </c>
      <c r="L183" t="n">
        <v>10</v>
      </c>
      <c r="M183" t="n">
        <v/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Income</t>
        </is>
      </c>
      <c r="B184" t="inlineStr">
        <is>
          <t>A24</t>
        </is>
      </c>
      <c r="C184" t="n">
        <v>24</v>
      </c>
      <c r="D184" t="n">
        <v>1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1</v>
      </c>
      <c r="K184" t="b">
        <v>0</v>
      </c>
      <c r="L184" t="n">
        <v>10</v>
      </c>
      <c r="M184" t="inlineStr">
        <is>
          <t>FF000000</t>
        </is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Income</t>
        </is>
      </c>
      <c r="B185" t="inlineStr">
        <is>
          <t>B24</t>
        </is>
      </c>
      <c r="C185" t="n">
        <v>24</v>
      </c>
      <c r="D185" t="n">
        <v>2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1</v>
      </c>
      <c r="K185" t="b">
        <v>0</v>
      </c>
      <c r="L185" t="n">
        <v>10</v>
      </c>
      <c r="M185" t="inlineStr">
        <is>
          <t>FF000000</t>
        </is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Income</t>
        </is>
      </c>
      <c r="B186" t="inlineStr">
        <is>
          <t>C24</t>
        </is>
      </c>
      <c r="C186" t="n">
        <v>24</v>
      </c>
      <c r="D186" t="n">
        <v>3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1</v>
      </c>
      <c r="K186" t="b">
        <v>0</v>
      </c>
      <c r="L186" t="n">
        <v>10</v>
      </c>
      <c r="M186" t="inlineStr">
        <is>
          <t>FF000000</t>
        </is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Income</t>
        </is>
      </c>
      <c r="B187" t="inlineStr">
        <is>
          <t>D24</t>
        </is>
      </c>
      <c r="C187" t="n">
        <v>24</v>
      </c>
      <c r="D187" t="n">
        <v>4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10</v>
      </c>
      <c r="M187" t="inlineStr">
        <is>
          <t>FF000000</t>
        </is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Income</t>
        </is>
      </c>
      <c r="B188" t="inlineStr">
        <is>
          <t>E24</t>
        </is>
      </c>
      <c r="C188" t="n">
        <v>24</v>
      </c>
      <c r="D188" t="n">
        <v>5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10</v>
      </c>
      <c r="M188" t="inlineStr">
        <is>
          <t>FF000000</t>
        </is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Income</t>
        </is>
      </c>
      <c r="B189" t="inlineStr">
        <is>
          <t>F24</t>
        </is>
      </c>
      <c r="C189" t="n">
        <v>24</v>
      </c>
      <c r="D189" t="n">
        <v>6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10</v>
      </c>
      <c r="M189" t="inlineStr">
        <is>
          <t>FF000000</t>
        </is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Income</t>
        </is>
      </c>
      <c r="B190" t="inlineStr">
        <is>
          <t>G24</t>
        </is>
      </c>
      <c r="C190" t="n">
        <v>24</v>
      </c>
      <c r="D190" t="n">
        <v>7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10</v>
      </c>
      <c r="M190" t="inlineStr">
        <is>
          <t>FF000000</t>
        </is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Income</t>
        </is>
      </c>
      <c r="B191" t="inlineStr">
        <is>
          <t>H24</t>
        </is>
      </c>
      <c r="C191" t="n">
        <v>24</v>
      </c>
      <c r="D191" t="n">
        <v>8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10</v>
      </c>
      <c r="M191" t="n">
        <v/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Income</t>
        </is>
      </c>
      <c r="B192" t="inlineStr">
        <is>
          <t>I24</t>
        </is>
      </c>
      <c r="C192" t="n">
        <v>24</v>
      </c>
      <c r="D192" t="n">
        <v>9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10</v>
      </c>
      <c r="M192" t="n">
        <v/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Income</t>
        </is>
      </c>
      <c r="B193" t="inlineStr">
        <is>
          <t>A25</t>
        </is>
      </c>
      <c r="C193" t="n">
        <v>25</v>
      </c>
      <c r="D193" t="n">
        <v>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10</v>
      </c>
      <c r="M193" t="n">
        <v/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Income</t>
        </is>
      </c>
      <c r="B194" t="inlineStr">
        <is>
          <t>B25</t>
        </is>
      </c>
      <c r="C194" t="n">
        <v>25</v>
      </c>
      <c r="D194" t="n">
        <v>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10</v>
      </c>
      <c r="M194" t="n">
        <v/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Income</t>
        </is>
      </c>
      <c r="B195" t="inlineStr">
        <is>
          <t>C25</t>
        </is>
      </c>
      <c r="C195" t="n">
        <v>25</v>
      </c>
      <c r="D195" t="n">
        <v>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10</v>
      </c>
      <c r="M195" t="n">
        <v/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Income</t>
        </is>
      </c>
      <c r="B196" t="inlineStr">
        <is>
          <t>D25</t>
        </is>
      </c>
      <c r="C196" t="n">
        <v>25</v>
      </c>
      <c r="D196" t="n">
        <v>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10</v>
      </c>
      <c r="M196" t="n">
        <v/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Income</t>
        </is>
      </c>
      <c r="B197" t="inlineStr">
        <is>
          <t>E25</t>
        </is>
      </c>
      <c r="C197" t="n">
        <v>25</v>
      </c>
      <c r="D197" t="n">
        <v>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10</v>
      </c>
      <c r="M197" t="n">
        <v/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Income</t>
        </is>
      </c>
      <c r="B198" t="inlineStr">
        <is>
          <t>F25</t>
        </is>
      </c>
      <c r="C198" t="n">
        <v>25</v>
      </c>
      <c r="D198" t="n">
        <v>6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10</v>
      </c>
      <c r="M198" t="n">
        <v/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Income</t>
        </is>
      </c>
      <c r="B199" t="inlineStr">
        <is>
          <t>G25</t>
        </is>
      </c>
      <c r="C199" t="n">
        <v>25</v>
      </c>
      <c r="D199" t="n">
        <v>7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1</v>
      </c>
      <c r="K199" t="b">
        <v>0</v>
      </c>
      <c r="L199" t="n">
        <v>10</v>
      </c>
      <c r="M199" t="n">
        <v/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Income</t>
        </is>
      </c>
      <c r="B200" t="inlineStr">
        <is>
          <t>H25</t>
        </is>
      </c>
      <c r="C200" t="n">
        <v>25</v>
      </c>
      <c r="D200" t="n">
        <v>8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10</v>
      </c>
      <c r="M200" t="n">
        <v/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Income</t>
        </is>
      </c>
      <c r="B201" t="inlineStr">
        <is>
          <t>I25</t>
        </is>
      </c>
      <c r="C201" t="n">
        <v>25</v>
      </c>
      <c r="D201" t="n">
        <v>9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1</v>
      </c>
      <c r="K201" t="b">
        <v>0</v>
      </c>
      <c r="L201" t="n">
        <v>10</v>
      </c>
      <c r="M201" t="n">
        <v/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Income</t>
        </is>
      </c>
      <c r="B202" t="inlineStr">
        <is>
          <t>A26</t>
        </is>
      </c>
      <c r="C202" t="n">
        <v>26</v>
      </c>
      <c r="D202" t="n">
        <v>1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1</v>
      </c>
      <c r="K202" t="b">
        <v>0</v>
      </c>
      <c r="L202" t="n">
        <v>10</v>
      </c>
      <c r="M202" t="n">
        <v/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Income</t>
        </is>
      </c>
      <c r="B203" t="inlineStr">
        <is>
          <t>B26</t>
        </is>
      </c>
      <c r="C203" t="n">
        <v>26</v>
      </c>
      <c r="D203" t="n">
        <v>2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1</v>
      </c>
      <c r="K203" t="b">
        <v>0</v>
      </c>
      <c r="L203" t="n">
        <v>10</v>
      </c>
      <c r="M203" t="n">
        <v/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Income</t>
        </is>
      </c>
      <c r="B204" t="inlineStr">
        <is>
          <t>C26</t>
        </is>
      </c>
      <c r="C204" t="n">
        <v>26</v>
      </c>
      <c r="D204" t="n">
        <v>3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1</v>
      </c>
      <c r="K204" t="b">
        <v>0</v>
      </c>
      <c r="L204" t="n">
        <v>10</v>
      </c>
      <c r="M204" t="n">
        <v/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Income</t>
        </is>
      </c>
      <c r="B205" t="inlineStr">
        <is>
          <t>D26</t>
        </is>
      </c>
      <c r="C205" t="n">
        <v>26</v>
      </c>
      <c r="D205" t="n">
        <v>4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10</v>
      </c>
      <c r="M205" t="n">
        <v/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Income</t>
        </is>
      </c>
      <c r="B206" t="inlineStr">
        <is>
          <t>E26</t>
        </is>
      </c>
      <c r="C206" t="n">
        <v>26</v>
      </c>
      <c r="D206" t="n">
        <v>5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1</v>
      </c>
      <c r="K206" t="b">
        <v>0</v>
      </c>
      <c r="L206" t="n">
        <v>10</v>
      </c>
      <c r="M206" t="n">
        <v/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Income</t>
        </is>
      </c>
      <c r="B207" t="inlineStr">
        <is>
          <t>F26</t>
        </is>
      </c>
      <c r="C207" t="n">
        <v>26</v>
      </c>
      <c r="D207" t="n">
        <v>6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1</v>
      </c>
      <c r="K207" t="b">
        <v>0</v>
      </c>
      <c r="L207" t="n">
        <v>10</v>
      </c>
      <c r="M207" t="n">
        <v/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Income</t>
        </is>
      </c>
      <c r="B208" t="inlineStr">
        <is>
          <t>G26</t>
        </is>
      </c>
      <c r="C208" t="n">
        <v>26</v>
      </c>
      <c r="D208" t="n">
        <v>7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1</v>
      </c>
      <c r="K208" t="b">
        <v>0</v>
      </c>
      <c r="L208" t="n">
        <v>10</v>
      </c>
      <c r="M208" t="n">
        <v/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Income</t>
        </is>
      </c>
      <c r="B209" t="inlineStr">
        <is>
          <t>H26</t>
        </is>
      </c>
      <c r="C209" t="n">
        <v>26</v>
      </c>
      <c r="D209" t="n">
        <v>8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1</v>
      </c>
      <c r="K209" t="b">
        <v>0</v>
      </c>
      <c r="L209" t="n">
        <v>10</v>
      </c>
      <c r="M209" t="n">
        <v/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Income</t>
        </is>
      </c>
      <c r="B210" t="inlineStr">
        <is>
          <t>I26</t>
        </is>
      </c>
      <c r="C210" t="n">
        <v>26</v>
      </c>
      <c r="D210" t="n">
        <v>9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10</v>
      </c>
      <c r="M210" t="n">
        <v/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Income</t>
        </is>
      </c>
      <c r="B211" t="inlineStr">
        <is>
          <t>A27</t>
        </is>
      </c>
      <c r="C211" t="n">
        <v>27</v>
      </c>
      <c r="D211" t="n">
        <v>1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10</v>
      </c>
      <c r="M211" t="n">
        <v/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Income</t>
        </is>
      </c>
      <c r="B212" t="inlineStr">
        <is>
          <t>B27</t>
        </is>
      </c>
      <c r="C212" t="n">
        <v>27</v>
      </c>
      <c r="D212" t="n">
        <v>2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1</v>
      </c>
      <c r="K212" t="b">
        <v>0</v>
      </c>
      <c r="L212" t="n">
        <v>10</v>
      </c>
      <c r="M212" t="n">
        <v/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Income</t>
        </is>
      </c>
      <c r="B213" t="inlineStr">
        <is>
          <t>C27</t>
        </is>
      </c>
      <c r="C213" t="n">
        <v>27</v>
      </c>
      <c r="D213" t="n">
        <v>3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1</v>
      </c>
      <c r="K213" t="b">
        <v>0</v>
      </c>
      <c r="L213" t="n">
        <v>10</v>
      </c>
      <c r="M213" t="n">
        <v/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Income</t>
        </is>
      </c>
      <c r="B214" t="inlineStr">
        <is>
          <t>D27</t>
        </is>
      </c>
      <c r="C214" t="n">
        <v>27</v>
      </c>
      <c r="D214" t="n">
        <v>4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10</v>
      </c>
      <c r="M214" t="n">
        <v/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Income</t>
        </is>
      </c>
      <c r="B215" t="inlineStr">
        <is>
          <t>E27</t>
        </is>
      </c>
      <c r="C215" t="n">
        <v>27</v>
      </c>
      <c r="D215" t="n">
        <v>5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10</v>
      </c>
      <c r="M215" t="n">
        <v/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Income</t>
        </is>
      </c>
      <c r="B216" t="inlineStr">
        <is>
          <t>F27</t>
        </is>
      </c>
      <c r="C216" t="n">
        <v>27</v>
      </c>
      <c r="D216" t="n">
        <v>6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10</v>
      </c>
      <c r="M216" t="n">
        <v/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Income</t>
        </is>
      </c>
      <c r="B217" t="inlineStr">
        <is>
          <t>G27</t>
        </is>
      </c>
      <c r="C217" t="n">
        <v>27</v>
      </c>
      <c r="D217" t="n">
        <v>7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10</v>
      </c>
      <c r="M217" t="n">
        <v/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Income</t>
        </is>
      </c>
      <c r="B218" t="inlineStr">
        <is>
          <t>H27</t>
        </is>
      </c>
      <c r="C218" t="n">
        <v>27</v>
      </c>
      <c r="D218" t="n">
        <v>8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10</v>
      </c>
      <c r="M218" t="n">
        <v/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Income</t>
        </is>
      </c>
      <c r="B219" t="inlineStr">
        <is>
          <t>I27</t>
        </is>
      </c>
      <c r="C219" t="n">
        <v>27</v>
      </c>
      <c r="D219" t="n">
        <v>9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10</v>
      </c>
      <c r="M219" t="n">
        <v/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Income</t>
        </is>
      </c>
      <c r="B220" t="inlineStr">
        <is>
          <t>A28</t>
        </is>
      </c>
      <c r="C220" t="n">
        <v>28</v>
      </c>
      <c r="D220" t="n">
        <v>1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10</v>
      </c>
      <c r="M220" t="n">
        <v/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Income</t>
        </is>
      </c>
      <c r="B221" t="inlineStr">
        <is>
          <t>B28</t>
        </is>
      </c>
      <c r="C221" t="n">
        <v>28</v>
      </c>
      <c r="D221" t="n">
        <v>2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10</v>
      </c>
      <c r="M221" t="n">
        <v/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Income</t>
        </is>
      </c>
      <c r="B222" t="inlineStr">
        <is>
          <t>C28</t>
        </is>
      </c>
      <c r="C222" t="n">
        <v>28</v>
      </c>
      <c r="D222" t="n">
        <v>3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10</v>
      </c>
      <c r="M222" t="n">
        <v/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Income</t>
        </is>
      </c>
      <c r="B223" t="inlineStr">
        <is>
          <t>D28</t>
        </is>
      </c>
      <c r="C223" t="n">
        <v>28</v>
      </c>
      <c r="D223" t="n">
        <v>4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1</v>
      </c>
      <c r="K223" t="b">
        <v>0</v>
      </c>
      <c r="L223" t="n">
        <v>10</v>
      </c>
      <c r="M223" t="n">
        <v/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Income</t>
        </is>
      </c>
      <c r="B224" t="inlineStr">
        <is>
          <t>E28</t>
        </is>
      </c>
      <c r="C224" t="n">
        <v>28</v>
      </c>
      <c r="D224" t="n">
        <v>5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1</v>
      </c>
      <c r="K224" t="b">
        <v>0</v>
      </c>
      <c r="L224" t="n">
        <v>10</v>
      </c>
      <c r="M224" t="n">
        <v/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Income</t>
        </is>
      </c>
      <c r="B225" t="inlineStr">
        <is>
          <t>F28</t>
        </is>
      </c>
      <c r="C225" t="n">
        <v>28</v>
      </c>
      <c r="D225" t="n">
        <v>6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1</v>
      </c>
      <c r="K225" t="b">
        <v>0</v>
      </c>
      <c r="L225" t="n">
        <v>10</v>
      </c>
      <c r="M225" t="n">
        <v/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Income</t>
        </is>
      </c>
      <c r="B226" t="inlineStr">
        <is>
          <t>G28</t>
        </is>
      </c>
      <c r="C226" t="n">
        <v>28</v>
      </c>
      <c r="D226" t="n">
        <v>7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1</v>
      </c>
      <c r="K226" t="b">
        <v>0</v>
      </c>
      <c r="L226" t="n">
        <v>10</v>
      </c>
      <c r="M226" t="n">
        <v/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Income</t>
        </is>
      </c>
      <c r="B227" t="inlineStr">
        <is>
          <t>H28</t>
        </is>
      </c>
      <c r="C227" t="n">
        <v>28</v>
      </c>
      <c r="D227" t="n">
        <v>8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1</v>
      </c>
      <c r="K227" t="b">
        <v>0</v>
      </c>
      <c r="L227" t="n">
        <v>10</v>
      </c>
      <c r="M227" t="n">
        <v/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Income</t>
        </is>
      </c>
      <c r="B228" t="inlineStr">
        <is>
          <t>I28</t>
        </is>
      </c>
      <c r="C228" t="n">
        <v>28</v>
      </c>
      <c r="D228" t="n">
        <v>9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1</v>
      </c>
      <c r="K228" t="b">
        <v>0</v>
      </c>
      <c r="L228" t="n">
        <v>10</v>
      </c>
      <c r="M228" t="n">
        <v/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Income</t>
        </is>
      </c>
      <c r="B229" t="inlineStr">
        <is>
          <t>A29</t>
        </is>
      </c>
      <c r="C229" t="n">
        <v>29</v>
      </c>
      <c r="D229" t="n">
        <v>1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1</v>
      </c>
      <c r="K229" t="b">
        <v>0</v>
      </c>
      <c r="L229" t="n">
        <v>10</v>
      </c>
      <c r="M229" t="n">
        <v/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Income</t>
        </is>
      </c>
      <c r="B230" t="inlineStr">
        <is>
          <t>B29</t>
        </is>
      </c>
      <c r="C230" t="n">
        <v>29</v>
      </c>
      <c r="D230" t="n">
        <v>2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1</v>
      </c>
      <c r="K230" t="b">
        <v>0</v>
      </c>
      <c r="L230" t="n">
        <v>10</v>
      </c>
      <c r="M230" t="n">
        <v/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Income</t>
        </is>
      </c>
      <c r="B231" t="inlineStr">
        <is>
          <t>C29</t>
        </is>
      </c>
      <c r="C231" t="n">
        <v>29</v>
      </c>
      <c r="D231" t="n">
        <v>3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1</v>
      </c>
      <c r="K231" t="b">
        <v>0</v>
      </c>
      <c r="L231" t="n">
        <v>10</v>
      </c>
      <c r="M231" t="n">
        <v/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Income</t>
        </is>
      </c>
      <c r="B232" t="inlineStr">
        <is>
          <t>D29</t>
        </is>
      </c>
      <c r="C232" t="n">
        <v>29</v>
      </c>
      <c r="D232" t="n">
        <v>4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1</v>
      </c>
      <c r="K232" t="b">
        <v>0</v>
      </c>
      <c r="L232" t="n">
        <v>10</v>
      </c>
      <c r="M232" t="n">
        <v/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Income</t>
        </is>
      </c>
      <c r="B233" t="inlineStr">
        <is>
          <t>E29</t>
        </is>
      </c>
      <c r="C233" t="n">
        <v>29</v>
      </c>
      <c r="D233" t="n">
        <v>5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1</v>
      </c>
      <c r="K233" t="b">
        <v>0</v>
      </c>
      <c r="L233" t="n">
        <v>10</v>
      </c>
      <c r="M233" t="n">
        <v/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Income</t>
        </is>
      </c>
      <c r="B234" t="inlineStr">
        <is>
          <t>F29</t>
        </is>
      </c>
      <c r="C234" t="n">
        <v>29</v>
      </c>
      <c r="D234" t="n">
        <v>6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1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Income</t>
        </is>
      </c>
      <c r="B235" t="inlineStr">
        <is>
          <t>G29</t>
        </is>
      </c>
      <c r="C235" t="n">
        <v>29</v>
      </c>
      <c r="D235" t="n">
        <v>7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1</v>
      </c>
      <c r="K235" t="b">
        <v>0</v>
      </c>
      <c r="L235" t="n">
        <v>10</v>
      </c>
      <c r="M235" t="n">
        <v/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Income</t>
        </is>
      </c>
      <c r="B236" t="inlineStr">
        <is>
          <t>H29</t>
        </is>
      </c>
      <c r="C236" t="n">
        <v>29</v>
      </c>
      <c r="D236" t="n">
        <v>8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1</v>
      </c>
      <c r="K236" t="b">
        <v>0</v>
      </c>
      <c r="L236" t="n">
        <v>10</v>
      </c>
      <c r="M236" t="n">
        <v/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Income</t>
        </is>
      </c>
      <c r="B237" t="inlineStr">
        <is>
          <t>I29</t>
        </is>
      </c>
      <c r="C237" t="n">
        <v>29</v>
      </c>
      <c r="D237" t="n">
        <v>9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1</v>
      </c>
      <c r="K237" t="b">
        <v>0</v>
      </c>
      <c r="L237" t="n">
        <v>10</v>
      </c>
      <c r="M237" t="n">
        <v/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Income</t>
        </is>
      </c>
      <c r="B238" t="inlineStr">
        <is>
          <t>A30</t>
        </is>
      </c>
      <c r="C238" t="n">
        <v>30</v>
      </c>
      <c r="D238" t="n">
        <v>1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1</v>
      </c>
      <c r="K238" t="b">
        <v>0</v>
      </c>
      <c r="L238" t="n">
        <v>10</v>
      </c>
      <c r="M238" t="n">
        <v/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Income</t>
        </is>
      </c>
      <c r="B239" t="inlineStr">
        <is>
          <t>B30</t>
        </is>
      </c>
      <c r="C239" t="n">
        <v>30</v>
      </c>
      <c r="D239" t="n">
        <v>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1</v>
      </c>
      <c r="K239" t="b">
        <v>0</v>
      </c>
      <c r="L239" t="n">
        <v>10</v>
      </c>
      <c r="M239" t="n">
        <v/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Income</t>
        </is>
      </c>
      <c r="B240" t="inlineStr">
        <is>
          <t>C30</t>
        </is>
      </c>
      <c r="C240" t="n">
        <v>30</v>
      </c>
      <c r="D240" t="n">
        <v>3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1</v>
      </c>
      <c r="K240" t="b">
        <v>0</v>
      </c>
      <c r="L240" t="n">
        <v>10</v>
      </c>
      <c r="M240" t="n">
        <v/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Income</t>
        </is>
      </c>
      <c r="B241" t="inlineStr">
        <is>
          <t>D30</t>
        </is>
      </c>
      <c r="C241" t="n">
        <v>30</v>
      </c>
      <c r="D241" t="n">
        <v>4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1</v>
      </c>
      <c r="K241" t="b">
        <v>0</v>
      </c>
      <c r="L241" t="n">
        <v>10</v>
      </c>
      <c r="M241" t="n">
        <v/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Income</t>
        </is>
      </c>
      <c r="B242" t="inlineStr">
        <is>
          <t>E30</t>
        </is>
      </c>
      <c r="C242" t="n">
        <v>30</v>
      </c>
      <c r="D242" t="n">
        <v>5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1</v>
      </c>
      <c r="K242" t="b">
        <v>0</v>
      </c>
      <c r="L242" t="n">
        <v>10</v>
      </c>
      <c r="M242" t="n">
        <v/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Income</t>
        </is>
      </c>
      <c r="B243" t="inlineStr">
        <is>
          <t>F30</t>
        </is>
      </c>
      <c r="C243" t="n">
        <v>30</v>
      </c>
      <c r="D243" t="n">
        <v>6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1</v>
      </c>
      <c r="K243" t="b">
        <v>0</v>
      </c>
      <c r="L243" t="n">
        <v>10</v>
      </c>
      <c r="M243" t="n">
        <v/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Income</t>
        </is>
      </c>
      <c r="B244" t="inlineStr">
        <is>
          <t>G30</t>
        </is>
      </c>
      <c r="C244" t="n">
        <v>30</v>
      </c>
      <c r="D244" t="n">
        <v>7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1</v>
      </c>
      <c r="K244" t="b">
        <v>0</v>
      </c>
      <c r="L244" t="n">
        <v>10</v>
      </c>
      <c r="M244" t="n">
        <v/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Income</t>
        </is>
      </c>
      <c r="B245" t="inlineStr">
        <is>
          <t>H30</t>
        </is>
      </c>
      <c r="C245" t="n">
        <v>30</v>
      </c>
      <c r="D245" t="n">
        <v>8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1</v>
      </c>
      <c r="K245" t="b">
        <v>0</v>
      </c>
      <c r="L245" t="n">
        <v>10</v>
      </c>
      <c r="M245" t="n">
        <v/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Income</t>
        </is>
      </c>
      <c r="B246" t="inlineStr">
        <is>
          <t>I30</t>
        </is>
      </c>
      <c r="C246" t="n">
        <v>30</v>
      </c>
      <c r="D246" t="n">
        <v>9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1</v>
      </c>
      <c r="K246" t="b">
        <v>0</v>
      </c>
      <c r="L246" t="n">
        <v>10</v>
      </c>
      <c r="M246" t="n">
        <v/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Income</t>
        </is>
      </c>
      <c r="B247" t="inlineStr">
        <is>
          <t>A31</t>
        </is>
      </c>
      <c r="C247" t="n">
        <v>31</v>
      </c>
      <c r="D247" t="n">
        <v>1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1</v>
      </c>
      <c r="K247" t="b">
        <v>0</v>
      </c>
      <c r="L247" t="n">
        <v>10</v>
      </c>
      <c r="M247" t="n">
        <v/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Income</t>
        </is>
      </c>
      <c r="B248" t="inlineStr">
        <is>
          <t>B31</t>
        </is>
      </c>
      <c r="C248" t="n">
        <v>31</v>
      </c>
      <c r="D248" t="n">
        <v>2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1</v>
      </c>
      <c r="K248" t="b">
        <v>0</v>
      </c>
      <c r="L248" t="n">
        <v>10</v>
      </c>
      <c r="M248" t="n">
        <v/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Income</t>
        </is>
      </c>
      <c r="B249" t="inlineStr">
        <is>
          <t>C31</t>
        </is>
      </c>
      <c r="C249" t="n">
        <v>31</v>
      </c>
      <c r="D249" t="n">
        <v>3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10</v>
      </c>
      <c r="M249" t="n">
        <v/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Income</t>
        </is>
      </c>
      <c r="B250" t="inlineStr">
        <is>
          <t>D31</t>
        </is>
      </c>
      <c r="C250" t="n">
        <v>31</v>
      </c>
      <c r="D250" t="n">
        <v>4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10</v>
      </c>
      <c r="M250" t="n">
        <v/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Income</t>
        </is>
      </c>
      <c r="B251" t="inlineStr">
        <is>
          <t>E31</t>
        </is>
      </c>
      <c r="C251" t="n">
        <v>31</v>
      </c>
      <c r="D251" t="n">
        <v>5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1</v>
      </c>
      <c r="K251" t="b">
        <v>0</v>
      </c>
      <c r="L251" t="n">
        <v>10</v>
      </c>
      <c r="M251" t="n">
        <v/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Income</t>
        </is>
      </c>
      <c r="B252" t="inlineStr">
        <is>
          <t>F31</t>
        </is>
      </c>
      <c r="C252" t="n">
        <v>31</v>
      </c>
      <c r="D252" t="n">
        <v>6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1</v>
      </c>
      <c r="K252" t="b">
        <v>0</v>
      </c>
      <c r="L252" t="n">
        <v>10</v>
      </c>
      <c r="M252" t="n">
        <v/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Income</t>
        </is>
      </c>
      <c r="B253" t="inlineStr">
        <is>
          <t>G31</t>
        </is>
      </c>
      <c r="C253" t="n">
        <v>31</v>
      </c>
      <c r="D253" t="n">
        <v>7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1</v>
      </c>
      <c r="K253" t="b">
        <v>0</v>
      </c>
      <c r="L253" t="n">
        <v>10</v>
      </c>
      <c r="M253" t="n">
        <v/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Income</t>
        </is>
      </c>
      <c r="B254" t="inlineStr">
        <is>
          <t>H31</t>
        </is>
      </c>
      <c r="C254" t="n">
        <v>31</v>
      </c>
      <c r="D254" t="n">
        <v>8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1</v>
      </c>
      <c r="K254" t="b">
        <v>0</v>
      </c>
      <c r="L254" t="n">
        <v>10</v>
      </c>
      <c r="M254" t="n">
        <v/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Income</t>
        </is>
      </c>
      <c r="B255" t="inlineStr">
        <is>
          <t>I31</t>
        </is>
      </c>
      <c r="C255" t="n">
        <v>31</v>
      </c>
      <c r="D255" t="n">
        <v>9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1</v>
      </c>
      <c r="K255" t="b">
        <v>0</v>
      </c>
      <c r="L255" t="n">
        <v>10</v>
      </c>
      <c r="M255" t="n">
        <v/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Income</t>
        </is>
      </c>
      <c r="B256" t="inlineStr">
        <is>
          <t>A32</t>
        </is>
      </c>
      <c r="C256" t="n">
        <v>32</v>
      </c>
      <c r="D256" t="n">
        <v>1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1</v>
      </c>
      <c r="K256" t="b">
        <v>0</v>
      </c>
      <c r="L256" t="n">
        <v>10</v>
      </c>
      <c r="M256" t="n">
        <v/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Income</t>
        </is>
      </c>
      <c r="B257" t="inlineStr">
        <is>
          <t>B32</t>
        </is>
      </c>
      <c r="C257" t="n">
        <v>32</v>
      </c>
      <c r="D257" t="n">
        <v>2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1</v>
      </c>
      <c r="K257" t="b">
        <v>0</v>
      </c>
      <c r="L257" t="n">
        <v>10</v>
      </c>
      <c r="M257" t="n">
        <v/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Income</t>
        </is>
      </c>
      <c r="B258" t="inlineStr">
        <is>
          <t>C32</t>
        </is>
      </c>
      <c r="C258" t="n">
        <v>32</v>
      </c>
      <c r="D258" t="n">
        <v>3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1</v>
      </c>
      <c r="K258" t="b">
        <v>0</v>
      </c>
      <c r="L258" t="n">
        <v>10</v>
      </c>
      <c r="M258" t="n">
        <v/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Income</t>
        </is>
      </c>
      <c r="B259" t="inlineStr">
        <is>
          <t>D32</t>
        </is>
      </c>
      <c r="C259" t="n">
        <v>32</v>
      </c>
      <c r="D259" t="n">
        <v>4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1</v>
      </c>
      <c r="K259" t="b">
        <v>0</v>
      </c>
      <c r="L259" t="n">
        <v>10</v>
      </c>
      <c r="M259" t="n">
        <v/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Income</t>
        </is>
      </c>
      <c r="B260" t="inlineStr">
        <is>
          <t>E32</t>
        </is>
      </c>
      <c r="C260" t="n">
        <v>32</v>
      </c>
      <c r="D260" t="n">
        <v>5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10</v>
      </c>
      <c r="M260" t="n">
        <v/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Income</t>
        </is>
      </c>
      <c r="B261" t="inlineStr">
        <is>
          <t>F32</t>
        </is>
      </c>
      <c r="C261" t="n">
        <v>32</v>
      </c>
      <c r="D261" t="n">
        <v>6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10</v>
      </c>
      <c r="M261" t="n">
        <v/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Income</t>
        </is>
      </c>
      <c r="B262" t="inlineStr">
        <is>
          <t>G32</t>
        </is>
      </c>
      <c r="C262" t="n">
        <v>32</v>
      </c>
      <c r="D262" t="n">
        <v>7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10</v>
      </c>
      <c r="M262" t="n">
        <v/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Income</t>
        </is>
      </c>
      <c r="B263" t="inlineStr">
        <is>
          <t>H32</t>
        </is>
      </c>
      <c r="C263" t="n">
        <v>32</v>
      </c>
      <c r="D263" t="n">
        <v>8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10</v>
      </c>
      <c r="M263" t="n">
        <v/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Income</t>
        </is>
      </c>
      <c r="B264" t="inlineStr">
        <is>
          <t>I32</t>
        </is>
      </c>
      <c r="C264" t="n">
        <v>32</v>
      </c>
      <c r="D264" t="n">
        <v>9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10</v>
      </c>
      <c r="M264" t="n">
        <v/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Income</t>
        </is>
      </c>
      <c r="B265" t="inlineStr">
        <is>
          <t>A33</t>
        </is>
      </c>
      <c r="C265" t="n">
        <v>33</v>
      </c>
      <c r="D265" t="n">
        <v>1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10</v>
      </c>
      <c r="M265" t="n">
        <v/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Income</t>
        </is>
      </c>
      <c r="B266" t="inlineStr">
        <is>
          <t>B33</t>
        </is>
      </c>
      <c r="C266" t="n">
        <v>33</v>
      </c>
      <c r="D266" t="n">
        <v>2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10</v>
      </c>
      <c r="M266" t="n">
        <v/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Income</t>
        </is>
      </c>
      <c r="B267" t="inlineStr">
        <is>
          <t>C33</t>
        </is>
      </c>
      <c r="C267" t="n">
        <v>33</v>
      </c>
      <c r="D267" t="n">
        <v>3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10</v>
      </c>
      <c r="M267" t="n">
        <v/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Income</t>
        </is>
      </c>
      <c r="B268" t="inlineStr">
        <is>
          <t>D33</t>
        </is>
      </c>
      <c r="C268" t="n">
        <v>33</v>
      </c>
      <c r="D268" t="n">
        <v>4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10</v>
      </c>
      <c r="M268" t="n">
        <v/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Income</t>
        </is>
      </c>
      <c r="B269" t="inlineStr">
        <is>
          <t>E33</t>
        </is>
      </c>
      <c r="C269" t="n">
        <v>33</v>
      </c>
      <c r="D269" t="n">
        <v>5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1</v>
      </c>
      <c r="K269" t="b">
        <v>0</v>
      </c>
      <c r="L269" t="n">
        <v>10</v>
      </c>
      <c r="M269" t="n">
        <v/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Income</t>
        </is>
      </c>
      <c r="B270" t="inlineStr">
        <is>
          <t>F33</t>
        </is>
      </c>
      <c r="C270" t="n">
        <v>33</v>
      </c>
      <c r="D270" t="n">
        <v>6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1</v>
      </c>
      <c r="K270" t="b">
        <v>0</v>
      </c>
      <c r="L270" t="n">
        <v>10</v>
      </c>
      <c r="M270" t="n">
        <v/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Income</t>
        </is>
      </c>
      <c r="B271" t="inlineStr">
        <is>
          <t>G33</t>
        </is>
      </c>
      <c r="C271" t="n">
        <v>33</v>
      </c>
      <c r="D271" t="n">
        <v>7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1</v>
      </c>
      <c r="K271" t="b">
        <v>0</v>
      </c>
      <c r="L271" t="n">
        <v>10</v>
      </c>
      <c r="M271" t="n">
        <v/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Income</t>
        </is>
      </c>
      <c r="B272" t="inlineStr">
        <is>
          <t>H33</t>
        </is>
      </c>
      <c r="C272" t="n">
        <v>33</v>
      </c>
      <c r="D272" t="n">
        <v>8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1</v>
      </c>
      <c r="K272" t="b">
        <v>0</v>
      </c>
      <c r="L272" t="n">
        <v>10</v>
      </c>
      <c r="M272" t="n">
        <v/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Income</t>
        </is>
      </c>
      <c r="B273" t="inlineStr">
        <is>
          <t>I33</t>
        </is>
      </c>
      <c r="C273" t="n">
        <v>33</v>
      </c>
      <c r="D273" t="n">
        <v>9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1</v>
      </c>
      <c r="K273" t="b">
        <v>0</v>
      </c>
      <c r="L273" t="n">
        <v>10</v>
      </c>
      <c r="M273" t="n">
        <v/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Income</t>
        </is>
      </c>
      <c r="B274" t="inlineStr">
        <is>
          <t>A34</t>
        </is>
      </c>
      <c r="C274" t="n">
        <v>34</v>
      </c>
      <c r="D274" t="n">
        <v>1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1</v>
      </c>
      <c r="K274" t="b">
        <v>0</v>
      </c>
      <c r="L274" t="n">
        <v>10</v>
      </c>
      <c r="M274" t="n">
        <v/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Income</t>
        </is>
      </c>
      <c r="B275" t="inlineStr">
        <is>
          <t>B34</t>
        </is>
      </c>
      <c r="C275" t="n">
        <v>34</v>
      </c>
      <c r="D275" t="n">
        <v>2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1</v>
      </c>
      <c r="K275" t="b">
        <v>0</v>
      </c>
      <c r="L275" t="n">
        <v>10</v>
      </c>
      <c r="M275" t="n">
        <v/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Income</t>
        </is>
      </c>
      <c r="B276" t="inlineStr">
        <is>
          <t>C34</t>
        </is>
      </c>
      <c r="C276" t="n">
        <v>34</v>
      </c>
      <c r="D276" t="n">
        <v>3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1</v>
      </c>
      <c r="K276" t="b">
        <v>0</v>
      </c>
      <c r="L276" t="n">
        <v>10</v>
      </c>
      <c r="M276" t="n">
        <v/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Income</t>
        </is>
      </c>
      <c r="B277" t="inlineStr">
        <is>
          <t>D34</t>
        </is>
      </c>
      <c r="C277" t="n">
        <v>34</v>
      </c>
      <c r="D277" t="n">
        <v>4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1</v>
      </c>
      <c r="K277" t="b">
        <v>0</v>
      </c>
      <c r="L277" t="n">
        <v>10</v>
      </c>
      <c r="M277" t="n">
        <v/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Income</t>
        </is>
      </c>
      <c r="B278" t="inlineStr">
        <is>
          <t>E34</t>
        </is>
      </c>
      <c r="C278" t="n">
        <v>34</v>
      </c>
      <c r="D278" t="n">
        <v>5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10</v>
      </c>
      <c r="M278" t="n">
        <v/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Income</t>
        </is>
      </c>
      <c r="B279" t="inlineStr">
        <is>
          <t>F34</t>
        </is>
      </c>
      <c r="C279" t="n">
        <v>34</v>
      </c>
      <c r="D279" t="n">
        <v>6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1</v>
      </c>
      <c r="K279" t="b">
        <v>0</v>
      </c>
      <c r="L279" t="n">
        <v>10</v>
      </c>
      <c r="M279" t="n">
        <v/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Income</t>
        </is>
      </c>
      <c r="B280" t="inlineStr">
        <is>
          <t>G34</t>
        </is>
      </c>
      <c r="C280" t="n">
        <v>34</v>
      </c>
      <c r="D280" t="n">
        <v>7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10</v>
      </c>
      <c r="M280" t="n">
        <v/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Income</t>
        </is>
      </c>
      <c r="B281" t="inlineStr">
        <is>
          <t>H34</t>
        </is>
      </c>
      <c r="C281" t="n">
        <v>34</v>
      </c>
      <c r="D281" t="n">
        <v>8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10</v>
      </c>
      <c r="M281" t="n">
        <v/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Income</t>
        </is>
      </c>
      <c r="B282" t="inlineStr">
        <is>
          <t>I34</t>
        </is>
      </c>
      <c r="C282" t="n">
        <v>34</v>
      </c>
      <c r="D282" t="n">
        <v>9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10</v>
      </c>
      <c r="M282" t="n">
        <v/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Income</t>
        </is>
      </c>
      <c r="B283" t="inlineStr">
        <is>
          <t>A35</t>
        </is>
      </c>
      <c r="C283" t="n">
        <v>35</v>
      </c>
      <c r="D283" t="n">
        <v>1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10</v>
      </c>
      <c r="M283" t="n">
        <v/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Income</t>
        </is>
      </c>
      <c r="B284" t="inlineStr">
        <is>
          <t>B35</t>
        </is>
      </c>
      <c r="C284" t="n">
        <v>35</v>
      </c>
      <c r="D284" t="n">
        <v>2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1</v>
      </c>
      <c r="K284" t="b">
        <v>0</v>
      </c>
      <c r="L284" t="n">
        <v>10</v>
      </c>
      <c r="M284" t="n">
        <v/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Income</t>
        </is>
      </c>
      <c r="B285" t="inlineStr">
        <is>
          <t>C35</t>
        </is>
      </c>
      <c r="C285" t="n">
        <v>35</v>
      </c>
      <c r="D285" t="n">
        <v>3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1</v>
      </c>
      <c r="K285" t="b">
        <v>0</v>
      </c>
      <c r="L285" t="n">
        <v>10</v>
      </c>
      <c r="M285" t="n">
        <v/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Income</t>
        </is>
      </c>
      <c r="B286" t="inlineStr">
        <is>
          <t>D35</t>
        </is>
      </c>
      <c r="C286" t="n">
        <v>35</v>
      </c>
      <c r="D286" t="n">
        <v>4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1</v>
      </c>
      <c r="K286" t="b">
        <v>0</v>
      </c>
      <c r="L286" t="n">
        <v>10</v>
      </c>
      <c r="M286" t="n">
        <v/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Income</t>
        </is>
      </c>
      <c r="B287" t="inlineStr">
        <is>
          <t>E35</t>
        </is>
      </c>
      <c r="C287" t="n">
        <v>35</v>
      </c>
      <c r="D287" t="n">
        <v>5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1</v>
      </c>
      <c r="K287" t="b">
        <v>0</v>
      </c>
      <c r="L287" t="n">
        <v>10</v>
      </c>
      <c r="M287" t="n">
        <v/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Income</t>
        </is>
      </c>
      <c r="B288" t="inlineStr">
        <is>
          <t>F35</t>
        </is>
      </c>
      <c r="C288" t="n">
        <v>35</v>
      </c>
      <c r="D288" t="n">
        <v>6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1</v>
      </c>
      <c r="K288" t="b">
        <v>0</v>
      </c>
      <c r="L288" t="n">
        <v>10</v>
      </c>
      <c r="M288" t="n">
        <v/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Income</t>
        </is>
      </c>
      <c r="B289" t="inlineStr">
        <is>
          <t>G35</t>
        </is>
      </c>
      <c r="C289" t="n">
        <v>35</v>
      </c>
      <c r="D289" t="n">
        <v>7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1</v>
      </c>
      <c r="K289" t="b">
        <v>0</v>
      </c>
      <c r="L289" t="n">
        <v>10</v>
      </c>
      <c r="M289" t="n">
        <v/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Income</t>
        </is>
      </c>
      <c r="B290" t="inlineStr">
        <is>
          <t>H35</t>
        </is>
      </c>
      <c r="C290" t="n">
        <v>35</v>
      </c>
      <c r="D290" t="n">
        <v>8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1</v>
      </c>
      <c r="K290" t="b">
        <v>0</v>
      </c>
      <c r="L290" t="n">
        <v>10</v>
      </c>
      <c r="M290" t="n">
        <v/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  <row r="291">
      <c r="A291" t="inlineStr">
        <is>
          <t>Income</t>
        </is>
      </c>
      <c r="B291" t="inlineStr">
        <is>
          <t>I35</t>
        </is>
      </c>
      <c r="C291" t="n">
        <v>35</v>
      </c>
      <c r="D291" t="n">
        <v>9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1</v>
      </c>
      <c r="K291" t="b">
        <v>0</v>
      </c>
      <c r="L291" t="n">
        <v>10</v>
      </c>
      <c r="M291" t="n">
        <v/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</row>
    <row r="292">
      <c r="A292" t="inlineStr">
        <is>
          <t>Income</t>
        </is>
      </c>
      <c r="B292" t="inlineStr">
        <is>
          <t>A36</t>
        </is>
      </c>
      <c r="C292" t="n">
        <v>36</v>
      </c>
      <c r="D292" t="n">
        <v>1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1</v>
      </c>
      <c r="K292" t="b">
        <v>0</v>
      </c>
      <c r="L292" t="n">
        <v>10</v>
      </c>
      <c r="M292" t="n">
        <v/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</row>
    <row r="293">
      <c r="A293" t="inlineStr">
        <is>
          <t>Income</t>
        </is>
      </c>
      <c r="B293" t="inlineStr">
        <is>
          <t>B36</t>
        </is>
      </c>
      <c r="C293" t="n">
        <v>36</v>
      </c>
      <c r="D293" t="n">
        <v>2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1</v>
      </c>
      <c r="K293" t="b">
        <v>0</v>
      </c>
      <c r="L293" t="n">
        <v>10</v>
      </c>
      <c r="M293" t="n">
        <v/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</row>
    <row r="294">
      <c r="A294" t="inlineStr">
        <is>
          <t>Income</t>
        </is>
      </c>
      <c r="B294" t="inlineStr">
        <is>
          <t>C36</t>
        </is>
      </c>
      <c r="C294" t="n">
        <v>36</v>
      </c>
      <c r="D294" t="n">
        <v>3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1</v>
      </c>
      <c r="K294" t="b">
        <v>0</v>
      </c>
      <c r="L294" t="n">
        <v>10</v>
      </c>
      <c r="M294" t="n">
        <v/>
      </c>
      <c r="N294" t="inlineStr">
        <is>
          <t>00000000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</row>
    <row r="295">
      <c r="A295" t="inlineStr">
        <is>
          <t>Income</t>
        </is>
      </c>
      <c r="B295" t="inlineStr">
        <is>
          <t>D36</t>
        </is>
      </c>
      <c r="C295" t="n">
        <v>36</v>
      </c>
      <c r="D295" t="n">
        <v>4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1</v>
      </c>
      <c r="K295" t="b">
        <v>0</v>
      </c>
      <c r="L295" t="n">
        <v>10</v>
      </c>
      <c r="M295" t="n">
        <v/>
      </c>
      <c r="N295" t="inlineStr">
        <is>
          <t>00000000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</row>
    <row r="296">
      <c r="A296" t="inlineStr">
        <is>
          <t>Income</t>
        </is>
      </c>
      <c r="B296" t="inlineStr">
        <is>
          <t>E36</t>
        </is>
      </c>
      <c r="C296" t="n">
        <v>36</v>
      </c>
      <c r="D296" t="n">
        <v>5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1</v>
      </c>
      <c r="K296" t="b">
        <v>0</v>
      </c>
      <c r="L296" t="n">
        <v>10</v>
      </c>
      <c r="M296" t="n">
        <v/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Income</t>
        </is>
      </c>
      <c r="B297" t="inlineStr">
        <is>
          <t>F36</t>
        </is>
      </c>
      <c r="C297" t="n">
        <v>36</v>
      </c>
      <c r="D297" t="n">
        <v>6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1</v>
      </c>
      <c r="K297" t="b">
        <v>0</v>
      </c>
      <c r="L297" t="n">
        <v>10</v>
      </c>
      <c r="M297" t="n">
        <v/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Income</t>
        </is>
      </c>
      <c r="B298" t="inlineStr">
        <is>
          <t>G36</t>
        </is>
      </c>
      <c r="C298" t="n">
        <v>36</v>
      </c>
      <c r="D298" t="n">
        <v>7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1</v>
      </c>
      <c r="K298" t="b">
        <v>0</v>
      </c>
      <c r="L298" t="n">
        <v>10</v>
      </c>
      <c r="M298" t="n">
        <v/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Income</t>
        </is>
      </c>
      <c r="B299" t="inlineStr">
        <is>
          <t>H36</t>
        </is>
      </c>
      <c r="C299" t="n">
        <v>36</v>
      </c>
      <c r="D299" t="n">
        <v>8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1</v>
      </c>
      <c r="K299" t="b">
        <v>0</v>
      </c>
      <c r="L299" t="n">
        <v>10</v>
      </c>
      <c r="M299" t="n">
        <v/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Income</t>
        </is>
      </c>
      <c r="B300" t="inlineStr">
        <is>
          <t>I36</t>
        </is>
      </c>
      <c r="C300" t="n">
        <v>36</v>
      </c>
      <c r="D300" t="n">
        <v>9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1</v>
      </c>
      <c r="K300" t="b">
        <v>0</v>
      </c>
      <c r="L300" t="n">
        <v>10</v>
      </c>
      <c r="M300" t="n">
        <v/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</row>
    <row r="301">
      <c r="A301" t="inlineStr">
        <is>
          <t>Income</t>
        </is>
      </c>
      <c r="B301" t="inlineStr">
        <is>
          <t>A37</t>
        </is>
      </c>
      <c r="C301" t="n">
        <v>37</v>
      </c>
      <c r="D301" t="n">
        <v>1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1</v>
      </c>
      <c r="K301" t="b">
        <v>0</v>
      </c>
      <c r="L301" t="n">
        <v>10</v>
      </c>
      <c r="M301" t="n">
        <v/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Income</t>
        </is>
      </c>
      <c r="B302" t="inlineStr">
        <is>
          <t>B37</t>
        </is>
      </c>
      <c r="C302" t="n">
        <v>37</v>
      </c>
      <c r="D302" t="n">
        <v>2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1</v>
      </c>
      <c r="K302" t="b">
        <v>0</v>
      </c>
      <c r="L302" t="n">
        <v>10</v>
      </c>
      <c r="M302" t="n">
        <v/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Income</t>
        </is>
      </c>
      <c r="B303" t="inlineStr">
        <is>
          <t>C37</t>
        </is>
      </c>
      <c r="C303" t="n">
        <v>37</v>
      </c>
      <c r="D303" t="n">
        <v>3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1</v>
      </c>
      <c r="K303" t="b">
        <v>0</v>
      </c>
      <c r="L303" t="n">
        <v>10</v>
      </c>
      <c r="M303" t="n">
        <v/>
      </c>
      <c r="N303" t="inlineStr">
        <is>
          <t>00000000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Income</t>
        </is>
      </c>
      <c r="B304" t="inlineStr">
        <is>
          <t>D37</t>
        </is>
      </c>
      <c r="C304" t="n">
        <v>37</v>
      </c>
      <c r="D304" t="n">
        <v>4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1</v>
      </c>
      <c r="K304" t="b">
        <v>0</v>
      </c>
      <c r="L304" t="n">
        <v>10</v>
      </c>
      <c r="M304" t="n">
        <v/>
      </c>
      <c r="N304" t="inlineStr">
        <is>
          <t>00000000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Income</t>
        </is>
      </c>
      <c r="B305" t="inlineStr">
        <is>
          <t>E37</t>
        </is>
      </c>
      <c r="C305" t="n">
        <v>37</v>
      </c>
      <c r="D305" t="n">
        <v>5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1</v>
      </c>
      <c r="K305" t="b">
        <v>0</v>
      </c>
      <c r="L305" t="n">
        <v>10</v>
      </c>
      <c r="M305" t="n">
        <v/>
      </c>
      <c r="N305" t="inlineStr">
        <is>
          <t>00000000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</row>
    <row r="306">
      <c r="A306" t="inlineStr">
        <is>
          <t>Income</t>
        </is>
      </c>
      <c r="B306" t="inlineStr">
        <is>
          <t>F37</t>
        </is>
      </c>
      <c r="C306" t="n">
        <v>37</v>
      </c>
      <c r="D306" t="n">
        <v>6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10</v>
      </c>
      <c r="M306" t="n">
        <v/>
      </c>
      <c r="N306" t="inlineStr">
        <is>
          <t>00000000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Income</t>
        </is>
      </c>
      <c r="B307" t="inlineStr">
        <is>
          <t>G37</t>
        </is>
      </c>
      <c r="C307" t="n">
        <v>37</v>
      </c>
      <c r="D307" t="n">
        <v>7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10</v>
      </c>
      <c r="M307" t="n">
        <v/>
      </c>
      <c r="N307" t="inlineStr">
        <is>
          <t>00000000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Income</t>
        </is>
      </c>
      <c r="B308" t="inlineStr">
        <is>
          <t>H37</t>
        </is>
      </c>
      <c r="C308" t="n">
        <v>37</v>
      </c>
      <c r="D308" t="n">
        <v>8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10</v>
      </c>
      <c r="M308" t="n">
        <v/>
      </c>
      <c r="N308" t="inlineStr">
        <is>
          <t>00000000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Income</t>
        </is>
      </c>
      <c r="B309" t="inlineStr">
        <is>
          <t>I37</t>
        </is>
      </c>
      <c r="C309" t="n">
        <v>37</v>
      </c>
      <c r="D309" t="n">
        <v>9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10</v>
      </c>
      <c r="M309" t="n">
        <v/>
      </c>
      <c r="N309" t="inlineStr">
        <is>
          <t>00000000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</row>
    <row r="310">
      <c r="A310" t="inlineStr">
        <is>
          <t>Income</t>
        </is>
      </c>
      <c r="B310" t="inlineStr">
        <is>
          <t>A38</t>
        </is>
      </c>
      <c r="C310" t="n">
        <v>38</v>
      </c>
      <c r="D310" t="n">
        <v>1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10</v>
      </c>
      <c r="M310" t="n">
        <v/>
      </c>
      <c r="N310" t="inlineStr">
        <is>
          <t>00000000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Income</t>
        </is>
      </c>
      <c r="B311" t="inlineStr">
        <is>
          <t>B38</t>
        </is>
      </c>
      <c r="C311" t="n">
        <v>38</v>
      </c>
      <c r="D311" t="n">
        <v>2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10</v>
      </c>
      <c r="M311" t="n">
        <v/>
      </c>
      <c r="N311" t="inlineStr">
        <is>
          <t>00000000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Income</t>
        </is>
      </c>
      <c r="B312" t="inlineStr">
        <is>
          <t>C38</t>
        </is>
      </c>
      <c r="C312" t="n">
        <v>38</v>
      </c>
      <c r="D312" t="n">
        <v>3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10</v>
      </c>
      <c r="M312" t="n">
        <v/>
      </c>
      <c r="N312" t="inlineStr">
        <is>
          <t>00000000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Income</t>
        </is>
      </c>
      <c r="B313" t="inlineStr">
        <is>
          <t>D38</t>
        </is>
      </c>
      <c r="C313" t="n">
        <v>38</v>
      </c>
      <c r="D313" t="n">
        <v>4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10</v>
      </c>
      <c r="M313" t="n">
        <v/>
      </c>
      <c r="N313" t="inlineStr">
        <is>
          <t>00000000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</row>
    <row r="314">
      <c r="A314" t="inlineStr">
        <is>
          <t>Income</t>
        </is>
      </c>
      <c r="B314" t="inlineStr">
        <is>
          <t>E38</t>
        </is>
      </c>
      <c r="C314" t="n">
        <v>38</v>
      </c>
      <c r="D314" t="n">
        <v>5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10</v>
      </c>
      <c r="M314" t="n">
        <v/>
      </c>
      <c r="N314" t="inlineStr">
        <is>
          <t>00000000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</row>
    <row r="315">
      <c r="A315" t="inlineStr">
        <is>
          <t>Income</t>
        </is>
      </c>
      <c r="B315" t="inlineStr">
        <is>
          <t>F38</t>
        </is>
      </c>
      <c r="C315" t="n">
        <v>38</v>
      </c>
      <c r="D315" t="n">
        <v>6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1</v>
      </c>
      <c r="K315" t="b">
        <v>0</v>
      </c>
      <c r="L315" t="n">
        <v>10</v>
      </c>
      <c r="M315" t="n">
        <v/>
      </c>
      <c r="N315" t="inlineStr">
        <is>
          <t>00000000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</row>
    <row r="316">
      <c r="A316" t="inlineStr">
        <is>
          <t>Income</t>
        </is>
      </c>
      <c r="B316" t="inlineStr">
        <is>
          <t>G38</t>
        </is>
      </c>
      <c r="C316" t="n">
        <v>38</v>
      </c>
      <c r="D316" t="n">
        <v>7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1</v>
      </c>
      <c r="K316" t="b">
        <v>0</v>
      </c>
      <c r="L316" t="n">
        <v>10</v>
      </c>
      <c r="M316" t="n">
        <v/>
      </c>
      <c r="N316" t="inlineStr">
        <is>
          <t>00000000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</row>
    <row r="317">
      <c r="A317" t="inlineStr">
        <is>
          <t>Income</t>
        </is>
      </c>
      <c r="B317" t="inlineStr">
        <is>
          <t>H38</t>
        </is>
      </c>
      <c r="C317" t="n">
        <v>38</v>
      </c>
      <c r="D317" t="n">
        <v>8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1</v>
      </c>
      <c r="K317" t="b">
        <v>0</v>
      </c>
      <c r="L317" t="n">
        <v>10</v>
      </c>
      <c r="M317" t="n">
        <v/>
      </c>
      <c r="N317" t="inlineStr">
        <is>
          <t>00000000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Income</t>
        </is>
      </c>
      <c r="B318" t="inlineStr">
        <is>
          <t>I38</t>
        </is>
      </c>
      <c r="C318" t="n">
        <v>38</v>
      </c>
      <c r="D318" t="n">
        <v>9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1</v>
      </c>
      <c r="K318" t="b">
        <v>0</v>
      </c>
      <c r="L318" t="n">
        <v>10</v>
      </c>
      <c r="M318" t="n">
        <v/>
      </c>
      <c r="N318" t="inlineStr">
        <is>
          <t>00000000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</row>
    <row r="319">
      <c r="A319" t="inlineStr">
        <is>
          <t>Income</t>
        </is>
      </c>
      <c r="B319" t="inlineStr">
        <is>
          <t>A39</t>
        </is>
      </c>
      <c r="C319" t="n">
        <v>39</v>
      </c>
      <c r="D319" t="n">
        <v>1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1</v>
      </c>
      <c r="K319" t="b">
        <v>0</v>
      </c>
      <c r="L319" t="n">
        <v>10</v>
      </c>
      <c r="M319" t="n">
        <v/>
      </c>
      <c r="N319" t="inlineStr">
        <is>
          <t>00000000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Income</t>
        </is>
      </c>
      <c r="B320" t="inlineStr">
        <is>
          <t>B39</t>
        </is>
      </c>
      <c r="C320" t="n">
        <v>39</v>
      </c>
      <c r="D320" t="n">
        <v>2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1</v>
      </c>
      <c r="K320" t="b">
        <v>0</v>
      </c>
      <c r="L320" t="n">
        <v>10</v>
      </c>
      <c r="M320" t="n">
        <v/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Income</t>
        </is>
      </c>
      <c r="B321" t="inlineStr">
        <is>
          <t>C39</t>
        </is>
      </c>
      <c r="C321" t="n">
        <v>39</v>
      </c>
      <c r="D321" t="n">
        <v>3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1</v>
      </c>
      <c r="K321" t="b">
        <v>0</v>
      </c>
      <c r="L321" t="n">
        <v>10</v>
      </c>
      <c r="M321" t="n">
        <v/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Income</t>
        </is>
      </c>
      <c r="B322" t="inlineStr">
        <is>
          <t>D39</t>
        </is>
      </c>
      <c r="C322" t="n">
        <v>39</v>
      </c>
      <c r="D322" t="n">
        <v>4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1</v>
      </c>
      <c r="K322" t="b">
        <v>0</v>
      </c>
      <c r="L322" t="n">
        <v>10</v>
      </c>
      <c r="M322" t="n">
        <v/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Income</t>
        </is>
      </c>
      <c r="B323" t="inlineStr">
        <is>
          <t>E39</t>
        </is>
      </c>
      <c r="C323" t="n">
        <v>39</v>
      </c>
      <c r="D323" t="n">
        <v>5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1</v>
      </c>
      <c r="K323" t="b">
        <v>0</v>
      </c>
      <c r="L323" t="n">
        <v>10</v>
      </c>
      <c r="M323" t="n">
        <v/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Income</t>
        </is>
      </c>
      <c r="B324" t="inlineStr">
        <is>
          <t>F39</t>
        </is>
      </c>
      <c r="C324" t="n">
        <v>39</v>
      </c>
      <c r="D324" t="n">
        <v>6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1</v>
      </c>
      <c r="K324" t="b">
        <v>0</v>
      </c>
      <c r="L324" t="n">
        <v>10</v>
      </c>
      <c r="M324" t="n">
        <v/>
      </c>
      <c r="N324" t="inlineStr">
        <is>
          <t>00000000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Income</t>
        </is>
      </c>
      <c r="B325" t="inlineStr">
        <is>
          <t>G39</t>
        </is>
      </c>
      <c r="C325" t="n">
        <v>39</v>
      </c>
      <c r="D325" t="n">
        <v>7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1</v>
      </c>
      <c r="K325" t="b">
        <v>0</v>
      </c>
      <c r="L325" t="n">
        <v>10</v>
      </c>
      <c r="M325" t="n">
        <v/>
      </c>
      <c r="N325" t="inlineStr">
        <is>
          <t>00000000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Income</t>
        </is>
      </c>
      <c r="B326" t="inlineStr">
        <is>
          <t>H39</t>
        </is>
      </c>
      <c r="C326" t="n">
        <v>39</v>
      </c>
      <c r="D326" t="n">
        <v>8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1</v>
      </c>
      <c r="K326" t="b">
        <v>0</v>
      </c>
      <c r="L326" t="n">
        <v>10</v>
      </c>
      <c r="M326" t="n">
        <v/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Income</t>
        </is>
      </c>
      <c r="B327" t="inlineStr">
        <is>
          <t>I39</t>
        </is>
      </c>
      <c r="C327" t="n">
        <v>39</v>
      </c>
      <c r="D327" t="n">
        <v>9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1</v>
      </c>
      <c r="K327" t="b">
        <v>0</v>
      </c>
      <c r="L327" t="n">
        <v>10</v>
      </c>
      <c r="M327" t="n">
        <v/>
      </c>
      <c r="N327" t="inlineStr">
        <is>
          <t>00000000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Income</t>
        </is>
      </c>
      <c r="B328" t="inlineStr">
        <is>
          <t>A40</t>
        </is>
      </c>
      <c r="C328" t="n">
        <v>40</v>
      </c>
      <c r="D328" t="n">
        <v>1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1</v>
      </c>
      <c r="K328" t="b">
        <v>0</v>
      </c>
      <c r="L328" t="n">
        <v>10</v>
      </c>
      <c r="M328" t="n">
        <v/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Income</t>
        </is>
      </c>
      <c r="B329" t="inlineStr">
        <is>
          <t>B40</t>
        </is>
      </c>
      <c r="C329" t="n">
        <v>40</v>
      </c>
      <c r="D329" t="n">
        <v>2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1</v>
      </c>
      <c r="K329" t="b">
        <v>0</v>
      </c>
      <c r="L329" t="n">
        <v>10</v>
      </c>
      <c r="M329" t="n">
        <v/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Income</t>
        </is>
      </c>
      <c r="B330" t="inlineStr">
        <is>
          <t>C40</t>
        </is>
      </c>
      <c r="C330" t="n">
        <v>40</v>
      </c>
      <c r="D330" t="n">
        <v>3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1</v>
      </c>
      <c r="K330" t="b">
        <v>0</v>
      </c>
      <c r="L330" t="n">
        <v>10</v>
      </c>
      <c r="M330" t="n">
        <v/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</row>
    <row r="331">
      <c r="A331" t="inlineStr">
        <is>
          <t>Income</t>
        </is>
      </c>
      <c r="B331" t="inlineStr">
        <is>
          <t>D40</t>
        </is>
      </c>
      <c r="C331" t="n">
        <v>40</v>
      </c>
      <c r="D331" t="n">
        <v>4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1</v>
      </c>
      <c r="K331" t="b">
        <v>0</v>
      </c>
      <c r="L331" t="n">
        <v>10</v>
      </c>
      <c r="M331" t="n">
        <v/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</row>
    <row r="332">
      <c r="A332" t="inlineStr">
        <is>
          <t>Income</t>
        </is>
      </c>
      <c r="B332" t="inlineStr">
        <is>
          <t>E40</t>
        </is>
      </c>
      <c r="C332" t="n">
        <v>40</v>
      </c>
      <c r="D332" t="n">
        <v>5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1</v>
      </c>
      <c r="K332" t="b">
        <v>0</v>
      </c>
      <c r="L332" t="n">
        <v>10</v>
      </c>
      <c r="M332" t="n">
        <v/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Income</t>
        </is>
      </c>
      <c r="B333" t="inlineStr">
        <is>
          <t>F40</t>
        </is>
      </c>
      <c r="C333" t="n">
        <v>40</v>
      </c>
      <c r="D333" t="n">
        <v>6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1</v>
      </c>
      <c r="K333" t="b">
        <v>0</v>
      </c>
      <c r="L333" t="n">
        <v>10</v>
      </c>
      <c r="M333" t="n">
        <v/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</row>
    <row r="334">
      <c r="A334" t="inlineStr">
        <is>
          <t>Income</t>
        </is>
      </c>
      <c r="B334" t="inlineStr">
        <is>
          <t>G40</t>
        </is>
      </c>
      <c r="C334" t="n">
        <v>40</v>
      </c>
      <c r="D334" t="n">
        <v>7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1</v>
      </c>
      <c r="K334" t="b">
        <v>0</v>
      </c>
      <c r="L334" t="n">
        <v>10</v>
      </c>
      <c r="M334" t="n">
        <v/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Income</t>
        </is>
      </c>
      <c r="B335" t="inlineStr">
        <is>
          <t>H40</t>
        </is>
      </c>
      <c r="C335" t="n">
        <v>40</v>
      </c>
      <c r="D335" t="n">
        <v>8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10</v>
      </c>
      <c r="M335" t="n">
        <v/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</row>
    <row r="336">
      <c r="A336" t="inlineStr">
        <is>
          <t>Income</t>
        </is>
      </c>
      <c r="B336" t="inlineStr">
        <is>
          <t>I40</t>
        </is>
      </c>
      <c r="C336" t="n">
        <v>40</v>
      </c>
      <c r="D336" t="n">
        <v>9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10</v>
      </c>
      <c r="M336" t="n">
        <v/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</row>
    <row r="337">
      <c r="A337" t="inlineStr">
        <is>
          <t>Income</t>
        </is>
      </c>
      <c r="B337" t="inlineStr">
        <is>
          <t>A41</t>
        </is>
      </c>
      <c r="C337" t="n">
        <v>41</v>
      </c>
      <c r="D337" t="n">
        <v>1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1</v>
      </c>
      <c r="K337" t="b">
        <v>0</v>
      </c>
      <c r="L337" t="n">
        <v>10</v>
      </c>
      <c r="M337" t="n">
        <v/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</row>
    <row r="338">
      <c r="A338" t="inlineStr">
        <is>
          <t>Income</t>
        </is>
      </c>
      <c r="B338" t="inlineStr">
        <is>
          <t>B41</t>
        </is>
      </c>
      <c r="C338" t="n">
        <v>41</v>
      </c>
      <c r="D338" t="n">
        <v>2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1</v>
      </c>
      <c r="K338" t="b">
        <v>0</v>
      </c>
      <c r="L338" t="n">
        <v>10</v>
      </c>
      <c r="M338" t="n">
        <v/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Income</t>
        </is>
      </c>
      <c r="B339" t="inlineStr">
        <is>
          <t>C41</t>
        </is>
      </c>
      <c r="C339" t="n">
        <v>41</v>
      </c>
      <c r="D339" t="n">
        <v>3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1</v>
      </c>
      <c r="K339" t="b">
        <v>0</v>
      </c>
      <c r="L339" t="n">
        <v>10</v>
      </c>
      <c r="M339" t="n">
        <v/>
      </c>
      <c r="N339" t="inlineStr">
        <is>
          <t>00000000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Income</t>
        </is>
      </c>
      <c r="B340" t="inlineStr">
        <is>
          <t>D41</t>
        </is>
      </c>
      <c r="C340" t="n">
        <v>41</v>
      </c>
      <c r="D340" t="n">
        <v>4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1</v>
      </c>
      <c r="K340" t="b">
        <v>0</v>
      </c>
      <c r="L340" t="n">
        <v>10</v>
      </c>
      <c r="M340" t="n">
        <v/>
      </c>
      <c r="N340" t="inlineStr">
        <is>
          <t>00000000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Income</t>
        </is>
      </c>
      <c r="B341" t="inlineStr">
        <is>
          <t>E41</t>
        </is>
      </c>
      <c r="C341" t="n">
        <v>41</v>
      </c>
      <c r="D341" t="n">
        <v>5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1</v>
      </c>
      <c r="K341" t="b">
        <v>0</v>
      </c>
      <c r="L341" t="n">
        <v>10</v>
      </c>
      <c r="M341" t="n">
        <v/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Income</t>
        </is>
      </c>
      <c r="B342" t="inlineStr">
        <is>
          <t>F41</t>
        </is>
      </c>
      <c r="C342" t="n">
        <v>41</v>
      </c>
      <c r="D342" t="n">
        <v>6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1</v>
      </c>
      <c r="K342" t="b">
        <v>0</v>
      </c>
      <c r="L342" t="n">
        <v>10</v>
      </c>
      <c r="M342" t="n">
        <v/>
      </c>
      <c r="N342" t="inlineStr">
        <is>
          <t>00000000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</row>
    <row r="343">
      <c r="A343" t="inlineStr">
        <is>
          <t>Income</t>
        </is>
      </c>
      <c r="B343" t="inlineStr">
        <is>
          <t>G41</t>
        </is>
      </c>
      <c r="C343" t="n">
        <v>41</v>
      </c>
      <c r="D343" t="n">
        <v>7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1</v>
      </c>
      <c r="K343" t="b">
        <v>0</v>
      </c>
      <c r="L343" t="n">
        <v>10</v>
      </c>
      <c r="M343" t="n">
        <v/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Income</t>
        </is>
      </c>
      <c r="B344" t="inlineStr">
        <is>
          <t>H41</t>
        </is>
      </c>
      <c r="C344" t="n">
        <v>41</v>
      </c>
      <c r="D344" t="n">
        <v>8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1</v>
      </c>
      <c r="K344" t="b">
        <v>0</v>
      </c>
      <c r="L344" t="n">
        <v>10</v>
      </c>
      <c r="M344" t="n">
        <v/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Income</t>
        </is>
      </c>
      <c r="B345" t="inlineStr">
        <is>
          <t>I41</t>
        </is>
      </c>
      <c r="C345" t="n">
        <v>41</v>
      </c>
      <c r="D345" t="n">
        <v>9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1</v>
      </c>
      <c r="K345" t="b">
        <v>0</v>
      </c>
      <c r="L345" t="n">
        <v>10</v>
      </c>
      <c r="M345" t="n">
        <v/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Balance sheet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BALANCE SHEETS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Balance sheet</t>
        </is>
      </c>
      <c r="B3" t="inlineStr">
        <is>
          <t>A4</t>
        </is>
      </c>
      <c r="C3" t="n">
        <v>4</v>
      </c>
      <c r="D3" t="n">
        <v>1</v>
      </c>
      <c r="E3" t="inlineStr">
        <is>
          <t>Input</t>
        </is>
      </c>
      <c r="F3" t="n">
        <v/>
      </c>
      <c r="G3" t="inlineStr">
        <is>
          <t>Year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n">
        <v/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Balance sheet</t>
        </is>
      </c>
      <c r="B4" t="inlineStr">
        <is>
          <t>B4</t>
        </is>
      </c>
      <c r="C4" t="n">
        <v>4</v>
      </c>
      <c r="D4" t="n">
        <v>2</v>
      </c>
      <c r="E4" t="inlineStr">
        <is>
          <t>Input</t>
        </is>
      </c>
      <c r="F4" t="n">
        <v/>
      </c>
      <c r="G4" t="n">
        <v>0</v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Balance sheet</t>
        </is>
      </c>
      <c r="B5" t="inlineStr">
        <is>
          <t>C4</t>
        </is>
      </c>
      <c r="C5" t="n">
        <v>4</v>
      </c>
      <c r="D5" t="n">
        <v>3</v>
      </c>
      <c r="E5" t="inlineStr">
        <is>
          <t>Input</t>
        </is>
      </c>
      <c r="F5" t="n">
        <v/>
      </c>
      <c r="G5" t="n">
        <v>1</v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Balance sheet</t>
        </is>
      </c>
      <c r="B6" t="inlineStr">
        <is>
          <t>D4</t>
        </is>
      </c>
      <c r="C6" t="n">
        <v>4</v>
      </c>
      <c r="D6" t="n">
        <v>4</v>
      </c>
      <c r="E6" t="inlineStr">
        <is>
          <t>Input</t>
        </is>
      </c>
      <c r="F6" t="n">
        <v/>
      </c>
      <c r="G6" t="n">
        <v>2</v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Balance sheet</t>
        </is>
      </c>
      <c r="B7" t="inlineStr">
        <is>
          <t>E4</t>
        </is>
      </c>
      <c r="C7" t="n">
        <v>4</v>
      </c>
      <c r="D7" t="n">
        <v>5</v>
      </c>
      <c r="E7" t="inlineStr">
        <is>
          <t>Input</t>
        </is>
      </c>
      <c r="F7" t="n">
        <v/>
      </c>
      <c r="G7" t="n">
        <v>3</v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Balance sheet</t>
        </is>
      </c>
      <c r="B8" t="inlineStr">
        <is>
          <t>A5</t>
        </is>
      </c>
      <c r="C8" t="n">
        <v>5</v>
      </c>
      <c r="D8" t="n">
        <v>1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Balance sheet</t>
        </is>
      </c>
      <c r="B9" t="inlineStr">
        <is>
          <t>B5</t>
        </is>
      </c>
      <c r="C9" t="n">
        <v>5</v>
      </c>
      <c r="D9" t="n">
        <v>2</v>
      </c>
      <c r="E9" t="inlineStr">
        <is>
          <t>Input</t>
        </is>
      </c>
      <c r="F9" t="n">
        <v/>
      </c>
      <c r="H9" t="inlineStr"/>
      <c r="I9" t="inlineStr">
        <is>
          <t>_(* #,##0_);_(* \(#,##0\);_(* \-??_);_(@_)</t>
        </is>
      </c>
      <c r="J9" t="b">
        <v>1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Balance sheet</t>
        </is>
      </c>
      <c r="B10" t="inlineStr">
        <is>
          <t>C5</t>
        </is>
      </c>
      <c r="C10" t="n">
        <v>5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_(* #,##0_);_(* \(#,##0\);_(* \-??_);_(@_)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Balance sheet</t>
        </is>
      </c>
      <c r="B11" t="inlineStr">
        <is>
          <t>D5</t>
        </is>
      </c>
      <c r="C11" t="n">
        <v>5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_(* #,##0_);_(* \(#,##0\);_(* \-??_);_(@_)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Balance sheet</t>
        </is>
      </c>
      <c r="B12" t="inlineStr">
        <is>
          <t>E5</t>
        </is>
      </c>
      <c r="C12" t="n">
        <v>5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_(* #,##0_);_(* \(#,##0\);_(* \-??_);_(@_)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Balance sheet</t>
        </is>
      </c>
      <c r="B13" t="inlineStr">
        <is>
          <t>F5</t>
        </is>
      </c>
      <c r="C13" t="n">
        <v>5</v>
      </c>
      <c r="D13" t="n">
        <v>6</v>
      </c>
      <c r="E13" t="inlineStr">
        <is>
          <t>Input</t>
        </is>
      </c>
      <c r="F13" t="n">
        <v/>
      </c>
      <c r="H13" t="inlineStr"/>
      <c r="I13" t="inlineStr">
        <is>
          <t>_(* #,##0_);_(* \(#,##0\);_(* \-??_);_(@_)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Balance sheet</t>
        </is>
      </c>
      <c r="B14" t="inlineStr">
        <is>
          <t>G5</t>
        </is>
      </c>
      <c r="C14" t="n">
        <v>5</v>
      </c>
      <c r="D14" t="n">
        <v>7</v>
      </c>
      <c r="E14" t="inlineStr">
        <is>
          <t>Input</t>
        </is>
      </c>
      <c r="F14" t="n">
        <v/>
      </c>
      <c r="H14" t="inlineStr"/>
      <c r="I14" t="inlineStr">
        <is>
          <t>_(* #,##0_);_(* \(#,##0\);_(* \-??_);_(@_)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Balance sheet</t>
        </is>
      </c>
      <c r="B15" t="inlineStr">
        <is>
          <t>H5</t>
        </is>
      </c>
      <c r="C15" t="n">
        <v>5</v>
      </c>
      <c r="D15" t="n">
        <v>8</v>
      </c>
      <c r="E15" t="inlineStr">
        <is>
          <t>Input</t>
        </is>
      </c>
      <c r="F15" t="n">
        <v/>
      </c>
      <c r="H15" t="inlineStr"/>
      <c r="I15" t="inlineStr">
        <is>
          <t>_(* #,##0_);_(* \(#,##0\);_(* \-??_);_(@_)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Balance sheet</t>
        </is>
      </c>
      <c r="B16" t="inlineStr">
        <is>
          <t>A6</t>
        </is>
      </c>
      <c r="C16" t="n">
        <v>6</v>
      </c>
      <c r="D16" t="n">
        <v>1</v>
      </c>
      <c r="E16" t="inlineStr">
        <is>
          <t>Input</t>
        </is>
      </c>
      <c r="F16" t="n">
        <v/>
      </c>
      <c r="G16" t="inlineStr">
        <is>
          <t>Cash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Balance sheet</t>
        </is>
      </c>
      <c r="B17" t="inlineStr">
        <is>
          <t>B6</t>
        </is>
      </c>
      <c r="C17" t="n">
        <v>6</v>
      </c>
      <c r="D17" t="n">
        <v>2</v>
      </c>
      <c r="E17" t="inlineStr">
        <is>
          <t>Calculation</t>
        </is>
      </c>
      <c r="F17" t="inlineStr">
        <is>
          <t>'=Financing!B32</t>
        </is>
      </c>
      <c r="G17" t="n">
        <v>98</v>
      </c>
      <c r="H17" t="inlineStr"/>
      <c r="I17" t="inlineStr">
        <is>
          <t>_(* #,##0_);_(* \(#,##0\);_(* \-??_);_(@_)</t>
        </is>
      </c>
      <c r="J17" t="b">
        <v>1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inlineStr">
        <is>
          <t>G000028</t>
        </is>
      </c>
      <c r="T17" t="inlineStr">
        <is>
          <t>Horizontal</t>
        </is>
      </c>
      <c r="U17" t="n">
        <v>4</v>
      </c>
      <c r="V17" t="b">
        <v>1</v>
      </c>
      <c r="W17" t="inlineStr">
        <is>
          <t>Balance sheet!B6:E6</t>
        </is>
      </c>
      <c r="X17">
        <f>'Financing'!R[26]C[0]</f>
        <v/>
      </c>
    </row>
    <row r="18">
      <c r="A18" t="inlineStr">
        <is>
          <t>Balance sheet</t>
        </is>
      </c>
      <c r="B18" t="inlineStr">
        <is>
          <t>C6</t>
        </is>
      </c>
      <c r="C18" t="n">
        <v>6</v>
      </c>
      <c r="D18" t="n">
        <v>3</v>
      </c>
      <c r="E18" t="inlineStr">
        <is>
          <t>Calculation</t>
        </is>
      </c>
      <c r="F18" t="inlineStr">
        <is>
          <t>'=Financing!C32</t>
        </is>
      </c>
      <c r="G18" t="n">
        <v>20</v>
      </c>
      <c r="H18" t="inlineStr"/>
      <c r="I18" t="inlineStr">
        <is>
          <t>_(* #,##0_);_(* \(#,##0\);_(* \-??_);_(@_)</t>
        </is>
      </c>
      <c r="J18" t="b">
        <v>1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S18" t="inlineStr">
        <is>
          <t>G000028</t>
        </is>
      </c>
      <c r="T18" t="inlineStr">
        <is>
          <t>Horizontal</t>
        </is>
      </c>
      <c r="U18" t="n">
        <v>4</v>
      </c>
      <c r="V18" t="b">
        <v>1</v>
      </c>
      <c r="W18" t="inlineStr">
        <is>
          <t>Balance sheet!B6:E6</t>
        </is>
      </c>
      <c r="X18">
        <f>'Financing'!R[26]C[0]</f>
        <v/>
      </c>
    </row>
    <row r="19">
      <c r="A19" t="inlineStr">
        <is>
          <t>Balance sheet</t>
        </is>
      </c>
      <c r="B19" t="inlineStr">
        <is>
          <t>D6</t>
        </is>
      </c>
      <c r="C19" t="n">
        <v>6</v>
      </c>
      <c r="D19" t="n">
        <v>4</v>
      </c>
      <c r="E19" t="inlineStr">
        <is>
          <t>Calculation</t>
        </is>
      </c>
      <c r="F19" t="inlineStr">
        <is>
          <t>'=Financing!D32</t>
        </is>
      </c>
      <c r="G19" t="n">
        <v>28</v>
      </c>
      <c r="H19" t="inlineStr"/>
      <c r="I19" t="inlineStr">
        <is>
          <t>_(* #,##0_);_(* \(#,##0\);_(* \-??_);_(@_)</t>
        </is>
      </c>
      <c r="J19" t="b">
        <v>1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inlineStr">
        <is>
          <t>G000028</t>
        </is>
      </c>
      <c r="T19" t="inlineStr">
        <is>
          <t>Horizontal</t>
        </is>
      </c>
      <c r="U19" t="n">
        <v>4</v>
      </c>
      <c r="V19" t="b">
        <v>1</v>
      </c>
      <c r="W19" t="inlineStr">
        <is>
          <t>Balance sheet!B6:E6</t>
        </is>
      </c>
      <c r="X19">
        <f>'Financing'!R[26]C[0]</f>
        <v/>
      </c>
    </row>
    <row r="20">
      <c r="A20" t="inlineStr">
        <is>
          <t>Balance sheet</t>
        </is>
      </c>
      <c r="B20" t="inlineStr">
        <is>
          <t>E6</t>
        </is>
      </c>
      <c r="C20" t="n">
        <v>6</v>
      </c>
      <c r="D20" t="n">
        <v>5</v>
      </c>
      <c r="E20" t="inlineStr">
        <is>
          <t>Calculation</t>
        </is>
      </c>
      <c r="F20" t="inlineStr">
        <is>
          <t>'=Financing!E32</t>
        </is>
      </c>
      <c r="G20" t="n">
        <v>34</v>
      </c>
      <c r="H20" t="inlineStr"/>
      <c r="I20" t="inlineStr">
        <is>
          <t>_(* #,##0_);_(* \(#,##0\);_(* \-??_);_(@_)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S20" t="inlineStr">
        <is>
          <t>G000028</t>
        </is>
      </c>
      <c r="T20" t="inlineStr">
        <is>
          <t>Horizontal</t>
        </is>
      </c>
      <c r="U20" t="n">
        <v>4</v>
      </c>
      <c r="V20" t="b">
        <v>1</v>
      </c>
      <c r="W20" t="inlineStr">
        <is>
          <t>Balance sheet!B6:E6</t>
        </is>
      </c>
      <c r="X20">
        <f>'Financing'!R[26]C[0]</f>
        <v/>
      </c>
    </row>
    <row r="21">
      <c r="A21" t="inlineStr">
        <is>
          <t>Balance sheet</t>
        </is>
      </c>
      <c r="B21" t="inlineStr">
        <is>
          <t>F6</t>
        </is>
      </c>
      <c r="C21" t="n">
        <v>6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_(* #,##0_);_(* \(#,##0\);_(* \-??_);_(@_)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Balance sheet</t>
        </is>
      </c>
      <c r="B22" t="inlineStr">
        <is>
          <t>G6</t>
        </is>
      </c>
      <c r="C22" t="n">
        <v>6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_(* #,##0_);_(* \(#,##0\);_(* \-??_);_(@_)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Balance sheet</t>
        </is>
      </c>
      <c r="B23" t="inlineStr">
        <is>
          <t>H6</t>
        </is>
      </c>
      <c r="C23" t="n">
        <v>6</v>
      </c>
      <c r="D23" t="n">
        <v>8</v>
      </c>
      <c r="E23" t="inlineStr">
        <is>
          <t>Input</t>
        </is>
      </c>
      <c r="F23" t="n">
        <v/>
      </c>
      <c r="H23" t="inlineStr"/>
      <c r="I23" t="inlineStr">
        <is>
          <t>_(* #,##0_);_(* \(#,##0\);_(* \-??_);_(@_)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Balance sheet</t>
        </is>
      </c>
      <c r="B24" t="inlineStr">
        <is>
          <t>A7</t>
        </is>
      </c>
      <c r="C24" t="n">
        <v>7</v>
      </c>
      <c r="D24" t="n">
        <v>1</v>
      </c>
      <c r="E24" t="inlineStr">
        <is>
          <t>Input</t>
        </is>
      </c>
      <c r="F24" t="n">
        <v/>
      </c>
      <c r="G24" t="inlineStr">
        <is>
          <t>Inventory</t>
        </is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Balance sheet</t>
        </is>
      </c>
      <c r="B25" t="inlineStr">
        <is>
          <t>B7</t>
        </is>
      </c>
      <c r="C25" t="n">
        <v>7</v>
      </c>
      <c r="D25" t="n">
        <v>2</v>
      </c>
      <c r="E25" t="inlineStr">
        <is>
          <t>Calculation</t>
        </is>
      </c>
      <c r="F25" t="inlineStr">
        <is>
          <t>'=Operations!B26</t>
        </is>
      </c>
      <c r="G25" t="n">
        <v>10</v>
      </c>
      <c r="H25" t="inlineStr"/>
      <c r="I25" t="inlineStr">
        <is>
          <t>_(* #,##0_);_(* \(#,##0\);_(* \-??_);_(@_)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inlineStr">
        <is>
          <t>G000029</t>
        </is>
      </c>
      <c r="T25" t="inlineStr">
        <is>
          <t>Horizontal</t>
        </is>
      </c>
      <c r="U25" t="n">
        <v>4</v>
      </c>
      <c r="V25" t="b">
        <v>1</v>
      </c>
      <c r="W25" t="inlineStr">
        <is>
          <t>Balance sheet!B7:E7</t>
        </is>
      </c>
      <c r="X25">
        <f>'Operations'!R[19]C[0]</f>
        <v/>
      </c>
    </row>
    <row r="26">
      <c r="A26" t="inlineStr">
        <is>
          <t>Balance sheet</t>
        </is>
      </c>
      <c r="B26" t="inlineStr">
        <is>
          <t>C7</t>
        </is>
      </c>
      <c r="C26" t="n">
        <v>7</v>
      </c>
      <c r="D26" t="n">
        <v>3</v>
      </c>
      <c r="E26" t="inlineStr">
        <is>
          <t>Calculation</t>
        </is>
      </c>
      <c r="F26" t="inlineStr">
        <is>
          <t>'=Operations!C26</t>
        </is>
      </c>
      <c r="G26" t="n">
        <v>25</v>
      </c>
      <c r="H26" t="inlineStr"/>
      <c r="I26" t="inlineStr">
        <is>
          <t>_(* #,##0_);_(* \(#,##0\);_(* \-??_);_(@_)</t>
        </is>
      </c>
      <c r="J26" t="b">
        <v>1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inlineStr">
        <is>
          <t>G000029</t>
        </is>
      </c>
      <c r="T26" t="inlineStr">
        <is>
          <t>Horizontal</t>
        </is>
      </c>
      <c r="U26" t="n">
        <v>4</v>
      </c>
      <c r="V26" t="b">
        <v>1</v>
      </c>
      <c r="W26" t="inlineStr">
        <is>
          <t>Balance sheet!B7:E7</t>
        </is>
      </c>
      <c r="X26">
        <f>'Operations'!R[19]C[0]</f>
        <v/>
      </c>
    </row>
    <row r="27">
      <c r="A27" t="inlineStr">
        <is>
          <t>Balance sheet</t>
        </is>
      </c>
      <c r="B27" t="inlineStr">
        <is>
          <t>D7</t>
        </is>
      </c>
      <c r="C27" t="n">
        <v>7</v>
      </c>
      <c r="D27" t="n">
        <v>4</v>
      </c>
      <c r="E27" t="inlineStr">
        <is>
          <t>Calculation</t>
        </is>
      </c>
      <c r="F27" t="inlineStr">
        <is>
          <t>'=Operations!D26</t>
        </is>
      </c>
      <c r="G27" t="n">
        <v>35</v>
      </c>
      <c r="H27" t="inlineStr"/>
      <c r="I27" t="inlineStr">
        <is>
          <t>_(* #,##0_);_(* \(#,##0\);_(* \-??_);_(@_)</t>
        </is>
      </c>
      <c r="J27" t="b">
        <v>1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S27" t="inlineStr">
        <is>
          <t>G000029</t>
        </is>
      </c>
      <c r="T27" t="inlineStr">
        <is>
          <t>Horizontal</t>
        </is>
      </c>
      <c r="U27" t="n">
        <v>4</v>
      </c>
      <c r="V27" t="b">
        <v>1</v>
      </c>
      <c r="W27" t="inlineStr">
        <is>
          <t>Balance sheet!B7:E7</t>
        </is>
      </c>
      <c r="X27">
        <f>'Operations'!R[19]C[0]</f>
        <v/>
      </c>
    </row>
    <row r="28">
      <c r="A28" t="inlineStr">
        <is>
          <t>Balance sheet</t>
        </is>
      </c>
      <c r="B28" t="inlineStr">
        <is>
          <t>E7</t>
        </is>
      </c>
      <c r="C28" t="n">
        <v>7</v>
      </c>
      <c r="D28" t="n">
        <v>5</v>
      </c>
      <c r="E28" t="inlineStr">
        <is>
          <t>Calculation</t>
        </is>
      </c>
      <c r="F28" t="inlineStr">
        <is>
          <t>'=Operations!E26</t>
        </is>
      </c>
      <c r="G28" t="n">
        <v>42.5</v>
      </c>
      <c r="H28" t="inlineStr"/>
      <c r="I28" t="inlineStr">
        <is>
          <t>_(* #,##0_);_(* \(#,##0\);_(* \-??_);_(@_)</t>
        </is>
      </c>
      <c r="J28" t="b">
        <v>1</v>
      </c>
      <c r="K28" t="b">
        <v>0</v>
      </c>
      <c r="L28" t="n">
        <v>10</v>
      </c>
      <c r="M28" t="n">
        <v/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S28" t="inlineStr">
        <is>
          <t>G000029</t>
        </is>
      </c>
      <c r="T28" t="inlineStr">
        <is>
          <t>Horizontal</t>
        </is>
      </c>
      <c r="U28" t="n">
        <v>4</v>
      </c>
      <c r="V28" t="b">
        <v>1</v>
      </c>
      <c r="W28" t="inlineStr">
        <is>
          <t>Balance sheet!B7:E7</t>
        </is>
      </c>
      <c r="X28">
        <f>'Operations'!R[19]C[0]</f>
        <v/>
      </c>
    </row>
    <row r="29">
      <c r="A29" t="inlineStr">
        <is>
          <t>Balance sheet</t>
        </is>
      </c>
      <c r="B29" t="inlineStr">
        <is>
          <t>F7</t>
        </is>
      </c>
      <c r="C29" t="n">
        <v>7</v>
      </c>
      <c r="D29" t="n">
        <v>6</v>
      </c>
      <c r="E29" t="inlineStr">
        <is>
          <t>Input</t>
        </is>
      </c>
      <c r="F29" t="n">
        <v/>
      </c>
      <c r="H29" t="inlineStr"/>
      <c r="I29" t="inlineStr">
        <is>
          <t>_(* #,##0_);_(* \(#,##0\);_(* \-??_);_(@_)</t>
        </is>
      </c>
      <c r="J29" t="b">
        <v>1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Balance sheet</t>
        </is>
      </c>
      <c r="B30" t="inlineStr">
        <is>
          <t>G7</t>
        </is>
      </c>
      <c r="C30" t="n">
        <v>7</v>
      </c>
      <c r="D30" t="n">
        <v>7</v>
      </c>
      <c r="E30" t="inlineStr">
        <is>
          <t>Input</t>
        </is>
      </c>
      <c r="F30" t="n">
        <v/>
      </c>
      <c r="H30" t="inlineStr"/>
      <c r="I30" t="inlineStr">
        <is>
          <t>_(* #,##0_);_(* \(#,##0\);_(* \-??_);_(@_)</t>
        </is>
      </c>
      <c r="J30" t="b">
        <v>1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Balance sheet</t>
        </is>
      </c>
      <c r="B31" t="inlineStr">
        <is>
          <t>H7</t>
        </is>
      </c>
      <c r="C31" t="n">
        <v>7</v>
      </c>
      <c r="D31" t="n">
        <v>8</v>
      </c>
      <c r="E31" t="inlineStr">
        <is>
          <t>Input</t>
        </is>
      </c>
      <c r="F31" t="n">
        <v/>
      </c>
      <c r="H31" t="inlineStr"/>
      <c r="I31" t="inlineStr">
        <is>
          <t>_(* #,##0_);_(* \(#,##0\);_(* \-??_);_(@_)</t>
        </is>
      </c>
      <c r="J31" t="b">
        <v>1</v>
      </c>
      <c r="K31" t="b">
        <v>0</v>
      </c>
      <c r="L31" t="n">
        <v>10</v>
      </c>
      <c r="M31" t="n">
        <v/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Balance sheet</t>
        </is>
      </c>
      <c r="B32" t="inlineStr">
        <is>
          <t>A8</t>
        </is>
      </c>
      <c r="C32" t="n">
        <v>8</v>
      </c>
      <c r="D32" t="n">
        <v>1</v>
      </c>
      <c r="E32" t="inlineStr">
        <is>
          <t>Input</t>
        </is>
      </c>
      <c r="F32" t="n">
        <v/>
      </c>
      <c r="G32" t="inlineStr">
        <is>
          <t>Accounts receivable</t>
        </is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Balance sheet</t>
        </is>
      </c>
      <c r="B33" t="inlineStr">
        <is>
          <t>B8</t>
        </is>
      </c>
      <c r="C33" t="n">
        <v>8</v>
      </c>
      <c r="D33" t="n">
        <v>2</v>
      </c>
      <c r="E33" t="inlineStr">
        <is>
          <t>Calculation</t>
        </is>
      </c>
      <c r="F33" t="inlineStr">
        <is>
          <t>'=Operations!B28</t>
        </is>
      </c>
      <c r="G33" t="n">
        <v>0</v>
      </c>
      <c r="H33" t="inlineStr"/>
      <c r="I33" t="inlineStr">
        <is>
          <t>_(* #,##0_);_(* \(#,##0\);_(* \-??_);_(@_)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inlineStr">
        <is>
          <t>G000030</t>
        </is>
      </c>
      <c r="T33" t="inlineStr">
        <is>
          <t>Horizontal</t>
        </is>
      </c>
      <c r="U33" t="n">
        <v>4</v>
      </c>
      <c r="V33" t="b">
        <v>1</v>
      </c>
      <c r="W33" t="inlineStr">
        <is>
          <t>Balance sheet!B8:E8</t>
        </is>
      </c>
      <c r="X33">
        <f>'Operations'!R[20]C[0]</f>
        <v/>
      </c>
    </row>
    <row r="34">
      <c r="A34" t="inlineStr">
        <is>
          <t>Balance sheet</t>
        </is>
      </c>
      <c r="B34" t="inlineStr">
        <is>
          <t>C8</t>
        </is>
      </c>
      <c r="C34" t="n">
        <v>8</v>
      </c>
      <c r="D34" t="n">
        <v>3</v>
      </c>
      <c r="E34" t="inlineStr">
        <is>
          <t>Calculation</t>
        </is>
      </c>
      <c r="F34" t="inlineStr">
        <is>
          <t>'=Operations!C28</t>
        </is>
      </c>
      <c r="G34" t="n">
        <v>60</v>
      </c>
      <c r="H34" t="inlineStr"/>
      <c r="I34" t="inlineStr">
        <is>
          <t>_(* #,##0_);_(* \(#,##0\);_(* \-??_);_(@_)</t>
        </is>
      </c>
      <c r="J34" t="b">
        <v>1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inlineStr">
        <is>
          <t>G000030</t>
        </is>
      </c>
      <c r="T34" t="inlineStr">
        <is>
          <t>Horizontal</t>
        </is>
      </c>
      <c r="U34" t="n">
        <v>4</v>
      </c>
      <c r="V34" t="b">
        <v>1</v>
      </c>
      <c r="W34" t="inlineStr">
        <is>
          <t>Balance sheet!B8:E8</t>
        </is>
      </c>
      <c r="X34">
        <f>'Operations'!R[20]C[0]</f>
        <v/>
      </c>
    </row>
    <row r="35">
      <c r="A35" t="inlineStr">
        <is>
          <t>Balance sheet</t>
        </is>
      </c>
      <c r="B35" t="inlineStr">
        <is>
          <t>D8</t>
        </is>
      </c>
      <c r="C35" t="n">
        <v>8</v>
      </c>
      <c r="D35" t="n">
        <v>4</v>
      </c>
      <c r="E35" t="inlineStr">
        <is>
          <t>Calculation</t>
        </is>
      </c>
      <c r="F35" t="inlineStr">
        <is>
          <t>'=Operations!D28</t>
        </is>
      </c>
      <c r="G35" t="n">
        <v>84</v>
      </c>
      <c r="H35" t="inlineStr"/>
      <c r="I35" t="inlineStr">
        <is>
          <t>_(* #,##0_);_(* \(#,##0\);_(* \-??_);_(@_)</t>
        </is>
      </c>
      <c r="J35" t="b">
        <v>1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inlineStr">
        <is>
          <t>G000030</t>
        </is>
      </c>
      <c r="T35" t="inlineStr">
        <is>
          <t>Horizontal</t>
        </is>
      </c>
      <c r="U35" t="n">
        <v>4</v>
      </c>
      <c r="V35" t="b">
        <v>1</v>
      </c>
      <c r="W35" t="inlineStr">
        <is>
          <t>Balance sheet!B8:E8</t>
        </is>
      </c>
      <c r="X35">
        <f>'Operations'!R[20]C[0]</f>
        <v/>
      </c>
    </row>
    <row r="36">
      <c r="A36" t="inlineStr">
        <is>
          <t>Balance sheet</t>
        </is>
      </c>
      <c r="B36" t="inlineStr">
        <is>
          <t>E8</t>
        </is>
      </c>
      <c r="C36" t="n">
        <v>8</v>
      </c>
      <c r="D36" t="n">
        <v>5</v>
      </c>
      <c r="E36" t="inlineStr">
        <is>
          <t>Calculation</t>
        </is>
      </c>
      <c r="F36" t="inlineStr">
        <is>
          <t>'=Operations!E28</t>
        </is>
      </c>
      <c r="G36" t="n">
        <v>102</v>
      </c>
      <c r="H36" t="inlineStr"/>
      <c r="I36" t="inlineStr">
        <is>
          <t>_(* #,##0_);_(* \(#,##0\);_(* \-??_);_(@_)</t>
        </is>
      </c>
      <c r="J36" t="b">
        <v>1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S36" t="inlineStr">
        <is>
          <t>G000030</t>
        </is>
      </c>
      <c r="T36" t="inlineStr">
        <is>
          <t>Horizontal</t>
        </is>
      </c>
      <c r="U36" t="n">
        <v>4</v>
      </c>
      <c r="V36" t="b">
        <v>1</v>
      </c>
      <c r="W36" t="inlineStr">
        <is>
          <t>Balance sheet!B8:E8</t>
        </is>
      </c>
      <c r="X36">
        <f>'Operations'!R[20]C[0]</f>
        <v/>
      </c>
    </row>
    <row r="37">
      <c r="A37" t="inlineStr">
        <is>
          <t>Balance sheet</t>
        </is>
      </c>
      <c r="B37" t="inlineStr">
        <is>
          <t>F8</t>
        </is>
      </c>
      <c r="C37" t="n">
        <v>8</v>
      </c>
      <c r="D37" t="n">
        <v>6</v>
      </c>
      <c r="E37" t="inlineStr">
        <is>
          <t>Input</t>
        </is>
      </c>
      <c r="F37" t="n">
        <v/>
      </c>
      <c r="H37" t="inlineStr"/>
      <c r="I37" t="inlineStr">
        <is>
          <t>_(* #,##0_);_(* \(#,##0\);_(* \-??_);_(@_)</t>
        </is>
      </c>
      <c r="J37" t="b">
        <v>1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Balance sheet</t>
        </is>
      </c>
      <c r="B38" t="inlineStr">
        <is>
          <t>G8</t>
        </is>
      </c>
      <c r="C38" t="n">
        <v>8</v>
      </c>
      <c r="D38" t="n">
        <v>7</v>
      </c>
      <c r="E38" t="inlineStr">
        <is>
          <t>Input</t>
        </is>
      </c>
      <c r="F38" t="n">
        <v/>
      </c>
      <c r="H38" t="inlineStr"/>
      <c r="I38" t="inlineStr">
        <is>
          <t>_(* #,##0_);_(* \(#,##0\);_(* \-??_);_(@_)</t>
        </is>
      </c>
      <c r="J38" t="b">
        <v>1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Balance sheet</t>
        </is>
      </c>
      <c r="B39" t="inlineStr">
        <is>
          <t>H8</t>
        </is>
      </c>
      <c r="C39" t="n">
        <v>8</v>
      </c>
      <c r="D39" t="n">
        <v>8</v>
      </c>
      <c r="E39" t="inlineStr">
        <is>
          <t>Input</t>
        </is>
      </c>
      <c r="F39" t="n">
        <v/>
      </c>
      <c r="H39" t="inlineStr"/>
      <c r="I39" t="inlineStr">
        <is>
          <t>_(* #,##0_);_(* \(#,##0\);_(* \-??_);_(@_)</t>
        </is>
      </c>
      <c r="J39" t="b">
        <v>1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Balance sheet</t>
        </is>
      </c>
      <c r="B40" t="inlineStr">
        <is>
          <t>A9</t>
        </is>
      </c>
      <c r="C40" t="n">
        <v>9</v>
      </c>
      <c r="D40" t="n">
        <v>1</v>
      </c>
      <c r="E40" t="inlineStr">
        <is>
          <t>Input</t>
        </is>
      </c>
      <c r="F40" t="n">
        <v/>
      </c>
      <c r="G40" t="inlineStr">
        <is>
          <t>Total current assets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M40" t="inlineStr">
        <is>
          <t>FF008000</t>
        </is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Balance sheet</t>
        </is>
      </c>
      <c r="B41" t="inlineStr">
        <is>
          <t>B9</t>
        </is>
      </c>
      <c r="C41" t="n">
        <v>9</v>
      </c>
      <c r="D41" t="n">
        <v>2</v>
      </c>
      <c r="E41" t="inlineStr">
        <is>
          <t>Calculation</t>
        </is>
      </c>
      <c r="F41" t="inlineStr">
        <is>
          <t>'=SUM(B6:B8)</t>
        </is>
      </c>
      <c r="G41" t="n">
        <v>108</v>
      </c>
      <c r="H41" t="inlineStr"/>
      <c r="I41" t="inlineStr">
        <is>
          <t>_(* #,##0_);_(* \(#,##0\);_(* \-??_);_(@_)</t>
        </is>
      </c>
      <c r="J41" t="b">
        <v>1</v>
      </c>
      <c r="K41" t="b">
        <v>0</v>
      </c>
      <c r="L41" t="n">
        <v>10</v>
      </c>
      <c r="M41" t="inlineStr">
        <is>
          <t>FF008000</t>
        </is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inlineStr">
        <is>
          <t>G000031</t>
        </is>
      </c>
      <c r="T41" t="inlineStr">
        <is>
          <t>Horizontal</t>
        </is>
      </c>
      <c r="U41" t="n">
        <v>4</v>
      </c>
      <c r="V41" t="b">
        <v>1</v>
      </c>
      <c r="W41" t="inlineStr">
        <is>
          <t>Balance sheet!B9:E9</t>
        </is>
      </c>
      <c r="X41">
        <f>SUM(R[-3]C[0]:R[-1]C[0])</f>
        <v/>
      </c>
    </row>
    <row r="42">
      <c r="A42" t="inlineStr">
        <is>
          <t>Balance sheet</t>
        </is>
      </c>
      <c r="B42" t="inlineStr">
        <is>
          <t>C9</t>
        </is>
      </c>
      <c r="C42" t="n">
        <v>9</v>
      </c>
      <c r="D42" t="n">
        <v>3</v>
      </c>
      <c r="E42" t="inlineStr">
        <is>
          <t>Calculation</t>
        </is>
      </c>
      <c r="F42" t="inlineStr">
        <is>
          <t>'=SUM(C6:C8)</t>
        </is>
      </c>
      <c r="G42" t="n">
        <v>105</v>
      </c>
      <c r="H42" t="inlineStr"/>
      <c r="I42" t="inlineStr">
        <is>
          <t>_(* #,##0_);_(* \(#,##0\);_(* \-??_);_(@_)</t>
        </is>
      </c>
      <c r="J42" t="b">
        <v>1</v>
      </c>
      <c r="K42" t="b">
        <v>0</v>
      </c>
      <c r="L42" t="n">
        <v>10</v>
      </c>
      <c r="M42" t="inlineStr">
        <is>
          <t>FF008000</t>
        </is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S42" t="inlineStr">
        <is>
          <t>G000031</t>
        </is>
      </c>
      <c r="T42" t="inlineStr">
        <is>
          <t>Horizontal</t>
        </is>
      </c>
      <c r="U42" t="n">
        <v>4</v>
      </c>
      <c r="V42" t="b">
        <v>1</v>
      </c>
      <c r="W42" t="inlineStr">
        <is>
          <t>Balance sheet!B9:E9</t>
        </is>
      </c>
      <c r="X42">
        <f>SUM(R[-3]C[0]:R[-1]C[0])</f>
        <v/>
      </c>
    </row>
    <row r="43">
      <c r="A43" t="inlineStr">
        <is>
          <t>Balance sheet</t>
        </is>
      </c>
      <c r="B43" t="inlineStr">
        <is>
          <t>D9</t>
        </is>
      </c>
      <c r="C43" t="n">
        <v>9</v>
      </c>
      <c r="D43" t="n">
        <v>4</v>
      </c>
      <c r="E43" t="inlineStr">
        <is>
          <t>Calculation</t>
        </is>
      </c>
      <c r="F43" t="inlineStr">
        <is>
          <t>'=SUM(D6:D8)</t>
        </is>
      </c>
      <c r="G43" t="n">
        <v>147</v>
      </c>
      <c r="H43" t="inlineStr"/>
      <c r="I43" t="inlineStr">
        <is>
          <t>_(* #,##0_);_(* \(#,##0\);_(* \-??_);_(@_)</t>
        </is>
      </c>
      <c r="J43" t="b">
        <v>1</v>
      </c>
      <c r="K43" t="b">
        <v>0</v>
      </c>
      <c r="L43" t="n">
        <v>10</v>
      </c>
      <c r="M43" t="inlineStr">
        <is>
          <t>FF008000</t>
        </is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1</v>
      </c>
      <c r="S43" t="inlineStr">
        <is>
          <t>G000031</t>
        </is>
      </c>
      <c r="T43" t="inlineStr">
        <is>
          <t>Horizontal</t>
        </is>
      </c>
      <c r="U43" t="n">
        <v>4</v>
      </c>
      <c r="V43" t="b">
        <v>1</v>
      </c>
      <c r="W43" t="inlineStr">
        <is>
          <t>Balance sheet!B9:E9</t>
        </is>
      </c>
      <c r="X43">
        <f>SUM(R[-3]C[0]:R[-1]C[0])</f>
        <v/>
      </c>
    </row>
    <row r="44">
      <c r="A44" t="inlineStr">
        <is>
          <t>Balance sheet</t>
        </is>
      </c>
      <c r="B44" t="inlineStr">
        <is>
          <t>E9</t>
        </is>
      </c>
      <c r="C44" t="n">
        <v>9</v>
      </c>
      <c r="D44" t="n">
        <v>5</v>
      </c>
      <c r="E44" t="inlineStr">
        <is>
          <t>Calculation</t>
        </is>
      </c>
      <c r="F44" t="inlineStr">
        <is>
          <t>'=SUM(E6:E8)</t>
        </is>
      </c>
      <c r="G44" t="n">
        <v>178.5</v>
      </c>
      <c r="H44" t="inlineStr"/>
      <c r="I44" t="inlineStr">
        <is>
          <t>_(* #,##0_);_(* \(#,##0\);_(* \-??_);_(@_)</t>
        </is>
      </c>
      <c r="J44" t="b">
        <v>1</v>
      </c>
      <c r="K44" t="b">
        <v>0</v>
      </c>
      <c r="L44" t="n">
        <v>10</v>
      </c>
      <c r="M44" t="inlineStr">
        <is>
          <t>FF008000</t>
        </is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1</v>
      </c>
      <c r="S44" t="inlineStr">
        <is>
          <t>G000031</t>
        </is>
      </c>
      <c r="T44" t="inlineStr">
        <is>
          <t>Horizontal</t>
        </is>
      </c>
      <c r="U44" t="n">
        <v>4</v>
      </c>
      <c r="V44" t="b">
        <v>1</v>
      </c>
      <c r="W44" t="inlineStr">
        <is>
          <t>Balance sheet!B9:E9</t>
        </is>
      </c>
      <c r="X44">
        <f>SUM(R[-3]C[0]:R[-1]C[0])</f>
        <v/>
      </c>
    </row>
    <row r="45">
      <c r="A45" t="inlineStr">
        <is>
          <t>Balance sheet</t>
        </is>
      </c>
      <c r="B45" t="inlineStr">
        <is>
          <t>F9</t>
        </is>
      </c>
      <c r="C45" t="n">
        <v>9</v>
      </c>
      <c r="D45" t="n">
        <v>6</v>
      </c>
      <c r="E45" t="inlineStr">
        <is>
          <t>Input</t>
        </is>
      </c>
      <c r="F45" t="n">
        <v/>
      </c>
      <c r="H45" t="inlineStr"/>
      <c r="I45" t="inlineStr">
        <is>
          <t>_(* #,##0_);_(* \(#,##0\);_(* \-??_);_(@_)</t>
        </is>
      </c>
      <c r="J45" t="b">
        <v>1</v>
      </c>
      <c r="K45" t="b">
        <v>0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Balance sheet</t>
        </is>
      </c>
      <c r="B46" t="inlineStr">
        <is>
          <t>G9</t>
        </is>
      </c>
      <c r="C46" t="n">
        <v>9</v>
      </c>
      <c r="D46" t="n">
        <v>7</v>
      </c>
      <c r="E46" t="inlineStr">
        <is>
          <t>Input</t>
        </is>
      </c>
      <c r="F46" t="n">
        <v/>
      </c>
      <c r="H46" t="inlineStr"/>
      <c r="I46" t="inlineStr">
        <is>
          <t>_(* #,##0_);_(* \(#,##0\);_(* \-??_);_(@_)</t>
        </is>
      </c>
      <c r="J46" t="b">
        <v>1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Balance sheet</t>
        </is>
      </c>
      <c r="B47" t="inlineStr">
        <is>
          <t>H9</t>
        </is>
      </c>
      <c r="C47" t="n">
        <v>9</v>
      </c>
      <c r="D47" t="n">
        <v>8</v>
      </c>
      <c r="E47" t="inlineStr">
        <is>
          <t>Input</t>
        </is>
      </c>
      <c r="F47" t="n">
        <v/>
      </c>
      <c r="H47" t="inlineStr"/>
      <c r="I47" t="inlineStr">
        <is>
          <t>_(* #,##0_);_(* \(#,##0\);_(* \-??_);_(@_)</t>
        </is>
      </c>
      <c r="J47" t="b">
        <v>1</v>
      </c>
      <c r="K47" t="b">
        <v>0</v>
      </c>
      <c r="L47" t="n">
        <v>10</v>
      </c>
      <c r="M47" t="n">
        <v/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Balance sheet</t>
        </is>
      </c>
      <c r="B48" t="inlineStr">
        <is>
          <t>A10</t>
        </is>
      </c>
      <c r="C48" t="n">
        <v>10</v>
      </c>
      <c r="D48" t="n">
        <v>1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inlineStr">
        <is>
          <t>FF000000</t>
        </is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Balance sheet</t>
        </is>
      </c>
      <c r="B49" t="inlineStr">
        <is>
          <t>B10</t>
        </is>
      </c>
      <c r="C49" t="n">
        <v>10</v>
      </c>
      <c r="D49" t="n">
        <v>2</v>
      </c>
      <c r="E49" t="inlineStr">
        <is>
          <t>Input</t>
        </is>
      </c>
      <c r="F49" t="n">
        <v/>
      </c>
      <c r="H49" t="inlineStr"/>
      <c r="I49" t="inlineStr">
        <is>
          <t>_(* #,##0_);_(* \(#,##0\);_(* \-??_);_(@_)</t>
        </is>
      </c>
      <c r="J49" t="b">
        <v>1</v>
      </c>
      <c r="K49" t="b">
        <v>0</v>
      </c>
      <c r="L49" t="n">
        <v>10</v>
      </c>
      <c r="M49" t="inlineStr">
        <is>
          <t>FF000000</t>
        </is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Balance sheet</t>
        </is>
      </c>
      <c r="B50" t="inlineStr">
        <is>
          <t>C10</t>
        </is>
      </c>
      <c r="C50" t="n">
        <v>10</v>
      </c>
      <c r="D50" t="n">
        <v>3</v>
      </c>
      <c r="E50" t="inlineStr">
        <is>
          <t>Input</t>
        </is>
      </c>
      <c r="F50" t="n">
        <v/>
      </c>
      <c r="H50" t="inlineStr"/>
      <c r="I50" t="inlineStr">
        <is>
          <t>_(* #,##0_);_(* \(#,##0\);_(* \-??_);_(@_)</t>
        </is>
      </c>
      <c r="J50" t="b">
        <v>1</v>
      </c>
      <c r="K50" t="b">
        <v>0</v>
      </c>
      <c r="L50" t="n">
        <v>10</v>
      </c>
      <c r="M50" t="inlineStr">
        <is>
          <t>FF000000</t>
        </is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Balance sheet</t>
        </is>
      </c>
      <c r="B51" t="inlineStr">
        <is>
          <t>D10</t>
        </is>
      </c>
      <c r="C51" t="n">
        <v>10</v>
      </c>
      <c r="D51" t="n">
        <v>4</v>
      </c>
      <c r="E51" t="inlineStr">
        <is>
          <t>Input</t>
        </is>
      </c>
      <c r="F51" t="n">
        <v/>
      </c>
      <c r="H51" t="inlineStr"/>
      <c r="I51" t="inlineStr">
        <is>
          <t>_(* #,##0_);_(* \(#,##0\);_(* \-??_);_(@_)</t>
        </is>
      </c>
      <c r="J51" t="b">
        <v>1</v>
      </c>
      <c r="K51" t="b">
        <v>0</v>
      </c>
      <c r="L51" t="n">
        <v>10</v>
      </c>
      <c r="M51" t="inlineStr">
        <is>
          <t>FF000000</t>
        </is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Balance sheet</t>
        </is>
      </c>
      <c r="B52" t="inlineStr">
        <is>
          <t>E10</t>
        </is>
      </c>
      <c r="C52" t="n">
        <v>10</v>
      </c>
      <c r="D52" t="n">
        <v>5</v>
      </c>
      <c r="E52" t="inlineStr">
        <is>
          <t>Input</t>
        </is>
      </c>
      <c r="F52" t="n">
        <v/>
      </c>
      <c r="H52" t="inlineStr"/>
      <c r="I52" t="inlineStr">
        <is>
          <t>_(* #,##0_);_(* \(#,##0\);_(* \-??_);_(@_)</t>
        </is>
      </c>
      <c r="J52" t="b">
        <v>1</v>
      </c>
      <c r="K52" t="b">
        <v>0</v>
      </c>
      <c r="L52" t="n">
        <v>10</v>
      </c>
      <c r="M52" t="inlineStr">
        <is>
          <t>FF000000</t>
        </is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Balance sheet</t>
        </is>
      </c>
      <c r="B53" t="inlineStr">
        <is>
          <t>F10</t>
        </is>
      </c>
      <c r="C53" t="n">
        <v>10</v>
      </c>
      <c r="D53" t="n">
        <v>6</v>
      </c>
      <c r="E53" t="inlineStr">
        <is>
          <t>Input</t>
        </is>
      </c>
      <c r="F53" t="n">
        <v/>
      </c>
      <c r="H53" t="inlineStr"/>
      <c r="I53" t="inlineStr">
        <is>
          <t>_(* #,##0_);_(* \(#,##0\);_(* \-??_);_(@_)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Balance sheet</t>
        </is>
      </c>
      <c r="B54" t="inlineStr">
        <is>
          <t>G10</t>
        </is>
      </c>
      <c r="C54" t="n">
        <v>10</v>
      </c>
      <c r="D54" t="n">
        <v>7</v>
      </c>
      <c r="E54" t="inlineStr">
        <is>
          <t>Input</t>
        </is>
      </c>
      <c r="F54" t="n">
        <v/>
      </c>
      <c r="H54" t="inlineStr"/>
      <c r="I54" t="inlineStr">
        <is>
          <t>_(* #,##0_);_(* \(#,##0\);_(* \-??_);_(@_)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Balance sheet</t>
        </is>
      </c>
      <c r="B55" t="inlineStr">
        <is>
          <t>H10</t>
        </is>
      </c>
      <c r="C55" t="n">
        <v>10</v>
      </c>
      <c r="D55" t="n">
        <v>8</v>
      </c>
      <c r="E55" t="inlineStr">
        <is>
          <t>Input</t>
        </is>
      </c>
      <c r="F55" t="n">
        <v/>
      </c>
      <c r="H55" t="inlineStr"/>
      <c r="I55" t="inlineStr">
        <is>
          <t>_(* #,##0_);_(* \(#,##0\);_(* \-??_);_(@_)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Balance sheet</t>
        </is>
      </c>
      <c r="B56" t="inlineStr">
        <is>
          <t>A11</t>
        </is>
      </c>
      <c r="C56" t="n">
        <v>11</v>
      </c>
      <c r="D56" t="n">
        <v>1</v>
      </c>
      <c r="E56" t="inlineStr">
        <is>
          <t>Input</t>
        </is>
      </c>
      <c r="F56" t="n">
        <v/>
      </c>
      <c r="G56" t="inlineStr">
        <is>
          <t>Gross property, plant &amp; equipment</t>
        </is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Balance sheet</t>
        </is>
      </c>
      <c r="B57" t="inlineStr">
        <is>
          <t>B11</t>
        </is>
      </c>
      <c r="C57" t="n">
        <v>11</v>
      </c>
      <c r="D57" t="n">
        <v>2</v>
      </c>
      <c r="E57" t="inlineStr">
        <is>
          <t>Calculation</t>
        </is>
      </c>
      <c r="F57" t="inlineStr">
        <is>
          <t>'=Operations!B16</t>
        </is>
      </c>
      <c r="G57" t="n">
        <v>400</v>
      </c>
      <c r="H57" t="inlineStr"/>
      <c r="I57" t="inlineStr">
        <is>
          <t>_(* #,##0_);_(* \(#,##0\);_(* \-??_);_(@_)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>
        <f>'Operations'!R[5]C[0]</f>
        <v/>
      </c>
    </row>
    <row r="58">
      <c r="A58" t="inlineStr">
        <is>
          <t>Balance sheet</t>
        </is>
      </c>
      <c r="B58" t="inlineStr">
        <is>
          <t>C11</t>
        </is>
      </c>
      <c r="C58" t="n">
        <v>11</v>
      </c>
      <c r="D58" t="n">
        <v>3</v>
      </c>
      <c r="E58" t="inlineStr">
        <is>
          <t>Calculation</t>
        </is>
      </c>
      <c r="F58" t="inlineStr">
        <is>
          <t>'=B11+Operations!C16</t>
        </is>
      </c>
      <c r="G58" t="n">
        <v>500</v>
      </c>
      <c r="H58" t="inlineStr"/>
      <c r="I58" t="inlineStr">
        <is>
          <t>_(* #,##0_);_(* \(#,##0\);_(* \-??_);_(@_)</t>
        </is>
      </c>
      <c r="J58" t="b">
        <v>1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S58" t="inlineStr">
        <is>
          <t>G000032</t>
        </is>
      </c>
      <c r="T58" t="inlineStr">
        <is>
          <t>Horizontal</t>
        </is>
      </c>
      <c r="U58" t="n">
        <v>3</v>
      </c>
      <c r="V58" t="b">
        <v>1</v>
      </c>
      <c r="W58" t="inlineStr">
        <is>
          <t>Balance sheet!C11:E11</t>
        </is>
      </c>
      <c r="X58">
        <f>R[0]C[-1]+'Operations'!R[5]C[0]</f>
        <v/>
      </c>
    </row>
    <row r="59">
      <c r="A59" t="inlineStr">
        <is>
          <t>Balance sheet</t>
        </is>
      </c>
      <c r="B59" t="inlineStr">
        <is>
          <t>D11</t>
        </is>
      </c>
      <c r="C59" t="n">
        <v>11</v>
      </c>
      <c r="D59" t="n">
        <v>4</v>
      </c>
      <c r="E59" t="inlineStr">
        <is>
          <t>Calculation</t>
        </is>
      </c>
      <c r="F59" t="inlineStr">
        <is>
          <t>'=C11+Operations!D16</t>
        </is>
      </c>
      <c r="G59" t="n">
        <v>600</v>
      </c>
      <c r="H59" t="inlineStr"/>
      <c r="I59" t="inlineStr">
        <is>
          <t>_(* #,##0_);_(* \(#,##0\);_(* \-??_);_(@_)</t>
        </is>
      </c>
      <c r="J59" t="b">
        <v>1</v>
      </c>
      <c r="K59" t="b">
        <v>0</v>
      </c>
      <c r="L59" t="n">
        <v>10</v>
      </c>
      <c r="M59" t="n">
        <v/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1</v>
      </c>
      <c r="S59" t="inlineStr">
        <is>
          <t>G000032</t>
        </is>
      </c>
      <c r="T59" t="inlineStr">
        <is>
          <t>Horizontal</t>
        </is>
      </c>
      <c r="U59" t="n">
        <v>3</v>
      </c>
      <c r="V59" t="b">
        <v>1</v>
      </c>
      <c r="W59" t="inlineStr">
        <is>
          <t>Balance sheet!C11:E11</t>
        </is>
      </c>
      <c r="X59">
        <f>R[0]C[-1]+'Operations'!R[5]C[0]</f>
        <v/>
      </c>
    </row>
    <row r="60">
      <c r="A60" t="inlineStr">
        <is>
          <t>Balance sheet</t>
        </is>
      </c>
      <c r="B60" t="inlineStr">
        <is>
          <t>E11</t>
        </is>
      </c>
      <c r="C60" t="n">
        <v>11</v>
      </c>
      <c r="D60" t="n">
        <v>5</v>
      </c>
      <c r="E60" t="inlineStr">
        <is>
          <t>Calculation</t>
        </is>
      </c>
      <c r="F60" t="inlineStr">
        <is>
          <t>'=D11+Operations!E16</t>
        </is>
      </c>
      <c r="G60" t="n">
        <v>700</v>
      </c>
      <c r="H60" t="inlineStr"/>
      <c r="I60" t="inlineStr">
        <is>
          <t>_(* #,##0_);_(* \(#,##0\);_(* \-??_);_(@_)</t>
        </is>
      </c>
      <c r="J60" t="b">
        <v>1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1</v>
      </c>
      <c r="S60" t="inlineStr">
        <is>
          <t>G000032</t>
        </is>
      </c>
      <c r="T60" t="inlineStr">
        <is>
          <t>Horizontal</t>
        </is>
      </c>
      <c r="U60" t="n">
        <v>3</v>
      </c>
      <c r="V60" t="b">
        <v>1</v>
      </c>
      <c r="W60" t="inlineStr">
        <is>
          <t>Balance sheet!C11:E11</t>
        </is>
      </c>
      <c r="X60">
        <f>R[0]C[-1]+'Operations'!R[5]C[0]</f>
        <v/>
      </c>
    </row>
    <row r="61">
      <c r="A61" t="inlineStr">
        <is>
          <t>Balance sheet</t>
        </is>
      </c>
      <c r="B61" t="inlineStr">
        <is>
          <t>F11</t>
        </is>
      </c>
      <c r="C61" t="n">
        <v>11</v>
      </c>
      <c r="D61" t="n">
        <v>6</v>
      </c>
      <c r="E61" t="inlineStr">
        <is>
          <t>Input</t>
        </is>
      </c>
      <c r="F61" t="n">
        <v/>
      </c>
      <c r="H61" t="inlineStr"/>
      <c r="I61" t="inlineStr">
        <is>
          <t>_(* #,##0_);_(* \(#,##0\);_(* \-??_);_(@_)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Balance sheet</t>
        </is>
      </c>
      <c r="B62" t="inlineStr">
        <is>
          <t>G11</t>
        </is>
      </c>
      <c r="C62" t="n">
        <v>11</v>
      </c>
      <c r="D62" t="n">
        <v>7</v>
      </c>
      <c r="E62" t="inlineStr">
        <is>
          <t>Input</t>
        </is>
      </c>
      <c r="F62" t="n">
        <v/>
      </c>
      <c r="H62" t="inlineStr"/>
      <c r="I62" t="inlineStr">
        <is>
          <t>_(* #,##0_);_(* \(#,##0\);_(* \-??_);_(@_)</t>
        </is>
      </c>
      <c r="J62" t="b">
        <v>1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Balance sheet</t>
        </is>
      </c>
      <c r="B63" t="inlineStr">
        <is>
          <t>H11</t>
        </is>
      </c>
      <c r="C63" t="n">
        <v>11</v>
      </c>
      <c r="D63" t="n">
        <v>8</v>
      </c>
      <c r="E63" t="inlineStr">
        <is>
          <t>Input</t>
        </is>
      </c>
      <c r="F63" t="n">
        <v/>
      </c>
      <c r="H63" t="inlineStr"/>
      <c r="I63" t="inlineStr">
        <is>
          <t>_(* #,##0_);_(* \(#,##0\);_(* \-??_);_(@_)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Balance sheet</t>
        </is>
      </c>
      <c r="B64" t="inlineStr">
        <is>
          <t>A12</t>
        </is>
      </c>
      <c r="C64" t="n">
        <v>12</v>
      </c>
      <c r="D64" t="n">
        <v>1</v>
      </c>
      <c r="E64" t="inlineStr">
        <is>
          <t>Input</t>
        </is>
      </c>
      <c r="F64" t="n">
        <v/>
      </c>
      <c r="G64" t="inlineStr">
        <is>
          <t>Less accumulated depreciation</t>
        </is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Balance sheet</t>
        </is>
      </c>
      <c r="B65" t="inlineStr">
        <is>
          <t>B12</t>
        </is>
      </c>
      <c r="C65" t="n">
        <v>12</v>
      </c>
      <c r="D65" t="n">
        <v>2</v>
      </c>
      <c r="E65" t="inlineStr">
        <is>
          <t>Calculation</t>
        </is>
      </c>
      <c r="F65" t="inlineStr">
        <is>
          <t>'=-Operations!B17</t>
        </is>
      </c>
      <c r="G65" t="n">
        <v>0</v>
      </c>
      <c r="H65" t="inlineStr"/>
      <c r="I65" t="inlineStr">
        <is>
          <t>_(* #,##0_);_(* \(#,##0\);_(* \-??_);_(@_)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>
        <f>-'Operations'!R[5]C[0]</f>
        <v/>
      </c>
    </row>
    <row r="66">
      <c r="A66" t="inlineStr">
        <is>
          <t>Balance sheet</t>
        </is>
      </c>
      <c r="B66" t="inlineStr">
        <is>
          <t>C12</t>
        </is>
      </c>
      <c r="C66" t="n">
        <v>12</v>
      </c>
      <c r="D66" t="n">
        <v>3</v>
      </c>
      <c r="E66" t="inlineStr">
        <is>
          <t>Calculation</t>
        </is>
      </c>
      <c r="F66" t="inlineStr">
        <is>
          <t>'=B12-Operations!C17</t>
        </is>
      </c>
      <c r="G66" t="n">
        <v>-100</v>
      </c>
      <c r="H66" t="inlineStr"/>
      <c r="I66" t="inlineStr">
        <is>
          <t>_(* #,##0_);_(* \(#,##0\);_(* \-??_);_(@_)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1</v>
      </c>
      <c r="S66" t="inlineStr">
        <is>
          <t>G000033</t>
        </is>
      </c>
      <c r="T66" t="inlineStr">
        <is>
          <t>Horizontal</t>
        </is>
      </c>
      <c r="U66" t="n">
        <v>3</v>
      </c>
      <c r="V66" t="b">
        <v>1</v>
      </c>
      <c r="W66" t="inlineStr">
        <is>
          <t>Balance sheet!C12:E12</t>
        </is>
      </c>
      <c r="X66">
        <f>R[0]C[-1]-'Operations'!R[5]C[0]</f>
        <v/>
      </c>
    </row>
    <row r="67">
      <c r="A67" t="inlineStr">
        <is>
          <t>Balance sheet</t>
        </is>
      </c>
      <c r="B67" t="inlineStr">
        <is>
          <t>D12</t>
        </is>
      </c>
      <c r="C67" t="n">
        <v>12</v>
      </c>
      <c r="D67" t="n">
        <v>4</v>
      </c>
      <c r="E67" t="inlineStr">
        <is>
          <t>Calculation</t>
        </is>
      </c>
      <c r="F67" t="inlineStr">
        <is>
          <t>'=C12-Operations!D17</t>
        </is>
      </c>
      <c r="G67" t="n">
        <v>-200</v>
      </c>
      <c r="H67" t="inlineStr"/>
      <c r="I67" t="inlineStr">
        <is>
          <t>_(* #,##0_);_(* \(#,##0\);_(* \-??_);_(@_)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inlineStr">
        <is>
          <t>G000033</t>
        </is>
      </c>
      <c r="T67" t="inlineStr">
        <is>
          <t>Horizontal</t>
        </is>
      </c>
      <c r="U67" t="n">
        <v>3</v>
      </c>
      <c r="V67" t="b">
        <v>1</v>
      </c>
      <c r="W67" t="inlineStr">
        <is>
          <t>Balance sheet!C12:E12</t>
        </is>
      </c>
      <c r="X67">
        <f>R[0]C[-1]-'Operations'!R[5]C[0]</f>
        <v/>
      </c>
    </row>
    <row r="68">
      <c r="A68" t="inlineStr">
        <is>
          <t>Balance sheet</t>
        </is>
      </c>
      <c r="B68" t="inlineStr">
        <is>
          <t>E12</t>
        </is>
      </c>
      <c r="C68" t="n">
        <v>12</v>
      </c>
      <c r="D68" t="n">
        <v>5</v>
      </c>
      <c r="E68" t="inlineStr">
        <is>
          <t>Calculation</t>
        </is>
      </c>
      <c r="F68" t="inlineStr">
        <is>
          <t>'=D12-Operations!E17</t>
        </is>
      </c>
      <c r="G68" t="n">
        <v>-300</v>
      </c>
      <c r="H68" t="inlineStr"/>
      <c r="I68" t="inlineStr">
        <is>
          <t>_(* #,##0_);_(* \(#,##0\);_(* \-??_);_(@_)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inlineStr">
        <is>
          <t>G000033</t>
        </is>
      </c>
      <c r="T68" t="inlineStr">
        <is>
          <t>Horizontal</t>
        </is>
      </c>
      <c r="U68" t="n">
        <v>3</v>
      </c>
      <c r="V68" t="b">
        <v>1</v>
      </c>
      <c r="W68" t="inlineStr">
        <is>
          <t>Balance sheet!C12:E12</t>
        </is>
      </c>
      <c r="X68">
        <f>R[0]C[-1]-'Operations'!R[5]C[0]</f>
        <v/>
      </c>
    </row>
    <row r="69">
      <c r="A69" t="inlineStr">
        <is>
          <t>Balance sheet</t>
        </is>
      </c>
      <c r="B69" t="inlineStr">
        <is>
          <t>F12</t>
        </is>
      </c>
      <c r="C69" t="n">
        <v>12</v>
      </c>
      <c r="D69" t="n">
        <v>6</v>
      </c>
      <c r="E69" t="inlineStr">
        <is>
          <t>Input</t>
        </is>
      </c>
      <c r="F69" t="n">
        <v/>
      </c>
      <c r="H69" t="inlineStr"/>
      <c r="I69" t="inlineStr">
        <is>
          <t>_(* #,##0_);_(* \(#,##0\);_(* \-??_);_(@_)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Balance sheet</t>
        </is>
      </c>
      <c r="B70" t="inlineStr">
        <is>
          <t>G12</t>
        </is>
      </c>
      <c r="C70" t="n">
        <v>12</v>
      </c>
      <c r="D70" t="n">
        <v>7</v>
      </c>
      <c r="E70" t="inlineStr">
        <is>
          <t>Input</t>
        </is>
      </c>
      <c r="F70" t="n">
        <v/>
      </c>
      <c r="H70" t="inlineStr"/>
      <c r="I70" t="inlineStr">
        <is>
          <t>_(* #,##0_);_(* \(#,##0\);_(* \-??_);_(@_)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Balance sheet</t>
        </is>
      </c>
      <c r="B71" t="inlineStr">
        <is>
          <t>H12</t>
        </is>
      </c>
      <c r="C71" t="n">
        <v>12</v>
      </c>
      <c r="D71" t="n">
        <v>8</v>
      </c>
      <c r="E71" t="inlineStr">
        <is>
          <t>Input</t>
        </is>
      </c>
      <c r="F71" t="n">
        <v/>
      </c>
      <c r="H71" t="inlineStr"/>
      <c r="I71" t="inlineStr">
        <is>
          <t>_(* #,##0_);_(* \(#,##0\);_(* \-??_);_(@_)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Balance sheet</t>
        </is>
      </c>
      <c r="B72" t="inlineStr">
        <is>
          <t>A13</t>
        </is>
      </c>
      <c r="C72" t="n">
        <v>13</v>
      </c>
      <c r="D72" t="n">
        <v>1</v>
      </c>
      <c r="E72" t="inlineStr">
        <is>
          <t>Input</t>
        </is>
      </c>
      <c r="F72" t="n">
        <v/>
      </c>
      <c r="G72" t="inlineStr">
        <is>
          <t>Net property, plant &amp; equipment</t>
        </is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10</v>
      </c>
      <c r="M72" t="inlineStr">
        <is>
          <t>FF008000</t>
        </is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Balance sheet</t>
        </is>
      </c>
      <c r="B73" t="inlineStr">
        <is>
          <t>B13</t>
        </is>
      </c>
      <c r="C73" t="n">
        <v>13</v>
      </c>
      <c r="D73" t="n">
        <v>2</v>
      </c>
      <c r="E73" t="inlineStr">
        <is>
          <t>Calculation</t>
        </is>
      </c>
      <c r="F73" t="inlineStr">
        <is>
          <t>'=B11+B12</t>
        </is>
      </c>
      <c r="G73" t="n">
        <v>400</v>
      </c>
      <c r="H73" t="inlineStr"/>
      <c r="I73" t="inlineStr">
        <is>
          <t>_(* #,##0_);_(* \(#,##0\);_(* \-??_);_(@_)</t>
        </is>
      </c>
      <c r="J73" t="b">
        <v>1</v>
      </c>
      <c r="K73" t="b">
        <v>0</v>
      </c>
      <c r="L73" t="n">
        <v>10</v>
      </c>
      <c r="M73" t="inlineStr">
        <is>
          <t>FF008000</t>
        </is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1</v>
      </c>
      <c r="S73" t="inlineStr">
        <is>
          <t>G000034</t>
        </is>
      </c>
      <c r="T73" t="inlineStr">
        <is>
          <t>Horizontal</t>
        </is>
      </c>
      <c r="U73" t="n">
        <v>4</v>
      </c>
      <c r="V73" t="b">
        <v>1</v>
      </c>
      <c r="W73" t="inlineStr">
        <is>
          <t>Balance sheet!B13:E13</t>
        </is>
      </c>
      <c r="X73">
        <f>R[-2]C[0]+R[-1]C[0]</f>
        <v/>
      </c>
    </row>
    <row r="74">
      <c r="A74" t="inlineStr">
        <is>
          <t>Balance sheet</t>
        </is>
      </c>
      <c r="B74" t="inlineStr">
        <is>
          <t>C13</t>
        </is>
      </c>
      <c r="C74" t="n">
        <v>13</v>
      </c>
      <c r="D74" t="n">
        <v>3</v>
      </c>
      <c r="E74" t="inlineStr">
        <is>
          <t>Calculation</t>
        </is>
      </c>
      <c r="F74" t="inlineStr">
        <is>
          <t>'=C11+C12</t>
        </is>
      </c>
      <c r="G74" t="n">
        <v>400</v>
      </c>
      <c r="H74" t="inlineStr"/>
      <c r="I74" t="inlineStr">
        <is>
          <t>_(* #,##0_);_(* \(#,##0\);_(* \-??_);_(@_)</t>
        </is>
      </c>
      <c r="J74" t="b">
        <v>1</v>
      </c>
      <c r="K74" t="b">
        <v>0</v>
      </c>
      <c r="L74" t="n">
        <v>10</v>
      </c>
      <c r="M74" t="inlineStr">
        <is>
          <t>FF008000</t>
        </is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1</v>
      </c>
      <c r="S74" t="inlineStr">
        <is>
          <t>G000034</t>
        </is>
      </c>
      <c r="T74" t="inlineStr">
        <is>
          <t>Horizontal</t>
        </is>
      </c>
      <c r="U74" t="n">
        <v>4</v>
      </c>
      <c r="V74" t="b">
        <v>1</v>
      </c>
      <c r="W74" t="inlineStr">
        <is>
          <t>Balance sheet!B13:E13</t>
        </is>
      </c>
      <c r="X74">
        <f>R[-2]C[0]+R[-1]C[0]</f>
        <v/>
      </c>
    </row>
    <row r="75">
      <c r="A75" t="inlineStr">
        <is>
          <t>Balance sheet</t>
        </is>
      </c>
      <c r="B75" t="inlineStr">
        <is>
          <t>D13</t>
        </is>
      </c>
      <c r="C75" t="n">
        <v>13</v>
      </c>
      <c r="D75" t="n">
        <v>4</v>
      </c>
      <c r="E75" t="inlineStr">
        <is>
          <t>Calculation</t>
        </is>
      </c>
      <c r="F75" t="inlineStr">
        <is>
          <t>'=D11+D12</t>
        </is>
      </c>
      <c r="G75" t="n">
        <v>400</v>
      </c>
      <c r="H75" t="inlineStr"/>
      <c r="I75" t="inlineStr">
        <is>
          <t>_(* #,##0_);_(* \(#,##0\);_(* \-??_);_(@_)</t>
        </is>
      </c>
      <c r="J75" t="b">
        <v>1</v>
      </c>
      <c r="K75" t="b">
        <v>0</v>
      </c>
      <c r="L75" t="n">
        <v>10</v>
      </c>
      <c r="M75" t="inlineStr">
        <is>
          <t>FF008000</t>
        </is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S75" t="inlineStr">
        <is>
          <t>G000034</t>
        </is>
      </c>
      <c r="T75" t="inlineStr">
        <is>
          <t>Horizontal</t>
        </is>
      </c>
      <c r="U75" t="n">
        <v>4</v>
      </c>
      <c r="V75" t="b">
        <v>1</v>
      </c>
      <c r="W75" t="inlineStr">
        <is>
          <t>Balance sheet!B13:E13</t>
        </is>
      </c>
      <c r="X75">
        <f>R[-2]C[0]+R[-1]C[0]</f>
        <v/>
      </c>
    </row>
    <row r="76">
      <c r="A76" t="inlineStr">
        <is>
          <t>Balance sheet</t>
        </is>
      </c>
      <c r="B76" t="inlineStr">
        <is>
          <t>E13</t>
        </is>
      </c>
      <c r="C76" t="n">
        <v>13</v>
      </c>
      <c r="D76" t="n">
        <v>5</v>
      </c>
      <c r="E76" t="inlineStr">
        <is>
          <t>Calculation</t>
        </is>
      </c>
      <c r="F76" t="inlineStr">
        <is>
          <t>'=E11+E12</t>
        </is>
      </c>
      <c r="G76" t="n">
        <v>400</v>
      </c>
      <c r="H76" t="inlineStr"/>
      <c r="I76" t="inlineStr">
        <is>
          <t>_(* #,##0_);_(* \(#,##0\);_(* \-??_);_(@_)</t>
        </is>
      </c>
      <c r="J76" t="b">
        <v>1</v>
      </c>
      <c r="K76" t="b">
        <v>0</v>
      </c>
      <c r="L76" t="n">
        <v>10</v>
      </c>
      <c r="M76" t="inlineStr">
        <is>
          <t>FF008000</t>
        </is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inlineStr">
        <is>
          <t>G000034</t>
        </is>
      </c>
      <c r="T76" t="inlineStr">
        <is>
          <t>Horizontal</t>
        </is>
      </c>
      <c r="U76" t="n">
        <v>4</v>
      </c>
      <c r="V76" t="b">
        <v>1</v>
      </c>
      <c r="W76" t="inlineStr">
        <is>
          <t>Balance sheet!B13:E13</t>
        </is>
      </c>
      <c r="X76">
        <f>R[-2]C[0]+R[-1]C[0]</f>
        <v/>
      </c>
    </row>
    <row r="77">
      <c r="A77" t="inlineStr">
        <is>
          <t>Balance sheet</t>
        </is>
      </c>
      <c r="B77" t="inlineStr">
        <is>
          <t>F13</t>
        </is>
      </c>
      <c r="C77" t="n">
        <v>13</v>
      </c>
      <c r="D77" t="n">
        <v>6</v>
      </c>
      <c r="E77" t="inlineStr">
        <is>
          <t>Input</t>
        </is>
      </c>
      <c r="F77" t="n">
        <v/>
      </c>
      <c r="H77" t="inlineStr"/>
      <c r="I77" t="inlineStr">
        <is>
          <t>_(* #,##0_);_(* \(#,##0\);_(* \-??_);_(@_)</t>
        </is>
      </c>
      <c r="J77" t="b">
        <v>1</v>
      </c>
      <c r="K77" t="b">
        <v>0</v>
      </c>
      <c r="L77" t="n">
        <v>10</v>
      </c>
      <c r="M77" t="n">
        <v/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Balance sheet</t>
        </is>
      </c>
      <c r="B78" t="inlineStr">
        <is>
          <t>G13</t>
        </is>
      </c>
      <c r="C78" t="n">
        <v>13</v>
      </c>
      <c r="D78" t="n">
        <v>7</v>
      </c>
      <c r="E78" t="inlineStr">
        <is>
          <t>Input</t>
        </is>
      </c>
      <c r="F78" t="n">
        <v/>
      </c>
      <c r="H78" t="inlineStr"/>
      <c r="I78" t="inlineStr">
        <is>
          <t>_(* #,##0_);_(* \(#,##0\);_(* \-??_);_(@_)</t>
        </is>
      </c>
      <c r="J78" t="b">
        <v>1</v>
      </c>
      <c r="K78" t="b">
        <v>0</v>
      </c>
      <c r="L78" t="n">
        <v>10</v>
      </c>
      <c r="M78" t="n">
        <v/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Balance sheet</t>
        </is>
      </c>
      <c r="B79" t="inlineStr">
        <is>
          <t>H13</t>
        </is>
      </c>
      <c r="C79" t="n">
        <v>13</v>
      </c>
      <c r="D79" t="n">
        <v>8</v>
      </c>
      <c r="E79" t="inlineStr">
        <is>
          <t>Input</t>
        </is>
      </c>
      <c r="F79" t="n">
        <v/>
      </c>
      <c r="H79" t="inlineStr"/>
      <c r="I79" t="inlineStr">
        <is>
          <t>_(* #,##0_);_(* \(#,##0\);_(* \-??_);_(@_)</t>
        </is>
      </c>
      <c r="J79" t="b">
        <v>1</v>
      </c>
      <c r="K79" t="b">
        <v>0</v>
      </c>
      <c r="L79" t="n">
        <v>10</v>
      </c>
      <c r="M79" t="n">
        <v/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Balance sheet</t>
        </is>
      </c>
      <c r="B80" t="inlineStr">
        <is>
          <t>F14</t>
        </is>
      </c>
      <c r="C80" t="n">
        <v>14</v>
      </c>
      <c r="D80" t="n">
        <v>6</v>
      </c>
      <c r="E80" t="inlineStr">
        <is>
          <t>Input</t>
        </is>
      </c>
      <c r="F80" t="n">
        <v/>
      </c>
      <c r="H80" t="inlineStr"/>
      <c r="I80" t="inlineStr">
        <is>
          <t>_(* #,##0_);_(* \(#,##0\);_(* \-??_);_(@_)</t>
        </is>
      </c>
      <c r="J80" t="b">
        <v>1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Balance sheet</t>
        </is>
      </c>
      <c r="B81" t="inlineStr">
        <is>
          <t>G14</t>
        </is>
      </c>
      <c r="C81" t="n">
        <v>14</v>
      </c>
      <c r="D81" t="n">
        <v>7</v>
      </c>
      <c r="E81" t="inlineStr">
        <is>
          <t>Input</t>
        </is>
      </c>
      <c r="F81" t="n">
        <v/>
      </c>
      <c r="H81" t="inlineStr"/>
      <c r="I81" t="inlineStr">
        <is>
          <t>_(* #,##0_);_(* \(#,##0\);_(* \-??_);_(@_)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Balance sheet</t>
        </is>
      </c>
      <c r="B82" t="inlineStr">
        <is>
          <t>H14</t>
        </is>
      </c>
      <c r="C82" t="n">
        <v>14</v>
      </c>
      <c r="D82" t="n">
        <v>8</v>
      </c>
      <c r="E82" t="inlineStr">
        <is>
          <t>Input</t>
        </is>
      </c>
      <c r="F82" t="n">
        <v/>
      </c>
      <c r="H82" t="inlineStr"/>
      <c r="I82" t="inlineStr">
        <is>
          <t>_(* #,##0_);_(* \(#,##0\);_(* \-??_);_(@_)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Balance sheet</t>
        </is>
      </c>
      <c r="B83" t="inlineStr">
        <is>
          <t>A15</t>
        </is>
      </c>
      <c r="C83" t="n">
        <v>15</v>
      </c>
      <c r="D83" t="n">
        <v>1</v>
      </c>
      <c r="E83" t="inlineStr">
        <is>
          <t>Input</t>
        </is>
      </c>
      <c r="F83" t="n">
        <v/>
      </c>
      <c r="G83" t="inlineStr">
        <is>
          <t>Total assets</t>
        </is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M83" t="inlineStr">
        <is>
          <t>FF008000</t>
        </is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Balance sheet</t>
        </is>
      </c>
      <c r="B84" t="inlineStr">
        <is>
          <t>B15</t>
        </is>
      </c>
      <c r="C84" t="n">
        <v>15</v>
      </c>
      <c r="D84" t="n">
        <v>2</v>
      </c>
      <c r="E84" t="inlineStr">
        <is>
          <t>Output</t>
        </is>
      </c>
      <c r="F84" t="inlineStr">
        <is>
          <t>'=B9+B13</t>
        </is>
      </c>
      <c r="G84" t="n">
        <v>508</v>
      </c>
      <c r="H84" t="inlineStr"/>
      <c r="I84" t="inlineStr">
        <is>
          <t>_(* #,##0_);_(* \(#,##0\);_(* \-??_);_(@_)</t>
        </is>
      </c>
      <c r="J84" t="b">
        <v>1</v>
      </c>
      <c r="K84" t="b">
        <v>0</v>
      </c>
      <c r="L84" t="n">
        <v>10</v>
      </c>
      <c r="M84" t="inlineStr">
        <is>
          <t>FF008000</t>
        </is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1</v>
      </c>
      <c r="S84" t="inlineStr">
        <is>
          <t>G000037</t>
        </is>
      </c>
      <c r="T84" t="inlineStr">
        <is>
          <t>Horizontal</t>
        </is>
      </c>
      <c r="U84" t="n">
        <v>4</v>
      </c>
      <c r="V84" t="b">
        <v>1</v>
      </c>
      <c r="W84" t="inlineStr">
        <is>
          <t>Balance sheet!B15:E15</t>
        </is>
      </c>
      <c r="X84">
        <f>R[-6]C[0]+R[-2]C[0]</f>
        <v/>
      </c>
    </row>
    <row r="85">
      <c r="A85" t="inlineStr">
        <is>
          <t>Balance sheet</t>
        </is>
      </c>
      <c r="B85" t="inlineStr">
        <is>
          <t>C15</t>
        </is>
      </c>
      <c r="C85" t="n">
        <v>15</v>
      </c>
      <c r="D85" t="n">
        <v>3</v>
      </c>
      <c r="E85" t="inlineStr">
        <is>
          <t>Output</t>
        </is>
      </c>
      <c r="F85" t="inlineStr">
        <is>
          <t>'=C9+C13</t>
        </is>
      </c>
      <c r="G85" t="n">
        <v>505</v>
      </c>
      <c r="H85" t="inlineStr"/>
      <c r="I85" t="inlineStr">
        <is>
          <t>_(* #,##0_);_(* \(#,##0\);_(* \-??_);_(@_)</t>
        </is>
      </c>
      <c r="J85" t="b">
        <v>1</v>
      </c>
      <c r="K85" t="b">
        <v>0</v>
      </c>
      <c r="L85" t="n">
        <v>10</v>
      </c>
      <c r="M85" t="inlineStr">
        <is>
          <t>FF008000</t>
        </is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inlineStr">
        <is>
          <t>G000037</t>
        </is>
      </c>
      <c r="T85" t="inlineStr">
        <is>
          <t>Horizontal</t>
        </is>
      </c>
      <c r="U85" t="n">
        <v>4</v>
      </c>
      <c r="V85" t="b">
        <v>1</v>
      </c>
      <c r="W85" t="inlineStr">
        <is>
          <t>Balance sheet!B15:E15</t>
        </is>
      </c>
      <c r="X85">
        <f>R[-6]C[0]+R[-2]C[0]</f>
        <v/>
      </c>
    </row>
    <row r="86">
      <c r="A86" t="inlineStr">
        <is>
          <t>Balance sheet</t>
        </is>
      </c>
      <c r="B86" t="inlineStr">
        <is>
          <t>D15</t>
        </is>
      </c>
      <c r="C86" t="n">
        <v>15</v>
      </c>
      <c r="D86" t="n">
        <v>4</v>
      </c>
      <c r="E86" t="inlineStr">
        <is>
          <t>Output</t>
        </is>
      </c>
      <c r="F86" t="inlineStr">
        <is>
          <t>'=D9+D13</t>
        </is>
      </c>
      <c r="G86" t="n">
        <v>547</v>
      </c>
      <c r="H86" t="inlineStr"/>
      <c r="I86" t="inlineStr">
        <is>
          <t>_(* #,##0_);_(* \(#,##0\);_(* \-??_);_(@_)</t>
        </is>
      </c>
      <c r="J86" t="b">
        <v>1</v>
      </c>
      <c r="K86" t="b">
        <v>0</v>
      </c>
      <c r="L86" t="n">
        <v>10</v>
      </c>
      <c r="M86" t="inlineStr">
        <is>
          <t>FF008000</t>
        </is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1</v>
      </c>
      <c r="S86" t="inlineStr">
        <is>
          <t>G000037</t>
        </is>
      </c>
      <c r="T86" t="inlineStr">
        <is>
          <t>Horizontal</t>
        </is>
      </c>
      <c r="U86" t="n">
        <v>4</v>
      </c>
      <c r="V86" t="b">
        <v>1</v>
      </c>
      <c r="W86" t="inlineStr">
        <is>
          <t>Balance sheet!B15:E15</t>
        </is>
      </c>
      <c r="X86">
        <f>R[-6]C[0]+R[-2]C[0]</f>
        <v/>
      </c>
    </row>
    <row r="87">
      <c r="A87" t="inlineStr">
        <is>
          <t>Balance sheet</t>
        </is>
      </c>
      <c r="B87" t="inlineStr">
        <is>
          <t>E15</t>
        </is>
      </c>
      <c r="C87" t="n">
        <v>15</v>
      </c>
      <c r="D87" t="n">
        <v>5</v>
      </c>
      <c r="E87" t="inlineStr">
        <is>
          <t>Output</t>
        </is>
      </c>
      <c r="F87" t="inlineStr">
        <is>
          <t>'=E9+E13</t>
        </is>
      </c>
      <c r="G87" t="n">
        <v>578.5</v>
      </c>
      <c r="H87" t="inlineStr"/>
      <c r="I87" t="inlineStr">
        <is>
          <t>_(* #,##0_);_(* \(#,##0\);_(* \-??_);_(@_)</t>
        </is>
      </c>
      <c r="J87" t="b">
        <v>1</v>
      </c>
      <c r="K87" t="b">
        <v>0</v>
      </c>
      <c r="L87" t="n">
        <v>10</v>
      </c>
      <c r="M87" t="inlineStr">
        <is>
          <t>FF008000</t>
        </is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1</v>
      </c>
      <c r="S87" t="inlineStr">
        <is>
          <t>G000037</t>
        </is>
      </c>
      <c r="T87" t="inlineStr">
        <is>
          <t>Horizontal</t>
        </is>
      </c>
      <c r="U87" t="n">
        <v>4</v>
      </c>
      <c r="V87" t="b">
        <v>1</v>
      </c>
      <c r="W87" t="inlineStr">
        <is>
          <t>Balance sheet!B15:E15</t>
        </is>
      </c>
      <c r="X87">
        <f>R[-6]C[0]+R[-2]C[0]</f>
        <v/>
      </c>
    </row>
    <row r="88">
      <c r="A88" t="inlineStr">
        <is>
          <t>Balance sheet</t>
        </is>
      </c>
      <c r="B88" t="inlineStr">
        <is>
          <t>B16</t>
        </is>
      </c>
      <c r="C88" t="n">
        <v>16</v>
      </c>
      <c r="D88" t="n">
        <v>2</v>
      </c>
      <c r="E88" t="inlineStr">
        <is>
          <t>Input</t>
        </is>
      </c>
      <c r="F88" t="n">
        <v/>
      </c>
      <c r="H88" t="inlineStr"/>
      <c r="I88" t="inlineStr">
        <is>
          <t>_(* #,##0_);_(* \(#,##0\);_(* \-??_);_(@_)</t>
        </is>
      </c>
      <c r="J88" t="b">
        <v>0</v>
      </c>
      <c r="K88" t="b">
        <v>0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Balance sheet</t>
        </is>
      </c>
      <c r="B89" t="inlineStr">
        <is>
          <t>C16</t>
        </is>
      </c>
      <c r="C89" t="n">
        <v>16</v>
      </c>
      <c r="D89" t="n">
        <v>3</v>
      </c>
      <c r="E89" t="inlineStr">
        <is>
          <t>Input</t>
        </is>
      </c>
      <c r="F89" t="n">
        <v/>
      </c>
      <c r="H89" t="inlineStr"/>
      <c r="I89" t="inlineStr">
        <is>
          <t>_(* #,##0_);_(* \(#,##0\);_(* \-??_);_(@_)</t>
        </is>
      </c>
      <c r="J89" t="b">
        <v>0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Balance sheet</t>
        </is>
      </c>
      <c r="B90" t="inlineStr">
        <is>
          <t>D16</t>
        </is>
      </c>
      <c r="C90" t="n">
        <v>16</v>
      </c>
      <c r="D90" t="n">
        <v>4</v>
      </c>
      <c r="E90" t="inlineStr">
        <is>
          <t>Input</t>
        </is>
      </c>
      <c r="F90" t="n">
        <v/>
      </c>
      <c r="H90" t="inlineStr"/>
      <c r="I90" t="inlineStr">
        <is>
          <t>_(* #,##0_);_(* \(#,##0\);_(* \-??_);_(@_)</t>
        </is>
      </c>
      <c r="J90" t="b">
        <v>0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Balance sheet</t>
        </is>
      </c>
      <c r="B91" t="inlineStr">
        <is>
          <t>E16</t>
        </is>
      </c>
      <c r="C91" t="n">
        <v>16</v>
      </c>
      <c r="D91" t="n">
        <v>5</v>
      </c>
      <c r="E91" t="inlineStr">
        <is>
          <t>Input</t>
        </is>
      </c>
      <c r="F91" t="n">
        <v/>
      </c>
      <c r="H91" t="inlineStr"/>
      <c r="I91" t="inlineStr">
        <is>
          <t>_(* #,##0_);_(* \(#,##0\);_(* \-??_);_(@_)</t>
        </is>
      </c>
      <c r="J91" t="b">
        <v>0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Balance sheet</t>
        </is>
      </c>
      <c r="B92" t="inlineStr">
        <is>
          <t>A17</t>
        </is>
      </c>
      <c r="C92" t="n">
        <v>17</v>
      </c>
      <c r="D92" t="n">
        <v>1</v>
      </c>
      <c r="E92" t="inlineStr">
        <is>
          <t>Input</t>
        </is>
      </c>
      <c r="F92" t="n">
        <v/>
      </c>
      <c r="G92" t="inlineStr">
        <is>
          <t>Accounts payable</t>
        </is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Balance sheet</t>
        </is>
      </c>
      <c r="B93" t="inlineStr">
        <is>
          <t>B17</t>
        </is>
      </c>
      <c r="C93" t="n">
        <v>17</v>
      </c>
      <c r="D93" t="n">
        <v>2</v>
      </c>
      <c r="E93" t="inlineStr">
        <is>
          <t>Calculation</t>
        </is>
      </c>
      <c r="F93" t="inlineStr">
        <is>
          <t>'=Operations!B29</t>
        </is>
      </c>
      <c r="G93" t="n">
        <v>8</v>
      </c>
      <c r="H93" t="inlineStr"/>
      <c r="I93" t="inlineStr">
        <is>
          <t>_(* #,##0_);_(* \(#,##0\);_(* \-??_);_(@_)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1</v>
      </c>
      <c r="S93" t="inlineStr">
        <is>
          <t>G000039</t>
        </is>
      </c>
      <c r="T93" t="inlineStr">
        <is>
          <t>Horizontal</t>
        </is>
      </c>
      <c r="U93" t="n">
        <v>4</v>
      </c>
      <c r="V93" t="b">
        <v>1</v>
      </c>
      <c r="W93" t="inlineStr">
        <is>
          <t>Balance sheet!B17:E17</t>
        </is>
      </c>
      <c r="X93">
        <f>'Operations'!R[12]C[0]</f>
        <v/>
      </c>
    </row>
    <row r="94">
      <c r="A94" t="inlineStr">
        <is>
          <t>Balance sheet</t>
        </is>
      </c>
      <c r="B94" t="inlineStr">
        <is>
          <t>C17</t>
        </is>
      </c>
      <c r="C94" t="n">
        <v>17</v>
      </c>
      <c r="D94" t="n">
        <v>3</v>
      </c>
      <c r="E94" t="inlineStr">
        <is>
          <t>Calculation</t>
        </is>
      </c>
      <c r="F94" t="inlineStr">
        <is>
          <t>'=Operations!C29</t>
        </is>
      </c>
      <c r="G94" t="n">
        <v>20</v>
      </c>
      <c r="H94" t="inlineStr"/>
      <c r="I94" t="inlineStr">
        <is>
          <t>_(* #,##0_);_(* \(#,##0\);_(* \-??_);_(@_)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inlineStr">
        <is>
          <t>G000039</t>
        </is>
      </c>
      <c r="T94" t="inlineStr">
        <is>
          <t>Horizontal</t>
        </is>
      </c>
      <c r="U94" t="n">
        <v>4</v>
      </c>
      <c r="V94" t="b">
        <v>1</v>
      </c>
      <c r="W94" t="inlineStr">
        <is>
          <t>Balance sheet!B17:E17</t>
        </is>
      </c>
      <c r="X94">
        <f>'Operations'!R[12]C[0]</f>
        <v/>
      </c>
    </row>
    <row r="95">
      <c r="A95" t="inlineStr">
        <is>
          <t>Balance sheet</t>
        </is>
      </c>
      <c r="B95" t="inlineStr">
        <is>
          <t>D17</t>
        </is>
      </c>
      <c r="C95" t="n">
        <v>17</v>
      </c>
      <c r="D95" t="n">
        <v>4</v>
      </c>
      <c r="E95" t="inlineStr">
        <is>
          <t>Calculation</t>
        </is>
      </c>
      <c r="F95" t="inlineStr">
        <is>
          <t>'=Operations!D29</t>
        </is>
      </c>
      <c r="G95" t="n">
        <v>28</v>
      </c>
      <c r="H95" t="inlineStr"/>
      <c r="I95" t="inlineStr">
        <is>
          <t>_(* #,##0_);_(* \(#,##0\);_(* \-??_);_(@_)</t>
        </is>
      </c>
      <c r="J95" t="b">
        <v>1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inlineStr">
        <is>
          <t>G000039</t>
        </is>
      </c>
      <c r="T95" t="inlineStr">
        <is>
          <t>Horizontal</t>
        </is>
      </c>
      <c r="U95" t="n">
        <v>4</v>
      </c>
      <c r="V95" t="b">
        <v>1</v>
      </c>
      <c r="W95" t="inlineStr">
        <is>
          <t>Balance sheet!B17:E17</t>
        </is>
      </c>
      <c r="X95">
        <f>'Operations'!R[12]C[0]</f>
        <v/>
      </c>
    </row>
    <row r="96">
      <c r="A96" t="inlineStr">
        <is>
          <t>Balance sheet</t>
        </is>
      </c>
      <c r="B96" t="inlineStr">
        <is>
          <t>E17</t>
        </is>
      </c>
      <c r="C96" t="n">
        <v>17</v>
      </c>
      <c r="D96" t="n">
        <v>5</v>
      </c>
      <c r="E96" t="inlineStr">
        <is>
          <t>Calculation</t>
        </is>
      </c>
      <c r="F96" t="inlineStr">
        <is>
          <t>'=Operations!E29</t>
        </is>
      </c>
      <c r="G96" t="n">
        <v>34</v>
      </c>
      <c r="H96" t="inlineStr"/>
      <c r="I96" t="inlineStr">
        <is>
          <t>_(* #,##0_);_(* \(#,##0\);_(* \-??_);_(@_)</t>
        </is>
      </c>
      <c r="J96" t="b">
        <v>1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inlineStr">
        <is>
          <t>G000039</t>
        </is>
      </c>
      <c r="T96" t="inlineStr">
        <is>
          <t>Horizontal</t>
        </is>
      </c>
      <c r="U96" t="n">
        <v>4</v>
      </c>
      <c r="V96" t="b">
        <v>1</v>
      </c>
      <c r="W96" t="inlineStr">
        <is>
          <t>Balance sheet!B17:E17</t>
        </is>
      </c>
      <c r="X96">
        <f>'Operations'!R[12]C[0]</f>
        <v/>
      </c>
    </row>
    <row r="97">
      <c r="A97" t="inlineStr">
        <is>
          <t>Balance sheet</t>
        </is>
      </c>
      <c r="B97" t="inlineStr">
        <is>
          <t>A18</t>
        </is>
      </c>
      <c r="C97" t="n">
        <v>18</v>
      </c>
      <c r="D97" t="n">
        <v>1</v>
      </c>
      <c r="E97" t="inlineStr">
        <is>
          <t>Input</t>
        </is>
      </c>
      <c r="F97" t="n">
        <v/>
      </c>
      <c r="G97" t="inlineStr">
        <is>
          <t>Bank notes payable</t>
        </is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Balance sheet</t>
        </is>
      </c>
      <c r="B98" t="inlineStr">
        <is>
          <t>B18</t>
        </is>
      </c>
      <c r="C98" t="n">
        <v>18</v>
      </c>
      <c r="D98" t="n">
        <v>2</v>
      </c>
      <c r="E98" t="inlineStr">
        <is>
          <t>Calculation</t>
        </is>
      </c>
      <c r="F98" t="inlineStr">
        <is>
          <t>'=Financing!B10</t>
        </is>
      </c>
      <c r="G98" t="n">
        <v>0</v>
      </c>
      <c r="H98" t="inlineStr"/>
      <c r="I98" t="inlineStr">
        <is>
          <t>_(* #,##0_);_(* \(#,##0\);_(* \-??_);_(@_)</t>
        </is>
      </c>
      <c r="J98" t="b">
        <v>1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G000040</t>
        </is>
      </c>
      <c r="T98" t="inlineStr">
        <is>
          <t>Horizontal</t>
        </is>
      </c>
      <c r="U98" t="n">
        <v>4</v>
      </c>
      <c r="V98" t="b">
        <v>1</v>
      </c>
      <c r="W98" t="inlineStr">
        <is>
          <t>Balance sheet!B18:E18</t>
        </is>
      </c>
      <c r="X98">
        <f>'Financing'!R[-8]C[0]</f>
        <v/>
      </c>
    </row>
    <row r="99">
      <c r="A99" t="inlineStr">
        <is>
          <t>Balance sheet</t>
        </is>
      </c>
      <c r="B99" t="inlineStr">
        <is>
          <t>C18</t>
        </is>
      </c>
      <c r="C99" t="n">
        <v>18</v>
      </c>
      <c r="D99" t="n">
        <v>3</v>
      </c>
      <c r="E99" t="inlineStr">
        <is>
          <t>Calculation</t>
        </is>
      </c>
      <c r="F99" t="inlineStr">
        <is>
          <t>'=Financing!C10</t>
        </is>
      </c>
      <c r="G99" t="n">
        <v>28.2722513089005</v>
      </c>
      <c r="H99" t="inlineStr"/>
      <c r="I99" t="inlineStr">
        <is>
          <t>_(* #,##0_);_(* \(#,##0\);_(* \-??_);_(@_)</t>
        </is>
      </c>
      <c r="J99" t="b">
        <v>1</v>
      </c>
      <c r="K99" t="b">
        <v>0</v>
      </c>
      <c r="L99" t="n">
        <v>10</v>
      </c>
      <c r="M99" t="n">
        <v/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S99" t="inlineStr">
        <is>
          <t>G000040</t>
        </is>
      </c>
      <c r="T99" t="inlineStr">
        <is>
          <t>Horizontal</t>
        </is>
      </c>
      <c r="U99" t="n">
        <v>4</v>
      </c>
      <c r="V99" t="b">
        <v>1</v>
      </c>
      <c r="W99" t="inlineStr">
        <is>
          <t>Balance sheet!B18:E18</t>
        </is>
      </c>
      <c r="X99">
        <f>'Financing'!R[-8]C[0]</f>
        <v/>
      </c>
    </row>
    <row r="100">
      <c r="A100" t="inlineStr">
        <is>
          <t>Balance sheet</t>
        </is>
      </c>
      <c r="B100" t="inlineStr">
        <is>
          <t>D18</t>
        </is>
      </c>
      <c r="C100" t="n">
        <v>18</v>
      </c>
      <c r="D100" t="n">
        <v>4</v>
      </c>
      <c r="E100" t="inlineStr">
        <is>
          <t>Calculation</t>
        </is>
      </c>
      <c r="F100" t="inlineStr">
        <is>
          <t>'=Financing!D10</t>
        </is>
      </c>
      <c r="G100" t="n">
        <v>68.6329870343466</v>
      </c>
      <c r="H100" t="inlineStr"/>
      <c r="I100" t="inlineStr">
        <is>
          <t>_(* #,##0_);_(* \(#,##0\);_(* \-??_);_(@_)</t>
        </is>
      </c>
      <c r="J100" t="b">
        <v>1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S100" t="inlineStr">
        <is>
          <t>G000040</t>
        </is>
      </c>
      <c r="T100" t="inlineStr">
        <is>
          <t>Horizontal</t>
        </is>
      </c>
      <c r="U100" t="n">
        <v>4</v>
      </c>
      <c r="V100" t="b">
        <v>1</v>
      </c>
      <c r="W100" t="inlineStr">
        <is>
          <t>Balance sheet!B18:E18</t>
        </is>
      </c>
      <c r="X100">
        <f>'Financing'!R[-8]C[0]</f>
        <v/>
      </c>
    </row>
    <row r="101">
      <c r="A101" t="inlineStr">
        <is>
          <t>Balance sheet</t>
        </is>
      </c>
      <c r="B101" t="inlineStr">
        <is>
          <t>E18</t>
        </is>
      </c>
      <c r="C101" t="n">
        <v>18</v>
      </c>
      <c r="D101" t="n">
        <v>5</v>
      </c>
      <c r="E101" t="inlineStr">
        <is>
          <t>Calculation</t>
        </is>
      </c>
      <c r="F101" t="inlineStr">
        <is>
          <t>'=Financing!E10</t>
        </is>
      </c>
      <c r="G101" t="n">
        <v>62.0120119904631</v>
      </c>
      <c r="H101" t="inlineStr"/>
      <c r="I101" t="inlineStr">
        <is>
          <t>_(* #,##0_);_(* \(#,##0\);_(* \-??_);_(@_)</t>
        </is>
      </c>
      <c r="J101" t="b">
        <v>1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1</v>
      </c>
      <c r="S101" t="inlineStr">
        <is>
          <t>G000040</t>
        </is>
      </c>
      <c r="T101" t="inlineStr">
        <is>
          <t>Horizontal</t>
        </is>
      </c>
      <c r="U101" t="n">
        <v>4</v>
      </c>
      <c r="V101" t="b">
        <v>1</v>
      </c>
      <c r="W101" t="inlineStr">
        <is>
          <t>Balance sheet!B18:E18</t>
        </is>
      </c>
      <c r="X101">
        <f>'Financing'!R[-8]C[0]</f>
        <v/>
      </c>
    </row>
    <row r="102">
      <c r="A102" t="inlineStr">
        <is>
          <t>Balance sheet</t>
        </is>
      </c>
      <c r="B102" t="inlineStr">
        <is>
          <t>A19</t>
        </is>
      </c>
      <c r="C102" t="n">
        <v>19</v>
      </c>
      <c r="D102" t="n">
        <v>1</v>
      </c>
      <c r="E102" t="inlineStr">
        <is>
          <t>Input</t>
        </is>
      </c>
      <c r="F102" t="n">
        <v/>
      </c>
      <c r="G102" t="inlineStr">
        <is>
          <t>Total current liabilities</t>
        </is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M102" t="inlineStr">
        <is>
          <t>FFFF0000</t>
        </is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Balance sheet</t>
        </is>
      </c>
      <c r="B103" t="inlineStr">
        <is>
          <t>B19</t>
        </is>
      </c>
      <c r="C103" t="n">
        <v>19</v>
      </c>
      <c r="D103" t="n">
        <v>2</v>
      </c>
      <c r="E103" t="inlineStr">
        <is>
          <t>Calculation</t>
        </is>
      </c>
      <c r="F103" t="inlineStr">
        <is>
          <t>'=B17+B18</t>
        </is>
      </c>
      <c r="G103" t="n">
        <v>8</v>
      </c>
      <c r="H103" t="inlineStr"/>
      <c r="I103" t="inlineStr">
        <is>
          <t>_(* #,##0_);_(* \(#,##0\);_(* \-??_);_(@_)</t>
        </is>
      </c>
      <c r="J103" t="b">
        <v>1</v>
      </c>
      <c r="K103" t="b">
        <v>0</v>
      </c>
      <c r="L103" t="n">
        <v>10</v>
      </c>
      <c r="M103" t="inlineStr">
        <is>
          <t>FFFF0000</t>
        </is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1</v>
      </c>
      <c r="S103" t="inlineStr">
        <is>
          <t>G000035</t>
        </is>
      </c>
      <c r="T103" t="inlineStr">
        <is>
          <t>Horizontal</t>
        </is>
      </c>
      <c r="U103" t="n">
        <v>4</v>
      </c>
      <c r="V103" t="b">
        <v>1</v>
      </c>
      <c r="W103" t="inlineStr">
        <is>
          <t>Balance sheet!B19:E19</t>
        </is>
      </c>
      <c r="X103">
        <f>R[-2]C[0]+R[-1]C[0]</f>
        <v/>
      </c>
    </row>
    <row r="104">
      <c r="A104" t="inlineStr">
        <is>
          <t>Balance sheet</t>
        </is>
      </c>
      <c r="B104" t="inlineStr">
        <is>
          <t>C19</t>
        </is>
      </c>
      <c r="C104" t="n">
        <v>19</v>
      </c>
      <c r="D104" t="n">
        <v>3</v>
      </c>
      <c r="E104" t="inlineStr">
        <is>
          <t>Calculation</t>
        </is>
      </c>
      <c r="F104" t="inlineStr">
        <is>
          <t>'=C17+C18</t>
        </is>
      </c>
      <c r="G104" t="n">
        <v>48.2722513089005</v>
      </c>
      <c r="H104" t="inlineStr"/>
      <c r="I104" t="inlineStr">
        <is>
          <t>_(* #,##0_);_(* \(#,##0\);_(* \-??_);_(@_)</t>
        </is>
      </c>
      <c r="J104" t="b">
        <v>1</v>
      </c>
      <c r="K104" t="b">
        <v>0</v>
      </c>
      <c r="L104" t="n">
        <v>10</v>
      </c>
      <c r="M104" t="inlineStr">
        <is>
          <t>FFFF0000</t>
        </is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1</v>
      </c>
      <c r="S104" t="inlineStr">
        <is>
          <t>G000035</t>
        </is>
      </c>
      <c r="T104" t="inlineStr">
        <is>
          <t>Horizontal</t>
        </is>
      </c>
      <c r="U104" t="n">
        <v>4</v>
      </c>
      <c r="V104" t="b">
        <v>1</v>
      </c>
      <c r="W104" t="inlineStr">
        <is>
          <t>Balance sheet!B19:E19</t>
        </is>
      </c>
      <c r="X104">
        <f>R[-2]C[0]+R[-1]C[0]</f>
        <v/>
      </c>
    </row>
    <row r="105">
      <c r="A105" t="inlineStr">
        <is>
          <t>Balance sheet</t>
        </is>
      </c>
      <c r="B105" t="inlineStr">
        <is>
          <t>D19</t>
        </is>
      </c>
      <c r="C105" t="n">
        <v>19</v>
      </c>
      <c r="D105" t="n">
        <v>4</v>
      </c>
      <c r="E105" t="inlineStr">
        <is>
          <t>Calculation</t>
        </is>
      </c>
      <c r="F105" t="inlineStr">
        <is>
          <t>'=D17+D18</t>
        </is>
      </c>
      <c r="G105" t="n">
        <v>96.6329870343466</v>
      </c>
      <c r="H105" t="inlineStr"/>
      <c r="I105" t="inlineStr">
        <is>
          <t>_(* #,##0_);_(* \(#,##0\);_(* \-??_);_(@_)</t>
        </is>
      </c>
      <c r="J105" t="b">
        <v>1</v>
      </c>
      <c r="K105" t="b">
        <v>0</v>
      </c>
      <c r="L105" t="n">
        <v>10</v>
      </c>
      <c r="M105" t="inlineStr">
        <is>
          <t>FFFF0000</t>
        </is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S105" t="inlineStr">
        <is>
          <t>G000035</t>
        </is>
      </c>
      <c r="T105" t="inlineStr">
        <is>
          <t>Horizontal</t>
        </is>
      </c>
      <c r="U105" t="n">
        <v>4</v>
      </c>
      <c r="V105" t="b">
        <v>1</v>
      </c>
      <c r="W105" t="inlineStr">
        <is>
          <t>Balance sheet!B19:E19</t>
        </is>
      </c>
      <c r="X105">
        <f>R[-2]C[0]+R[-1]C[0]</f>
        <v/>
      </c>
    </row>
    <row r="106">
      <c r="A106" t="inlineStr">
        <is>
          <t>Balance sheet</t>
        </is>
      </c>
      <c r="B106" t="inlineStr">
        <is>
          <t>E19</t>
        </is>
      </c>
      <c r="C106" t="n">
        <v>19</v>
      </c>
      <c r="D106" t="n">
        <v>5</v>
      </c>
      <c r="E106" t="inlineStr">
        <is>
          <t>Calculation</t>
        </is>
      </c>
      <c r="F106" t="inlineStr">
        <is>
          <t>'=E17+E18</t>
        </is>
      </c>
      <c r="G106" t="n">
        <v>96.01201199046309</v>
      </c>
      <c r="H106" t="inlineStr"/>
      <c r="I106" t="inlineStr">
        <is>
          <t>_(* #,##0_);_(* \(#,##0\);_(* \-??_);_(@_)</t>
        </is>
      </c>
      <c r="J106" t="b">
        <v>1</v>
      </c>
      <c r="K106" t="b">
        <v>0</v>
      </c>
      <c r="L106" t="n">
        <v>10</v>
      </c>
      <c r="M106" t="inlineStr">
        <is>
          <t>FFFF0000</t>
        </is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1</v>
      </c>
      <c r="S106" t="inlineStr">
        <is>
          <t>G000035</t>
        </is>
      </c>
      <c r="T106" t="inlineStr">
        <is>
          <t>Horizontal</t>
        </is>
      </c>
      <c r="U106" t="n">
        <v>4</v>
      </c>
      <c r="V106" t="b">
        <v>1</v>
      </c>
      <c r="W106" t="inlineStr">
        <is>
          <t>Balance sheet!B19:E19</t>
        </is>
      </c>
      <c r="X106">
        <f>R[-2]C[0]+R[-1]C[0]</f>
        <v/>
      </c>
    </row>
    <row r="107">
      <c r="A107" t="inlineStr">
        <is>
          <t>Balance sheet</t>
        </is>
      </c>
      <c r="B107" t="inlineStr">
        <is>
          <t>A20</t>
        </is>
      </c>
      <c r="C107" t="n">
        <v>20</v>
      </c>
      <c r="D107" t="n">
        <v>1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10</v>
      </c>
      <c r="M107" t="inlineStr">
        <is>
          <t>FF0000FF</t>
        </is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Balance sheet</t>
        </is>
      </c>
      <c r="B108" t="inlineStr">
        <is>
          <t>B20</t>
        </is>
      </c>
      <c r="C108" t="n">
        <v>20</v>
      </c>
      <c r="D108" t="n">
        <v>2</v>
      </c>
      <c r="E108" t="inlineStr">
        <is>
          <t>Input</t>
        </is>
      </c>
      <c r="F108" t="n">
        <v/>
      </c>
      <c r="H108" t="inlineStr"/>
      <c r="I108" t="inlineStr">
        <is>
          <t>_(* #,##0_);_(* \(#,##0\);_(* \-??_);_(@_)</t>
        </is>
      </c>
      <c r="J108" t="b">
        <v>1</v>
      </c>
      <c r="K108" t="b">
        <v>0</v>
      </c>
      <c r="L108" t="n">
        <v>10</v>
      </c>
      <c r="M108" t="inlineStr">
        <is>
          <t>FF0000FF</t>
        </is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Balance sheet</t>
        </is>
      </c>
      <c r="B109" t="inlineStr">
        <is>
          <t>C20</t>
        </is>
      </c>
      <c r="C109" t="n">
        <v>20</v>
      </c>
      <c r="D109" t="n">
        <v>3</v>
      </c>
      <c r="E109" t="inlineStr">
        <is>
          <t>Input</t>
        </is>
      </c>
      <c r="F109" t="n">
        <v/>
      </c>
      <c r="H109" t="inlineStr"/>
      <c r="I109" t="inlineStr">
        <is>
          <t>_(* #,##0_);_(* \(#,##0\);_(* \-??_);_(@_)</t>
        </is>
      </c>
      <c r="J109" t="b">
        <v>1</v>
      </c>
      <c r="K109" t="b">
        <v>0</v>
      </c>
      <c r="L109" t="n">
        <v>10</v>
      </c>
      <c r="M109" t="inlineStr">
        <is>
          <t>FF0000FF</t>
        </is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Balance sheet</t>
        </is>
      </c>
      <c r="B110" t="inlineStr">
        <is>
          <t>D20</t>
        </is>
      </c>
      <c r="C110" t="n">
        <v>20</v>
      </c>
      <c r="D110" t="n">
        <v>4</v>
      </c>
      <c r="E110" t="inlineStr">
        <is>
          <t>Input</t>
        </is>
      </c>
      <c r="F110" t="n">
        <v/>
      </c>
      <c r="H110" t="inlineStr"/>
      <c r="I110" t="inlineStr">
        <is>
          <t>_(* #,##0_);_(* \(#,##0\);_(* \-??_);_(@_)</t>
        </is>
      </c>
      <c r="J110" t="b">
        <v>1</v>
      </c>
      <c r="K110" t="b">
        <v>0</v>
      </c>
      <c r="L110" t="n">
        <v>10</v>
      </c>
      <c r="M110" t="inlineStr">
        <is>
          <t>FF0000FF</t>
        </is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Balance sheet</t>
        </is>
      </c>
      <c r="B111" t="inlineStr">
        <is>
          <t>E20</t>
        </is>
      </c>
      <c r="C111" t="n">
        <v>20</v>
      </c>
      <c r="D111" t="n">
        <v>5</v>
      </c>
      <c r="E111" t="inlineStr">
        <is>
          <t>Input</t>
        </is>
      </c>
      <c r="F111" t="n">
        <v/>
      </c>
      <c r="H111" t="inlineStr"/>
      <c r="I111" t="inlineStr">
        <is>
          <t>_(* #,##0_);_(* \(#,##0\);_(* \-??_);_(@_)</t>
        </is>
      </c>
      <c r="J111" t="b">
        <v>1</v>
      </c>
      <c r="K111" t="b">
        <v>0</v>
      </c>
      <c r="L111" t="n">
        <v>10</v>
      </c>
      <c r="M111" t="inlineStr">
        <is>
          <t>FF0000FF</t>
        </is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Balance sheet</t>
        </is>
      </c>
      <c r="B112" t="inlineStr">
        <is>
          <t>A21</t>
        </is>
      </c>
      <c r="C112" t="n">
        <v>21</v>
      </c>
      <c r="D112" t="n">
        <v>1</v>
      </c>
      <c r="E112" t="inlineStr">
        <is>
          <t>Input</t>
        </is>
      </c>
      <c r="F112" t="n">
        <v/>
      </c>
      <c r="G112" t="inlineStr">
        <is>
          <t>Long-term debt</t>
        </is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10</v>
      </c>
      <c r="M112" t="inlineStr">
        <is>
          <t>FF000000</t>
        </is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Balance sheet</t>
        </is>
      </c>
      <c r="B113" t="inlineStr">
        <is>
          <t>B21</t>
        </is>
      </c>
      <c r="C113" t="n">
        <v>21</v>
      </c>
      <c r="D113" t="n">
        <v>2</v>
      </c>
      <c r="E113" t="inlineStr">
        <is>
          <t>Calculation</t>
        </is>
      </c>
      <c r="F113" t="inlineStr">
        <is>
          <t>'=Financing!B9</t>
        </is>
      </c>
      <c r="G113" t="n">
        <v>200</v>
      </c>
      <c r="H113" t="inlineStr"/>
      <c r="I113" t="inlineStr">
        <is>
          <t>_(* #,##0_);_(* \(#,##0\);_(* \-??_);_(@_)</t>
        </is>
      </c>
      <c r="J113" t="b">
        <v>1</v>
      </c>
      <c r="K113" t="b">
        <v>0</v>
      </c>
      <c r="L113" t="n">
        <v>10</v>
      </c>
      <c r="M113" t="inlineStr">
        <is>
          <t>FF000000</t>
        </is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1</v>
      </c>
      <c r="S113" t="inlineStr">
        <is>
          <t>G000041</t>
        </is>
      </c>
      <c r="T113" t="inlineStr">
        <is>
          <t>Horizontal</t>
        </is>
      </c>
      <c r="U113" t="n">
        <v>4</v>
      </c>
      <c r="V113" t="b">
        <v>1</v>
      </c>
      <c r="W113" t="inlineStr">
        <is>
          <t>Balance sheet!B21:E21</t>
        </is>
      </c>
      <c r="X113">
        <f>'Financing'!R[-12]C[0]</f>
        <v/>
      </c>
    </row>
    <row r="114">
      <c r="A114" t="inlineStr">
        <is>
          <t>Balance sheet</t>
        </is>
      </c>
      <c r="B114" t="inlineStr">
        <is>
          <t>C21</t>
        </is>
      </c>
      <c r="C114" t="n">
        <v>21</v>
      </c>
      <c r="D114" t="n">
        <v>3</v>
      </c>
      <c r="E114" t="inlineStr">
        <is>
          <t>Calculation</t>
        </is>
      </c>
      <c r="F114" t="inlineStr">
        <is>
          <t>'=Financing!C9</t>
        </is>
      </c>
      <c r="G114" t="n">
        <v>200</v>
      </c>
      <c r="H114" t="inlineStr"/>
      <c r="I114" t="inlineStr">
        <is>
          <t>_(* #,##0_);_(* \(#,##0\);_(* \-??_);_(@_)</t>
        </is>
      </c>
      <c r="J114" t="b">
        <v>1</v>
      </c>
      <c r="K114" t="b">
        <v>0</v>
      </c>
      <c r="L114" t="n">
        <v>10</v>
      </c>
      <c r="M114" t="inlineStr">
        <is>
          <t>FF000000</t>
        </is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S114" t="inlineStr">
        <is>
          <t>G000041</t>
        </is>
      </c>
      <c r="T114" t="inlineStr">
        <is>
          <t>Horizontal</t>
        </is>
      </c>
      <c r="U114" t="n">
        <v>4</v>
      </c>
      <c r="V114" t="b">
        <v>1</v>
      </c>
      <c r="W114" t="inlineStr">
        <is>
          <t>Balance sheet!B21:E21</t>
        </is>
      </c>
      <c r="X114">
        <f>'Financing'!R[-12]C[0]</f>
        <v/>
      </c>
    </row>
    <row r="115">
      <c r="A115" t="inlineStr">
        <is>
          <t>Balance sheet</t>
        </is>
      </c>
      <c r="B115" t="inlineStr">
        <is>
          <t>D21</t>
        </is>
      </c>
      <c r="C115" t="n">
        <v>21</v>
      </c>
      <c r="D115" t="n">
        <v>4</v>
      </c>
      <c r="E115" t="inlineStr">
        <is>
          <t>Calculation</t>
        </is>
      </c>
      <c r="F115" t="inlineStr">
        <is>
          <t>'=Financing!D9</t>
        </is>
      </c>
      <c r="G115" t="n">
        <v>200</v>
      </c>
      <c r="H115" t="inlineStr"/>
      <c r="I115" t="inlineStr">
        <is>
          <t>_(* #,##0_);_(* \(#,##0\);_(* \-??_);_(@_)</t>
        </is>
      </c>
      <c r="J115" t="b">
        <v>1</v>
      </c>
      <c r="K115" t="b">
        <v>0</v>
      </c>
      <c r="L115" t="n">
        <v>10</v>
      </c>
      <c r="M115" t="inlineStr">
        <is>
          <t>FF000000</t>
        </is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S115" t="inlineStr">
        <is>
          <t>G000041</t>
        </is>
      </c>
      <c r="T115" t="inlineStr">
        <is>
          <t>Horizontal</t>
        </is>
      </c>
      <c r="U115" t="n">
        <v>4</v>
      </c>
      <c r="V115" t="b">
        <v>1</v>
      </c>
      <c r="W115" t="inlineStr">
        <is>
          <t>Balance sheet!B21:E21</t>
        </is>
      </c>
      <c r="X115">
        <f>'Financing'!R[-12]C[0]</f>
        <v/>
      </c>
    </row>
    <row r="116">
      <c r="A116" t="inlineStr">
        <is>
          <t>Balance sheet</t>
        </is>
      </c>
      <c r="B116" t="inlineStr">
        <is>
          <t>E21</t>
        </is>
      </c>
      <c r="C116" t="n">
        <v>21</v>
      </c>
      <c r="D116" t="n">
        <v>5</v>
      </c>
      <c r="E116" t="inlineStr">
        <is>
          <t>Calculation</t>
        </is>
      </c>
      <c r="F116" t="inlineStr">
        <is>
          <t>'=Financing!E9</t>
        </is>
      </c>
      <c r="G116" t="n">
        <v>200</v>
      </c>
      <c r="H116" t="inlineStr"/>
      <c r="I116" t="inlineStr">
        <is>
          <t>_(* #,##0_);_(* \(#,##0\);_(* \-??_);_(@_)</t>
        </is>
      </c>
      <c r="J116" t="b">
        <v>1</v>
      </c>
      <c r="K116" t="b">
        <v>0</v>
      </c>
      <c r="L116" t="n">
        <v>10</v>
      </c>
      <c r="M116" t="inlineStr">
        <is>
          <t>FF000000</t>
        </is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1</v>
      </c>
      <c r="S116" t="inlineStr">
        <is>
          <t>G000041</t>
        </is>
      </c>
      <c r="T116" t="inlineStr">
        <is>
          <t>Horizontal</t>
        </is>
      </c>
      <c r="U116" t="n">
        <v>4</v>
      </c>
      <c r="V116" t="b">
        <v>1</v>
      </c>
      <c r="W116" t="inlineStr">
        <is>
          <t>Balance sheet!B21:E21</t>
        </is>
      </c>
      <c r="X116">
        <f>'Financing'!R[-12]C[0]</f>
        <v/>
      </c>
    </row>
    <row r="117">
      <c r="A117" t="inlineStr">
        <is>
          <t>Balance sheet</t>
        </is>
      </c>
      <c r="B117" t="inlineStr">
        <is>
          <t>A22</t>
        </is>
      </c>
      <c r="C117" t="n">
        <v>22</v>
      </c>
      <c r="D117" t="n">
        <v>1</v>
      </c>
      <c r="E117" t="inlineStr">
        <is>
          <t>Input</t>
        </is>
      </c>
      <c r="F117" t="n">
        <v/>
      </c>
      <c r="G117" t="inlineStr">
        <is>
          <t>Shareholders equity</t>
        </is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10</v>
      </c>
      <c r="M117" t="inlineStr">
        <is>
          <t>FF000000</t>
        </is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Balance sheet</t>
        </is>
      </c>
      <c r="B118" t="inlineStr">
        <is>
          <t>B22</t>
        </is>
      </c>
      <c r="C118" t="n">
        <v>22</v>
      </c>
      <c r="D118" t="n">
        <v>2</v>
      </c>
      <c r="E118" t="inlineStr">
        <is>
          <t>Calculation</t>
        </is>
      </c>
      <c r="F118" t="inlineStr">
        <is>
          <t>'=Financing!B12-Financing!B13</t>
        </is>
      </c>
      <c r="G118" t="n">
        <v>300</v>
      </c>
      <c r="H118" t="inlineStr"/>
      <c r="I118" t="inlineStr">
        <is>
          <t>_(* #,##0_);_(* \(#,##0\);_(* \-??_);_(@_)</t>
        </is>
      </c>
      <c r="J118" t="b">
        <v>1</v>
      </c>
      <c r="K118" t="b">
        <v>0</v>
      </c>
      <c r="L118" t="n">
        <v>10</v>
      </c>
      <c r="M118" t="inlineStr">
        <is>
          <t>FF000000</t>
        </is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>
        <f>'Financing'!R[-10]C[0]-'Financing'!R[-9]C[0]</f>
        <v/>
      </c>
    </row>
    <row r="119">
      <c r="A119" t="inlineStr">
        <is>
          <t>Balance sheet</t>
        </is>
      </c>
      <c r="B119" t="inlineStr">
        <is>
          <t>C22</t>
        </is>
      </c>
      <c r="C119" t="n">
        <v>22</v>
      </c>
      <c r="D119" t="n">
        <v>3</v>
      </c>
      <c r="E119" t="inlineStr">
        <is>
          <t>Calculation</t>
        </is>
      </c>
      <c r="F119" t="inlineStr">
        <is>
          <t>'=B22+Financing!C12-Financing!C13+Income!C19</t>
        </is>
      </c>
      <c r="G119" t="n">
        <v>256.727748691099</v>
      </c>
      <c r="H119" t="inlineStr"/>
      <c r="I119" t="inlineStr">
        <is>
          <t>_(* #,##0_);_(* \(#,##0\);_(* \-??_);_(@_)</t>
        </is>
      </c>
      <c r="J119" t="b">
        <v>1</v>
      </c>
      <c r="K119" t="b">
        <v>0</v>
      </c>
      <c r="L119" t="n">
        <v>10</v>
      </c>
      <c r="M119" t="inlineStr">
        <is>
          <t>FF000000</t>
        </is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1</v>
      </c>
      <c r="S119" t="inlineStr">
        <is>
          <t>G000042</t>
        </is>
      </c>
      <c r="T119" t="inlineStr">
        <is>
          <t>Horizontal</t>
        </is>
      </c>
      <c r="U119" t="n">
        <v>3</v>
      </c>
      <c r="V119" t="b">
        <v>1</v>
      </c>
      <c r="W119" t="inlineStr">
        <is>
          <t>Balance sheet!C22:E22</t>
        </is>
      </c>
      <c r="X119">
        <f>R[0]C[-1]+'Financing'!R[-10]C[0]-'Financing'!R[-9]C[0]+'Income'!R[-3]C[0]</f>
        <v/>
      </c>
    </row>
    <row r="120">
      <c r="A120" t="inlineStr">
        <is>
          <t>Balance sheet</t>
        </is>
      </c>
      <c r="B120" t="inlineStr">
        <is>
          <t>D22</t>
        </is>
      </c>
      <c r="C120" t="n">
        <v>22</v>
      </c>
      <c r="D120" t="n">
        <v>4</v>
      </c>
      <c r="E120" t="inlineStr">
        <is>
          <t>Calculation</t>
        </is>
      </c>
      <c r="F120" t="inlineStr">
        <is>
          <t>'=C22+Financing!D12-Financing!D13+Income!D19</t>
        </is>
      </c>
      <c r="G120" t="n">
        <v>250.367012965653</v>
      </c>
      <c r="H120" t="inlineStr"/>
      <c r="I120" t="inlineStr">
        <is>
          <t>_(* #,##0_);_(* \(#,##0\);_(* \-??_);_(@_)</t>
        </is>
      </c>
      <c r="J120" t="b">
        <v>1</v>
      </c>
      <c r="K120" t="b">
        <v>0</v>
      </c>
      <c r="L120" t="n">
        <v>10</v>
      </c>
      <c r="M120" t="inlineStr">
        <is>
          <t>FF000000</t>
        </is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1</v>
      </c>
      <c r="S120" t="inlineStr">
        <is>
          <t>G000042</t>
        </is>
      </c>
      <c r="T120" t="inlineStr">
        <is>
          <t>Horizontal</t>
        </is>
      </c>
      <c r="U120" t="n">
        <v>3</v>
      </c>
      <c r="V120" t="b">
        <v>1</v>
      </c>
      <c r="W120" t="inlineStr">
        <is>
          <t>Balance sheet!C22:E22</t>
        </is>
      </c>
      <c r="X120">
        <f>R[0]C[-1]+'Financing'!R[-10]C[0]-'Financing'!R[-9]C[0]+'Income'!R[-3]C[0]</f>
        <v/>
      </c>
    </row>
    <row r="121">
      <c r="A121" t="inlineStr">
        <is>
          <t>Balance sheet</t>
        </is>
      </c>
      <c r="B121" t="inlineStr">
        <is>
          <t>E22</t>
        </is>
      </c>
      <c r="C121" t="n">
        <v>22</v>
      </c>
      <c r="D121" t="n">
        <v>5</v>
      </c>
      <c r="E121" t="inlineStr">
        <is>
          <t>Calculation</t>
        </is>
      </c>
      <c r="F121" t="inlineStr">
        <is>
          <t>'=D22+Financing!E12-Financing!E13+Income!E19</t>
        </is>
      </c>
      <c r="G121" t="n">
        <v>282.487988009537</v>
      </c>
      <c r="H121" t="inlineStr"/>
      <c r="I121" t="inlineStr">
        <is>
          <t>_(* #,##0_);_(* \(#,##0\);_(* \-??_);_(@_)</t>
        </is>
      </c>
      <c r="J121" t="b">
        <v>1</v>
      </c>
      <c r="K121" t="b">
        <v>0</v>
      </c>
      <c r="L121" t="n">
        <v>10</v>
      </c>
      <c r="M121" t="inlineStr">
        <is>
          <t>FF000000</t>
        </is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inlineStr">
        <is>
          <t>G000042</t>
        </is>
      </c>
      <c r="T121" t="inlineStr">
        <is>
          <t>Horizontal</t>
        </is>
      </c>
      <c r="U121" t="n">
        <v>3</v>
      </c>
      <c r="V121" t="b">
        <v>1</v>
      </c>
      <c r="W121" t="inlineStr">
        <is>
          <t>Balance sheet!C22:E22</t>
        </is>
      </c>
      <c r="X121">
        <f>R[0]C[-1]+'Financing'!R[-10]C[0]-'Financing'!R[-9]C[0]+'Income'!R[-3]C[0]</f>
        <v/>
      </c>
    </row>
    <row r="122">
      <c r="A122" t="inlineStr">
        <is>
          <t>Balance sheet</t>
        </is>
      </c>
      <c r="B122" t="inlineStr">
        <is>
          <t>A23</t>
        </is>
      </c>
      <c r="C122" t="n">
        <v>23</v>
      </c>
      <c r="D122" t="n">
        <v>1</v>
      </c>
      <c r="E122" t="inlineStr">
        <is>
          <t>Input</t>
        </is>
      </c>
      <c r="F122" t="n">
        <v/>
      </c>
      <c r="G122" t="inlineStr">
        <is>
          <t>Total long-term debt and shareholders equity</t>
        </is>
      </c>
      <c r="H122" t="inlineStr"/>
      <c r="I122" t="inlineStr">
        <is>
          <t>General</t>
        </is>
      </c>
      <c r="J122" t="b">
        <v>1</v>
      </c>
      <c r="K122" t="b">
        <v>0</v>
      </c>
      <c r="L122" t="n">
        <v>10</v>
      </c>
      <c r="M122" t="inlineStr">
        <is>
          <t>FFFF0000</t>
        </is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Balance sheet</t>
        </is>
      </c>
      <c r="B123" t="inlineStr">
        <is>
          <t>B23</t>
        </is>
      </c>
      <c r="C123" t="n">
        <v>23</v>
      </c>
      <c r="D123" t="n">
        <v>2</v>
      </c>
      <c r="E123" t="inlineStr">
        <is>
          <t>Calculation</t>
        </is>
      </c>
      <c r="F123" t="inlineStr">
        <is>
          <t>'=B21+B22</t>
        </is>
      </c>
      <c r="G123" t="n">
        <v>500</v>
      </c>
      <c r="H123" t="inlineStr"/>
      <c r="I123" t="inlineStr">
        <is>
          <t>_(* #,##0_);_(* \(#,##0\);_(* \-??_);_(@_)</t>
        </is>
      </c>
      <c r="J123" t="b">
        <v>1</v>
      </c>
      <c r="K123" t="b">
        <v>0</v>
      </c>
      <c r="L123" t="n">
        <v>10</v>
      </c>
      <c r="M123" t="inlineStr">
        <is>
          <t>FFFF0000</t>
        </is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inlineStr">
        <is>
          <t>G000036</t>
        </is>
      </c>
      <c r="T123" t="inlineStr">
        <is>
          <t>Horizontal</t>
        </is>
      </c>
      <c r="U123" t="n">
        <v>4</v>
      </c>
      <c r="V123" t="b">
        <v>1</v>
      </c>
      <c r="W123" t="inlineStr">
        <is>
          <t>Balance sheet!B23:E23</t>
        </is>
      </c>
      <c r="X123">
        <f>R[-2]C[0]+R[-1]C[0]</f>
        <v/>
      </c>
    </row>
    <row r="124">
      <c r="A124" t="inlineStr">
        <is>
          <t>Balance sheet</t>
        </is>
      </c>
      <c r="B124" t="inlineStr">
        <is>
          <t>C23</t>
        </is>
      </c>
      <c r="C124" t="n">
        <v>23</v>
      </c>
      <c r="D124" t="n">
        <v>3</v>
      </c>
      <c r="E124" t="inlineStr">
        <is>
          <t>Calculation</t>
        </is>
      </c>
      <c r="F124" t="inlineStr">
        <is>
          <t>'=C21+C22</t>
        </is>
      </c>
      <c r="G124" t="n">
        <v>456.727748691099</v>
      </c>
      <c r="H124" t="inlineStr"/>
      <c r="I124" t="inlineStr">
        <is>
          <t>_(* #,##0_);_(* \(#,##0\);_(* \-??_);_(@_)</t>
        </is>
      </c>
      <c r="J124" t="b">
        <v>1</v>
      </c>
      <c r="K124" t="b">
        <v>0</v>
      </c>
      <c r="L124" t="n">
        <v>10</v>
      </c>
      <c r="M124" t="inlineStr">
        <is>
          <t>FFFF0000</t>
        </is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inlineStr">
        <is>
          <t>G000036</t>
        </is>
      </c>
      <c r="T124" t="inlineStr">
        <is>
          <t>Horizontal</t>
        </is>
      </c>
      <c r="U124" t="n">
        <v>4</v>
      </c>
      <c r="V124" t="b">
        <v>1</v>
      </c>
      <c r="W124" t="inlineStr">
        <is>
          <t>Balance sheet!B23:E23</t>
        </is>
      </c>
      <c r="X124">
        <f>R[-2]C[0]+R[-1]C[0]</f>
        <v/>
      </c>
    </row>
    <row r="125">
      <c r="A125" t="inlineStr">
        <is>
          <t>Balance sheet</t>
        </is>
      </c>
      <c r="B125" t="inlineStr">
        <is>
          <t>D23</t>
        </is>
      </c>
      <c r="C125" t="n">
        <v>23</v>
      </c>
      <c r="D125" t="n">
        <v>4</v>
      </c>
      <c r="E125" t="inlineStr">
        <is>
          <t>Calculation</t>
        </is>
      </c>
      <c r="F125" t="inlineStr">
        <is>
          <t>'=D21+D22</t>
        </is>
      </c>
      <c r="G125" t="n">
        <v>450.367012965653</v>
      </c>
      <c r="H125" t="inlineStr"/>
      <c r="I125" t="inlineStr">
        <is>
          <t>_(* #,##0_);_(* \(#,##0\);_(* \-??_);_(@_)</t>
        </is>
      </c>
      <c r="J125" t="b">
        <v>1</v>
      </c>
      <c r="K125" t="b">
        <v>0</v>
      </c>
      <c r="L125" t="n">
        <v>10</v>
      </c>
      <c r="M125" t="inlineStr">
        <is>
          <t>FFFF0000</t>
        </is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1</v>
      </c>
      <c r="S125" t="inlineStr">
        <is>
          <t>G000036</t>
        </is>
      </c>
      <c r="T125" t="inlineStr">
        <is>
          <t>Horizontal</t>
        </is>
      </c>
      <c r="U125" t="n">
        <v>4</v>
      </c>
      <c r="V125" t="b">
        <v>1</v>
      </c>
      <c r="W125" t="inlineStr">
        <is>
          <t>Balance sheet!B23:E23</t>
        </is>
      </c>
      <c r="X125">
        <f>R[-2]C[0]+R[-1]C[0]</f>
        <v/>
      </c>
    </row>
    <row r="126">
      <c r="A126" t="inlineStr">
        <is>
          <t>Balance sheet</t>
        </is>
      </c>
      <c r="B126" t="inlineStr">
        <is>
          <t>E23</t>
        </is>
      </c>
      <c r="C126" t="n">
        <v>23</v>
      </c>
      <c r="D126" t="n">
        <v>5</v>
      </c>
      <c r="E126" t="inlineStr">
        <is>
          <t>Calculation</t>
        </is>
      </c>
      <c r="F126" t="inlineStr">
        <is>
          <t>'=E21+E22</t>
        </is>
      </c>
      <c r="G126" t="n">
        <v>482.487988009537</v>
      </c>
      <c r="H126" t="inlineStr"/>
      <c r="I126" t="inlineStr">
        <is>
          <t>_(* #,##0_);_(* \(#,##0\);_(* \-??_);_(@_)</t>
        </is>
      </c>
      <c r="J126" t="b">
        <v>1</v>
      </c>
      <c r="K126" t="b">
        <v>0</v>
      </c>
      <c r="L126" t="n">
        <v>10</v>
      </c>
      <c r="M126" t="inlineStr">
        <is>
          <t>FFFF0000</t>
        </is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1</v>
      </c>
      <c r="S126" t="inlineStr">
        <is>
          <t>G000036</t>
        </is>
      </c>
      <c r="T126" t="inlineStr">
        <is>
          <t>Horizontal</t>
        </is>
      </c>
      <c r="U126" t="n">
        <v>4</v>
      </c>
      <c r="V126" t="b">
        <v>1</v>
      </c>
      <c r="W126" t="inlineStr">
        <is>
          <t>Balance sheet!B23:E23</t>
        </is>
      </c>
      <c r="X126">
        <f>R[-2]C[0]+R[-1]C[0]</f>
        <v/>
      </c>
    </row>
    <row r="127">
      <c r="A127" t="inlineStr">
        <is>
          <t>Balance sheet</t>
        </is>
      </c>
      <c r="B127" t="inlineStr">
        <is>
          <t>A24</t>
        </is>
      </c>
      <c r="C127" t="n">
        <v>24</v>
      </c>
      <c r="D127" t="n">
        <v>1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0</v>
      </c>
      <c r="L127" t="n">
        <v>10</v>
      </c>
      <c r="M127" t="inlineStr">
        <is>
          <t>FFFF0000</t>
        </is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Balance sheet</t>
        </is>
      </c>
      <c r="B128" t="inlineStr">
        <is>
          <t>B24</t>
        </is>
      </c>
      <c r="C128" t="n">
        <v>24</v>
      </c>
      <c r="D128" t="n">
        <v>2</v>
      </c>
      <c r="E128" t="inlineStr">
        <is>
          <t>Input</t>
        </is>
      </c>
      <c r="F128" t="n">
        <v/>
      </c>
      <c r="H128" t="inlineStr"/>
      <c r="I128" t="inlineStr">
        <is>
          <t>_(* #,##0_);_(* \(#,##0\);_(* \-??_);_(@_)</t>
        </is>
      </c>
      <c r="J128" t="b">
        <v>1</v>
      </c>
      <c r="K128" t="b">
        <v>0</v>
      </c>
      <c r="L128" t="n">
        <v>10</v>
      </c>
      <c r="M128" t="inlineStr">
        <is>
          <t>FFFF0000</t>
        </is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Balance sheet</t>
        </is>
      </c>
      <c r="B129" t="inlineStr">
        <is>
          <t>C24</t>
        </is>
      </c>
      <c r="C129" t="n">
        <v>24</v>
      </c>
      <c r="D129" t="n">
        <v>3</v>
      </c>
      <c r="E129" t="inlineStr">
        <is>
          <t>Input</t>
        </is>
      </c>
      <c r="F129" t="n">
        <v/>
      </c>
      <c r="H129" t="inlineStr"/>
      <c r="I129" t="inlineStr">
        <is>
          <t>_(* #,##0_);_(* \(#,##0\);_(* \-??_);_(@_)</t>
        </is>
      </c>
      <c r="J129" t="b">
        <v>1</v>
      </c>
      <c r="K129" t="b">
        <v>0</v>
      </c>
      <c r="L129" t="n">
        <v>10</v>
      </c>
      <c r="M129" t="inlineStr">
        <is>
          <t>FFFF0000</t>
        </is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Balance sheet</t>
        </is>
      </c>
      <c r="B130" t="inlineStr">
        <is>
          <t>D24</t>
        </is>
      </c>
      <c r="C130" t="n">
        <v>24</v>
      </c>
      <c r="D130" t="n">
        <v>4</v>
      </c>
      <c r="E130" t="inlineStr">
        <is>
          <t>Input</t>
        </is>
      </c>
      <c r="F130" t="n">
        <v/>
      </c>
      <c r="H130" t="inlineStr"/>
      <c r="I130" t="inlineStr">
        <is>
          <t>_(* #,##0_);_(* \(#,##0\);_(* \-??_);_(@_)</t>
        </is>
      </c>
      <c r="J130" t="b">
        <v>1</v>
      </c>
      <c r="K130" t="b">
        <v>0</v>
      </c>
      <c r="L130" t="n">
        <v>10</v>
      </c>
      <c r="M130" t="inlineStr">
        <is>
          <t>FFFF0000</t>
        </is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Balance sheet</t>
        </is>
      </c>
      <c r="B131" t="inlineStr">
        <is>
          <t>E24</t>
        </is>
      </c>
      <c r="C131" t="n">
        <v>24</v>
      </c>
      <c r="D131" t="n">
        <v>5</v>
      </c>
      <c r="E131" t="inlineStr">
        <is>
          <t>Input</t>
        </is>
      </c>
      <c r="F131" t="n">
        <v/>
      </c>
      <c r="H131" t="inlineStr"/>
      <c r="I131" t="inlineStr">
        <is>
          <t>_(* #,##0_);_(* \(#,##0\);_(* \-??_);_(@_)</t>
        </is>
      </c>
      <c r="J131" t="b">
        <v>1</v>
      </c>
      <c r="K131" t="b">
        <v>0</v>
      </c>
      <c r="L131" t="n">
        <v>10</v>
      </c>
      <c r="M131" t="inlineStr">
        <is>
          <t>FFFF0000</t>
        </is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Balance sheet</t>
        </is>
      </c>
      <c r="B132" t="inlineStr">
        <is>
          <t>A25</t>
        </is>
      </c>
      <c r="C132" t="n">
        <v>25</v>
      </c>
      <c r="D132" t="n">
        <v>1</v>
      </c>
      <c r="E132" t="inlineStr">
        <is>
          <t>Input</t>
        </is>
      </c>
      <c r="F132" t="n">
        <v/>
      </c>
      <c r="G132" t="inlineStr">
        <is>
          <t>Total liabilities</t>
        </is>
      </c>
      <c r="H132" t="inlineStr"/>
      <c r="I132" t="inlineStr">
        <is>
          <t>General</t>
        </is>
      </c>
      <c r="J132" t="b">
        <v>1</v>
      </c>
      <c r="K132" t="b">
        <v>0</v>
      </c>
      <c r="L132" t="n">
        <v>10</v>
      </c>
      <c r="M132" t="inlineStr">
        <is>
          <t>FFFF0000</t>
        </is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Balance sheet</t>
        </is>
      </c>
      <c r="B133" t="inlineStr">
        <is>
          <t>B25</t>
        </is>
      </c>
      <c r="C133" t="n">
        <v>25</v>
      </c>
      <c r="D133" t="n">
        <v>2</v>
      </c>
      <c r="E133" t="inlineStr">
        <is>
          <t>Output</t>
        </is>
      </c>
      <c r="F133" t="inlineStr">
        <is>
          <t>'=B19+B23</t>
        </is>
      </c>
      <c r="G133" t="n">
        <v>508</v>
      </c>
      <c r="H133" t="inlineStr"/>
      <c r="I133" t="inlineStr">
        <is>
          <t>_(* #,##0_);_(* \(#,##0\);_(* \-??_);_(@_)</t>
        </is>
      </c>
      <c r="J133" t="b">
        <v>1</v>
      </c>
      <c r="K133" t="b">
        <v>0</v>
      </c>
      <c r="L133" t="n">
        <v>10</v>
      </c>
      <c r="M133" t="inlineStr">
        <is>
          <t>FFFF0000</t>
        </is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inlineStr">
        <is>
          <t>G000038</t>
        </is>
      </c>
      <c r="T133" t="inlineStr">
        <is>
          <t>Horizontal</t>
        </is>
      </c>
      <c r="U133" t="n">
        <v>4</v>
      </c>
      <c r="V133" t="b">
        <v>1</v>
      </c>
      <c r="W133" t="inlineStr">
        <is>
          <t>Balance sheet!B25:E25</t>
        </is>
      </c>
      <c r="X133">
        <f>R[-6]C[0]+R[-2]C[0]</f>
        <v/>
      </c>
    </row>
    <row r="134">
      <c r="A134" t="inlineStr">
        <is>
          <t>Balance sheet</t>
        </is>
      </c>
      <c r="B134" t="inlineStr">
        <is>
          <t>C25</t>
        </is>
      </c>
      <c r="C134" t="n">
        <v>25</v>
      </c>
      <c r="D134" t="n">
        <v>3</v>
      </c>
      <c r="E134" t="inlineStr">
        <is>
          <t>Output</t>
        </is>
      </c>
      <c r="F134" t="inlineStr">
        <is>
          <t>'=C19+C23</t>
        </is>
      </c>
      <c r="G134" t="n">
        <v>505</v>
      </c>
      <c r="H134" t="inlineStr"/>
      <c r="I134" t="inlineStr">
        <is>
          <t>_(* #,##0_);_(* \(#,##0\);_(* \-??_);_(@_)</t>
        </is>
      </c>
      <c r="J134" t="b">
        <v>1</v>
      </c>
      <c r="K134" t="b">
        <v>0</v>
      </c>
      <c r="L134" t="n">
        <v>10</v>
      </c>
      <c r="M134" t="inlineStr">
        <is>
          <t>FFFF0000</t>
        </is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1</v>
      </c>
      <c r="S134" t="inlineStr">
        <is>
          <t>G000038</t>
        </is>
      </c>
      <c r="T134" t="inlineStr">
        <is>
          <t>Horizontal</t>
        </is>
      </c>
      <c r="U134" t="n">
        <v>4</v>
      </c>
      <c r="V134" t="b">
        <v>1</v>
      </c>
      <c r="W134" t="inlineStr">
        <is>
          <t>Balance sheet!B25:E25</t>
        </is>
      </c>
      <c r="X134">
        <f>R[-6]C[0]+R[-2]C[0]</f>
        <v/>
      </c>
    </row>
    <row r="135">
      <c r="A135" t="inlineStr">
        <is>
          <t>Balance sheet</t>
        </is>
      </c>
      <c r="B135" t="inlineStr">
        <is>
          <t>D25</t>
        </is>
      </c>
      <c r="C135" t="n">
        <v>25</v>
      </c>
      <c r="D135" t="n">
        <v>4</v>
      </c>
      <c r="E135" t="inlineStr">
        <is>
          <t>Output</t>
        </is>
      </c>
      <c r="F135" t="inlineStr">
        <is>
          <t>'=D19+D23</t>
        </is>
      </c>
      <c r="G135" t="n">
        <v>547</v>
      </c>
      <c r="H135" t="inlineStr"/>
      <c r="I135" t="inlineStr">
        <is>
          <t>_(* #,##0_);_(* \(#,##0\);_(* \-??_);_(@_)</t>
        </is>
      </c>
      <c r="J135" t="b">
        <v>1</v>
      </c>
      <c r="K135" t="b">
        <v>0</v>
      </c>
      <c r="L135" t="n">
        <v>10</v>
      </c>
      <c r="M135" t="inlineStr">
        <is>
          <t>FFFF0000</t>
        </is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1</v>
      </c>
      <c r="S135" t="inlineStr">
        <is>
          <t>G000038</t>
        </is>
      </c>
      <c r="T135" t="inlineStr">
        <is>
          <t>Horizontal</t>
        </is>
      </c>
      <c r="U135" t="n">
        <v>4</v>
      </c>
      <c r="V135" t="b">
        <v>1</v>
      </c>
      <c r="W135" t="inlineStr">
        <is>
          <t>Balance sheet!B25:E25</t>
        </is>
      </c>
      <c r="X135">
        <f>R[-6]C[0]+R[-2]C[0]</f>
        <v/>
      </c>
    </row>
    <row r="136">
      <c r="A136" t="inlineStr">
        <is>
          <t>Balance sheet</t>
        </is>
      </c>
      <c r="B136" t="inlineStr">
        <is>
          <t>E25</t>
        </is>
      </c>
      <c r="C136" t="n">
        <v>25</v>
      </c>
      <c r="D136" t="n">
        <v>5</v>
      </c>
      <c r="E136" t="inlineStr">
        <is>
          <t>Output</t>
        </is>
      </c>
      <c r="F136" t="inlineStr">
        <is>
          <t>'=E19+E23</t>
        </is>
      </c>
      <c r="G136" t="n">
        <v>578.5</v>
      </c>
      <c r="H136" t="inlineStr"/>
      <c r="I136" t="inlineStr">
        <is>
          <t>_(* #,##0_);_(* \(#,##0\);_(* \-??_);_(@_)</t>
        </is>
      </c>
      <c r="J136" t="b">
        <v>1</v>
      </c>
      <c r="K136" t="b">
        <v>0</v>
      </c>
      <c r="L136" t="n">
        <v>10</v>
      </c>
      <c r="M136" t="inlineStr">
        <is>
          <t>FFFF0000</t>
        </is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1</v>
      </c>
      <c r="S136" t="inlineStr">
        <is>
          <t>G000038</t>
        </is>
      </c>
      <c r="T136" t="inlineStr">
        <is>
          <t>Horizontal</t>
        </is>
      </c>
      <c r="U136" t="n">
        <v>4</v>
      </c>
      <c r="V136" t="b">
        <v>1</v>
      </c>
      <c r="W136" t="inlineStr">
        <is>
          <t>Balance sheet!B25:E25</t>
        </is>
      </c>
      <c r="X136">
        <f>R[-6]C[0]+R[-2]C[0]</f>
        <v/>
      </c>
    </row>
    <row r="137">
      <c r="A137" t="inlineStr">
        <is>
          <t>Balance sheet</t>
        </is>
      </c>
      <c r="B137" t="inlineStr">
        <is>
          <t>A26</t>
        </is>
      </c>
      <c r="C137" t="n">
        <v>26</v>
      </c>
      <c r="D137" t="n">
        <v>1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Balance sheet</t>
        </is>
      </c>
      <c r="B138" t="inlineStr">
        <is>
          <t>B26</t>
        </is>
      </c>
      <c r="C138" t="n">
        <v>26</v>
      </c>
      <c r="D138" t="n">
        <v>2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Balance sheet</t>
        </is>
      </c>
      <c r="B139" t="inlineStr">
        <is>
          <t>C26</t>
        </is>
      </c>
      <c r="C139" t="n">
        <v>26</v>
      </c>
      <c r="D139" t="n">
        <v>3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n">
        <v/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Balance sheet</t>
        </is>
      </c>
      <c r="B140" t="inlineStr">
        <is>
          <t>D26</t>
        </is>
      </c>
      <c r="C140" t="n">
        <v>26</v>
      </c>
      <c r="D140" t="n">
        <v>4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10</v>
      </c>
      <c r="M140" t="n">
        <v/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Balance sheet</t>
        </is>
      </c>
      <c r="B141" t="inlineStr">
        <is>
          <t>E26</t>
        </is>
      </c>
      <c r="C141" t="n">
        <v>26</v>
      </c>
      <c r="D141" t="n">
        <v>5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1</v>
      </c>
      <c r="K141" t="b">
        <v>0</v>
      </c>
      <c r="L141" t="n">
        <v>10</v>
      </c>
      <c r="M141" t="n">
        <v/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Cash flows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STATEMENTS OF CASH FLOWS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Cash flows</t>
        </is>
      </c>
      <c r="B3" t="inlineStr">
        <is>
          <t>A4</t>
        </is>
      </c>
      <c r="C3" t="n">
        <v>4</v>
      </c>
      <c r="D3" t="n">
        <v>1</v>
      </c>
      <c r="E3" t="inlineStr">
        <is>
          <t>Input</t>
        </is>
      </c>
      <c r="F3" t="n">
        <v/>
      </c>
      <c r="G3" t="inlineStr">
        <is>
          <t>Year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n">
        <v/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Cash flows</t>
        </is>
      </c>
      <c r="B4" t="inlineStr">
        <is>
          <t>B4</t>
        </is>
      </c>
      <c r="C4" t="n">
        <v>4</v>
      </c>
      <c r="D4" t="n">
        <v>2</v>
      </c>
      <c r="E4" t="inlineStr">
        <is>
          <t>Input</t>
        </is>
      </c>
      <c r="F4" t="n">
        <v/>
      </c>
      <c r="G4" t="n">
        <v>0</v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Cash flows</t>
        </is>
      </c>
      <c r="B5" t="inlineStr">
        <is>
          <t>C4</t>
        </is>
      </c>
      <c r="C5" t="n">
        <v>4</v>
      </c>
      <c r="D5" t="n">
        <v>3</v>
      </c>
      <c r="E5" t="inlineStr">
        <is>
          <t>Input</t>
        </is>
      </c>
      <c r="F5" t="n">
        <v/>
      </c>
      <c r="G5" t="n">
        <v>1</v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Cash flows</t>
        </is>
      </c>
      <c r="B6" t="inlineStr">
        <is>
          <t>D4</t>
        </is>
      </c>
      <c r="C6" t="n">
        <v>4</v>
      </c>
      <c r="D6" t="n">
        <v>4</v>
      </c>
      <c r="E6" t="inlineStr">
        <is>
          <t>Input</t>
        </is>
      </c>
      <c r="F6" t="n">
        <v/>
      </c>
      <c r="G6" t="n">
        <v>2</v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Cash flows</t>
        </is>
      </c>
      <c r="B7" t="inlineStr">
        <is>
          <t>E4</t>
        </is>
      </c>
      <c r="C7" t="n">
        <v>4</v>
      </c>
      <c r="D7" t="n">
        <v>5</v>
      </c>
      <c r="E7" t="inlineStr">
        <is>
          <t>Input</t>
        </is>
      </c>
      <c r="F7" t="n">
        <v/>
      </c>
      <c r="G7" t="n">
        <v>3</v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Cash flows</t>
        </is>
      </c>
      <c r="B8" t="inlineStr">
        <is>
          <t>A5</t>
        </is>
      </c>
      <c r="C8" t="n">
        <v>5</v>
      </c>
      <c r="D8" t="n">
        <v>1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Cash flows</t>
        </is>
      </c>
      <c r="B9" t="inlineStr">
        <is>
          <t>B5</t>
        </is>
      </c>
      <c r="C9" t="n">
        <v>5</v>
      </c>
      <c r="D9" t="n">
        <v>2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1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Cash flows</t>
        </is>
      </c>
      <c r="B10" t="inlineStr">
        <is>
          <t>C5</t>
        </is>
      </c>
      <c r="C10" t="n">
        <v>5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Cash flows</t>
        </is>
      </c>
      <c r="B11" t="inlineStr">
        <is>
          <t>D5</t>
        </is>
      </c>
      <c r="C11" t="n">
        <v>5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Cash flows</t>
        </is>
      </c>
      <c r="B12" t="inlineStr">
        <is>
          <t>E5</t>
        </is>
      </c>
      <c r="C12" t="n">
        <v>5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Cash flows</t>
        </is>
      </c>
      <c r="B13" t="inlineStr">
        <is>
          <t>A6</t>
        </is>
      </c>
      <c r="C13" t="n">
        <v>6</v>
      </c>
      <c r="D13" t="n">
        <v>1</v>
      </c>
      <c r="E13" t="inlineStr">
        <is>
          <t>Input</t>
        </is>
      </c>
      <c r="F13" t="n">
        <v/>
      </c>
      <c r="G13" t="inlineStr">
        <is>
          <t>Net income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inlineStr">
        <is>
          <t>FF000000</t>
        </is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Cash flows</t>
        </is>
      </c>
      <c r="B14" t="inlineStr">
        <is>
          <t>B6</t>
        </is>
      </c>
      <c r="C14" t="n">
        <v>6</v>
      </c>
      <c r="D14" t="n">
        <v>2</v>
      </c>
      <c r="E14" t="inlineStr">
        <is>
          <t>Input</t>
        </is>
      </c>
      <c r="F14" t="n">
        <v/>
      </c>
      <c r="H14" t="inlineStr"/>
      <c r="I14" t="inlineStr">
        <is>
          <t>_(* #,##0_);_(* \(#,##0\);_(* \-??_);_(@_)</t>
        </is>
      </c>
      <c r="J14" t="b">
        <v>1</v>
      </c>
      <c r="K14" t="b">
        <v>0</v>
      </c>
      <c r="L14" t="n">
        <v>10</v>
      </c>
      <c r="M14" t="inlineStr">
        <is>
          <t>FF000000</t>
        </is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Cash flows</t>
        </is>
      </c>
      <c r="B15" t="inlineStr">
        <is>
          <t>C6</t>
        </is>
      </c>
      <c r="C15" t="n">
        <v>6</v>
      </c>
      <c r="D15" t="n">
        <v>3</v>
      </c>
      <c r="E15" t="inlineStr">
        <is>
          <t>Calculation</t>
        </is>
      </c>
      <c r="F15" t="inlineStr">
        <is>
          <t>'=Income!C19</t>
        </is>
      </c>
      <c r="G15" t="n">
        <v>-43.2722513089005</v>
      </c>
      <c r="H15" t="inlineStr"/>
      <c r="I15" t="inlineStr">
        <is>
          <t>_(* #,##0_);_(* \(#,##0\);_(* \-??_);_(@_)</t>
        </is>
      </c>
      <c r="J15" t="b">
        <v>1</v>
      </c>
      <c r="K15" t="b">
        <v>0</v>
      </c>
      <c r="L15" t="n">
        <v>10</v>
      </c>
      <c r="M15" t="inlineStr">
        <is>
          <t>FF000000</t>
        </is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1</v>
      </c>
      <c r="S15" t="inlineStr">
        <is>
          <t>G000043</t>
        </is>
      </c>
      <c r="T15" t="inlineStr">
        <is>
          <t>Horizontal</t>
        </is>
      </c>
      <c r="U15" t="n">
        <v>3</v>
      </c>
      <c r="V15" t="b">
        <v>1</v>
      </c>
      <c r="W15" t="inlineStr">
        <is>
          <t>Cash flows!C6:E6</t>
        </is>
      </c>
      <c r="X15">
        <f>'Income'!R[13]C[0]</f>
        <v/>
      </c>
    </row>
    <row r="16">
      <c r="A16" t="inlineStr">
        <is>
          <t>Cash flows</t>
        </is>
      </c>
      <c r="B16" t="inlineStr">
        <is>
          <t>D6</t>
        </is>
      </c>
      <c r="C16" t="n">
        <v>6</v>
      </c>
      <c r="D16" t="n">
        <v>4</v>
      </c>
      <c r="E16" t="inlineStr">
        <is>
          <t>Calculation</t>
        </is>
      </c>
      <c r="F16" t="inlineStr">
        <is>
          <t>'=Income!D19</t>
        </is>
      </c>
      <c r="G16" t="n">
        <v>-6.36073572544612</v>
      </c>
      <c r="H16" t="inlineStr"/>
      <c r="I16" t="inlineStr">
        <is>
          <t>_(* #,##0_);_(* \(#,##0\);_(* \-??_);_(@_)</t>
        </is>
      </c>
      <c r="J16" t="b">
        <v>1</v>
      </c>
      <c r="K16" t="b">
        <v>0</v>
      </c>
      <c r="L16" t="n">
        <v>10</v>
      </c>
      <c r="M16" t="inlineStr">
        <is>
          <t>FF000000</t>
        </is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inlineStr">
        <is>
          <t>G000043</t>
        </is>
      </c>
      <c r="T16" t="inlineStr">
        <is>
          <t>Horizontal</t>
        </is>
      </c>
      <c r="U16" t="n">
        <v>3</v>
      </c>
      <c r="V16" t="b">
        <v>1</v>
      </c>
      <c r="W16" t="inlineStr">
        <is>
          <t>Cash flows!C6:E6</t>
        </is>
      </c>
      <c r="X16">
        <f>'Income'!R[13]C[0]</f>
        <v/>
      </c>
    </row>
    <row r="17">
      <c r="A17" t="inlineStr">
        <is>
          <t>Cash flows</t>
        </is>
      </c>
      <c r="B17" t="inlineStr">
        <is>
          <t>E6</t>
        </is>
      </c>
      <c r="C17" t="n">
        <v>6</v>
      </c>
      <c r="D17" t="n">
        <v>5</v>
      </c>
      <c r="E17" t="inlineStr">
        <is>
          <t>Calculation</t>
        </is>
      </c>
      <c r="F17" t="inlineStr">
        <is>
          <t>'=Income!E19</t>
        </is>
      </c>
      <c r="G17" t="n">
        <v>32.1209750438836</v>
      </c>
      <c r="H17" t="inlineStr"/>
      <c r="I17" t="inlineStr">
        <is>
          <t>_(* #,##0_);_(* \(#,##0\);_(* \-??_);_(@_)</t>
        </is>
      </c>
      <c r="J17" t="b">
        <v>1</v>
      </c>
      <c r="K17" t="b">
        <v>0</v>
      </c>
      <c r="L17" t="n">
        <v>10</v>
      </c>
      <c r="M17" t="inlineStr">
        <is>
          <t>FF000000</t>
        </is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inlineStr">
        <is>
          <t>G000043</t>
        </is>
      </c>
      <c r="T17" t="inlineStr">
        <is>
          <t>Horizontal</t>
        </is>
      </c>
      <c r="U17" t="n">
        <v>3</v>
      </c>
      <c r="V17" t="b">
        <v>1</v>
      </c>
      <c r="W17" t="inlineStr">
        <is>
          <t>Cash flows!C6:E6</t>
        </is>
      </c>
      <c r="X17">
        <f>'Income'!R[13]C[0]</f>
        <v/>
      </c>
    </row>
    <row r="18">
      <c r="A18" t="inlineStr">
        <is>
          <t>Cash flows</t>
        </is>
      </c>
      <c r="B18" t="inlineStr">
        <is>
          <t>F6</t>
        </is>
      </c>
      <c r="C18" t="n">
        <v>6</v>
      </c>
      <c r="D18" t="n">
        <v>6</v>
      </c>
      <c r="E18" t="inlineStr">
        <is>
          <t>Input</t>
        </is>
      </c>
      <c r="F18" t="n">
        <v/>
      </c>
      <c r="H18" t="inlineStr"/>
      <c r="I18" t="inlineStr">
        <is>
          <t>_(* #,##0_);_(* \(#,##0\);_(* \-??_);_(@_)</t>
        </is>
      </c>
      <c r="J18" t="b">
        <v>1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Cash flows</t>
        </is>
      </c>
      <c r="B19" t="inlineStr">
        <is>
          <t>G6</t>
        </is>
      </c>
      <c r="C19" t="n">
        <v>6</v>
      </c>
      <c r="D19" t="n">
        <v>7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Cash flows</t>
        </is>
      </c>
      <c r="B20" t="inlineStr">
        <is>
          <t>H6</t>
        </is>
      </c>
      <c r="C20" t="n">
        <v>6</v>
      </c>
      <c r="D20" t="n">
        <v>8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Cash flows</t>
        </is>
      </c>
      <c r="B21" t="inlineStr">
        <is>
          <t>I6</t>
        </is>
      </c>
      <c r="C21" t="n">
        <v>6</v>
      </c>
      <c r="D21" t="n">
        <v>9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Cash flows</t>
        </is>
      </c>
      <c r="B22" t="inlineStr">
        <is>
          <t>A7</t>
        </is>
      </c>
      <c r="C22" t="n">
        <v>7</v>
      </c>
      <c r="D22" t="n">
        <v>1</v>
      </c>
      <c r="E22" t="inlineStr">
        <is>
          <t>Input</t>
        </is>
      </c>
      <c r="F22" t="n">
        <v/>
      </c>
      <c r="G22" t="inlineStr">
        <is>
          <t>Plus depreciation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Cash flows</t>
        </is>
      </c>
      <c r="B23" t="inlineStr">
        <is>
          <t>B7</t>
        </is>
      </c>
      <c r="C23" t="n">
        <v>7</v>
      </c>
      <c r="D23" t="n">
        <v>2</v>
      </c>
      <c r="E23" t="inlineStr">
        <is>
          <t>Input</t>
        </is>
      </c>
      <c r="F23" t="n">
        <v/>
      </c>
      <c r="H23" t="inlineStr"/>
      <c r="I23" t="inlineStr">
        <is>
          <t>_(* #,##0_);_(* \(#,##0\);_(* \-??_);_(@_)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Cash flows</t>
        </is>
      </c>
      <c r="B24" t="inlineStr">
        <is>
          <t>C7</t>
        </is>
      </c>
      <c r="C24" t="n">
        <v>7</v>
      </c>
      <c r="D24" t="n">
        <v>3</v>
      </c>
      <c r="E24" t="inlineStr">
        <is>
          <t>Calculation</t>
        </is>
      </c>
      <c r="F24" t="inlineStr">
        <is>
          <t>'=Operations!C17</t>
        </is>
      </c>
      <c r="G24" t="n">
        <v>100</v>
      </c>
      <c r="H24" t="inlineStr"/>
      <c r="I24" t="inlineStr">
        <is>
          <t>_(* #,##0_);_(* \(#,##0\);_(* \-??_);_(@_)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S24" t="inlineStr">
        <is>
          <t>G000044</t>
        </is>
      </c>
      <c r="T24" t="inlineStr">
        <is>
          <t>Horizontal</t>
        </is>
      </c>
      <c r="U24" t="n">
        <v>3</v>
      </c>
      <c r="V24" t="b">
        <v>1</v>
      </c>
      <c r="W24" t="inlineStr">
        <is>
          <t>Cash flows!C7:E7</t>
        </is>
      </c>
      <c r="X24">
        <f>'Operations'!R[10]C[0]</f>
        <v/>
      </c>
    </row>
    <row r="25">
      <c r="A25" t="inlineStr">
        <is>
          <t>Cash flows</t>
        </is>
      </c>
      <c r="B25" t="inlineStr">
        <is>
          <t>D7</t>
        </is>
      </c>
      <c r="C25" t="n">
        <v>7</v>
      </c>
      <c r="D25" t="n">
        <v>4</v>
      </c>
      <c r="E25" t="inlineStr">
        <is>
          <t>Calculation</t>
        </is>
      </c>
      <c r="F25" t="inlineStr">
        <is>
          <t>'=Operations!D17</t>
        </is>
      </c>
      <c r="G25" t="n">
        <v>100</v>
      </c>
      <c r="H25" t="inlineStr"/>
      <c r="I25" t="inlineStr">
        <is>
          <t>_(* #,##0_);_(* \(#,##0\);_(* \-??_);_(@_)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inlineStr">
        <is>
          <t>G000044</t>
        </is>
      </c>
      <c r="T25" t="inlineStr">
        <is>
          <t>Horizontal</t>
        </is>
      </c>
      <c r="U25" t="n">
        <v>3</v>
      </c>
      <c r="V25" t="b">
        <v>1</v>
      </c>
      <c r="W25" t="inlineStr">
        <is>
          <t>Cash flows!C7:E7</t>
        </is>
      </c>
      <c r="X25">
        <f>'Operations'!R[10]C[0]</f>
        <v/>
      </c>
    </row>
    <row r="26">
      <c r="A26" t="inlineStr">
        <is>
          <t>Cash flows</t>
        </is>
      </c>
      <c r="B26" t="inlineStr">
        <is>
          <t>E7</t>
        </is>
      </c>
      <c r="C26" t="n">
        <v>7</v>
      </c>
      <c r="D26" t="n">
        <v>5</v>
      </c>
      <c r="E26" t="inlineStr">
        <is>
          <t>Calculation</t>
        </is>
      </c>
      <c r="F26" t="inlineStr">
        <is>
          <t>'=Operations!E17</t>
        </is>
      </c>
      <c r="G26" t="n">
        <v>100</v>
      </c>
      <c r="H26" t="inlineStr"/>
      <c r="I26" t="inlineStr">
        <is>
          <t>_(* #,##0_);_(* \(#,##0\);_(* \-??_);_(@_)</t>
        </is>
      </c>
      <c r="J26" t="b">
        <v>1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inlineStr">
        <is>
          <t>G000044</t>
        </is>
      </c>
      <c r="T26" t="inlineStr">
        <is>
          <t>Horizontal</t>
        </is>
      </c>
      <c r="U26" t="n">
        <v>3</v>
      </c>
      <c r="V26" t="b">
        <v>1</v>
      </c>
      <c r="W26" t="inlineStr">
        <is>
          <t>Cash flows!C7:E7</t>
        </is>
      </c>
      <c r="X26">
        <f>'Operations'!R[10]C[0]</f>
        <v/>
      </c>
    </row>
    <row r="27">
      <c r="A27" t="inlineStr">
        <is>
          <t>Cash flows</t>
        </is>
      </c>
      <c r="B27" t="inlineStr">
        <is>
          <t>F7</t>
        </is>
      </c>
      <c r="C27" t="n">
        <v>7</v>
      </c>
      <c r="D27" t="n">
        <v>6</v>
      </c>
      <c r="E27" t="inlineStr">
        <is>
          <t>Input</t>
        </is>
      </c>
      <c r="F27" t="n">
        <v/>
      </c>
      <c r="H27" t="inlineStr"/>
      <c r="I27" t="inlineStr">
        <is>
          <t>_(* #,##0_);_(* \(#,##0\);_(* \-??_);_(@_)</t>
        </is>
      </c>
      <c r="J27" t="b">
        <v>1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Cash flows</t>
        </is>
      </c>
      <c r="B28" t="inlineStr">
        <is>
          <t>G7</t>
        </is>
      </c>
      <c r="C28" t="n">
        <v>7</v>
      </c>
      <c r="D28" t="n">
        <v>7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M28" t="n">
        <v/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Cash flows</t>
        </is>
      </c>
      <c r="B29" t="inlineStr">
        <is>
          <t>H7</t>
        </is>
      </c>
      <c r="C29" t="n">
        <v>7</v>
      </c>
      <c r="D29" t="n">
        <v>8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Cash flows</t>
        </is>
      </c>
      <c r="B30" t="inlineStr">
        <is>
          <t>I7</t>
        </is>
      </c>
      <c r="C30" t="n">
        <v>7</v>
      </c>
      <c r="D30" t="n">
        <v>9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Cash flows</t>
        </is>
      </c>
      <c r="B31" t="inlineStr">
        <is>
          <t>A8</t>
        </is>
      </c>
      <c r="C31" t="n">
        <v>8</v>
      </c>
      <c r="D31" t="n">
        <v>1</v>
      </c>
      <c r="E31" t="inlineStr">
        <is>
          <t>Input</t>
        </is>
      </c>
      <c r="F31" t="n">
        <v/>
      </c>
      <c r="G31" t="inlineStr">
        <is>
          <t xml:space="preserve">Less increase in inventory </t>
        </is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M31" t="n">
        <v/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Cash flows</t>
        </is>
      </c>
      <c r="B32" t="inlineStr">
        <is>
          <t>B8</t>
        </is>
      </c>
      <c r="C32" t="n">
        <v>8</v>
      </c>
      <c r="D32" t="n">
        <v>2</v>
      </c>
      <c r="E32" t="inlineStr">
        <is>
          <t>Calculation</t>
        </is>
      </c>
      <c r="F32" t="inlineStr">
        <is>
          <t>'=-'Balance sheet'!B7</t>
        </is>
      </c>
      <c r="G32" t="n">
        <v>-10</v>
      </c>
      <c r="H32" t="inlineStr"/>
      <c r="I32" t="inlineStr">
        <is>
          <t>_(* #,##0_);_(* \(#,##0\);_(* \-??_);_(@_)</t>
        </is>
      </c>
      <c r="J32" t="b">
        <v>1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1</v>
      </c>
      <c r="S32" t="inlineStr">
        <is>
          <t>G000045</t>
        </is>
      </c>
      <c r="T32" t="inlineStr">
        <is>
          <t>Vertical</t>
        </is>
      </c>
      <c r="U32" t="n">
        <v>2</v>
      </c>
      <c r="V32" t="b">
        <v>1</v>
      </c>
      <c r="W32" t="inlineStr">
        <is>
          <t>Cash flows!B8:B9</t>
        </is>
      </c>
      <c r="X32">
        <f>-'Balance sheet'!R[-1]C[0]</f>
        <v/>
      </c>
    </row>
    <row r="33">
      <c r="A33" t="inlineStr">
        <is>
          <t>Cash flows</t>
        </is>
      </c>
      <c r="B33" t="inlineStr">
        <is>
          <t>C8</t>
        </is>
      </c>
      <c r="C33" t="n">
        <v>8</v>
      </c>
      <c r="D33" t="n">
        <v>3</v>
      </c>
      <c r="E33" t="inlineStr">
        <is>
          <t>Calculation</t>
        </is>
      </c>
      <c r="F33" t="inlineStr">
        <is>
          <t>'=-('Balance sheet'!C7-'Balance sheet'!B7)</t>
        </is>
      </c>
      <c r="G33" t="n">
        <v>-15</v>
      </c>
      <c r="H33" t="inlineStr"/>
      <c r="I33" t="inlineStr">
        <is>
          <t>_(* #,##0_);_(* \(#,##0\);_(* \-??_);_(@_)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inlineStr">
        <is>
          <t>G000046</t>
        </is>
      </c>
      <c r="T33" t="inlineStr">
        <is>
          <t>Horizontal</t>
        </is>
      </c>
      <c r="U33" t="n">
        <v>3</v>
      </c>
      <c r="V33" t="b">
        <v>1</v>
      </c>
      <c r="W33" t="inlineStr">
        <is>
          <t>Cash flows!C8:E8</t>
        </is>
      </c>
      <c r="X33">
        <f>-('Balance sheet'!R[-1]C[0]-'Balance sheet'!R[-1]C[-1])</f>
        <v/>
      </c>
    </row>
    <row r="34">
      <c r="A34" t="inlineStr">
        <is>
          <t>Cash flows</t>
        </is>
      </c>
      <c r="B34" t="inlineStr">
        <is>
          <t>D8</t>
        </is>
      </c>
      <c r="C34" t="n">
        <v>8</v>
      </c>
      <c r="D34" t="n">
        <v>4</v>
      </c>
      <c r="E34" t="inlineStr">
        <is>
          <t>Calculation</t>
        </is>
      </c>
      <c r="F34" t="inlineStr">
        <is>
          <t>'=-('Balance sheet'!D7-'Balance sheet'!C7)</t>
        </is>
      </c>
      <c r="G34" t="n">
        <v>-10</v>
      </c>
      <c r="H34" t="inlineStr"/>
      <c r="I34" t="inlineStr">
        <is>
          <t>_(* #,##0_);_(* \(#,##0\);_(* \-??_);_(@_)</t>
        </is>
      </c>
      <c r="J34" t="b">
        <v>1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inlineStr">
        <is>
          <t>G000046</t>
        </is>
      </c>
      <c r="T34" t="inlineStr">
        <is>
          <t>Horizontal</t>
        </is>
      </c>
      <c r="U34" t="n">
        <v>3</v>
      </c>
      <c r="V34" t="b">
        <v>1</v>
      </c>
      <c r="W34" t="inlineStr">
        <is>
          <t>Cash flows!C8:E8</t>
        </is>
      </c>
      <c r="X34">
        <f>-('Balance sheet'!R[-1]C[0]-'Balance sheet'!R[-1]C[-1])</f>
        <v/>
      </c>
    </row>
    <row r="35">
      <c r="A35" t="inlineStr">
        <is>
          <t>Cash flows</t>
        </is>
      </c>
      <c r="B35" t="inlineStr">
        <is>
          <t>E8</t>
        </is>
      </c>
      <c r="C35" t="n">
        <v>8</v>
      </c>
      <c r="D35" t="n">
        <v>5</v>
      </c>
      <c r="E35" t="inlineStr">
        <is>
          <t>Calculation</t>
        </is>
      </c>
      <c r="F35" t="inlineStr">
        <is>
          <t>'=-('Balance sheet'!E7-'Balance sheet'!D7)</t>
        </is>
      </c>
      <c r="G35" t="n">
        <v>-7.5</v>
      </c>
      <c r="H35" t="inlineStr"/>
      <c r="I35" t="inlineStr">
        <is>
          <t>_(* #,##0_);_(* \(#,##0\);_(* \-??_);_(@_)</t>
        </is>
      </c>
      <c r="J35" t="b">
        <v>1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inlineStr">
        <is>
          <t>G000046</t>
        </is>
      </c>
      <c r="T35" t="inlineStr">
        <is>
          <t>Horizontal</t>
        </is>
      </c>
      <c r="U35" t="n">
        <v>3</v>
      </c>
      <c r="V35" t="b">
        <v>1</v>
      </c>
      <c r="W35" t="inlineStr">
        <is>
          <t>Cash flows!C8:E8</t>
        </is>
      </c>
      <c r="X35">
        <f>-('Balance sheet'!R[-1]C[0]-'Balance sheet'!R[-1]C[-1])</f>
        <v/>
      </c>
    </row>
    <row r="36">
      <c r="A36" t="inlineStr">
        <is>
          <t>Cash flows</t>
        </is>
      </c>
      <c r="B36" t="inlineStr">
        <is>
          <t>F8</t>
        </is>
      </c>
      <c r="C36" t="n">
        <v>8</v>
      </c>
      <c r="D36" t="n">
        <v>6</v>
      </c>
      <c r="E36" t="inlineStr">
        <is>
          <t>Input</t>
        </is>
      </c>
      <c r="F36" t="n">
        <v/>
      </c>
      <c r="H36" t="inlineStr"/>
      <c r="I36" t="inlineStr">
        <is>
          <t>_(* #,##0_);_(* \(#,##0\);_(* \-??_);_(@_)</t>
        </is>
      </c>
      <c r="J36" t="b">
        <v>1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Cash flows</t>
        </is>
      </c>
      <c r="B37" t="inlineStr">
        <is>
          <t>G8</t>
        </is>
      </c>
      <c r="C37" t="n">
        <v>8</v>
      </c>
      <c r="D37" t="n">
        <v>7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Cash flows</t>
        </is>
      </c>
      <c r="B38" t="inlineStr">
        <is>
          <t>H8</t>
        </is>
      </c>
      <c r="C38" t="n">
        <v>8</v>
      </c>
      <c r="D38" t="n">
        <v>8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Cash flows</t>
        </is>
      </c>
      <c r="B39" t="inlineStr">
        <is>
          <t>I8</t>
        </is>
      </c>
      <c r="C39" t="n">
        <v>8</v>
      </c>
      <c r="D39" t="n">
        <v>9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Cash flows</t>
        </is>
      </c>
      <c r="B40" t="inlineStr">
        <is>
          <t>A9</t>
        </is>
      </c>
      <c r="C40" t="n">
        <v>9</v>
      </c>
      <c r="D40" t="n">
        <v>1</v>
      </c>
      <c r="E40" t="inlineStr">
        <is>
          <t>Input</t>
        </is>
      </c>
      <c r="F40" t="n">
        <v/>
      </c>
      <c r="G40" t="inlineStr">
        <is>
          <t>Less increase in accounts receivable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Cash flows</t>
        </is>
      </c>
      <c r="B41" t="inlineStr">
        <is>
          <t>B9</t>
        </is>
      </c>
      <c r="C41" t="n">
        <v>9</v>
      </c>
      <c r="D41" t="n">
        <v>2</v>
      </c>
      <c r="E41" t="inlineStr">
        <is>
          <t>Calculation</t>
        </is>
      </c>
      <c r="F41" t="inlineStr">
        <is>
          <t>'=-'Balance sheet'!B8</t>
        </is>
      </c>
      <c r="G41" t="n">
        <v>0</v>
      </c>
      <c r="H41" t="inlineStr"/>
      <c r="I41" t="inlineStr">
        <is>
          <t>_(* #,##0_);_(* \(#,##0\);_(* \-??_);_(@_)</t>
        </is>
      </c>
      <c r="J41" t="b">
        <v>1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inlineStr">
        <is>
          <t>G000045</t>
        </is>
      </c>
      <c r="T41" t="inlineStr">
        <is>
          <t>Vertical</t>
        </is>
      </c>
      <c r="U41" t="n">
        <v>2</v>
      </c>
      <c r="V41" t="b">
        <v>1</v>
      </c>
      <c r="W41" t="inlineStr">
        <is>
          <t>Cash flows!B8:B9</t>
        </is>
      </c>
      <c r="X41">
        <f>-'Balance sheet'!R[-1]C[0]</f>
        <v/>
      </c>
    </row>
    <row r="42">
      <c r="A42" t="inlineStr">
        <is>
          <t>Cash flows</t>
        </is>
      </c>
      <c r="B42" t="inlineStr">
        <is>
          <t>C9</t>
        </is>
      </c>
      <c r="C42" t="n">
        <v>9</v>
      </c>
      <c r="D42" t="n">
        <v>3</v>
      </c>
      <c r="E42" t="inlineStr">
        <is>
          <t>Calculation</t>
        </is>
      </c>
      <c r="F42" t="inlineStr">
        <is>
          <t>'=-('Balance sheet'!C8-'Balance sheet'!B8)</t>
        </is>
      </c>
      <c r="G42" t="n">
        <v>-60</v>
      </c>
      <c r="H42" t="inlineStr"/>
      <c r="I42" t="inlineStr">
        <is>
          <t>_(* #,##0_);_(* \(#,##0\);_(* \-??_);_(@_)</t>
        </is>
      </c>
      <c r="J42" t="b">
        <v>1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S42" t="inlineStr">
        <is>
          <t>G000047</t>
        </is>
      </c>
      <c r="T42" t="inlineStr">
        <is>
          <t>Horizontal</t>
        </is>
      </c>
      <c r="U42" t="n">
        <v>3</v>
      </c>
      <c r="V42" t="b">
        <v>1</v>
      </c>
      <c r="W42" t="inlineStr">
        <is>
          <t>Cash flows!C9:E9</t>
        </is>
      </c>
      <c r="X42">
        <f>-('Balance sheet'!R[-1]C[0]-'Balance sheet'!R[-1]C[-1])</f>
        <v/>
      </c>
    </row>
    <row r="43">
      <c r="A43" t="inlineStr">
        <is>
          <t>Cash flows</t>
        </is>
      </c>
      <c r="B43" t="inlineStr">
        <is>
          <t>D9</t>
        </is>
      </c>
      <c r="C43" t="n">
        <v>9</v>
      </c>
      <c r="D43" t="n">
        <v>4</v>
      </c>
      <c r="E43" t="inlineStr">
        <is>
          <t>Calculation</t>
        </is>
      </c>
      <c r="F43" t="inlineStr">
        <is>
          <t>'=-('Balance sheet'!D8-'Balance sheet'!C8)</t>
        </is>
      </c>
      <c r="G43" t="n">
        <v>-24</v>
      </c>
      <c r="H43" t="inlineStr"/>
      <c r="I43" t="inlineStr">
        <is>
          <t>_(* #,##0_);_(* \(#,##0\);_(* \-??_);_(@_)</t>
        </is>
      </c>
      <c r="J43" t="b">
        <v>1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1</v>
      </c>
      <c r="S43" t="inlineStr">
        <is>
          <t>G000047</t>
        </is>
      </c>
      <c r="T43" t="inlineStr">
        <is>
          <t>Horizontal</t>
        </is>
      </c>
      <c r="U43" t="n">
        <v>3</v>
      </c>
      <c r="V43" t="b">
        <v>1</v>
      </c>
      <c r="W43" t="inlineStr">
        <is>
          <t>Cash flows!C9:E9</t>
        </is>
      </c>
      <c r="X43">
        <f>-('Balance sheet'!R[-1]C[0]-'Balance sheet'!R[-1]C[-1])</f>
        <v/>
      </c>
    </row>
    <row r="44">
      <c r="A44" t="inlineStr">
        <is>
          <t>Cash flows</t>
        </is>
      </c>
      <c r="B44" t="inlineStr">
        <is>
          <t>E9</t>
        </is>
      </c>
      <c r="C44" t="n">
        <v>9</v>
      </c>
      <c r="D44" t="n">
        <v>5</v>
      </c>
      <c r="E44" t="inlineStr">
        <is>
          <t>Calculation</t>
        </is>
      </c>
      <c r="F44" t="inlineStr">
        <is>
          <t>'=-('Balance sheet'!E8-'Balance sheet'!D8)</t>
        </is>
      </c>
      <c r="G44" t="n">
        <v>-18</v>
      </c>
      <c r="H44" t="inlineStr"/>
      <c r="I44" t="inlineStr">
        <is>
          <t>_(* #,##0_);_(* \(#,##0\);_(* \-??_);_(@_)</t>
        </is>
      </c>
      <c r="J44" t="b">
        <v>1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1</v>
      </c>
      <c r="S44" t="inlineStr">
        <is>
          <t>G000047</t>
        </is>
      </c>
      <c r="T44" t="inlineStr">
        <is>
          <t>Horizontal</t>
        </is>
      </c>
      <c r="U44" t="n">
        <v>3</v>
      </c>
      <c r="V44" t="b">
        <v>1</v>
      </c>
      <c r="W44" t="inlineStr">
        <is>
          <t>Cash flows!C9:E9</t>
        </is>
      </c>
      <c r="X44">
        <f>-('Balance sheet'!R[-1]C[0]-'Balance sheet'!R[-1]C[-1])</f>
        <v/>
      </c>
    </row>
    <row r="45">
      <c r="A45" t="inlineStr">
        <is>
          <t>Cash flows</t>
        </is>
      </c>
      <c r="B45" t="inlineStr">
        <is>
          <t>F9</t>
        </is>
      </c>
      <c r="C45" t="n">
        <v>9</v>
      </c>
      <c r="D45" t="n">
        <v>6</v>
      </c>
      <c r="E45" t="inlineStr">
        <is>
          <t>Input</t>
        </is>
      </c>
      <c r="F45" t="n">
        <v/>
      </c>
      <c r="H45" t="inlineStr"/>
      <c r="I45" t="inlineStr">
        <is>
          <t>_(* #,##0_);_(* \(#,##0\);_(* \-??_);_(@_)</t>
        </is>
      </c>
      <c r="J45" t="b">
        <v>1</v>
      </c>
      <c r="K45" t="b">
        <v>0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Cash flows</t>
        </is>
      </c>
      <c r="B46" t="inlineStr">
        <is>
          <t>G9</t>
        </is>
      </c>
      <c r="C46" t="n">
        <v>9</v>
      </c>
      <c r="D46" t="n">
        <v>7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Cash flows</t>
        </is>
      </c>
      <c r="B47" t="inlineStr">
        <is>
          <t>H9</t>
        </is>
      </c>
      <c r="C47" t="n">
        <v>9</v>
      </c>
      <c r="D47" t="n">
        <v>8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M47" t="n">
        <v/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Cash flows</t>
        </is>
      </c>
      <c r="B48" t="inlineStr">
        <is>
          <t>I9</t>
        </is>
      </c>
      <c r="C48" t="n">
        <v>9</v>
      </c>
      <c r="D48" t="n">
        <v>9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n">
        <v/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Cash flows</t>
        </is>
      </c>
      <c r="B49" t="inlineStr">
        <is>
          <t>A10</t>
        </is>
      </c>
      <c r="C49" t="n">
        <v>10</v>
      </c>
      <c r="D49" t="n">
        <v>1</v>
      </c>
      <c r="E49" t="inlineStr">
        <is>
          <t>Input</t>
        </is>
      </c>
      <c r="F49" t="n">
        <v/>
      </c>
      <c r="G49" t="inlineStr">
        <is>
          <t>Plus increase in accounts payable</t>
        </is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Cash flows</t>
        </is>
      </c>
      <c r="B50" t="inlineStr">
        <is>
          <t>B10</t>
        </is>
      </c>
      <c r="C50" t="n">
        <v>10</v>
      </c>
      <c r="D50" t="n">
        <v>2</v>
      </c>
      <c r="E50" t="inlineStr">
        <is>
          <t>Calculation</t>
        </is>
      </c>
      <c r="F50" t="inlineStr">
        <is>
          <t>'='Balance sheet'!B17</t>
        </is>
      </c>
      <c r="G50" t="n">
        <v>8</v>
      </c>
      <c r="H50" t="inlineStr"/>
      <c r="I50" t="inlineStr">
        <is>
          <t>_(* #,##0_);_(* \(#,##0\);_(* \-??_);_(@_)</t>
        </is>
      </c>
      <c r="J50" t="b">
        <v>1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>
        <f>'Balance sheet'!R[7]C[0]</f>
        <v/>
      </c>
    </row>
    <row r="51">
      <c r="A51" t="inlineStr">
        <is>
          <t>Cash flows</t>
        </is>
      </c>
      <c r="B51" t="inlineStr">
        <is>
          <t>C10</t>
        </is>
      </c>
      <c r="C51" t="n">
        <v>10</v>
      </c>
      <c r="D51" t="n">
        <v>3</v>
      </c>
      <c r="E51" t="inlineStr">
        <is>
          <t>Calculation</t>
        </is>
      </c>
      <c r="F51" t="inlineStr">
        <is>
          <t>'='Balance sheet'!C17-'Balance sheet'!B17</t>
        </is>
      </c>
      <c r="G51" t="n">
        <v>12</v>
      </c>
      <c r="H51" t="inlineStr"/>
      <c r="I51" t="inlineStr">
        <is>
          <t>_(* #,##0_);_(* \(#,##0\);_(* \-??_);_(@_)</t>
        </is>
      </c>
      <c r="J51" t="b">
        <v>1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1</v>
      </c>
      <c r="S51" t="inlineStr">
        <is>
          <t>G000048</t>
        </is>
      </c>
      <c r="T51" t="inlineStr">
        <is>
          <t>Horizontal</t>
        </is>
      </c>
      <c r="U51" t="n">
        <v>3</v>
      </c>
      <c r="V51" t="b">
        <v>1</v>
      </c>
      <c r="W51" t="inlineStr">
        <is>
          <t>Cash flows!C10:E10</t>
        </is>
      </c>
      <c r="X51">
        <f>'Balance sheet'!R[7]C[0]-'Balance sheet'!R[7]C[-1]</f>
        <v/>
      </c>
    </row>
    <row r="52">
      <c r="A52" t="inlineStr">
        <is>
          <t>Cash flows</t>
        </is>
      </c>
      <c r="B52" t="inlineStr">
        <is>
          <t>D10</t>
        </is>
      </c>
      <c r="C52" t="n">
        <v>10</v>
      </c>
      <c r="D52" t="n">
        <v>4</v>
      </c>
      <c r="E52" t="inlineStr">
        <is>
          <t>Calculation</t>
        </is>
      </c>
      <c r="F52" t="inlineStr">
        <is>
          <t>'='Balance sheet'!D17-'Balance sheet'!C17</t>
        </is>
      </c>
      <c r="G52" t="n">
        <v>8</v>
      </c>
      <c r="H52" t="inlineStr"/>
      <c r="I52" t="inlineStr">
        <is>
          <t>_(* #,##0_);_(* \(#,##0\);_(* \-??_);_(@_)</t>
        </is>
      </c>
      <c r="J52" t="b">
        <v>1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inlineStr">
        <is>
          <t>G000048</t>
        </is>
      </c>
      <c r="T52" t="inlineStr">
        <is>
          <t>Horizontal</t>
        </is>
      </c>
      <c r="U52" t="n">
        <v>3</v>
      </c>
      <c r="V52" t="b">
        <v>1</v>
      </c>
      <c r="W52" t="inlineStr">
        <is>
          <t>Cash flows!C10:E10</t>
        </is>
      </c>
      <c r="X52">
        <f>'Balance sheet'!R[7]C[0]-'Balance sheet'!R[7]C[-1]</f>
        <v/>
      </c>
    </row>
    <row r="53">
      <c r="A53" t="inlineStr">
        <is>
          <t>Cash flows</t>
        </is>
      </c>
      <c r="B53" t="inlineStr">
        <is>
          <t>E10</t>
        </is>
      </c>
      <c r="C53" t="n">
        <v>10</v>
      </c>
      <c r="D53" t="n">
        <v>5</v>
      </c>
      <c r="E53" t="inlineStr">
        <is>
          <t>Calculation</t>
        </is>
      </c>
      <c r="F53" t="inlineStr">
        <is>
          <t>'='Balance sheet'!E17-'Balance sheet'!D17</t>
        </is>
      </c>
      <c r="G53" t="n">
        <v>6</v>
      </c>
      <c r="H53" t="inlineStr"/>
      <c r="I53" t="inlineStr">
        <is>
          <t>_(* #,##0_);_(* \(#,##0\);_(* \-??_);_(@_)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inlineStr">
        <is>
          <t>G000048</t>
        </is>
      </c>
      <c r="T53" t="inlineStr">
        <is>
          <t>Horizontal</t>
        </is>
      </c>
      <c r="U53" t="n">
        <v>3</v>
      </c>
      <c r="V53" t="b">
        <v>1</v>
      </c>
      <c r="W53" t="inlineStr">
        <is>
          <t>Cash flows!C10:E10</t>
        </is>
      </c>
      <c r="X53">
        <f>'Balance sheet'!R[7]C[0]-'Balance sheet'!R[7]C[-1]</f>
        <v/>
      </c>
    </row>
    <row r="54">
      <c r="A54" t="inlineStr">
        <is>
          <t>Cash flows</t>
        </is>
      </c>
      <c r="B54" t="inlineStr">
        <is>
          <t>F10</t>
        </is>
      </c>
      <c r="C54" t="n">
        <v>10</v>
      </c>
      <c r="D54" t="n">
        <v>6</v>
      </c>
      <c r="E54" t="inlineStr">
        <is>
          <t>Input</t>
        </is>
      </c>
      <c r="F54" t="n">
        <v/>
      </c>
      <c r="H54" t="inlineStr"/>
      <c r="I54" t="inlineStr">
        <is>
          <t>_(* #,##0_);_(* \(#,##0\);_(* \-??_);_(@_)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Cash flows</t>
        </is>
      </c>
      <c r="B55" t="inlineStr">
        <is>
          <t>G10</t>
        </is>
      </c>
      <c r="C55" t="n">
        <v>10</v>
      </c>
      <c r="D55" t="n">
        <v>7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Cash flows</t>
        </is>
      </c>
      <c r="B56" t="inlineStr">
        <is>
          <t>H10</t>
        </is>
      </c>
      <c r="C56" t="n">
        <v>10</v>
      </c>
      <c r="D56" t="n">
        <v>8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Cash flows</t>
        </is>
      </c>
      <c r="B57" t="inlineStr">
        <is>
          <t>I10</t>
        </is>
      </c>
      <c r="C57" t="n">
        <v>10</v>
      </c>
      <c r="D57" t="n">
        <v>9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Cash flows</t>
        </is>
      </c>
      <c r="B58" t="inlineStr">
        <is>
          <t>A11</t>
        </is>
      </c>
      <c r="C58" t="n">
        <v>11</v>
      </c>
      <c r="D58" t="n">
        <v>1</v>
      </c>
      <c r="E58" t="inlineStr">
        <is>
          <t>Input</t>
        </is>
      </c>
      <c r="F58" t="n">
        <v/>
      </c>
      <c r="G58" t="inlineStr">
        <is>
          <t>Cash flow from operations</t>
        </is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10</v>
      </c>
      <c r="M58" t="inlineStr">
        <is>
          <t>FF008000</t>
        </is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Cash flows</t>
        </is>
      </c>
      <c r="B59" t="inlineStr">
        <is>
          <t>B11</t>
        </is>
      </c>
      <c r="C59" t="n">
        <v>11</v>
      </c>
      <c r="D59" t="n">
        <v>2</v>
      </c>
      <c r="E59" t="inlineStr">
        <is>
          <t>Calculation</t>
        </is>
      </c>
      <c r="F59" t="inlineStr">
        <is>
          <t>'=SUM(B6:B10)</t>
        </is>
      </c>
      <c r="G59" t="n">
        <v>-2</v>
      </c>
      <c r="H59" t="inlineStr"/>
      <c r="I59" t="inlineStr">
        <is>
          <t>_(* #,##0_);_(* \(#,##0\);_(* \-??_);_(@_)</t>
        </is>
      </c>
      <c r="J59" t="b">
        <v>1</v>
      </c>
      <c r="K59" t="b">
        <v>0</v>
      </c>
      <c r="L59" t="n">
        <v>10</v>
      </c>
      <c r="M59" t="inlineStr">
        <is>
          <t>FF008000</t>
        </is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1</v>
      </c>
      <c r="S59" t="inlineStr">
        <is>
          <t>G000049</t>
        </is>
      </c>
      <c r="T59" t="inlineStr">
        <is>
          <t>Horizontal</t>
        </is>
      </c>
      <c r="U59" t="n">
        <v>4</v>
      </c>
      <c r="V59" t="b">
        <v>1</v>
      </c>
      <c r="W59" t="inlineStr">
        <is>
          <t>Cash flows!B11:E11</t>
        </is>
      </c>
      <c r="X59">
        <f>SUM(R[-5]C[0]:R[-1]C[0])</f>
        <v/>
      </c>
    </row>
    <row r="60">
      <c r="A60" t="inlineStr">
        <is>
          <t>Cash flows</t>
        </is>
      </c>
      <c r="B60" t="inlineStr">
        <is>
          <t>C11</t>
        </is>
      </c>
      <c r="C60" t="n">
        <v>11</v>
      </c>
      <c r="D60" t="n">
        <v>3</v>
      </c>
      <c r="E60" t="inlineStr">
        <is>
          <t>Calculation</t>
        </is>
      </c>
      <c r="F60" t="inlineStr">
        <is>
          <t>'=SUM(C6:C10)</t>
        </is>
      </c>
      <c r="G60" t="n">
        <v>-6.27225130890052</v>
      </c>
      <c r="H60" t="inlineStr"/>
      <c r="I60" t="inlineStr">
        <is>
          <t>_(* #,##0_);_(* \(#,##0\);_(* \-??_);_(@_)</t>
        </is>
      </c>
      <c r="J60" t="b">
        <v>1</v>
      </c>
      <c r="K60" t="b">
        <v>0</v>
      </c>
      <c r="L60" t="n">
        <v>10</v>
      </c>
      <c r="M60" t="inlineStr">
        <is>
          <t>FF008000</t>
        </is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1</v>
      </c>
      <c r="S60" t="inlineStr">
        <is>
          <t>G000049</t>
        </is>
      </c>
      <c r="T60" t="inlineStr">
        <is>
          <t>Horizontal</t>
        </is>
      </c>
      <c r="U60" t="n">
        <v>4</v>
      </c>
      <c r="V60" t="b">
        <v>1</v>
      </c>
      <c r="W60" t="inlineStr">
        <is>
          <t>Cash flows!B11:E11</t>
        </is>
      </c>
      <c r="X60">
        <f>SUM(R[-5]C[0]:R[-1]C[0])</f>
        <v/>
      </c>
    </row>
    <row r="61">
      <c r="A61" t="inlineStr">
        <is>
          <t>Cash flows</t>
        </is>
      </c>
      <c r="B61" t="inlineStr">
        <is>
          <t>D11</t>
        </is>
      </c>
      <c r="C61" t="n">
        <v>11</v>
      </c>
      <c r="D61" t="n">
        <v>4</v>
      </c>
      <c r="E61" t="inlineStr">
        <is>
          <t>Calculation</t>
        </is>
      </c>
      <c r="F61" t="inlineStr">
        <is>
          <t>'=SUM(D6:D10)</t>
        </is>
      </c>
      <c r="G61" t="n">
        <v>67.6392642745539</v>
      </c>
      <c r="H61" t="inlineStr"/>
      <c r="I61" t="inlineStr">
        <is>
          <t>_(* #,##0_);_(* \(#,##0\);_(* \-??_);_(@_)</t>
        </is>
      </c>
      <c r="J61" t="b">
        <v>1</v>
      </c>
      <c r="K61" t="b">
        <v>0</v>
      </c>
      <c r="L61" t="n">
        <v>10</v>
      </c>
      <c r="M61" t="inlineStr">
        <is>
          <t>FF008000</t>
        </is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S61" t="inlineStr">
        <is>
          <t>G000049</t>
        </is>
      </c>
      <c r="T61" t="inlineStr">
        <is>
          <t>Horizontal</t>
        </is>
      </c>
      <c r="U61" t="n">
        <v>4</v>
      </c>
      <c r="V61" t="b">
        <v>1</v>
      </c>
      <c r="W61" t="inlineStr">
        <is>
          <t>Cash flows!B11:E11</t>
        </is>
      </c>
      <c r="X61">
        <f>SUM(R[-5]C[0]:R[-1]C[0])</f>
        <v/>
      </c>
    </row>
    <row r="62">
      <c r="A62" t="inlineStr">
        <is>
          <t>Cash flows</t>
        </is>
      </c>
      <c r="B62" t="inlineStr">
        <is>
          <t>E11</t>
        </is>
      </c>
      <c r="C62" t="n">
        <v>11</v>
      </c>
      <c r="D62" t="n">
        <v>5</v>
      </c>
      <c r="E62" t="inlineStr">
        <is>
          <t>Calculation</t>
        </is>
      </c>
      <c r="F62" t="inlineStr">
        <is>
          <t>'=SUM(E6:E10)</t>
        </is>
      </c>
      <c r="G62" t="n">
        <v>112.620975043884</v>
      </c>
      <c r="H62" t="inlineStr"/>
      <c r="I62" t="inlineStr">
        <is>
          <t>_(* #,##0_);_(* \(#,##0\);_(* \-??_);_(@_)</t>
        </is>
      </c>
      <c r="J62" t="b">
        <v>1</v>
      </c>
      <c r="K62" t="b">
        <v>0</v>
      </c>
      <c r="L62" t="n">
        <v>10</v>
      </c>
      <c r="M62" t="inlineStr">
        <is>
          <t>FF008000</t>
        </is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1</v>
      </c>
      <c r="S62" t="inlineStr">
        <is>
          <t>G000049</t>
        </is>
      </c>
      <c r="T62" t="inlineStr">
        <is>
          <t>Horizontal</t>
        </is>
      </c>
      <c r="U62" t="n">
        <v>4</v>
      </c>
      <c r="V62" t="b">
        <v>1</v>
      </c>
      <c r="W62" t="inlineStr">
        <is>
          <t>Cash flows!B11:E11</t>
        </is>
      </c>
      <c r="X62">
        <f>SUM(R[-5]C[0]:R[-1]C[0])</f>
        <v/>
      </c>
    </row>
    <row r="63">
      <c r="A63" t="inlineStr">
        <is>
          <t>Cash flows</t>
        </is>
      </c>
      <c r="B63" t="inlineStr">
        <is>
          <t>F11</t>
        </is>
      </c>
      <c r="C63" t="n">
        <v>11</v>
      </c>
      <c r="D63" t="n">
        <v>6</v>
      </c>
      <c r="E63" t="inlineStr">
        <is>
          <t>Input</t>
        </is>
      </c>
      <c r="F63" t="n">
        <v/>
      </c>
      <c r="H63" t="inlineStr"/>
      <c r="I63" t="inlineStr">
        <is>
          <t>_(* #,##0_);_(* \(#,##0\);_(* \-??_);_(@_)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Cash flows</t>
        </is>
      </c>
      <c r="B64" t="inlineStr">
        <is>
          <t>G11</t>
        </is>
      </c>
      <c r="C64" t="n">
        <v>11</v>
      </c>
      <c r="D64" t="n">
        <v>7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Cash flows</t>
        </is>
      </c>
      <c r="B65" t="inlineStr">
        <is>
          <t>H11</t>
        </is>
      </c>
      <c r="C65" t="n">
        <v>11</v>
      </c>
      <c r="D65" t="n">
        <v>8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Cash flows</t>
        </is>
      </c>
      <c r="B66" t="inlineStr">
        <is>
          <t>I11</t>
        </is>
      </c>
      <c r="C66" t="n">
        <v>11</v>
      </c>
      <c r="D66" t="n">
        <v>9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Cash flows</t>
        </is>
      </c>
      <c r="B67" t="inlineStr">
        <is>
          <t>A12</t>
        </is>
      </c>
      <c r="C67" t="n">
        <v>12</v>
      </c>
      <c r="D67" t="n">
        <v>1</v>
      </c>
      <c r="E67" t="inlineStr">
        <is>
          <t>Input</t>
        </is>
      </c>
      <c r="F67" t="n">
        <v/>
      </c>
      <c r="G67" t="inlineStr">
        <is>
          <t>Less investment</t>
        </is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Cash flows</t>
        </is>
      </c>
      <c r="B68" t="inlineStr">
        <is>
          <t>B12</t>
        </is>
      </c>
      <c r="C68" t="n">
        <v>12</v>
      </c>
      <c r="D68" t="n">
        <v>2</v>
      </c>
      <c r="E68" t="inlineStr">
        <is>
          <t>Calculation</t>
        </is>
      </c>
      <c r="F68" t="inlineStr">
        <is>
          <t>'=-Operations!B16</t>
        </is>
      </c>
      <c r="G68" t="n">
        <v>-400</v>
      </c>
      <c r="H68" t="inlineStr"/>
      <c r="I68" t="inlineStr">
        <is>
          <t>_(* #,##0_);_(* \(#,##0\);_(* \-??_);_(@_)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inlineStr">
        <is>
          <t>G000051</t>
        </is>
      </c>
      <c r="T68" t="inlineStr">
        <is>
          <t>Horizontal</t>
        </is>
      </c>
      <c r="U68" t="n">
        <v>4</v>
      </c>
      <c r="V68" t="b">
        <v>1</v>
      </c>
      <c r="W68" t="inlineStr">
        <is>
          <t>Cash flows!B12:E12</t>
        </is>
      </c>
      <c r="X68">
        <f>-'Operations'!R[4]C[0]</f>
        <v/>
      </c>
    </row>
    <row r="69">
      <c r="A69" t="inlineStr">
        <is>
          <t>Cash flows</t>
        </is>
      </c>
      <c r="B69" t="inlineStr">
        <is>
          <t>C12</t>
        </is>
      </c>
      <c r="C69" t="n">
        <v>12</v>
      </c>
      <c r="D69" t="n">
        <v>3</v>
      </c>
      <c r="E69" t="inlineStr">
        <is>
          <t>Calculation</t>
        </is>
      </c>
      <c r="F69" t="inlineStr">
        <is>
          <t>'=-Operations!C16</t>
        </is>
      </c>
      <c r="G69" t="n">
        <v>-100</v>
      </c>
      <c r="H69" t="inlineStr"/>
      <c r="I69" t="inlineStr">
        <is>
          <t>_(* #,##0_);_(* \(#,##0\);_(* \-??_);_(@_)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S69" t="inlineStr">
        <is>
          <t>G000051</t>
        </is>
      </c>
      <c r="T69" t="inlineStr">
        <is>
          <t>Horizontal</t>
        </is>
      </c>
      <c r="U69" t="n">
        <v>4</v>
      </c>
      <c r="V69" t="b">
        <v>1</v>
      </c>
      <c r="W69" t="inlineStr">
        <is>
          <t>Cash flows!B12:E12</t>
        </is>
      </c>
      <c r="X69">
        <f>-'Operations'!R[4]C[0]</f>
        <v/>
      </c>
    </row>
    <row r="70">
      <c r="A70" t="inlineStr">
        <is>
          <t>Cash flows</t>
        </is>
      </c>
      <c r="B70" t="inlineStr">
        <is>
          <t>D12</t>
        </is>
      </c>
      <c r="C70" t="n">
        <v>12</v>
      </c>
      <c r="D70" t="n">
        <v>4</v>
      </c>
      <c r="E70" t="inlineStr">
        <is>
          <t>Calculation</t>
        </is>
      </c>
      <c r="F70" t="inlineStr">
        <is>
          <t>'=-Operations!D16</t>
        </is>
      </c>
      <c r="G70" t="n">
        <v>-100</v>
      </c>
      <c r="H70" t="inlineStr"/>
      <c r="I70" t="inlineStr">
        <is>
          <t>_(* #,##0_);_(* \(#,##0\);_(* \-??_);_(@_)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1</v>
      </c>
      <c r="S70" t="inlineStr">
        <is>
          <t>G000051</t>
        </is>
      </c>
      <c r="T70" t="inlineStr">
        <is>
          <t>Horizontal</t>
        </is>
      </c>
      <c r="U70" t="n">
        <v>4</v>
      </c>
      <c r="V70" t="b">
        <v>1</v>
      </c>
      <c r="W70" t="inlineStr">
        <is>
          <t>Cash flows!B12:E12</t>
        </is>
      </c>
      <c r="X70">
        <f>-'Operations'!R[4]C[0]</f>
        <v/>
      </c>
    </row>
    <row r="71">
      <c r="A71" t="inlineStr">
        <is>
          <t>Cash flows</t>
        </is>
      </c>
      <c r="B71" t="inlineStr">
        <is>
          <t>E12</t>
        </is>
      </c>
      <c r="C71" t="n">
        <v>12</v>
      </c>
      <c r="D71" t="n">
        <v>5</v>
      </c>
      <c r="E71" t="inlineStr">
        <is>
          <t>Calculation</t>
        </is>
      </c>
      <c r="F71" t="inlineStr">
        <is>
          <t>'=-Operations!E16</t>
        </is>
      </c>
      <c r="G71" t="n">
        <v>-100</v>
      </c>
      <c r="H71" t="inlineStr"/>
      <c r="I71" t="inlineStr">
        <is>
          <t>_(* #,##0_);_(* \(#,##0\);_(* \-??_);_(@_)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1</v>
      </c>
      <c r="S71" t="inlineStr">
        <is>
          <t>G000051</t>
        </is>
      </c>
      <c r="T71" t="inlineStr">
        <is>
          <t>Horizontal</t>
        </is>
      </c>
      <c r="U71" t="n">
        <v>4</v>
      </c>
      <c r="V71" t="b">
        <v>1</v>
      </c>
      <c r="W71" t="inlineStr">
        <is>
          <t>Cash flows!B12:E12</t>
        </is>
      </c>
      <c r="X71">
        <f>-'Operations'!R[4]C[0]</f>
        <v/>
      </c>
    </row>
    <row r="72">
      <c r="A72" t="inlineStr">
        <is>
          <t>Cash flows</t>
        </is>
      </c>
      <c r="B72" t="inlineStr">
        <is>
          <t>F12</t>
        </is>
      </c>
      <c r="C72" t="n">
        <v>12</v>
      </c>
      <c r="D72" t="n">
        <v>6</v>
      </c>
      <c r="E72" t="inlineStr">
        <is>
          <t>Input</t>
        </is>
      </c>
      <c r="F72" t="n">
        <v/>
      </c>
      <c r="H72" t="inlineStr"/>
      <c r="I72" t="inlineStr">
        <is>
          <t>_(* #,##0_);_(* \(#,##0\);_(* \-??_);_(@_)</t>
        </is>
      </c>
      <c r="J72" t="b">
        <v>1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Cash flows</t>
        </is>
      </c>
      <c r="B73" t="inlineStr">
        <is>
          <t>G12</t>
        </is>
      </c>
      <c r="C73" t="n">
        <v>12</v>
      </c>
      <c r="D73" t="n">
        <v>7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Cash flows</t>
        </is>
      </c>
      <c r="B74" t="inlineStr">
        <is>
          <t>H12</t>
        </is>
      </c>
      <c r="C74" t="n">
        <v>12</v>
      </c>
      <c r="D74" t="n">
        <v>8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Cash flows</t>
        </is>
      </c>
      <c r="B75" t="inlineStr">
        <is>
          <t>I12</t>
        </is>
      </c>
      <c r="C75" t="n">
        <v>12</v>
      </c>
      <c r="D75" t="n">
        <v>9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Cash flows</t>
        </is>
      </c>
      <c r="B76" t="inlineStr">
        <is>
          <t>A13</t>
        </is>
      </c>
      <c r="C76" t="n">
        <v>13</v>
      </c>
      <c r="D76" t="n">
        <v>1</v>
      </c>
      <c r="E76" t="inlineStr">
        <is>
          <t>Input</t>
        </is>
      </c>
      <c r="F76" t="n">
        <v/>
      </c>
      <c r="G76" t="inlineStr">
        <is>
          <t>Cash flow from operations and invests</t>
        </is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10</v>
      </c>
      <c r="M76" t="inlineStr">
        <is>
          <t>FF008000</t>
        </is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Cash flows</t>
        </is>
      </c>
      <c r="B77" t="inlineStr">
        <is>
          <t>B13</t>
        </is>
      </c>
      <c r="C77" t="n">
        <v>13</v>
      </c>
      <c r="D77" t="n">
        <v>2</v>
      </c>
      <c r="E77" t="inlineStr">
        <is>
          <t>Calculation</t>
        </is>
      </c>
      <c r="F77" t="inlineStr">
        <is>
          <t>'=B11+B12</t>
        </is>
      </c>
      <c r="G77" t="n">
        <v>-402</v>
      </c>
      <c r="H77" t="inlineStr"/>
      <c r="I77" t="inlineStr">
        <is>
          <t>_(* #,##0_);_(* \(#,##0\);_(* \-??_);_(@_)</t>
        </is>
      </c>
      <c r="J77" t="b">
        <v>1</v>
      </c>
      <c r="K77" t="b">
        <v>0</v>
      </c>
      <c r="L77" t="n">
        <v>10</v>
      </c>
      <c r="M77" t="inlineStr">
        <is>
          <t>FF008000</t>
        </is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1</v>
      </c>
      <c r="S77" t="inlineStr">
        <is>
          <t>G000052</t>
        </is>
      </c>
      <c r="T77" t="inlineStr">
        <is>
          <t>Horizontal</t>
        </is>
      </c>
      <c r="U77" t="n">
        <v>4</v>
      </c>
      <c r="V77" t="b">
        <v>1</v>
      </c>
      <c r="W77" t="inlineStr">
        <is>
          <t>Cash flows!B13:E13</t>
        </is>
      </c>
      <c r="X77">
        <f>R[-2]C[0]+R[-1]C[0]</f>
        <v/>
      </c>
    </row>
    <row r="78">
      <c r="A78" t="inlineStr">
        <is>
          <t>Cash flows</t>
        </is>
      </c>
      <c r="B78" t="inlineStr">
        <is>
          <t>C13</t>
        </is>
      </c>
      <c r="C78" t="n">
        <v>13</v>
      </c>
      <c r="D78" t="n">
        <v>3</v>
      </c>
      <c r="E78" t="inlineStr">
        <is>
          <t>Calculation</t>
        </is>
      </c>
      <c r="F78" t="inlineStr">
        <is>
          <t>'=C11+C12</t>
        </is>
      </c>
      <c r="G78" t="n">
        <v>-106.272251308901</v>
      </c>
      <c r="H78" t="inlineStr"/>
      <c r="I78" t="inlineStr">
        <is>
          <t>_(* #,##0_);_(* \(#,##0\);_(* \-??_);_(@_)</t>
        </is>
      </c>
      <c r="J78" t="b">
        <v>1</v>
      </c>
      <c r="K78" t="b">
        <v>0</v>
      </c>
      <c r="L78" t="n">
        <v>10</v>
      </c>
      <c r="M78" t="inlineStr">
        <is>
          <t>FF008000</t>
        </is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inlineStr">
        <is>
          <t>G000052</t>
        </is>
      </c>
      <c r="T78" t="inlineStr">
        <is>
          <t>Horizontal</t>
        </is>
      </c>
      <c r="U78" t="n">
        <v>4</v>
      </c>
      <c r="V78" t="b">
        <v>1</v>
      </c>
      <c r="W78" t="inlineStr">
        <is>
          <t>Cash flows!B13:E13</t>
        </is>
      </c>
      <c r="X78">
        <f>R[-2]C[0]+R[-1]C[0]</f>
        <v/>
      </c>
    </row>
    <row r="79">
      <c r="A79" t="inlineStr">
        <is>
          <t>Cash flows</t>
        </is>
      </c>
      <c r="B79" t="inlineStr">
        <is>
          <t>D13</t>
        </is>
      </c>
      <c r="C79" t="n">
        <v>13</v>
      </c>
      <c r="D79" t="n">
        <v>4</v>
      </c>
      <c r="E79" t="inlineStr">
        <is>
          <t>Calculation</t>
        </is>
      </c>
      <c r="F79" t="inlineStr">
        <is>
          <t>'=D11+D12</t>
        </is>
      </c>
      <c r="G79" t="n">
        <v>-32.3607357254461</v>
      </c>
      <c r="H79" t="inlineStr"/>
      <c r="I79" t="inlineStr">
        <is>
          <t>_(* #,##0_);_(* \(#,##0\);_(* \-??_);_(@_)</t>
        </is>
      </c>
      <c r="J79" t="b">
        <v>1</v>
      </c>
      <c r="K79" t="b">
        <v>0</v>
      </c>
      <c r="L79" t="n">
        <v>10</v>
      </c>
      <c r="M79" t="inlineStr">
        <is>
          <t>FF008000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inlineStr">
        <is>
          <t>G000052</t>
        </is>
      </c>
      <c r="T79" t="inlineStr">
        <is>
          <t>Horizontal</t>
        </is>
      </c>
      <c r="U79" t="n">
        <v>4</v>
      </c>
      <c r="V79" t="b">
        <v>1</v>
      </c>
      <c r="W79" t="inlineStr">
        <is>
          <t>Cash flows!B13:E13</t>
        </is>
      </c>
      <c r="X79">
        <f>R[-2]C[0]+R[-1]C[0]</f>
        <v/>
      </c>
    </row>
    <row r="80">
      <c r="A80" t="inlineStr">
        <is>
          <t>Cash flows</t>
        </is>
      </c>
      <c r="B80" t="inlineStr">
        <is>
          <t>E13</t>
        </is>
      </c>
      <c r="C80" t="n">
        <v>13</v>
      </c>
      <c r="D80" t="n">
        <v>5</v>
      </c>
      <c r="E80" t="inlineStr">
        <is>
          <t>Calculation</t>
        </is>
      </c>
      <c r="F80" t="inlineStr">
        <is>
          <t>'=E11+E12</t>
        </is>
      </c>
      <c r="G80" t="n">
        <v>12.6209750438836</v>
      </c>
      <c r="H80" t="inlineStr"/>
      <c r="I80" t="inlineStr">
        <is>
          <t>_(* #,##0_);_(* \(#,##0\);_(* \-??_);_(@_)</t>
        </is>
      </c>
      <c r="J80" t="b">
        <v>1</v>
      </c>
      <c r="K80" t="b">
        <v>0</v>
      </c>
      <c r="L80" t="n">
        <v>10</v>
      </c>
      <c r="M80" t="inlineStr">
        <is>
          <t>FF008000</t>
        </is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inlineStr">
        <is>
          <t>G000052</t>
        </is>
      </c>
      <c r="T80" t="inlineStr">
        <is>
          <t>Horizontal</t>
        </is>
      </c>
      <c r="U80" t="n">
        <v>4</v>
      </c>
      <c r="V80" t="b">
        <v>1</v>
      </c>
      <c r="W80" t="inlineStr">
        <is>
          <t>Cash flows!B13:E13</t>
        </is>
      </c>
      <c r="X80">
        <f>R[-2]C[0]+R[-1]C[0]</f>
        <v/>
      </c>
    </row>
    <row r="81">
      <c r="A81" t="inlineStr">
        <is>
          <t>Cash flows</t>
        </is>
      </c>
      <c r="B81" t="inlineStr">
        <is>
          <t>F13</t>
        </is>
      </c>
      <c r="C81" t="n">
        <v>13</v>
      </c>
      <c r="D81" t="n">
        <v>6</v>
      </c>
      <c r="E81" t="inlineStr">
        <is>
          <t>Input</t>
        </is>
      </c>
      <c r="F81" t="n">
        <v/>
      </c>
      <c r="H81" t="inlineStr"/>
      <c r="I81" t="inlineStr">
        <is>
          <t>_(* #,##0_);_(* \(#,##0\);_(* \-??_);_(@_)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Cash flows</t>
        </is>
      </c>
      <c r="B82" t="inlineStr">
        <is>
          <t>G13</t>
        </is>
      </c>
      <c r="C82" t="n">
        <v>13</v>
      </c>
      <c r="D82" t="n">
        <v>7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Cash flows</t>
        </is>
      </c>
      <c r="B83" t="inlineStr">
        <is>
          <t>H13</t>
        </is>
      </c>
      <c r="C83" t="n">
        <v>13</v>
      </c>
      <c r="D83" t="n">
        <v>8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M83" t="n">
        <v/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Cash flows</t>
        </is>
      </c>
      <c r="B84" t="inlineStr">
        <is>
          <t>I13</t>
        </is>
      </c>
      <c r="C84" t="n">
        <v>13</v>
      </c>
      <c r="D84" t="n">
        <v>9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Cash flows</t>
        </is>
      </c>
      <c r="B85" t="inlineStr">
        <is>
          <t>A14</t>
        </is>
      </c>
      <c r="C85" t="n">
        <v>14</v>
      </c>
      <c r="D85" t="n">
        <v>1</v>
      </c>
      <c r="E85" t="inlineStr">
        <is>
          <t>Input</t>
        </is>
      </c>
      <c r="F85" t="n">
        <v/>
      </c>
      <c r="G85" t="inlineStr">
        <is>
          <t>Plus net new equity capital raised</t>
        </is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Cash flows</t>
        </is>
      </c>
      <c r="B86" t="inlineStr">
        <is>
          <t>B14</t>
        </is>
      </c>
      <c r="C86" t="n">
        <v>14</v>
      </c>
      <c r="D86" t="n">
        <v>2</v>
      </c>
      <c r="E86" t="inlineStr">
        <is>
          <t>Calculation</t>
        </is>
      </c>
      <c r="F86" t="inlineStr">
        <is>
          <t>'=Financing!B12</t>
        </is>
      </c>
      <c r="G86" t="n">
        <v>300</v>
      </c>
      <c r="H86" t="inlineStr"/>
      <c r="I86" t="inlineStr">
        <is>
          <t>_(* #,##0_);_(* \(#,##0\);_(* \-??_);_(@_)</t>
        </is>
      </c>
      <c r="J86" t="b">
        <v>1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1</v>
      </c>
      <c r="S86" t="inlineStr">
        <is>
          <t>G000054</t>
        </is>
      </c>
      <c r="T86" t="inlineStr">
        <is>
          <t>Horizontal</t>
        </is>
      </c>
      <c r="U86" t="n">
        <v>4</v>
      </c>
      <c r="V86" t="b">
        <v>1</v>
      </c>
      <c r="W86" t="inlineStr">
        <is>
          <t>Cash flows!B14:E14</t>
        </is>
      </c>
      <c r="X86">
        <f>'Financing'!R[-2]C[0]</f>
        <v/>
      </c>
    </row>
    <row r="87">
      <c r="A87" t="inlineStr">
        <is>
          <t>Cash flows</t>
        </is>
      </c>
      <c r="B87" t="inlineStr">
        <is>
          <t>C14</t>
        </is>
      </c>
      <c r="C87" t="n">
        <v>14</v>
      </c>
      <c r="D87" t="n">
        <v>3</v>
      </c>
      <c r="E87" t="inlineStr">
        <is>
          <t>Calculation</t>
        </is>
      </c>
      <c r="F87" t="inlineStr">
        <is>
          <t>'=Financing!C12</t>
        </is>
      </c>
      <c r="G87" t="n">
        <v>0</v>
      </c>
      <c r="H87" t="inlineStr"/>
      <c r="I87" t="inlineStr">
        <is>
          <t>_(* #,##0_);_(* \(#,##0\);_(* \-??_);_(@_)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1</v>
      </c>
      <c r="S87" t="inlineStr">
        <is>
          <t>G000054</t>
        </is>
      </c>
      <c r="T87" t="inlineStr">
        <is>
          <t>Horizontal</t>
        </is>
      </c>
      <c r="U87" t="n">
        <v>4</v>
      </c>
      <c r="V87" t="b">
        <v>1</v>
      </c>
      <c r="W87" t="inlineStr">
        <is>
          <t>Cash flows!B14:E14</t>
        </is>
      </c>
      <c r="X87">
        <f>'Financing'!R[-2]C[0]</f>
        <v/>
      </c>
    </row>
    <row r="88">
      <c r="A88" t="inlineStr">
        <is>
          <t>Cash flows</t>
        </is>
      </c>
      <c r="B88" t="inlineStr">
        <is>
          <t>D14</t>
        </is>
      </c>
      <c r="C88" t="n">
        <v>14</v>
      </c>
      <c r="D88" t="n">
        <v>4</v>
      </c>
      <c r="E88" t="inlineStr">
        <is>
          <t>Calculation</t>
        </is>
      </c>
      <c r="F88" t="inlineStr">
        <is>
          <t>'=Financing!D12</t>
        </is>
      </c>
      <c r="G88" t="n">
        <v>0</v>
      </c>
      <c r="H88" t="inlineStr"/>
      <c r="I88" t="inlineStr">
        <is>
          <t>_(* #,##0_);_(* \(#,##0\);_(* \-??_);_(@_)</t>
        </is>
      </c>
      <c r="J88" t="b">
        <v>1</v>
      </c>
      <c r="K88" t="b">
        <v>0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S88" t="inlineStr">
        <is>
          <t>G000054</t>
        </is>
      </c>
      <c r="T88" t="inlineStr">
        <is>
          <t>Horizontal</t>
        </is>
      </c>
      <c r="U88" t="n">
        <v>4</v>
      </c>
      <c r="V88" t="b">
        <v>1</v>
      </c>
      <c r="W88" t="inlineStr">
        <is>
          <t>Cash flows!B14:E14</t>
        </is>
      </c>
      <c r="X88">
        <f>'Financing'!R[-2]C[0]</f>
        <v/>
      </c>
    </row>
    <row r="89">
      <c r="A89" t="inlineStr">
        <is>
          <t>Cash flows</t>
        </is>
      </c>
      <c r="B89" t="inlineStr">
        <is>
          <t>E14</t>
        </is>
      </c>
      <c r="C89" t="n">
        <v>14</v>
      </c>
      <c r="D89" t="n">
        <v>5</v>
      </c>
      <c r="E89" t="inlineStr">
        <is>
          <t>Calculation</t>
        </is>
      </c>
      <c r="F89" t="inlineStr">
        <is>
          <t>'=Financing!E12</t>
        </is>
      </c>
      <c r="G89" t="n">
        <v>0</v>
      </c>
      <c r="H89" t="inlineStr"/>
      <c r="I89" t="inlineStr">
        <is>
          <t>_(* #,##0_);_(* \(#,##0\);_(* \-??_);_(@_)</t>
        </is>
      </c>
      <c r="J89" t="b">
        <v>1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S89" t="inlineStr">
        <is>
          <t>G000054</t>
        </is>
      </c>
      <c r="T89" t="inlineStr">
        <is>
          <t>Horizontal</t>
        </is>
      </c>
      <c r="U89" t="n">
        <v>4</v>
      </c>
      <c r="V89" t="b">
        <v>1</v>
      </c>
      <c r="W89" t="inlineStr">
        <is>
          <t>Cash flows!B14:E14</t>
        </is>
      </c>
      <c r="X89">
        <f>'Financing'!R[-2]C[0]</f>
        <v/>
      </c>
    </row>
    <row r="90">
      <c r="A90" t="inlineStr">
        <is>
          <t>Cash flows</t>
        </is>
      </c>
      <c r="B90" t="inlineStr">
        <is>
          <t>F14</t>
        </is>
      </c>
      <c r="C90" t="n">
        <v>14</v>
      </c>
      <c r="D90" t="n">
        <v>6</v>
      </c>
      <c r="E90" t="inlineStr">
        <is>
          <t>Input</t>
        </is>
      </c>
      <c r="F90" t="n">
        <v/>
      </c>
      <c r="H90" t="inlineStr"/>
      <c r="I90" t="inlineStr">
        <is>
          <t>_(* #,##0_);_(* \(#,##0\);_(* \-??_);_(@_)</t>
        </is>
      </c>
      <c r="J90" t="b">
        <v>1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Cash flows</t>
        </is>
      </c>
      <c r="B91" t="inlineStr">
        <is>
          <t>G14</t>
        </is>
      </c>
      <c r="C91" t="n">
        <v>14</v>
      </c>
      <c r="D91" t="n">
        <v>7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Cash flows</t>
        </is>
      </c>
      <c r="B92" t="inlineStr">
        <is>
          <t>H14</t>
        </is>
      </c>
      <c r="C92" t="n">
        <v>14</v>
      </c>
      <c r="D92" t="n">
        <v>8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Cash flows</t>
        </is>
      </c>
      <c r="B93" t="inlineStr">
        <is>
          <t>I14</t>
        </is>
      </c>
      <c r="C93" t="n">
        <v>14</v>
      </c>
      <c r="D93" t="n">
        <v>9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Cash flows</t>
        </is>
      </c>
      <c r="B94" t="inlineStr">
        <is>
          <t>A15</t>
        </is>
      </c>
      <c r="C94" t="n">
        <v>15</v>
      </c>
      <c r="D94" t="n">
        <v>1</v>
      </c>
      <c r="E94" t="inlineStr">
        <is>
          <t>Input</t>
        </is>
      </c>
      <c r="F94" t="n">
        <v/>
      </c>
      <c r="G94" t="inlineStr">
        <is>
          <t>Less dividends paid</t>
        </is>
      </c>
      <c r="H94" t="inlineStr"/>
      <c r="I94" t="inlineStr">
        <is>
          <t>General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Cash flows</t>
        </is>
      </c>
      <c r="B95" t="inlineStr">
        <is>
          <t>B15</t>
        </is>
      </c>
      <c r="C95" t="n">
        <v>15</v>
      </c>
      <c r="D95" t="n">
        <v>2</v>
      </c>
      <c r="E95" t="inlineStr">
        <is>
          <t>Input</t>
        </is>
      </c>
      <c r="F95" t="n">
        <v/>
      </c>
      <c r="G95" t="n">
        <v>0</v>
      </c>
      <c r="H95" t="inlineStr"/>
      <c r="I95" t="inlineStr">
        <is>
          <t>_(* #,##0_);_(* \(#,##0\);_(* \-??_);_(@_)</t>
        </is>
      </c>
      <c r="J95" t="b">
        <v>1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Cash flows</t>
        </is>
      </c>
      <c r="B96" t="inlineStr">
        <is>
          <t>C15</t>
        </is>
      </c>
      <c r="C96" t="n">
        <v>15</v>
      </c>
      <c r="D96" t="n">
        <v>3</v>
      </c>
      <c r="E96" t="inlineStr">
        <is>
          <t>Calculation</t>
        </is>
      </c>
      <c r="F96" t="inlineStr">
        <is>
          <t>'=-Financing!C13</t>
        </is>
      </c>
      <c r="G96" t="n">
        <v>0</v>
      </c>
      <c r="H96" t="inlineStr"/>
      <c r="I96" t="inlineStr">
        <is>
          <t>_(* #,##0_);_(* \(#,##0\);_(* \-??_);_(@_)</t>
        </is>
      </c>
      <c r="J96" t="b">
        <v>1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inlineStr">
        <is>
          <t>G000055</t>
        </is>
      </c>
      <c r="T96" t="inlineStr">
        <is>
          <t>Horizontal</t>
        </is>
      </c>
      <c r="U96" t="n">
        <v>3</v>
      </c>
      <c r="V96" t="b">
        <v>1</v>
      </c>
      <c r="W96" t="inlineStr">
        <is>
          <t>Cash flows!C15:E15</t>
        </is>
      </c>
      <c r="X96">
        <f>-'Financing'!R[-2]C[0]</f>
        <v/>
      </c>
    </row>
    <row r="97">
      <c r="A97" t="inlineStr">
        <is>
          <t>Cash flows</t>
        </is>
      </c>
      <c r="B97" t="inlineStr">
        <is>
          <t>D15</t>
        </is>
      </c>
      <c r="C97" t="n">
        <v>15</v>
      </c>
      <c r="D97" t="n">
        <v>4</v>
      </c>
      <c r="E97" t="inlineStr">
        <is>
          <t>Calculation</t>
        </is>
      </c>
      <c r="F97" t="inlineStr">
        <is>
          <t>'=-Financing!D13</t>
        </is>
      </c>
      <c r="G97" t="n">
        <v>0</v>
      </c>
      <c r="H97" t="inlineStr"/>
      <c r="I97" t="inlineStr">
        <is>
          <t>_(* #,##0_);_(* \(#,##0\);_(* \-??_);_(@_)</t>
        </is>
      </c>
      <c r="J97" t="b">
        <v>1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inlineStr">
        <is>
          <t>G000055</t>
        </is>
      </c>
      <c r="T97" t="inlineStr">
        <is>
          <t>Horizontal</t>
        </is>
      </c>
      <c r="U97" t="n">
        <v>3</v>
      </c>
      <c r="V97" t="b">
        <v>1</v>
      </c>
      <c r="W97" t="inlineStr">
        <is>
          <t>Cash flows!C15:E15</t>
        </is>
      </c>
      <c r="X97">
        <f>-'Financing'!R[-2]C[0]</f>
        <v/>
      </c>
    </row>
    <row r="98">
      <c r="A98" t="inlineStr">
        <is>
          <t>Cash flows</t>
        </is>
      </c>
      <c r="B98" t="inlineStr">
        <is>
          <t>E15</t>
        </is>
      </c>
      <c r="C98" t="n">
        <v>15</v>
      </c>
      <c r="D98" t="n">
        <v>5</v>
      </c>
      <c r="E98" t="inlineStr">
        <is>
          <t>Calculation</t>
        </is>
      </c>
      <c r="F98" t="inlineStr">
        <is>
          <t>'=-Financing!E13</t>
        </is>
      </c>
      <c r="G98" t="n">
        <v>0</v>
      </c>
      <c r="H98" t="inlineStr"/>
      <c r="I98" t="inlineStr">
        <is>
          <t>_(* #,##0_);_(* \(#,##0\);_(* \-??_);_(@_)</t>
        </is>
      </c>
      <c r="J98" t="b">
        <v>1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G000055</t>
        </is>
      </c>
      <c r="T98" t="inlineStr">
        <is>
          <t>Horizontal</t>
        </is>
      </c>
      <c r="U98" t="n">
        <v>3</v>
      </c>
      <c r="V98" t="b">
        <v>1</v>
      </c>
      <c r="W98" t="inlineStr">
        <is>
          <t>Cash flows!C15:E15</t>
        </is>
      </c>
      <c r="X98">
        <f>-'Financing'!R[-2]C[0]</f>
        <v/>
      </c>
    </row>
    <row r="99">
      <c r="A99" t="inlineStr">
        <is>
          <t>Cash flows</t>
        </is>
      </c>
      <c r="B99" t="inlineStr">
        <is>
          <t>F15</t>
        </is>
      </c>
      <c r="C99" t="n">
        <v>15</v>
      </c>
      <c r="D99" t="n">
        <v>6</v>
      </c>
      <c r="E99" t="inlineStr">
        <is>
          <t>Input</t>
        </is>
      </c>
      <c r="F99" t="n">
        <v/>
      </c>
      <c r="H99" t="inlineStr"/>
      <c r="I99" t="inlineStr">
        <is>
          <t>_(* #,##0_);_(* \(#,##0\);_(* \-??_);_(@_)</t>
        </is>
      </c>
      <c r="J99" t="b">
        <v>1</v>
      </c>
      <c r="K99" t="b">
        <v>0</v>
      </c>
      <c r="L99" t="n">
        <v>10</v>
      </c>
      <c r="M99" t="n">
        <v/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Cash flows</t>
        </is>
      </c>
      <c r="B100" t="inlineStr">
        <is>
          <t>G15</t>
        </is>
      </c>
      <c r="C100" t="n">
        <v>15</v>
      </c>
      <c r="D100" t="n">
        <v>7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Cash flows</t>
        </is>
      </c>
      <c r="B101" t="inlineStr">
        <is>
          <t>H15</t>
        </is>
      </c>
      <c r="C101" t="n">
        <v>15</v>
      </c>
      <c r="D101" t="n">
        <v>8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Cash flows</t>
        </is>
      </c>
      <c r="B102" t="inlineStr">
        <is>
          <t>I15</t>
        </is>
      </c>
      <c r="C102" t="n">
        <v>15</v>
      </c>
      <c r="D102" t="n">
        <v>9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Cash flows</t>
        </is>
      </c>
      <c r="B103" t="inlineStr">
        <is>
          <t>A16</t>
        </is>
      </c>
      <c r="C103" t="n">
        <v>16</v>
      </c>
      <c r="D103" t="n">
        <v>1</v>
      </c>
      <c r="E103" t="inlineStr">
        <is>
          <t>Input</t>
        </is>
      </c>
      <c r="F103" t="n">
        <v/>
      </c>
      <c r="G103" t="inlineStr">
        <is>
          <t>Plus net new long-term debt</t>
        </is>
      </c>
      <c r="H103" t="inlineStr"/>
      <c r="I103" t="inlineStr">
        <is>
          <t>General</t>
        </is>
      </c>
      <c r="J103" t="b">
        <v>1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Cash flows</t>
        </is>
      </c>
      <c r="B104" t="inlineStr">
        <is>
          <t>B16</t>
        </is>
      </c>
      <c r="C104" t="n">
        <v>16</v>
      </c>
      <c r="D104" t="n">
        <v>2</v>
      </c>
      <c r="E104" t="inlineStr">
        <is>
          <t>Calculation</t>
        </is>
      </c>
      <c r="F104" t="inlineStr">
        <is>
          <t>'=Financing!B9</t>
        </is>
      </c>
      <c r="G104" t="n">
        <v>200</v>
      </c>
      <c r="H104" t="inlineStr"/>
      <c r="I104" t="inlineStr">
        <is>
          <t>_(* #,##0_);_(* \(#,##0\);_(* \-??_);_(@_)</t>
        </is>
      </c>
      <c r="J104" t="b">
        <v>1</v>
      </c>
      <c r="K104" t="b">
        <v>0</v>
      </c>
      <c r="L104" t="n">
        <v>10</v>
      </c>
      <c r="M104" t="n">
        <v/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1</v>
      </c>
      <c r="S104" t="inlineStr">
        <is>
          <t>G000056</t>
        </is>
      </c>
      <c r="T104" t="inlineStr">
        <is>
          <t>Vertical</t>
        </is>
      </c>
      <c r="U104" t="n">
        <v>2</v>
      </c>
      <c r="V104" t="b">
        <v>1</v>
      </c>
      <c r="W104" t="inlineStr">
        <is>
          <t>Cash flows!B16:B17</t>
        </is>
      </c>
      <c r="X104">
        <f>'Financing'!R[-7]C[0]</f>
        <v/>
      </c>
    </row>
    <row r="105">
      <c r="A105" t="inlineStr">
        <is>
          <t>Cash flows</t>
        </is>
      </c>
      <c r="B105" t="inlineStr">
        <is>
          <t>C16</t>
        </is>
      </c>
      <c r="C105" t="n">
        <v>16</v>
      </c>
      <c r="D105" t="n">
        <v>3</v>
      </c>
      <c r="E105" t="inlineStr">
        <is>
          <t>Calculation</t>
        </is>
      </c>
      <c r="F105" t="inlineStr">
        <is>
          <t>'=Financing!C9-Financing!B9</t>
        </is>
      </c>
      <c r="G105" t="n">
        <v>0</v>
      </c>
      <c r="H105" t="inlineStr"/>
      <c r="I105" t="inlineStr">
        <is>
          <t>_(* #,##0_);_(* \(#,##0\);_(* \-??_);_(@_)</t>
        </is>
      </c>
      <c r="J105" t="b">
        <v>1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S105" t="inlineStr">
        <is>
          <t>G000057</t>
        </is>
      </c>
      <c r="T105" t="inlineStr">
        <is>
          <t>Horizontal</t>
        </is>
      </c>
      <c r="U105" t="n">
        <v>3</v>
      </c>
      <c r="V105" t="b">
        <v>1</v>
      </c>
      <c r="W105" t="inlineStr">
        <is>
          <t>Cash flows!C16:E16</t>
        </is>
      </c>
      <c r="X105">
        <f>'Financing'!R[-7]C[0]-'Financing'!R[-7]C[-1]</f>
        <v/>
      </c>
    </row>
    <row r="106">
      <c r="A106" t="inlineStr">
        <is>
          <t>Cash flows</t>
        </is>
      </c>
      <c r="B106" t="inlineStr">
        <is>
          <t>D16</t>
        </is>
      </c>
      <c r="C106" t="n">
        <v>16</v>
      </c>
      <c r="D106" t="n">
        <v>4</v>
      </c>
      <c r="E106" t="inlineStr">
        <is>
          <t>Calculation</t>
        </is>
      </c>
      <c r="F106" t="inlineStr">
        <is>
          <t>'=Financing!D9-Financing!C9</t>
        </is>
      </c>
      <c r="G106" t="n">
        <v>0</v>
      </c>
      <c r="H106" t="inlineStr"/>
      <c r="I106" t="inlineStr">
        <is>
          <t>_(* #,##0_);_(* \(#,##0\);_(* \-??_);_(@_)</t>
        </is>
      </c>
      <c r="J106" t="b">
        <v>1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1</v>
      </c>
      <c r="S106" t="inlineStr">
        <is>
          <t>G000057</t>
        </is>
      </c>
      <c r="T106" t="inlineStr">
        <is>
          <t>Horizontal</t>
        </is>
      </c>
      <c r="U106" t="n">
        <v>3</v>
      </c>
      <c r="V106" t="b">
        <v>1</v>
      </c>
      <c r="W106" t="inlineStr">
        <is>
          <t>Cash flows!C16:E16</t>
        </is>
      </c>
      <c r="X106">
        <f>'Financing'!R[-7]C[0]-'Financing'!R[-7]C[-1]</f>
        <v/>
      </c>
    </row>
    <row r="107">
      <c r="A107" t="inlineStr">
        <is>
          <t>Cash flows</t>
        </is>
      </c>
      <c r="B107" t="inlineStr">
        <is>
          <t>E16</t>
        </is>
      </c>
      <c r="C107" t="n">
        <v>16</v>
      </c>
      <c r="D107" t="n">
        <v>5</v>
      </c>
      <c r="E107" t="inlineStr">
        <is>
          <t>Calculation</t>
        </is>
      </c>
      <c r="F107" t="inlineStr">
        <is>
          <t>'=Financing!E9-Financing!D9</t>
        </is>
      </c>
      <c r="G107" t="n">
        <v>0</v>
      </c>
      <c r="H107" t="inlineStr"/>
      <c r="I107" t="inlineStr">
        <is>
          <t>_(* #,##0_);_(* \(#,##0\);_(* \-??_);_(@_)</t>
        </is>
      </c>
      <c r="J107" t="b">
        <v>1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inlineStr">
        <is>
          <t>G000057</t>
        </is>
      </c>
      <c r="T107" t="inlineStr">
        <is>
          <t>Horizontal</t>
        </is>
      </c>
      <c r="U107" t="n">
        <v>3</v>
      </c>
      <c r="V107" t="b">
        <v>1</v>
      </c>
      <c r="W107" t="inlineStr">
        <is>
          <t>Cash flows!C16:E16</t>
        </is>
      </c>
      <c r="X107">
        <f>'Financing'!R[-7]C[0]-'Financing'!R[-7]C[-1]</f>
        <v/>
      </c>
    </row>
    <row r="108">
      <c r="A108" t="inlineStr">
        <is>
          <t>Cash flows</t>
        </is>
      </c>
      <c r="B108" t="inlineStr">
        <is>
          <t>F16</t>
        </is>
      </c>
      <c r="C108" t="n">
        <v>16</v>
      </c>
      <c r="D108" t="n">
        <v>6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Cash flows</t>
        </is>
      </c>
      <c r="B109" t="inlineStr">
        <is>
          <t>G16</t>
        </is>
      </c>
      <c r="C109" t="n">
        <v>16</v>
      </c>
      <c r="D109" t="n">
        <v>7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n">
        <v/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Cash flows</t>
        </is>
      </c>
      <c r="B110" t="inlineStr">
        <is>
          <t>H16</t>
        </is>
      </c>
      <c r="C110" t="n">
        <v>16</v>
      </c>
      <c r="D110" t="n">
        <v>8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Cash flows</t>
        </is>
      </c>
      <c r="B111" t="inlineStr">
        <is>
          <t>I16</t>
        </is>
      </c>
      <c r="C111" t="n">
        <v>16</v>
      </c>
      <c r="D111" t="n">
        <v>9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Cash flows</t>
        </is>
      </c>
      <c r="B112" t="inlineStr">
        <is>
          <t>A17</t>
        </is>
      </c>
      <c r="C112" t="n">
        <v>17</v>
      </c>
      <c r="D112" t="n">
        <v>1</v>
      </c>
      <c r="E112" t="inlineStr">
        <is>
          <t>Input</t>
        </is>
      </c>
      <c r="F112" t="n">
        <v/>
      </c>
      <c r="G112" t="inlineStr">
        <is>
          <t>Plus net new bank borrowings</t>
        </is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10</v>
      </c>
      <c r="M112" t="n">
        <v/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Cash flows</t>
        </is>
      </c>
      <c r="B113" t="inlineStr">
        <is>
          <t>B17</t>
        </is>
      </c>
      <c r="C113" t="n">
        <v>17</v>
      </c>
      <c r="D113" t="n">
        <v>2</v>
      </c>
      <c r="E113" t="inlineStr">
        <is>
          <t>Calculation</t>
        </is>
      </c>
      <c r="F113" t="inlineStr">
        <is>
          <t>'=Financing!B10</t>
        </is>
      </c>
      <c r="G113" t="n">
        <v>0</v>
      </c>
      <c r="H113" t="inlineStr"/>
      <c r="I113" t="inlineStr">
        <is>
          <t>_(* #,##0_);_(* \(#,##0\);_(* \-??_);_(@_)</t>
        </is>
      </c>
      <c r="J113" t="b">
        <v>1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1</v>
      </c>
      <c r="S113" t="inlineStr">
        <is>
          <t>G000056</t>
        </is>
      </c>
      <c r="T113" t="inlineStr">
        <is>
          <t>Vertical</t>
        </is>
      </c>
      <c r="U113" t="n">
        <v>2</v>
      </c>
      <c r="V113" t="b">
        <v>1</v>
      </c>
      <c r="W113" t="inlineStr">
        <is>
          <t>Cash flows!B16:B17</t>
        </is>
      </c>
      <c r="X113">
        <f>'Financing'!R[-7]C[0]</f>
        <v/>
      </c>
    </row>
    <row r="114">
      <c r="A114" t="inlineStr">
        <is>
          <t>Cash flows</t>
        </is>
      </c>
      <c r="B114" t="inlineStr">
        <is>
          <t>C17</t>
        </is>
      </c>
      <c r="C114" t="n">
        <v>17</v>
      </c>
      <c r="D114" t="n">
        <v>3</v>
      </c>
      <c r="E114" t="inlineStr">
        <is>
          <t>Calculation</t>
        </is>
      </c>
      <c r="F114" t="inlineStr">
        <is>
          <t>'=Financing!C10-Financing!B10</t>
        </is>
      </c>
      <c r="G114" t="n">
        <v>28.2722513089005</v>
      </c>
      <c r="H114" t="inlineStr"/>
      <c r="I114" t="inlineStr">
        <is>
          <t>_(* #,##0_);_(* \(#,##0\);_(* \-??_);_(@_)</t>
        </is>
      </c>
      <c r="J114" t="b">
        <v>1</v>
      </c>
      <c r="K114" t="b">
        <v>0</v>
      </c>
      <c r="L114" t="n">
        <v>10</v>
      </c>
      <c r="M114" t="n">
        <v/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S114" t="inlineStr">
        <is>
          <t>G000058</t>
        </is>
      </c>
      <c r="T114" t="inlineStr">
        <is>
          <t>Horizontal</t>
        </is>
      </c>
      <c r="U114" t="n">
        <v>3</v>
      </c>
      <c r="V114" t="b">
        <v>1</v>
      </c>
      <c r="W114" t="inlineStr">
        <is>
          <t>Cash flows!C17:E17</t>
        </is>
      </c>
      <c r="X114">
        <f>'Financing'!R[-7]C[0]-'Financing'!R[-7]C[-1]</f>
        <v/>
      </c>
    </row>
    <row r="115">
      <c r="A115" t="inlineStr">
        <is>
          <t>Cash flows</t>
        </is>
      </c>
      <c r="B115" t="inlineStr">
        <is>
          <t>D17</t>
        </is>
      </c>
      <c r="C115" t="n">
        <v>17</v>
      </c>
      <c r="D115" t="n">
        <v>4</v>
      </c>
      <c r="E115" t="inlineStr">
        <is>
          <t>Calculation</t>
        </is>
      </c>
      <c r="F115" t="inlineStr">
        <is>
          <t>'=Financing!D10-Financing!C10</t>
        </is>
      </c>
      <c r="G115" t="n">
        <v>40.3607357254461</v>
      </c>
      <c r="H115" t="inlineStr"/>
      <c r="I115" t="inlineStr">
        <is>
          <t>_(* #,##0_);_(* \(#,##0\);_(* \-??_);_(@_)</t>
        </is>
      </c>
      <c r="J115" t="b">
        <v>1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S115" t="inlineStr">
        <is>
          <t>G000058</t>
        </is>
      </c>
      <c r="T115" t="inlineStr">
        <is>
          <t>Horizontal</t>
        </is>
      </c>
      <c r="U115" t="n">
        <v>3</v>
      </c>
      <c r="V115" t="b">
        <v>1</v>
      </c>
      <c r="W115" t="inlineStr">
        <is>
          <t>Cash flows!C17:E17</t>
        </is>
      </c>
      <c r="X115">
        <f>'Financing'!R[-7]C[0]-'Financing'!R[-7]C[-1]</f>
        <v/>
      </c>
    </row>
    <row r="116">
      <c r="A116" t="inlineStr">
        <is>
          <t>Cash flows</t>
        </is>
      </c>
      <c r="B116" t="inlineStr">
        <is>
          <t>E17</t>
        </is>
      </c>
      <c r="C116" t="n">
        <v>17</v>
      </c>
      <c r="D116" t="n">
        <v>5</v>
      </c>
      <c r="E116" t="inlineStr">
        <is>
          <t>Calculation</t>
        </is>
      </c>
      <c r="F116" t="inlineStr">
        <is>
          <t>'=Financing!E10-Financing!D10</t>
        </is>
      </c>
      <c r="G116" t="n">
        <v>-6.62097504388354</v>
      </c>
      <c r="H116" t="inlineStr"/>
      <c r="I116" t="inlineStr">
        <is>
          <t>_(* #,##0_);_(* \(#,##0\);_(* \-??_);_(@_)</t>
        </is>
      </c>
      <c r="J116" t="b">
        <v>1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1</v>
      </c>
      <c r="S116" t="inlineStr">
        <is>
          <t>G000058</t>
        </is>
      </c>
      <c r="T116" t="inlineStr">
        <is>
          <t>Horizontal</t>
        </is>
      </c>
      <c r="U116" t="n">
        <v>3</v>
      </c>
      <c r="V116" t="b">
        <v>1</v>
      </c>
      <c r="W116" t="inlineStr">
        <is>
          <t>Cash flows!C17:E17</t>
        </is>
      </c>
      <c r="X116">
        <f>'Financing'!R[-7]C[0]-'Financing'!R[-7]C[-1]</f>
        <v/>
      </c>
    </row>
    <row r="117">
      <c r="A117" t="inlineStr">
        <is>
          <t>Cash flows</t>
        </is>
      </c>
      <c r="B117" t="inlineStr">
        <is>
          <t>F17</t>
        </is>
      </c>
      <c r="C117" t="n">
        <v>17</v>
      </c>
      <c r="D117" t="n">
        <v>6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10</v>
      </c>
      <c r="M117" t="n">
        <v/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Cash flows</t>
        </is>
      </c>
      <c r="B118" t="inlineStr">
        <is>
          <t>G17</t>
        </is>
      </c>
      <c r="C118" t="n">
        <v>17</v>
      </c>
      <c r="D118" t="n">
        <v>7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M118" t="n">
        <v/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Cash flows</t>
        </is>
      </c>
      <c r="B119" t="inlineStr">
        <is>
          <t>H17</t>
        </is>
      </c>
      <c r="C119" t="n">
        <v>17</v>
      </c>
      <c r="D119" t="n">
        <v>8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M119" t="n">
        <v/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Cash flows</t>
        </is>
      </c>
      <c r="B120" t="inlineStr">
        <is>
          <t>I17</t>
        </is>
      </c>
      <c r="C120" t="n">
        <v>17</v>
      </c>
      <c r="D120" t="n">
        <v>9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M120" t="n">
        <v/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Cash flows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F121" t="n">
        <v/>
      </c>
      <c r="G121" t="inlineStr">
        <is>
          <t>Cash flow from ops, invests, and fin</t>
        </is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M121" t="inlineStr">
        <is>
          <t>FF008000</t>
        </is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Cash flows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Calculation</t>
        </is>
      </c>
      <c r="F122" t="inlineStr">
        <is>
          <t>'=SUM(B13:B17)</t>
        </is>
      </c>
      <c r="G122" t="n">
        <v>98</v>
      </c>
      <c r="H122" t="inlineStr"/>
      <c r="I122" t="inlineStr">
        <is>
          <t>_(* #,##0_);_(* \(#,##0\);_(* \-??_);_(@_)</t>
        </is>
      </c>
      <c r="J122" t="b">
        <v>1</v>
      </c>
      <c r="K122" t="b">
        <v>0</v>
      </c>
      <c r="L122" t="n">
        <v>10</v>
      </c>
      <c r="M122" t="inlineStr">
        <is>
          <t>FF008000</t>
        </is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inlineStr">
        <is>
          <t>G000050</t>
        </is>
      </c>
      <c r="T122" t="inlineStr">
        <is>
          <t>Horizontal</t>
        </is>
      </c>
      <c r="U122" t="n">
        <v>4</v>
      </c>
      <c r="V122" t="b">
        <v>1</v>
      </c>
      <c r="W122" t="inlineStr">
        <is>
          <t>Cash flows!B18:E18</t>
        </is>
      </c>
      <c r="X122">
        <f>SUM(R[-5]C[0]:R[-1]C[0])</f>
        <v/>
      </c>
    </row>
    <row r="123">
      <c r="A123" t="inlineStr">
        <is>
          <t>Cash flows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Calculation</t>
        </is>
      </c>
      <c r="F123" t="inlineStr">
        <is>
          <t>'=SUM(C13:C17)</t>
        </is>
      </c>
      <c r="G123" t="n">
        <v>-78</v>
      </c>
      <c r="H123" t="inlineStr"/>
      <c r="I123" t="inlineStr">
        <is>
          <t>_(* #,##0_);_(* \(#,##0\);_(* \-??_);_(@_)</t>
        </is>
      </c>
      <c r="J123" t="b">
        <v>1</v>
      </c>
      <c r="K123" t="b">
        <v>0</v>
      </c>
      <c r="L123" t="n">
        <v>10</v>
      </c>
      <c r="M123" t="inlineStr">
        <is>
          <t>FF008000</t>
        </is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inlineStr">
        <is>
          <t>G000050</t>
        </is>
      </c>
      <c r="T123" t="inlineStr">
        <is>
          <t>Horizontal</t>
        </is>
      </c>
      <c r="U123" t="n">
        <v>4</v>
      </c>
      <c r="V123" t="b">
        <v>1</v>
      </c>
      <c r="W123" t="inlineStr">
        <is>
          <t>Cash flows!B18:E18</t>
        </is>
      </c>
      <c r="X123">
        <f>SUM(R[-5]C[0]:R[-1]C[0])</f>
        <v/>
      </c>
    </row>
    <row r="124">
      <c r="A124" t="inlineStr">
        <is>
          <t>Cash flows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Calculation</t>
        </is>
      </c>
      <c r="F124" t="inlineStr">
        <is>
          <t>'=SUM(D13:D17)</t>
        </is>
      </c>
      <c r="G124" t="n">
        <v>8</v>
      </c>
      <c r="H124" t="inlineStr"/>
      <c r="I124" t="inlineStr">
        <is>
          <t>_(* #,##0_);_(* \(#,##0\);_(* \-??_);_(@_)</t>
        </is>
      </c>
      <c r="J124" t="b">
        <v>1</v>
      </c>
      <c r="K124" t="b">
        <v>0</v>
      </c>
      <c r="L124" t="n">
        <v>10</v>
      </c>
      <c r="M124" t="inlineStr">
        <is>
          <t>FF008000</t>
        </is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inlineStr">
        <is>
          <t>G000050</t>
        </is>
      </c>
      <c r="T124" t="inlineStr">
        <is>
          <t>Horizontal</t>
        </is>
      </c>
      <c r="U124" t="n">
        <v>4</v>
      </c>
      <c r="V124" t="b">
        <v>1</v>
      </c>
      <c r="W124" t="inlineStr">
        <is>
          <t>Cash flows!B18:E18</t>
        </is>
      </c>
      <c r="X124">
        <f>SUM(R[-5]C[0]:R[-1]C[0])</f>
        <v/>
      </c>
    </row>
    <row r="125">
      <c r="A125" t="inlineStr">
        <is>
          <t>Cash flows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Calculation</t>
        </is>
      </c>
      <c r="F125" t="inlineStr">
        <is>
          <t>'=SUM(E13:E17)</t>
        </is>
      </c>
      <c r="G125" t="n">
        <v>6.00000000000002</v>
      </c>
      <c r="H125" t="inlineStr"/>
      <c r="I125" t="inlineStr">
        <is>
          <t>_(* #,##0_);_(* \(#,##0\);_(* \-??_);_(@_)</t>
        </is>
      </c>
      <c r="J125" t="b">
        <v>1</v>
      </c>
      <c r="K125" t="b">
        <v>0</v>
      </c>
      <c r="L125" t="n">
        <v>10</v>
      </c>
      <c r="M125" t="inlineStr">
        <is>
          <t>FF008000</t>
        </is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1</v>
      </c>
      <c r="S125" t="inlineStr">
        <is>
          <t>G000050</t>
        </is>
      </c>
      <c r="T125" t="inlineStr">
        <is>
          <t>Horizontal</t>
        </is>
      </c>
      <c r="U125" t="n">
        <v>4</v>
      </c>
      <c r="V125" t="b">
        <v>1</v>
      </c>
      <c r="W125" t="inlineStr">
        <is>
          <t>Cash flows!B18:E18</t>
        </is>
      </c>
      <c r="X125">
        <f>SUM(R[-5]C[0]:R[-1]C[0])</f>
        <v/>
      </c>
    </row>
    <row r="126">
      <c r="A126" t="inlineStr">
        <is>
          <t>Cash flows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1</v>
      </c>
      <c r="K126" t="b">
        <v>0</v>
      </c>
      <c r="L126" t="n">
        <v>10</v>
      </c>
      <c r="M126" t="n">
        <v/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Cash flows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0</v>
      </c>
      <c r="L127" t="n">
        <v>10</v>
      </c>
      <c r="M127" t="n">
        <v/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Cash flows</t>
        </is>
      </c>
      <c r="B128" t="inlineStr">
        <is>
          <t>H18</t>
        </is>
      </c>
      <c r="C128" t="n">
        <v>18</v>
      </c>
      <c r="D128" t="n">
        <v>8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1</v>
      </c>
      <c r="K128" t="b">
        <v>0</v>
      </c>
      <c r="L128" t="n">
        <v>10</v>
      </c>
      <c r="M128" t="n">
        <v/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Cash flows</t>
        </is>
      </c>
      <c r="B129" t="inlineStr">
        <is>
          <t>I18</t>
        </is>
      </c>
      <c r="C129" t="n">
        <v>18</v>
      </c>
      <c r="D129" t="n">
        <v>9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Cash flows</t>
        </is>
      </c>
      <c r="B130" t="inlineStr">
        <is>
          <t>A19</t>
        </is>
      </c>
      <c r="C130" t="n">
        <v>19</v>
      </c>
      <c r="D130" t="n">
        <v>1</v>
      </c>
      <c r="E130" t="inlineStr">
        <is>
          <t>Input</t>
        </is>
      </c>
      <c r="F130" t="n">
        <v/>
      </c>
      <c r="G130" t="inlineStr">
        <is>
          <t>Beginning cash balance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M130" t="n">
        <v/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Cash flows</t>
        </is>
      </c>
      <c r="B131" t="inlineStr">
        <is>
          <t>B19</t>
        </is>
      </c>
      <c r="C131" t="n">
        <v>19</v>
      </c>
      <c r="D131" t="n">
        <v>2</v>
      </c>
      <c r="E131" t="inlineStr">
        <is>
          <t>Input</t>
        </is>
      </c>
      <c r="F131" t="n">
        <v/>
      </c>
      <c r="G131" t="n">
        <v>0</v>
      </c>
      <c r="H131" t="inlineStr"/>
      <c r="I131" t="inlineStr">
        <is>
          <t>_(* #,##0_);_(* \(#,##0\);_(* \-??_);_(@_)</t>
        </is>
      </c>
      <c r="J131" t="b">
        <v>1</v>
      </c>
      <c r="K131" t="b">
        <v>0</v>
      </c>
      <c r="L131" t="n">
        <v>10</v>
      </c>
      <c r="M131" t="n">
        <v/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Cash flows</t>
        </is>
      </c>
      <c r="B132" t="inlineStr">
        <is>
          <t>C19</t>
        </is>
      </c>
      <c r="C132" t="n">
        <v>19</v>
      </c>
      <c r="D132" t="n">
        <v>3</v>
      </c>
      <c r="E132" t="inlineStr">
        <is>
          <t>Calculation</t>
        </is>
      </c>
      <c r="F132" t="inlineStr">
        <is>
          <t>'=B20</t>
        </is>
      </c>
      <c r="G132" t="n">
        <v>98</v>
      </c>
      <c r="H132" t="inlineStr"/>
      <c r="I132" t="inlineStr">
        <is>
          <t>_(* #,##0_);_(* \(#,##0\);_(* \-??_);_(@_)</t>
        </is>
      </c>
      <c r="J132" t="b">
        <v>1</v>
      </c>
      <c r="K132" t="b">
        <v>0</v>
      </c>
      <c r="L132" t="n">
        <v>10</v>
      </c>
      <c r="M132" t="n">
        <v/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inlineStr">
        <is>
          <t>G000059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Cash flows!C19:E19</t>
        </is>
      </c>
      <c r="X132">
        <f>R[1]C[-1]</f>
        <v/>
      </c>
    </row>
    <row r="133">
      <c r="A133" t="inlineStr">
        <is>
          <t>Cash flows</t>
        </is>
      </c>
      <c r="B133" t="inlineStr">
        <is>
          <t>D19</t>
        </is>
      </c>
      <c r="C133" t="n">
        <v>19</v>
      </c>
      <c r="D133" t="n">
        <v>4</v>
      </c>
      <c r="E133" t="inlineStr">
        <is>
          <t>Calculation</t>
        </is>
      </c>
      <c r="F133" t="inlineStr">
        <is>
          <t>'=C20</t>
        </is>
      </c>
      <c r="G133" t="n">
        <v>20</v>
      </c>
      <c r="H133" t="inlineStr"/>
      <c r="I133" t="inlineStr">
        <is>
          <t>_(* #,##0_);_(* \(#,##0\);_(* \-??_);_(@_)</t>
        </is>
      </c>
      <c r="J133" t="b">
        <v>1</v>
      </c>
      <c r="K133" t="b">
        <v>0</v>
      </c>
      <c r="L133" t="n">
        <v>10</v>
      </c>
      <c r="M133" t="n">
        <v/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inlineStr">
        <is>
          <t>G000059</t>
        </is>
      </c>
      <c r="T133" t="inlineStr">
        <is>
          <t>Horizontal</t>
        </is>
      </c>
      <c r="U133" t="n">
        <v>3</v>
      </c>
      <c r="V133" t="b">
        <v>1</v>
      </c>
      <c r="W133" t="inlineStr">
        <is>
          <t>Cash flows!C19:E19</t>
        </is>
      </c>
      <c r="X133">
        <f>R[1]C[-1]</f>
        <v/>
      </c>
    </row>
    <row r="134">
      <c r="A134" t="inlineStr">
        <is>
          <t>Cash flows</t>
        </is>
      </c>
      <c r="B134" t="inlineStr">
        <is>
          <t>E19</t>
        </is>
      </c>
      <c r="C134" t="n">
        <v>19</v>
      </c>
      <c r="D134" t="n">
        <v>5</v>
      </c>
      <c r="E134" t="inlineStr">
        <is>
          <t>Calculation</t>
        </is>
      </c>
      <c r="F134" t="inlineStr">
        <is>
          <t>'=D20</t>
        </is>
      </c>
      <c r="G134" t="n">
        <v>28</v>
      </c>
      <c r="H134" t="inlineStr"/>
      <c r="I134" t="inlineStr">
        <is>
          <t>_(* #,##0_);_(* \(#,##0\);_(* \-??_);_(@_)</t>
        </is>
      </c>
      <c r="J134" t="b">
        <v>1</v>
      </c>
      <c r="K134" t="b">
        <v>0</v>
      </c>
      <c r="L134" t="n">
        <v>10</v>
      </c>
      <c r="M134" t="n">
        <v/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1</v>
      </c>
      <c r="S134" t="inlineStr">
        <is>
          <t>G000059</t>
        </is>
      </c>
      <c r="T134" t="inlineStr">
        <is>
          <t>Horizontal</t>
        </is>
      </c>
      <c r="U134" t="n">
        <v>3</v>
      </c>
      <c r="V134" t="b">
        <v>1</v>
      </c>
      <c r="W134" t="inlineStr">
        <is>
          <t>Cash flows!C19:E19</t>
        </is>
      </c>
      <c r="X134">
        <f>R[1]C[-1]</f>
        <v/>
      </c>
    </row>
    <row r="135">
      <c r="A135" t="inlineStr">
        <is>
          <t>Cash flows</t>
        </is>
      </c>
      <c r="B135" t="inlineStr">
        <is>
          <t>F19</t>
        </is>
      </c>
      <c r="C135" t="n">
        <v>19</v>
      </c>
      <c r="D135" t="n">
        <v>6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1</v>
      </c>
      <c r="K135" t="b">
        <v>0</v>
      </c>
      <c r="L135" t="n">
        <v>10</v>
      </c>
      <c r="M135" t="n">
        <v/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Cash flows</t>
        </is>
      </c>
      <c r="B136" t="inlineStr">
        <is>
          <t>G19</t>
        </is>
      </c>
      <c r="C136" t="n">
        <v>19</v>
      </c>
      <c r="D136" t="n">
        <v>7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0</v>
      </c>
      <c r="L136" t="n">
        <v>10</v>
      </c>
      <c r="M136" t="n">
        <v/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Cash flows</t>
        </is>
      </c>
      <c r="B137" t="inlineStr">
        <is>
          <t>H19</t>
        </is>
      </c>
      <c r="C137" t="n">
        <v>19</v>
      </c>
      <c r="D137" t="n">
        <v>8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Cash flows</t>
        </is>
      </c>
      <c r="B138" t="inlineStr">
        <is>
          <t>I19</t>
        </is>
      </c>
      <c r="C138" t="n">
        <v>19</v>
      </c>
      <c r="D138" t="n">
        <v>9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Cash flows</t>
        </is>
      </c>
      <c r="B139" t="inlineStr">
        <is>
          <t>A20</t>
        </is>
      </c>
      <c r="C139" t="n">
        <v>20</v>
      </c>
      <c r="D139" t="n">
        <v>1</v>
      </c>
      <c r="E139" t="inlineStr">
        <is>
          <t>Input</t>
        </is>
      </c>
      <c r="F139" t="n">
        <v/>
      </c>
      <c r="G139" t="inlineStr">
        <is>
          <t>Ending cash balance</t>
        </is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n">
        <v/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Cash flows</t>
        </is>
      </c>
      <c r="B140" t="inlineStr">
        <is>
          <t>B20</t>
        </is>
      </c>
      <c r="C140" t="n">
        <v>20</v>
      </c>
      <c r="D140" t="n">
        <v>2</v>
      </c>
      <c r="E140" t="inlineStr">
        <is>
          <t>Calculation</t>
        </is>
      </c>
      <c r="F140" t="inlineStr">
        <is>
          <t>'=B18+B19</t>
        </is>
      </c>
      <c r="G140" t="n">
        <v>98</v>
      </c>
      <c r="H140" t="inlineStr"/>
      <c r="I140" t="inlineStr">
        <is>
          <t>_(* #,##0_);_(* \(#,##0\);_(* \-??_);_(@_)</t>
        </is>
      </c>
      <c r="J140" t="b">
        <v>1</v>
      </c>
      <c r="K140" t="b">
        <v>0</v>
      </c>
      <c r="L140" t="n">
        <v>10</v>
      </c>
      <c r="M140" t="n">
        <v/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1</v>
      </c>
      <c r="S140" t="inlineStr">
        <is>
          <t>G000053</t>
        </is>
      </c>
      <c r="T140" t="inlineStr">
        <is>
          <t>Horizontal</t>
        </is>
      </c>
      <c r="U140" t="n">
        <v>4</v>
      </c>
      <c r="V140" t="b">
        <v>1</v>
      </c>
      <c r="W140" t="inlineStr">
        <is>
          <t>Cash flows!B20:E20</t>
        </is>
      </c>
      <c r="X140">
        <f>R[-2]C[0]+R[-1]C[0]</f>
        <v/>
      </c>
    </row>
    <row r="141">
      <c r="A141" t="inlineStr">
        <is>
          <t>Cash flows</t>
        </is>
      </c>
      <c r="B141" t="inlineStr">
        <is>
          <t>C20</t>
        </is>
      </c>
      <c r="C141" t="n">
        <v>20</v>
      </c>
      <c r="D141" t="n">
        <v>3</v>
      </c>
      <c r="E141" t="inlineStr">
        <is>
          <t>Calculation</t>
        </is>
      </c>
      <c r="F141" t="inlineStr">
        <is>
          <t>'=C18+C19</t>
        </is>
      </c>
      <c r="G141" t="n">
        <v>20</v>
      </c>
      <c r="H141" t="inlineStr"/>
      <c r="I141" t="inlineStr">
        <is>
          <t>_(* #,##0_);_(* \(#,##0\);_(* \-??_);_(@_)</t>
        </is>
      </c>
      <c r="J141" t="b">
        <v>1</v>
      </c>
      <c r="K141" t="b">
        <v>0</v>
      </c>
      <c r="L141" t="n">
        <v>10</v>
      </c>
      <c r="M141" t="n">
        <v/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1</v>
      </c>
      <c r="S141" t="inlineStr">
        <is>
          <t>G000053</t>
        </is>
      </c>
      <c r="T141" t="inlineStr">
        <is>
          <t>Horizontal</t>
        </is>
      </c>
      <c r="U141" t="n">
        <v>4</v>
      </c>
      <c r="V141" t="b">
        <v>1</v>
      </c>
      <c r="W141" t="inlineStr">
        <is>
          <t>Cash flows!B20:E20</t>
        </is>
      </c>
      <c r="X141">
        <f>R[-2]C[0]+R[-1]C[0]</f>
        <v/>
      </c>
    </row>
    <row r="142">
      <c r="A142" t="inlineStr">
        <is>
          <t>Cash flows</t>
        </is>
      </c>
      <c r="B142" t="inlineStr">
        <is>
          <t>D20</t>
        </is>
      </c>
      <c r="C142" t="n">
        <v>20</v>
      </c>
      <c r="D142" t="n">
        <v>4</v>
      </c>
      <c r="E142" t="inlineStr">
        <is>
          <t>Calculation</t>
        </is>
      </c>
      <c r="F142" t="inlineStr">
        <is>
          <t>'=D18+D19</t>
        </is>
      </c>
      <c r="G142" t="n">
        <v>28</v>
      </c>
      <c r="H142" t="inlineStr"/>
      <c r="I142" t="inlineStr">
        <is>
          <t>_(* #,##0_);_(* \(#,##0\);_(* \-??_);_(@_)</t>
        </is>
      </c>
      <c r="J142" t="b">
        <v>1</v>
      </c>
      <c r="K142" t="b">
        <v>0</v>
      </c>
      <c r="L142" t="n">
        <v>10</v>
      </c>
      <c r="M142" t="n">
        <v/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inlineStr">
        <is>
          <t>G000053</t>
        </is>
      </c>
      <c r="T142" t="inlineStr">
        <is>
          <t>Horizontal</t>
        </is>
      </c>
      <c r="U142" t="n">
        <v>4</v>
      </c>
      <c r="V142" t="b">
        <v>1</v>
      </c>
      <c r="W142" t="inlineStr">
        <is>
          <t>Cash flows!B20:E20</t>
        </is>
      </c>
      <c r="X142">
        <f>R[-2]C[0]+R[-1]C[0]</f>
        <v/>
      </c>
    </row>
    <row r="143">
      <c r="A143" t="inlineStr">
        <is>
          <t>Cash flows</t>
        </is>
      </c>
      <c r="B143" t="inlineStr">
        <is>
          <t>E20</t>
        </is>
      </c>
      <c r="C143" t="n">
        <v>20</v>
      </c>
      <c r="D143" t="n">
        <v>5</v>
      </c>
      <c r="E143" t="inlineStr">
        <is>
          <t>Output</t>
        </is>
      </c>
      <c r="F143" t="inlineStr">
        <is>
          <t>'=E18+E19</t>
        </is>
      </c>
      <c r="G143" t="n">
        <v>34</v>
      </c>
      <c r="H143" t="inlineStr"/>
      <c r="I143" t="inlineStr">
        <is>
          <t>_(* #,##0_);_(* \(#,##0\);_(* \-??_);_(@_)</t>
        </is>
      </c>
      <c r="J143" t="b">
        <v>1</v>
      </c>
      <c r="K143" t="b">
        <v>0</v>
      </c>
      <c r="L143" t="n">
        <v>10</v>
      </c>
      <c r="M143" t="n">
        <v/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inlineStr">
        <is>
          <t>G000053</t>
        </is>
      </c>
      <c r="T143" t="inlineStr">
        <is>
          <t>Horizontal</t>
        </is>
      </c>
      <c r="U143" t="n">
        <v>4</v>
      </c>
      <c r="V143" t="b">
        <v>1</v>
      </c>
      <c r="W143" t="inlineStr">
        <is>
          <t>Cash flows!B20:E20</t>
        </is>
      </c>
      <c r="X143">
        <f>R[-2]C[0]+R[-1]C[0]</f>
        <v/>
      </c>
    </row>
    <row r="144">
      <c r="A144" t="inlineStr">
        <is>
          <t>Cash flows</t>
        </is>
      </c>
      <c r="B144" t="inlineStr">
        <is>
          <t>F20</t>
        </is>
      </c>
      <c r="C144" t="n">
        <v>20</v>
      </c>
      <c r="D144" t="n">
        <v>6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M144" t="n">
        <v/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Cash flows</t>
        </is>
      </c>
      <c r="B145" t="inlineStr">
        <is>
          <t>G20</t>
        </is>
      </c>
      <c r="C145" t="n">
        <v>20</v>
      </c>
      <c r="D145" t="n">
        <v>7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M145" t="n">
        <v/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Cash flows</t>
        </is>
      </c>
      <c r="B146" t="inlineStr">
        <is>
          <t>H20</t>
        </is>
      </c>
      <c r="C146" t="n">
        <v>20</v>
      </c>
      <c r="D146" t="n">
        <v>8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Cash flows</t>
        </is>
      </c>
      <c r="B147" t="inlineStr">
        <is>
          <t>I20</t>
        </is>
      </c>
      <c r="C147" t="n">
        <v>20</v>
      </c>
      <c r="D147" t="n">
        <v>9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M147" t="n">
        <v/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Cash flows</t>
        </is>
      </c>
      <c r="B148" t="inlineStr">
        <is>
          <t>A21</t>
        </is>
      </c>
      <c r="C148" t="n">
        <v>21</v>
      </c>
      <c r="D148" t="n">
        <v>1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M148" t="n">
        <v/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Cash flows</t>
        </is>
      </c>
      <c r="B149" t="inlineStr">
        <is>
          <t>B21</t>
        </is>
      </c>
      <c r="C149" t="n">
        <v>21</v>
      </c>
      <c r="D149" t="n">
        <v>2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10</v>
      </c>
      <c r="M149" t="n">
        <v/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Cash flows</t>
        </is>
      </c>
      <c r="B150" t="inlineStr">
        <is>
          <t>C21</t>
        </is>
      </c>
      <c r="C150" t="n">
        <v>21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10</v>
      </c>
      <c r="M150" t="n">
        <v/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Cash flows</t>
        </is>
      </c>
      <c r="B151" t="inlineStr">
        <is>
          <t>D21</t>
        </is>
      </c>
      <c r="C151" t="n">
        <v>21</v>
      </c>
      <c r="D151" t="n">
        <v>4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10</v>
      </c>
      <c r="M151" t="n">
        <v/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Cash flows</t>
        </is>
      </c>
      <c r="B152" t="inlineStr">
        <is>
          <t>E21</t>
        </is>
      </c>
      <c r="C152" t="n">
        <v>21</v>
      </c>
      <c r="D152" t="n">
        <v>5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1</v>
      </c>
      <c r="K152" t="b">
        <v>0</v>
      </c>
      <c r="L152" t="n">
        <v>10</v>
      </c>
      <c r="M152" t="n">
        <v/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Cash flows</t>
        </is>
      </c>
      <c r="B153" t="inlineStr">
        <is>
          <t>F21</t>
        </is>
      </c>
      <c r="C153" t="n">
        <v>21</v>
      </c>
      <c r="D153" t="n">
        <v>6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10</v>
      </c>
      <c r="M153" t="n">
        <v/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Cash flows</t>
        </is>
      </c>
      <c r="B154" t="inlineStr">
        <is>
          <t>G21</t>
        </is>
      </c>
      <c r="C154" t="n">
        <v>21</v>
      </c>
      <c r="D154" t="n">
        <v>7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10</v>
      </c>
      <c r="M154" t="n">
        <v/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Cash flows</t>
        </is>
      </c>
      <c r="B155" t="inlineStr">
        <is>
          <t>H21</t>
        </is>
      </c>
      <c r="C155" t="n">
        <v>21</v>
      </c>
      <c r="D155" t="n">
        <v>8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n">
        <v/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Cash flows</t>
        </is>
      </c>
      <c r="B156" t="inlineStr">
        <is>
          <t>I21</t>
        </is>
      </c>
      <c r="C156" t="n">
        <v>21</v>
      </c>
      <c r="D156" t="n">
        <v>9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10</v>
      </c>
      <c r="M156" t="n">
        <v/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Cash flows</t>
        </is>
      </c>
      <c r="B157" t="inlineStr">
        <is>
          <t>A22</t>
        </is>
      </c>
      <c r="C157" t="n">
        <v>22</v>
      </c>
      <c r="D157" t="n">
        <v>1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10</v>
      </c>
      <c r="M157" t="n">
        <v/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Cash flows</t>
        </is>
      </c>
      <c r="B158" t="inlineStr">
        <is>
          <t>B22</t>
        </is>
      </c>
      <c r="C158" t="n">
        <v>22</v>
      </c>
      <c r="D158" t="n">
        <v>2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10</v>
      </c>
      <c r="M158" t="n">
        <v/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Cash flows</t>
        </is>
      </c>
      <c r="B159" t="inlineStr">
        <is>
          <t>C22</t>
        </is>
      </c>
      <c r="C159" t="n">
        <v>22</v>
      </c>
      <c r="D159" t="n">
        <v>3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10</v>
      </c>
      <c r="M159" t="n">
        <v/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Cash flows</t>
        </is>
      </c>
      <c r="B160" t="inlineStr">
        <is>
          <t>D22</t>
        </is>
      </c>
      <c r="C160" t="n">
        <v>22</v>
      </c>
      <c r="D160" t="n">
        <v>4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10</v>
      </c>
      <c r="M160" t="n">
        <v/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Cash flows</t>
        </is>
      </c>
      <c r="B161" t="inlineStr">
        <is>
          <t>E22</t>
        </is>
      </c>
      <c r="C161" t="n">
        <v>22</v>
      </c>
      <c r="D161" t="n">
        <v>5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1</v>
      </c>
      <c r="K161" t="b">
        <v>0</v>
      </c>
      <c r="L161" t="n">
        <v>10</v>
      </c>
      <c r="M161" t="n">
        <v/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Cash flows</t>
        </is>
      </c>
      <c r="B162" t="inlineStr">
        <is>
          <t>F22</t>
        </is>
      </c>
      <c r="C162" t="n">
        <v>22</v>
      </c>
      <c r="D162" t="n">
        <v>6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M162" t="n">
        <v/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Cash flows</t>
        </is>
      </c>
      <c r="B163" t="inlineStr">
        <is>
          <t>G22</t>
        </is>
      </c>
      <c r="C163" t="n">
        <v>22</v>
      </c>
      <c r="D163" t="n">
        <v>7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10</v>
      </c>
      <c r="M163" t="n">
        <v/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Cash flows</t>
        </is>
      </c>
      <c r="B164" t="inlineStr">
        <is>
          <t>H22</t>
        </is>
      </c>
      <c r="C164" t="n">
        <v>22</v>
      </c>
      <c r="D164" t="n">
        <v>8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10</v>
      </c>
      <c r="M164" t="n">
        <v/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Cash flows</t>
        </is>
      </c>
      <c r="B165" t="inlineStr">
        <is>
          <t>I22</t>
        </is>
      </c>
      <c r="C165" t="n">
        <v>22</v>
      </c>
      <c r="D165" t="n">
        <v>9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M165" t="n">
        <v/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Cash flows</t>
        </is>
      </c>
      <c r="B166" t="inlineStr">
        <is>
          <t>A23</t>
        </is>
      </c>
      <c r="C166" t="n">
        <v>23</v>
      </c>
      <c r="D166" t="n">
        <v>1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M166" t="n">
        <v/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Cash flows</t>
        </is>
      </c>
      <c r="B167" t="inlineStr">
        <is>
          <t>B23</t>
        </is>
      </c>
      <c r="C167" t="n">
        <v>23</v>
      </c>
      <c r="D167" t="n">
        <v>2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10</v>
      </c>
      <c r="M167" t="n">
        <v/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Cash flows</t>
        </is>
      </c>
      <c r="B168" t="inlineStr">
        <is>
          <t>C23</t>
        </is>
      </c>
      <c r="C168" t="n">
        <v>23</v>
      </c>
      <c r="D168" t="n">
        <v>3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1</v>
      </c>
      <c r="K168" t="b">
        <v>0</v>
      </c>
      <c r="L168" t="n">
        <v>10</v>
      </c>
      <c r="M168" t="n">
        <v/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Cash flows</t>
        </is>
      </c>
      <c r="B169" t="inlineStr">
        <is>
          <t>D23</t>
        </is>
      </c>
      <c r="C169" t="n">
        <v>23</v>
      </c>
      <c r="D169" t="n">
        <v>4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1</v>
      </c>
      <c r="K169" t="b">
        <v>0</v>
      </c>
      <c r="L169" t="n">
        <v>10</v>
      </c>
      <c r="M169" t="n">
        <v/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Cash flows</t>
        </is>
      </c>
      <c r="B170" t="inlineStr">
        <is>
          <t>E23</t>
        </is>
      </c>
      <c r="C170" t="n">
        <v>23</v>
      </c>
      <c r="D170" t="n">
        <v>5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1</v>
      </c>
      <c r="K170" t="b">
        <v>0</v>
      </c>
      <c r="L170" t="n">
        <v>10</v>
      </c>
      <c r="M170" t="n">
        <v/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Cash flows</t>
        </is>
      </c>
      <c r="B171" t="inlineStr">
        <is>
          <t>F23</t>
        </is>
      </c>
      <c r="C171" t="n">
        <v>23</v>
      </c>
      <c r="D171" t="n">
        <v>6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1</v>
      </c>
      <c r="K171" t="b">
        <v>0</v>
      </c>
      <c r="L171" t="n">
        <v>10</v>
      </c>
      <c r="M171" t="n">
        <v/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Cash flows</t>
        </is>
      </c>
      <c r="B172" t="inlineStr">
        <is>
          <t>G23</t>
        </is>
      </c>
      <c r="C172" t="n">
        <v>23</v>
      </c>
      <c r="D172" t="n">
        <v>7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1</v>
      </c>
      <c r="K172" t="b">
        <v>0</v>
      </c>
      <c r="L172" t="n">
        <v>10</v>
      </c>
      <c r="M172" t="n">
        <v/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Cash flows</t>
        </is>
      </c>
      <c r="B173" t="inlineStr">
        <is>
          <t>H23</t>
        </is>
      </c>
      <c r="C173" t="n">
        <v>23</v>
      </c>
      <c r="D173" t="n">
        <v>8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10</v>
      </c>
      <c r="M173" t="n">
        <v/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Cash flows</t>
        </is>
      </c>
      <c r="B174" t="inlineStr">
        <is>
          <t>I23</t>
        </is>
      </c>
      <c r="C174" t="n">
        <v>23</v>
      </c>
      <c r="D174" t="n">
        <v>9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1</v>
      </c>
      <c r="K174" t="b">
        <v>0</v>
      </c>
      <c r="L174" t="n">
        <v>10</v>
      </c>
      <c r="M174" t="n">
        <v/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Cash flows</t>
        </is>
      </c>
      <c r="B175" t="inlineStr">
        <is>
          <t>A24</t>
        </is>
      </c>
      <c r="C175" t="n">
        <v>24</v>
      </c>
      <c r="D175" t="n">
        <v>1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10</v>
      </c>
      <c r="M175" t="n">
        <v/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Cash flows</t>
        </is>
      </c>
      <c r="B176" t="inlineStr">
        <is>
          <t>B24</t>
        </is>
      </c>
      <c r="C176" t="n">
        <v>24</v>
      </c>
      <c r="D176" t="n">
        <v>2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10</v>
      </c>
      <c r="M176" t="n">
        <v/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Cash flows</t>
        </is>
      </c>
      <c r="B177" t="inlineStr">
        <is>
          <t>C24</t>
        </is>
      </c>
      <c r="C177" t="n">
        <v>24</v>
      </c>
      <c r="D177" t="n">
        <v>3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10</v>
      </c>
      <c r="M177" t="n">
        <v/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Cash flows</t>
        </is>
      </c>
      <c r="B178" t="inlineStr">
        <is>
          <t>D24</t>
        </is>
      </c>
      <c r="C178" t="n">
        <v>24</v>
      </c>
      <c r="D178" t="n">
        <v>4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1</v>
      </c>
      <c r="K178" t="b">
        <v>0</v>
      </c>
      <c r="L178" t="n">
        <v>10</v>
      </c>
      <c r="M178" t="n">
        <v/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Cash flows</t>
        </is>
      </c>
      <c r="B179" t="inlineStr">
        <is>
          <t>E24</t>
        </is>
      </c>
      <c r="C179" t="n">
        <v>24</v>
      </c>
      <c r="D179" t="n">
        <v>5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1</v>
      </c>
      <c r="K179" t="b">
        <v>0</v>
      </c>
      <c r="L179" t="n">
        <v>10</v>
      </c>
      <c r="M179" t="n">
        <v/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Cash flows</t>
        </is>
      </c>
      <c r="B180" t="inlineStr">
        <is>
          <t>F24</t>
        </is>
      </c>
      <c r="C180" t="n">
        <v>24</v>
      </c>
      <c r="D180" t="n">
        <v>6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1</v>
      </c>
      <c r="K180" t="b">
        <v>0</v>
      </c>
      <c r="L180" t="n">
        <v>10</v>
      </c>
      <c r="M180" t="n">
        <v/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Cash flows</t>
        </is>
      </c>
      <c r="B181" t="inlineStr">
        <is>
          <t>G24</t>
        </is>
      </c>
      <c r="C181" t="n">
        <v>24</v>
      </c>
      <c r="D181" t="n">
        <v>7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1</v>
      </c>
      <c r="K181" t="b">
        <v>0</v>
      </c>
      <c r="L181" t="n">
        <v>10</v>
      </c>
      <c r="M181" t="n">
        <v/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Cash flows</t>
        </is>
      </c>
      <c r="B182" t="inlineStr">
        <is>
          <t>H24</t>
        </is>
      </c>
      <c r="C182" t="n">
        <v>24</v>
      </c>
      <c r="D182" t="n">
        <v>8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10</v>
      </c>
      <c r="M182" t="n">
        <v/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Cash flows</t>
        </is>
      </c>
      <c r="B183" t="inlineStr">
        <is>
          <t>I24</t>
        </is>
      </c>
      <c r="C183" t="n">
        <v>24</v>
      </c>
      <c r="D183" t="n">
        <v>9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1</v>
      </c>
      <c r="K183" t="b">
        <v>0</v>
      </c>
      <c r="L183" t="n">
        <v>10</v>
      </c>
      <c r="M183" t="n">
        <v/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Cash flows</t>
        </is>
      </c>
      <c r="B184" t="inlineStr">
        <is>
          <t>A25</t>
        </is>
      </c>
      <c r="C184" t="n">
        <v>25</v>
      </c>
      <c r="D184" t="n">
        <v>1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1</v>
      </c>
      <c r="K184" t="b">
        <v>0</v>
      </c>
      <c r="L184" t="n">
        <v>10</v>
      </c>
      <c r="M184" t="n">
        <v/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Cash flows</t>
        </is>
      </c>
      <c r="B185" t="inlineStr">
        <is>
          <t>B25</t>
        </is>
      </c>
      <c r="C185" t="n">
        <v>25</v>
      </c>
      <c r="D185" t="n">
        <v>2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1</v>
      </c>
      <c r="K185" t="b">
        <v>0</v>
      </c>
      <c r="L185" t="n">
        <v>10</v>
      </c>
      <c r="M185" t="n">
        <v/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Cash flows</t>
        </is>
      </c>
      <c r="B186" t="inlineStr">
        <is>
          <t>C25</t>
        </is>
      </c>
      <c r="C186" t="n">
        <v>25</v>
      </c>
      <c r="D186" t="n">
        <v>3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1</v>
      </c>
      <c r="K186" t="b">
        <v>0</v>
      </c>
      <c r="L186" t="n">
        <v>10</v>
      </c>
      <c r="M186" t="n">
        <v/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Cash flows</t>
        </is>
      </c>
      <c r="B187" t="inlineStr">
        <is>
          <t>D25</t>
        </is>
      </c>
      <c r="C187" t="n">
        <v>25</v>
      </c>
      <c r="D187" t="n">
        <v>4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10</v>
      </c>
      <c r="M187" t="n">
        <v/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Cash flows</t>
        </is>
      </c>
      <c r="B188" t="inlineStr">
        <is>
          <t>E25</t>
        </is>
      </c>
      <c r="C188" t="n">
        <v>25</v>
      </c>
      <c r="D188" t="n">
        <v>5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10</v>
      </c>
      <c r="M188" t="n">
        <v/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Cash flows</t>
        </is>
      </c>
      <c r="B189" t="inlineStr">
        <is>
          <t>F25</t>
        </is>
      </c>
      <c r="C189" t="n">
        <v>25</v>
      </c>
      <c r="D189" t="n">
        <v>6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10</v>
      </c>
      <c r="M189" t="n">
        <v/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Cash flows</t>
        </is>
      </c>
      <c r="B190" t="inlineStr">
        <is>
          <t>G25</t>
        </is>
      </c>
      <c r="C190" t="n">
        <v>25</v>
      </c>
      <c r="D190" t="n">
        <v>7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10</v>
      </c>
      <c r="M190" t="n">
        <v/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Cash flows</t>
        </is>
      </c>
      <c r="B191" t="inlineStr">
        <is>
          <t>H25</t>
        </is>
      </c>
      <c r="C191" t="n">
        <v>25</v>
      </c>
      <c r="D191" t="n">
        <v>8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10</v>
      </c>
      <c r="M191" t="n">
        <v/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Cash flows</t>
        </is>
      </c>
      <c r="B192" t="inlineStr">
        <is>
          <t>I25</t>
        </is>
      </c>
      <c r="C192" t="n">
        <v>25</v>
      </c>
      <c r="D192" t="n">
        <v>9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10</v>
      </c>
      <c r="M192" t="n">
        <v/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Cash flows</t>
        </is>
      </c>
      <c r="B193" t="inlineStr">
        <is>
          <t>A26</t>
        </is>
      </c>
      <c r="C193" t="n">
        <v>26</v>
      </c>
      <c r="D193" t="n">
        <v>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10</v>
      </c>
      <c r="M193" t="n">
        <v/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Cash flows</t>
        </is>
      </c>
      <c r="B194" t="inlineStr">
        <is>
          <t>B26</t>
        </is>
      </c>
      <c r="C194" t="n">
        <v>26</v>
      </c>
      <c r="D194" t="n">
        <v>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10</v>
      </c>
      <c r="M194" t="n">
        <v/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Cash flows</t>
        </is>
      </c>
      <c r="B195" t="inlineStr">
        <is>
          <t>C26</t>
        </is>
      </c>
      <c r="C195" t="n">
        <v>26</v>
      </c>
      <c r="D195" t="n">
        <v>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10</v>
      </c>
      <c r="M195" t="n">
        <v/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Cash flows</t>
        </is>
      </c>
      <c r="B196" t="inlineStr">
        <is>
          <t>D26</t>
        </is>
      </c>
      <c r="C196" t="n">
        <v>26</v>
      </c>
      <c r="D196" t="n">
        <v>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10</v>
      </c>
      <c r="M196" t="n">
        <v/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Cash flows</t>
        </is>
      </c>
      <c r="B197" t="inlineStr">
        <is>
          <t>E26</t>
        </is>
      </c>
      <c r="C197" t="n">
        <v>26</v>
      </c>
      <c r="D197" t="n">
        <v>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10</v>
      </c>
      <c r="M197" t="n">
        <v/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Cash flows</t>
        </is>
      </c>
      <c r="B198" t="inlineStr">
        <is>
          <t>F26</t>
        </is>
      </c>
      <c r="C198" t="n">
        <v>26</v>
      </c>
      <c r="D198" t="n">
        <v>6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10</v>
      </c>
      <c r="M198" t="n">
        <v/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Cash flows</t>
        </is>
      </c>
      <c r="B199" t="inlineStr">
        <is>
          <t>G26</t>
        </is>
      </c>
      <c r="C199" t="n">
        <v>26</v>
      </c>
      <c r="D199" t="n">
        <v>7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1</v>
      </c>
      <c r="K199" t="b">
        <v>0</v>
      </c>
      <c r="L199" t="n">
        <v>10</v>
      </c>
      <c r="M199" t="n">
        <v/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Cash flows</t>
        </is>
      </c>
      <c r="B200" t="inlineStr">
        <is>
          <t>H26</t>
        </is>
      </c>
      <c r="C200" t="n">
        <v>26</v>
      </c>
      <c r="D200" t="n">
        <v>8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10</v>
      </c>
      <c r="M200" t="n">
        <v/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Cash flows</t>
        </is>
      </c>
      <c r="B201" t="inlineStr">
        <is>
          <t>I26</t>
        </is>
      </c>
      <c r="C201" t="n">
        <v>26</v>
      </c>
      <c r="D201" t="n">
        <v>9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1</v>
      </c>
      <c r="K201" t="b">
        <v>0</v>
      </c>
      <c r="L201" t="n">
        <v>10</v>
      </c>
      <c r="M201" t="n">
        <v/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Cash flows</t>
        </is>
      </c>
      <c r="B202" t="inlineStr">
        <is>
          <t>A27</t>
        </is>
      </c>
      <c r="C202" t="n">
        <v>27</v>
      </c>
      <c r="D202" t="n">
        <v>1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1</v>
      </c>
      <c r="K202" t="b">
        <v>0</v>
      </c>
      <c r="L202" t="n">
        <v>10</v>
      </c>
      <c r="M202" t="n">
        <v/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Cash flows</t>
        </is>
      </c>
      <c r="B203" t="inlineStr">
        <is>
          <t>B27</t>
        </is>
      </c>
      <c r="C203" t="n">
        <v>27</v>
      </c>
      <c r="D203" t="n">
        <v>2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1</v>
      </c>
      <c r="K203" t="b">
        <v>0</v>
      </c>
      <c r="L203" t="n">
        <v>10</v>
      </c>
      <c r="M203" t="n">
        <v/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Cash flows</t>
        </is>
      </c>
      <c r="B204" t="inlineStr">
        <is>
          <t>C27</t>
        </is>
      </c>
      <c r="C204" t="n">
        <v>27</v>
      </c>
      <c r="D204" t="n">
        <v>3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1</v>
      </c>
      <c r="K204" t="b">
        <v>0</v>
      </c>
      <c r="L204" t="n">
        <v>10</v>
      </c>
      <c r="M204" t="n">
        <v/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Cash flows</t>
        </is>
      </c>
      <c r="B205" t="inlineStr">
        <is>
          <t>D27</t>
        </is>
      </c>
      <c r="C205" t="n">
        <v>27</v>
      </c>
      <c r="D205" t="n">
        <v>4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10</v>
      </c>
      <c r="M205" t="n">
        <v/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Cash flows</t>
        </is>
      </c>
      <c r="B206" t="inlineStr">
        <is>
          <t>E27</t>
        </is>
      </c>
      <c r="C206" t="n">
        <v>27</v>
      </c>
      <c r="D206" t="n">
        <v>5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1</v>
      </c>
      <c r="K206" t="b">
        <v>0</v>
      </c>
      <c r="L206" t="n">
        <v>10</v>
      </c>
      <c r="M206" t="n">
        <v/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Cash flows</t>
        </is>
      </c>
      <c r="B207" t="inlineStr">
        <is>
          <t>F27</t>
        </is>
      </c>
      <c r="C207" t="n">
        <v>27</v>
      </c>
      <c r="D207" t="n">
        <v>6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1</v>
      </c>
      <c r="K207" t="b">
        <v>0</v>
      </c>
      <c r="L207" t="n">
        <v>10</v>
      </c>
      <c r="M207" t="n">
        <v/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Cash flows</t>
        </is>
      </c>
      <c r="B208" t="inlineStr">
        <is>
          <t>G27</t>
        </is>
      </c>
      <c r="C208" t="n">
        <v>27</v>
      </c>
      <c r="D208" t="n">
        <v>7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1</v>
      </c>
      <c r="K208" t="b">
        <v>0</v>
      </c>
      <c r="L208" t="n">
        <v>10</v>
      </c>
      <c r="M208" t="n">
        <v/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Cash flows</t>
        </is>
      </c>
      <c r="B209" t="inlineStr">
        <is>
          <t>H27</t>
        </is>
      </c>
      <c r="C209" t="n">
        <v>27</v>
      </c>
      <c r="D209" t="n">
        <v>8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1</v>
      </c>
      <c r="K209" t="b">
        <v>0</v>
      </c>
      <c r="L209" t="n">
        <v>10</v>
      </c>
      <c r="M209" t="n">
        <v/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Cash flows</t>
        </is>
      </c>
      <c r="B210" t="inlineStr">
        <is>
          <t>I27</t>
        </is>
      </c>
      <c r="C210" t="n">
        <v>27</v>
      </c>
      <c r="D210" t="n">
        <v>9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10</v>
      </c>
      <c r="M210" t="n">
        <v/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Cash flows</t>
        </is>
      </c>
      <c r="B211" t="inlineStr">
        <is>
          <t>A28</t>
        </is>
      </c>
      <c r="C211" t="n">
        <v>28</v>
      </c>
      <c r="D211" t="n">
        <v>1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10</v>
      </c>
      <c r="M211" t="n">
        <v/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Cash flows</t>
        </is>
      </c>
      <c r="B212" t="inlineStr">
        <is>
          <t>B28</t>
        </is>
      </c>
      <c r="C212" t="n">
        <v>28</v>
      </c>
      <c r="D212" t="n">
        <v>2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1</v>
      </c>
      <c r="K212" t="b">
        <v>0</v>
      </c>
      <c r="L212" t="n">
        <v>10</v>
      </c>
      <c r="M212" t="n">
        <v/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Cash flows</t>
        </is>
      </c>
      <c r="B213" t="inlineStr">
        <is>
          <t>C28</t>
        </is>
      </c>
      <c r="C213" t="n">
        <v>28</v>
      </c>
      <c r="D213" t="n">
        <v>3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1</v>
      </c>
      <c r="K213" t="b">
        <v>0</v>
      </c>
      <c r="L213" t="n">
        <v>10</v>
      </c>
      <c r="M213" t="n">
        <v/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Cash flows</t>
        </is>
      </c>
      <c r="B214" t="inlineStr">
        <is>
          <t>D28</t>
        </is>
      </c>
      <c r="C214" t="n">
        <v>28</v>
      </c>
      <c r="D214" t="n">
        <v>4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10</v>
      </c>
      <c r="M214" t="n">
        <v/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Cash flows</t>
        </is>
      </c>
      <c r="B215" t="inlineStr">
        <is>
          <t>E28</t>
        </is>
      </c>
      <c r="C215" t="n">
        <v>28</v>
      </c>
      <c r="D215" t="n">
        <v>5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10</v>
      </c>
      <c r="M215" t="n">
        <v/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Cash flows</t>
        </is>
      </c>
      <c r="B216" t="inlineStr">
        <is>
          <t>F28</t>
        </is>
      </c>
      <c r="C216" t="n">
        <v>28</v>
      </c>
      <c r="D216" t="n">
        <v>6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10</v>
      </c>
      <c r="M216" t="n">
        <v/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Cash flows</t>
        </is>
      </c>
      <c r="B217" t="inlineStr">
        <is>
          <t>G28</t>
        </is>
      </c>
      <c r="C217" t="n">
        <v>28</v>
      </c>
      <c r="D217" t="n">
        <v>7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10</v>
      </c>
      <c r="M217" t="n">
        <v/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Cash flows</t>
        </is>
      </c>
      <c r="B218" t="inlineStr">
        <is>
          <t>H28</t>
        </is>
      </c>
      <c r="C218" t="n">
        <v>28</v>
      </c>
      <c r="D218" t="n">
        <v>8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10</v>
      </c>
      <c r="M218" t="n">
        <v/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Cash flows</t>
        </is>
      </c>
      <c r="B219" t="inlineStr">
        <is>
          <t>I28</t>
        </is>
      </c>
      <c r="C219" t="n">
        <v>28</v>
      </c>
      <c r="D219" t="n">
        <v>9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10</v>
      </c>
      <c r="M219" t="n">
        <v/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Cash flows</t>
        </is>
      </c>
      <c r="B220" t="inlineStr">
        <is>
          <t>A29</t>
        </is>
      </c>
      <c r="C220" t="n">
        <v>29</v>
      </c>
      <c r="D220" t="n">
        <v>1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10</v>
      </c>
      <c r="M220" t="n">
        <v/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Cash flows</t>
        </is>
      </c>
      <c r="B221" t="inlineStr">
        <is>
          <t>B29</t>
        </is>
      </c>
      <c r="C221" t="n">
        <v>29</v>
      </c>
      <c r="D221" t="n">
        <v>2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10</v>
      </c>
      <c r="M221" t="n">
        <v/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Cash flows</t>
        </is>
      </c>
      <c r="B222" t="inlineStr">
        <is>
          <t>C29</t>
        </is>
      </c>
      <c r="C222" t="n">
        <v>29</v>
      </c>
      <c r="D222" t="n">
        <v>3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10</v>
      </c>
      <c r="M222" t="n">
        <v/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Cash flows</t>
        </is>
      </c>
      <c r="B223" t="inlineStr">
        <is>
          <t>D29</t>
        </is>
      </c>
      <c r="C223" t="n">
        <v>29</v>
      </c>
      <c r="D223" t="n">
        <v>4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1</v>
      </c>
      <c r="K223" t="b">
        <v>0</v>
      </c>
      <c r="L223" t="n">
        <v>10</v>
      </c>
      <c r="M223" t="n">
        <v/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Cash flows</t>
        </is>
      </c>
      <c r="B224" t="inlineStr">
        <is>
          <t>E29</t>
        </is>
      </c>
      <c r="C224" t="n">
        <v>29</v>
      </c>
      <c r="D224" t="n">
        <v>5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1</v>
      </c>
      <c r="K224" t="b">
        <v>0</v>
      </c>
      <c r="L224" t="n">
        <v>10</v>
      </c>
      <c r="M224" t="n">
        <v/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Cash flows</t>
        </is>
      </c>
      <c r="B225" t="inlineStr">
        <is>
          <t>F29</t>
        </is>
      </c>
      <c r="C225" t="n">
        <v>29</v>
      </c>
      <c r="D225" t="n">
        <v>6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1</v>
      </c>
      <c r="K225" t="b">
        <v>0</v>
      </c>
      <c r="L225" t="n">
        <v>10</v>
      </c>
      <c r="M225" t="n">
        <v/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Cash flows</t>
        </is>
      </c>
      <c r="B226" t="inlineStr">
        <is>
          <t>G29</t>
        </is>
      </c>
      <c r="C226" t="n">
        <v>29</v>
      </c>
      <c r="D226" t="n">
        <v>7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1</v>
      </c>
      <c r="K226" t="b">
        <v>0</v>
      </c>
      <c r="L226" t="n">
        <v>10</v>
      </c>
      <c r="M226" t="n">
        <v/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Cash flows</t>
        </is>
      </c>
      <c r="B227" t="inlineStr">
        <is>
          <t>H29</t>
        </is>
      </c>
      <c r="C227" t="n">
        <v>29</v>
      </c>
      <c r="D227" t="n">
        <v>8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1</v>
      </c>
      <c r="K227" t="b">
        <v>0</v>
      </c>
      <c r="L227" t="n">
        <v>10</v>
      </c>
      <c r="M227" t="n">
        <v/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Cash flows</t>
        </is>
      </c>
      <c r="B228" t="inlineStr">
        <is>
          <t>I29</t>
        </is>
      </c>
      <c r="C228" t="n">
        <v>29</v>
      </c>
      <c r="D228" t="n">
        <v>9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1</v>
      </c>
      <c r="K228" t="b">
        <v>0</v>
      </c>
      <c r="L228" t="n">
        <v>10</v>
      </c>
      <c r="M228" t="n">
        <v/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Cash flows</t>
        </is>
      </c>
      <c r="B229" t="inlineStr">
        <is>
          <t>A30</t>
        </is>
      </c>
      <c r="C229" t="n">
        <v>30</v>
      </c>
      <c r="D229" t="n">
        <v>1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1</v>
      </c>
      <c r="K229" t="b">
        <v>0</v>
      </c>
      <c r="L229" t="n">
        <v>10</v>
      </c>
      <c r="M229" t="n">
        <v/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Cash flows</t>
        </is>
      </c>
      <c r="B230" t="inlineStr">
        <is>
          <t>B30</t>
        </is>
      </c>
      <c r="C230" t="n">
        <v>30</v>
      </c>
      <c r="D230" t="n">
        <v>2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1</v>
      </c>
      <c r="K230" t="b">
        <v>0</v>
      </c>
      <c r="L230" t="n">
        <v>10</v>
      </c>
      <c r="M230" t="n">
        <v/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Cash flows</t>
        </is>
      </c>
      <c r="B231" t="inlineStr">
        <is>
          <t>C30</t>
        </is>
      </c>
      <c r="C231" t="n">
        <v>30</v>
      </c>
      <c r="D231" t="n">
        <v>3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1</v>
      </c>
      <c r="K231" t="b">
        <v>0</v>
      </c>
      <c r="L231" t="n">
        <v>10</v>
      </c>
      <c r="M231" t="n">
        <v/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Cash flows</t>
        </is>
      </c>
      <c r="B232" t="inlineStr">
        <is>
          <t>D30</t>
        </is>
      </c>
      <c r="C232" t="n">
        <v>30</v>
      </c>
      <c r="D232" t="n">
        <v>4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1</v>
      </c>
      <c r="K232" t="b">
        <v>0</v>
      </c>
      <c r="L232" t="n">
        <v>10</v>
      </c>
      <c r="M232" t="n">
        <v/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Cash flows</t>
        </is>
      </c>
      <c r="B233" t="inlineStr">
        <is>
          <t>E30</t>
        </is>
      </c>
      <c r="C233" t="n">
        <v>30</v>
      </c>
      <c r="D233" t="n">
        <v>5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1</v>
      </c>
      <c r="K233" t="b">
        <v>0</v>
      </c>
      <c r="L233" t="n">
        <v>10</v>
      </c>
      <c r="M233" t="n">
        <v/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Cash flows</t>
        </is>
      </c>
      <c r="B234" t="inlineStr">
        <is>
          <t>F30</t>
        </is>
      </c>
      <c r="C234" t="n">
        <v>30</v>
      </c>
      <c r="D234" t="n">
        <v>6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1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Cash flows</t>
        </is>
      </c>
      <c r="B235" t="inlineStr">
        <is>
          <t>G30</t>
        </is>
      </c>
      <c r="C235" t="n">
        <v>30</v>
      </c>
      <c r="D235" t="n">
        <v>7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1</v>
      </c>
      <c r="K235" t="b">
        <v>0</v>
      </c>
      <c r="L235" t="n">
        <v>10</v>
      </c>
      <c r="M235" t="n">
        <v/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Cash flows</t>
        </is>
      </c>
      <c r="B236" t="inlineStr">
        <is>
          <t>H30</t>
        </is>
      </c>
      <c r="C236" t="n">
        <v>30</v>
      </c>
      <c r="D236" t="n">
        <v>8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1</v>
      </c>
      <c r="K236" t="b">
        <v>0</v>
      </c>
      <c r="L236" t="n">
        <v>10</v>
      </c>
      <c r="M236" t="n">
        <v/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Cash flows</t>
        </is>
      </c>
      <c r="B237" t="inlineStr">
        <is>
          <t>I30</t>
        </is>
      </c>
      <c r="C237" t="n">
        <v>30</v>
      </c>
      <c r="D237" t="n">
        <v>9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1</v>
      </c>
      <c r="K237" t="b">
        <v>0</v>
      </c>
      <c r="L237" t="n">
        <v>10</v>
      </c>
      <c r="M237" t="n">
        <v/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Cash flows</t>
        </is>
      </c>
      <c r="B238" t="inlineStr">
        <is>
          <t>A31</t>
        </is>
      </c>
      <c r="C238" t="n">
        <v>31</v>
      </c>
      <c r="D238" t="n">
        <v>1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1</v>
      </c>
      <c r="K238" t="b">
        <v>0</v>
      </c>
      <c r="L238" t="n">
        <v>10</v>
      </c>
      <c r="M238" t="n">
        <v/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Cash flows</t>
        </is>
      </c>
      <c r="B239" t="inlineStr">
        <is>
          <t>B31</t>
        </is>
      </c>
      <c r="C239" t="n">
        <v>31</v>
      </c>
      <c r="D239" t="n">
        <v>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1</v>
      </c>
      <c r="K239" t="b">
        <v>0</v>
      </c>
      <c r="L239" t="n">
        <v>10</v>
      </c>
      <c r="M239" t="n">
        <v/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Cash flows</t>
        </is>
      </c>
      <c r="B240" t="inlineStr">
        <is>
          <t>C31</t>
        </is>
      </c>
      <c r="C240" t="n">
        <v>31</v>
      </c>
      <c r="D240" t="n">
        <v>3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1</v>
      </c>
      <c r="K240" t="b">
        <v>0</v>
      </c>
      <c r="L240" t="n">
        <v>10</v>
      </c>
      <c r="M240" t="n">
        <v/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Cash flows</t>
        </is>
      </c>
      <c r="B241" t="inlineStr">
        <is>
          <t>D31</t>
        </is>
      </c>
      <c r="C241" t="n">
        <v>31</v>
      </c>
      <c r="D241" t="n">
        <v>4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1</v>
      </c>
      <c r="K241" t="b">
        <v>0</v>
      </c>
      <c r="L241" t="n">
        <v>10</v>
      </c>
      <c r="M241" t="n">
        <v/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Cash flows</t>
        </is>
      </c>
      <c r="B242" t="inlineStr">
        <is>
          <t>E31</t>
        </is>
      </c>
      <c r="C242" t="n">
        <v>31</v>
      </c>
      <c r="D242" t="n">
        <v>5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1</v>
      </c>
      <c r="K242" t="b">
        <v>0</v>
      </c>
      <c r="L242" t="n">
        <v>10</v>
      </c>
      <c r="M242" t="n">
        <v/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Cash flows</t>
        </is>
      </c>
      <c r="B243" t="inlineStr">
        <is>
          <t>F31</t>
        </is>
      </c>
      <c r="C243" t="n">
        <v>31</v>
      </c>
      <c r="D243" t="n">
        <v>6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1</v>
      </c>
      <c r="K243" t="b">
        <v>0</v>
      </c>
      <c r="L243" t="n">
        <v>10</v>
      </c>
      <c r="M243" t="n">
        <v/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Cash flows</t>
        </is>
      </c>
      <c r="B244" t="inlineStr">
        <is>
          <t>G31</t>
        </is>
      </c>
      <c r="C244" t="n">
        <v>31</v>
      </c>
      <c r="D244" t="n">
        <v>7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1</v>
      </c>
      <c r="K244" t="b">
        <v>0</v>
      </c>
      <c r="L244" t="n">
        <v>10</v>
      </c>
      <c r="M244" t="n">
        <v/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Cash flows</t>
        </is>
      </c>
      <c r="B245" t="inlineStr">
        <is>
          <t>H31</t>
        </is>
      </c>
      <c r="C245" t="n">
        <v>31</v>
      </c>
      <c r="D245" t="n">
        <v>8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1</v>
      </c>
      <c r="K245" t="b">
        <v>0</v>
      </c>
      <c r="L245" t="n">
        <v>10</v>
      </c>
      <c r="M245" t="n">
        <v/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Cash flows</t>
        </is>
      </c>
      <c r="B246" t="inlineStr">
        <is>
          <t>I31</t>
        </is>
      </c>
      <c r="C246" t="n">
        <v>31</v>
      </c>
      <c r="D246" t="n">
        <v>9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1</v>
      </c>
      <c r="K246" t="b">
        <v>0</v>
      </c>
      <c r="L246" t="n">
        <v>10</v>
      </c>
      <c r="M246" t="n">
        <v/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Cash flows</t>
        </is>
      </c>
      <c r="B247" t="inlineStr">
        <is>
          <t>A32</t>
        </is>
      </c>
      <c r="C247" t="n">
        <v>32</v>
      </c>
      <c r="D247" t="n">
        <v>1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1</v>
      </c>
      <c r="K247" t="b">
        <v>0</v>
      </c>
      <c r="L247" t="n">
        <v>10</v>
      </c>
      <c r="M247" t="n">
        <v/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Cash flows</t>
        </is>
      </c>
      <c r="B248" t="inlineStr">
        <is>
          <t>B32</t>
        </is>
      </c>
      <c r="C248" t="n">
        <v>32</v>
      </c>
      <c r="D248" t="n">
        <v>2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1</v>
      </c>
      <c r="K248" t="b">
        <v>0</v>
      </c>
      <c r="L248" t="n">
        <v>10</v>
      </c>
      <c r="M248" t="n">
        <v/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Cash flows</t>
        </is>
      </c>
      <c r="B249" t="inlineStr">
        <is>
          <t>C32</t>
        </is>
      </c>
      <c r="C249" t="n">
        <v>32</v>
      </c>
      <c r="D249" t="n">
        <v>3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10</v>
      </c>
      <c r="M249" t="n">
        <v/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Cash flows</t>
        </is>
      </c>
      <c r="B250" t="inlineStr">
        <is>
          <t>D32</t>
        </is>
      </c>
      <c r="C250" t="n">
        <v>32</v>
      </c>
      <c r="D250" t="n">
        <v>4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10</v>
      </c>
      <c r="M250" t="n">
        <v/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Cash flows</t>
        </is>
      </c>
      <c r="B251" t="inlineStr">
        <is>
          <t>E32</t>
        </is>
      </c>
      <c r="C251" t="n">
        <v>32</v>
      </c>
      <c r="D251" t="n">
        <v>5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1</v>
      </c>
      <c r="K251" t="b">
        <v>0</v>
      </c>
      <c r="L251" t="n">
        <v>10</v>
      </c>
      <c r="M251" t="n">
        <v/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Cash flows</t>
        </is>
      </c>
      <c r="B252" t="inlineStr">
        <is>
          <t>F32</t>
        </is>
      </c>
      <c r="C252" t="n">
        <v>32</v>
      </c>
      <c r="D252" t="n">
        <v>6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1</v>
      </c>
      <c r="K252" t="b">
        <v>0</v>
      </c>
      <c r="L252" t="n">
        <v>10</v>
      </c>
      <c r="M252" t="n">
        <v/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Cash flows</t>
        </is>
      </c>
      <c r="B253" t="inlineStr">
        <is>
          <t>G32</t>
        </is>
      </c>
      <c r="C253" t="n">
        <v>32</v>
      </c>
      <c r="D253" t="n">
        <v>7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1</v>
      </c>
      <c r="K253" t="b">
        <v>0</v>
      </c>
      <c r="L253" t="n">
        <v>10</v>
      </c>
      <c r="M253" t="n">
        <v/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Cash flows</t>
        </is>
      </c>
      <c r="B254" t="inlineStr">
        <is>
          <t>H32</t>
        </is>
      </c>
      <c r="C254" t="n">
        <v>32</v>
      </c>
      <c r="D254" t="n">
        <v>8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1</v>
      </c>
      <c r="K254" t="b">
        <v>0</v>
      </c>
      <c r="L254" t="n">
        <v>10</v>
      </c>
      <c r="M254" t="n">
        <v/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Cash flows</t>
        </is>
      </c>
      <c r="B255" t="inlineStr">
        <is>
          <t>I32</t>
        </is>
      </c>
      <c r="C255" t="n">
        <v>32</v>
      </c>
      <c r="D255" t="n">
        <v>9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1</v>
      </c>
      <c r="K255" t="b">
        <v>0</v>
      </c>
      <c r="L255" t="n">
        <v>10</v>
      </c>
      <c r="M255" t="n">
        <v/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Cash flows</t>
        </is>
      </c>
      <c r="B256" t="inlineStr">
        <is>
          <t>A33</t>
        </is>
      </c>
      <c r="C256" t="n">
        <v>33</v>
      </c>
      <c r="D256" t="n">
        <v>1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1</v>
      </c>
      <c r="K256" t="b">
        <v>0</v>
      </c>
      <c r="L256" t="n">
        <v>10</v>
      </c>
      <c r="M256" t="n">
        <v/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Cash flows</t>
        </is>
      </c>
      <c r="B257" t="inlineStr">
        <is>
          <t>B33</t>
        </is>
      </c>
      <c r="C257" t="n">
        <v>33</v>
      </c>
      <c r="D257" t="n">
        <v>2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1</v>
      </c>
      <c r="K257" t="b">
        <v>0</v>
      </c>
      <c r="L257" t="n">
        <v>10</v>
      </c>
      <c r="M257" t="n">
        <v/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Cash flows</t>
        </is>
      </c>
      <c r="B258" t="inlineStr">
        <is>
          <t>C33</t>
        </is>
      </c>
      <c r="C258" t="n">
        <v>33</v>
      </c>
      <c r="D258" t="n">
        <v>3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1</v>
      </c>
      <c r="K258" t="b">
        <v>0</v>
      </c>
      <c r="L258" t="n">
        <v>10</v>
      </c>
      <c r="M258" t="n">
        <v/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Cash flows</t>
        </is>
      </c>
      <c r="B259" t="inlineStr">
        <is>
          <t>D33</t>
        </is>
      </c>
      <c r="C259" t="n">
        <v>33</v>
      </c>
      <c r="D259" t="n">
        <v>4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1</v>
      </c>
      <c r="K259" t="b">
        <v>0</v>
      </c>
      <c r="L259" t="n">
        <v>10</v>
      </c>
      <c r="M259" t="n">
        <v/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Cash flows</t>
        </is>
      </c>
      <c r="B260" t="inlineStr">
        <is>
          <t>E33</t>
        </is>
      </c>
      <c r="C260" t="n">
        <v>33</v>
      </c>
      <c r="D260" t="n">
        <v>5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10</v>
      </c>
      <c r="M260" t="n">
        <v/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Cash flows</t>
        </is>
      </c>
      <c r="B261" t="inlineStr">
        <is>
          <t>F33</t>
        </is>
      </c>
      <c r="C261" t="n">
        <v>33</v>
      </c>
      <c r="D261" t="n">
        <v>6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10</v>
      </c>
      <c r="M261" t="n">
        <v/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Cash flows</t>
        </is>
      </c>
      <c r="B262" t="inlineStr">
        <is>
          <t>G33</t>
        </is>
      </c>
      <c r="C262" t="n">
        <v>33</v>
      </c>
      <c r="D262" t="n">
        <v>7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10</v>
      </c>
      <c r="M262" t="n">
        <v/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Cash flows</t>
        </is>
      </c>
      <c r="B263" t="inlineStr">
        <is>
          <t>H33</t>
        </is>
      </c>
      <c r="C263" t="n">
        <v>33</v>
      </c>
      <c r="D263" t="n">
        <v>8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10</v>
      </c>
      <c r="M263" t="n">
        <v/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Cash flows</t>
        </is>
      </c>
      <c r="B264" t="inlineStr">
        <is>
          <t>I33</t>
        </is>
      </c>
      <c r="C264" t="n">
        <v>33</v>
      </c>
      <c r="D264" t="n">
        <v>9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10</v>
      </c>
      <c r="M264" t="n">
        <v/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Cash flows</t>
        </is>
      </c>
      <c r="B265" t="inlineStr">
        <is>
          <t>A34</t>
        </is>
      </c>
      <c r="C265" t="n">
        <v>34</v>
      </c>
      <c r="D265" t="n">
        <v>1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10</v>
      </c>
      <c r="M265" t="n">
        <v/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Cash flows</t>
        </is>
      </c>
      <c r="B266" t="inlineStr">
        <is>
          <t>B34</t>
        </is>
      </c>
      <c r="C266" t="n">
        <v>34</v>
      </c>
      <c r="D266" t="n">
        <v>2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10</v>
      </c>
      <c r="M266" t="n">
        <v/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Cash flows</t>
        </is>
      </c>
      <c r="B267" t="inlineStr">
        <is>
          <t>C34</t>
        </is>
      </c>
      <c r="C267" t="n">
        <v>34</v>
      </c>
      <c r="D267" t="n">
        <v>3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10</v>
      </c>
      <c r="M267" t="n">
        <v/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Cash flows</t>
        </is>
      </c>
      <c r="B268" t="inlineStr">
        <is>
          <t>D34</t>
        </is>
      </c>
      <c r="C268" t="n">
        <v>34</v>
      </c>
      <c r="D268" t="n">
        <v>4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10</v>
      </c>
      <c r="M268" t="n">
        <v/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Cash flows</t>
        </is>
      </c>
      <c r="B269" t="inlineStr">
        <is>
          <t>E34</t>
        </is>
      </c>
      <c r="C269" t="n">
        <v>34</v>
      </c>
      <c r="D269" t="n">
        <v>5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1</v>
      </c>
      <c r="K269" t="b">
        <v>0</v>
      </c>
      <c r="L269" t="n">
        <v>10</v>
      </c>
      <c r="M269" t="n">
        <v/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Cash flows</t>
        </is>
      </c>
      <c r="B270" t="inlineStr">
        <is>
          <t>F34</t>
        </is>
      </c>
      <c r="C270" t="n">
        <v>34</v>
      </c>
      <c r="D270" t="n">
        <v>6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1</v>
      </c>
      <c r="K270" t="b">
        <v>0</v>
      </c>
      <c r="L270" t="n">
        <v>10</v>
      </c>
      <c r="M270" t="n">
        <v/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Cash flows</t>
        </is>
      </c>
      <c r="B271" t="inlineStr">
        <is>
          <t>G34</t>
        </is>
      </c>
      <c r="C271" t="n">
        <v>34</v>
      </c>
      <c r="D271" t="n">
        <v>7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1</v>
      </c>
      <c r="K271" t="b">
        <v>0</v>
      </c>
      <c r="L271" t="n">
        <v>10</v>
      </c>
      <c r="M271" t="n">
        <v/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Cash flows</t>
        </is>
      </c>
      <c r="B272" t="inlineStr">
        <is>
          <t>H34</t>
        </is>
      </c>
      <c r="C272" t="n">
        <v>34</v>
      </c>
      <c r="D272" t="n">
        <v>8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1</v>
      </c>
      <c r="K272" t="b">
        <v>0</v>
      </c>
      <c r="L272" t="n">
        <v>10</v>
      </c>
      <c r="M272" t="n">
        <v/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Cash flows</t>
        </is>
      </c>
      <c r="B273" t="inlineStr">
        <is>
          <t>I34</t>
        </is>
      </c>
      <c r="C273" t="n">
        <v>34</v>
      </c>
      <c r="D273" t="n">
        <v>9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1</v>
      </c>
      <c r="K273" t="b">
        <v>0</v>
      </c>
      <c r="L273" t="n">
        <v>10</v>
      </c>
      <c r="M273" t="n">
        <v/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Cash flows</t>
        </is>
      </c>
      <c r="B274" t="inlineStr">
        <is>
          <t>A35</t>
        </is>
      </c>
      <c r="C274" t="n">
        <v>35</v>
      </c>
      <c r="D274" t="n">
        <v>1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1</v>
      </c>
      <c r="K274" t="b">
        <v>0</v>
      </c>
      <c r="L274" t="n">
        <v>10</v>
      </c>
      <c r="M274" t="n">
        <v/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Cash flows</t>
        </is>
      </c>
      <c r="B275" t="inlineStr">
        <is>
          <t>B35</t>
        </is>
      </c>
      <c r="C275" t="n">
        <v>35</v>
      </c>
      <c r="D275" t="n">
        <v>2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1</v>
      </c>
      <c r="K275" t="b">
        <v>0</v>
      </c>
      <c r="L275" t="n">
        <v>10</v>
      </c>
      <c r="M275" t="n">
        <v/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Cash flows</t>
        </is>
      </c>
      <c r="B276" t="inlineStr">
        <is>
          <t>C35</t>
        </is>
      </c>
      <c r="C276" t="n">
        <v>35</v>
      </c>
      <c r="D276" t="n">
        <v>3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1</v>
      </c>
      <c r="K276" t="b">
        <v>0</v>
      </c>
      <c r="L276" t="n">
        <v>10</v>
      </c>
      <c r="M276" t="n">
        <v/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Cash flows</t>
        </is>
      </c>
      <c r="B277" t="inlineStr">
        <is>
          <t>D35</t>
        </is>
      </c>
      <c r="C277" t="n">
        <v>35</v>
      </c>
      <c r="D277" t="n">
        <v>4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1</v>
      </c>
      <c r="K277" t="b">
        <v>0</v>
      </c>
      <c r="L277" t="n">
        <v>10</v>
      </c>
      <c r="M277" t="n">
        <v/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Cash flows</t>
        </is>
      </c>
      <c r="B278" t="inlineStr">
        <is>
          <t>E35</t>
        </is>
      </c>
      <c r="C278" t="n">
        <v>35</v>
      </c>
      <c r="D278" t="n">
        <v>5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10</v>
      </c>
      <c r="M278" t="n">
        <v/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Cash flows</t>
        </is>
      </c>
      <c r="B279" t="inlineStr">
        <is>
          <t>F35</t>
        </is>
      </c>
      <c r="C279" t="n">
        <v>35</v>
      </c>
      <c r="D279" t="n">
        <v>6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1</v>
      </c>
      <c r="K279" t="b">
        <v>0</v>
      </c>
      <c r="L279" t="n">
        <v>10</v>
      </c>
      <c r="M279" t="n">
        <v/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Cash flows</t>
        </is>
      </c>
      <c r="B280" t="inlineStr">
        <is>
          <t>G35</t>
        </is>
      </c>
      <c r="C280" t="n">
        <v>35</v>
      </c>
      <c r="D280" t="n">
        <v>7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10</v>
      </c>
      <c r="M280" t="n">
        <v/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Cash flows</t>
        </is>
      </c>
      <c r="B281" t="inlineStr">
        <is>
          <t>H35</t>
        </is>
      </c>
      <c r="C281" t="n">
        <v>35</v>
      </c>
      <c r="D281" t="n">
        <v>8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10</v>
      </c>
      <c r="M281" t="n">
        <v/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Cash flows</t>
        </is>
      </c>
      <c r="B282" t="inlineStr">
        <is>
          <t>I35</t>
        </is>
      </c>
      <c r="C282" t="n">
        <v>35</v>
      </c>
      <c r="D282" t="n">
        <v>9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10</v>
      </c>
      <c r="M282" t="n">
        <v/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Cash flows</t>
        </is>
      </c>
      <c r="B283" t="inlineStr">
        <is>
          <t>A36</t>
        </is>
      </c>
      <c r="C283" t="n">
        <v>36</v>
      </c>
      <c r="D283" t="n">
        <v>1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10</v>
      </c>
      <c r="M283" t="n">
        <v/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Cash flows</t>
        </is>
      </c>
      <c r="B284" t="inlineStr">
        <is>
          <t>B36</t>
        </is>
      </c>
      <c r="C284" t="n">
        <v>36</v>
      </c>
      <c r="D284" t="n">
        <v>2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1</v>
      </c>
      <c r="K284" t="b">
        <v>0</v>
      </c>
      <c r="L284" t="n">
        <v>10</v>
      </c>
      <c r="M284" t="n">
        <v/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Cash flows</t>
        </is>
      </c>
      <c r="B285" t="inlineStr">
        <is>
          <t>C36</t>
        </is>
      </c>
      <c r="C285" t="n">
        <v>36</v>
      </c>
      <c r="D285" t="n">
        <v>3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1</v>
      </c>
      <c r="K285" t="b">
        <v>0</v>
      </c>
      <c r="L285" t="n">
        <v>10</v>
      </c>
      <c r="M285" t="n">
        <v/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Cash flows</t>
        </is>
      </c>
      <c r="B286" t="inlineStr">
        <is>
          <t>D36</t>
        </is>
      </c>
      <c r="C286" t="n">
        <v>36</v>
      </c>
      <c r="D286" t="n">
        <v>4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1</v>
      </c>
      <c r="K286" t="b">
        <v>0</v>
      </c>
      <c r="L286" t="n">
        <v>10</v>
      </c>
      <c r="M286" t="n">
        <v/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Cash flows</t>
        </is>
      </c>
      <c r="B287" t="inlineStr">
        <is>
          <t>E36</t>
        </is>
      </c>
      <c r="C287" t="n">
        <v>36</v>
      </c>
      <c r="D287" t="n">
        <v>5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1</v>
      </c>
      <c r="K287" t="b">
        <v>0</v>
      </c>
      <c r="L287" t="n">
        <v>10</v>
      </c>
      <c r="M287" t="n">
        <v/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Cash flows</t>
        </is>
      </c>
      <c r="B288" t="inlineStr">
        <is>
          <t>F36</t>
        </is>
      </c>
      <c r="C288" t="n">
        <v>36</v>
      </c>
      <c r="D288" t="n">
        <v>6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1</v>
      </c>
      <c r="K288" t="b">
        <v>0</v>
      </c>
      <c r="L288" t="n">
        <v>10</v>
      </c>
      <c r="M288" t="n">
        <v/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Cash flows</t>
        </is>
      </c>
      <c r="B289" t="inlineStr">
        <is>
          <t>G36</t>
        </is>
      </c>
      <c r="C289" t="n">
        <v>36</v>
      </c>
      <c r="D289" t="n">
        <v>7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1</v>
      </c>
      <c r="K289" t="b">
        <v>0</v>
      </c>
      <c r="L289" t="n">
        <v>10</v>
      </c>
      <c r="M289" t="n">
        <v/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Cash flows</t>
        </is>
      </c>
      <c r="B290" t="inlineStr">
        <is>
          <t>H36</t>
        </is>
      </c>
      <c r="C290" t="n">
        <v>36</v>
      </c>
      <c r="D290" t="n">
        <v>8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1</v>
      </c>
      <c r="K290" t="b">
        <v>0</v>
      </c>
      <c r="L290" t="n">
        <v>10</v>
      </c>
      <c r="M290" t="n">
        <v/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  <row r="291">
      <c r="A291" t="inlineStr">
        <is>
          <t>Cash flows</t>
        </is>
      </c>
      <c r="B291" t="inlineStr">
        <is>
          <t>I36</t>
        </is>
      </c>
      <c r="C291" t="n">
        <v>36</v>
      </c>
      <c r="D291" t="n">
        <v>9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1</v>
      </c>
      <c r="K291" t="b">
        <v>0</v>
      </c>
      <c r="L291" t="n">
        <v>10</v>
      </c>
      <c r="M291" t="n">
        <v/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/home/nitish/Documents/github/Excel-To-Python/Codex/ExcelFiles/statmnts.xls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/home/nitish/Documents/github/Excel-To-Python/Codex/.cache/normalized/statmnts.xlsx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["Instructions", "Operations", "Financing", "Income", "Balance sheet", "Cash flows"]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"2026-03-05T04:05:45.000835+00:00"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Instructions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Instructions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Instructions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Instructions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Instructions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Instructions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Operations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Operations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Operations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Operations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Operations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Operations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Financing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Financing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Financing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Financing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Financing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Financing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Income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Income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Income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Income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Income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Income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Balance sheet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Balance sheet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Balance sheet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Balance sheet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Balance sheet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Balance sheet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Cash flows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Cash flows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Cash flows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Cash flows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Cash flows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Cash flows</t>
        </is>
      </c>
      <c r="C42" t="inlineStr">
        <is>
          <t>ColumnDimensions</t>
        </is>
      </c>
      <c r="D4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  <row r="2">
      <c r="A2" t="inlineStr">
        <is>
          <t>G000001</t>
        </is>
      </c>
      <c r="B2" t="inlineStr">
        <is>
          <t>Operations</t>
        </is>
      </c>
      <c r="C2" t="inlineStr">
        <is>
          <t>Horizontal</t>
        </is>
      </c>
      <c r="D2" t="n">
        <v>4</v>
      </c>
      <c r="E2" t="inlineStr">
        <is>
          <t>Operations!B24:E24</t>
        </is>
      </c>
      <c r="F2" t="inlineStr">
        <is>
          <t>'=0.5*R[-18]C[0]+0.5*R[-18]C[1]</t>
        </is>
      </c>
      <c r="G2" t="inlineStr">
        <is>
          <t>Vectorizable</t>
        </is>
      </c>
    </row>
    <row r="3">
      <c r="A3" t="inlineStr">
        <is>
          <t>G000002</t>
        </is>
      </c>
      <c r="B3" t="inlineStr">
        <is>
          <t>Operations</t>
        </is>
      </c>
      <c r="C3" t="inlineStr">
        <is>
          <t>Horizontal</t>
        </is>
      </c>
      <c r="D3" t="n">
        <v>4</v>
      </c>
      <c r="E3" t="inlineStr">
        <is>
          <t>Operations!B25:E25</t>
        </is>
      </c>
      <c r="F3" t="inlineStr">
        <is>
          <t>'=0.5*R[-19]C[0]*R[-18]C[0]+0.5*R[-19]C[1]*R[-18]C[1]</t>
        </is>
      </c>
      <c r="G3" t="inlineStr">
        <is>
          <t>Vectorizable</t>
        </is>
      </c>
    </row>
    <row r="4">
      <c r="A4" t="inlineStr">
        <is>
          <t>G000003</t>
        </is>
      </c>
      <c r="B4" t="inlineStr">
        <is>
          <t>Operations</t>
        </is>
      </c>
      <c r="C4" t="inlineStr">
        <is>
          <t>Horizontal</t>
        </is>
      </c>
      <c r="D4" t="n">
        <v>4</v>
      </c>
      <c r="E4" t="inlineStr">
        <is>
          <t>Operations!B26:E26</t>
        </is>
      </c>
      <c r="F4" t="inlineStr">
        <is>
          <t>'=R[-15]C[0]*R[-1]C[0]</t>
        </is>
      </c>
      <c r="G4" t="inlineStr">
        <is>
          <t>Vectorizable</t>
        </is>
      </c>
    </row>
    <row r="5">
      <c r="A5" t="inlineStr">
        <is>
          <t>G000004</t>
        </is>
      </c>
      <c r="B5" t="inlineStr">
        <is>
          <t>Operations</t>
        </is>
      </c>
      <c r="C5" t="inlineStr">
        <is>
          <t>Horizontal</t>
        </is>
      </c>
      <c r="D5" t="n">
        <v>4</v>
      </c>
      <c r="E5" t="inlineStr">
        <is>
          <t>Operations!B27:E27</t>
        </is>
      </c>
      <c r="F5" t="inlineStr">
        <is>
          <t>'=R[-15]C[0]*R[-3]C[0]</t>
        </is>
      </c>
      <c r="G5" t="inlineStr">
        <is>
          <t>Vectorizable</t>
        </is>
      </c>
    </row>
    <row r="6">
      <c r="A6" t="inlineStr">
        <is>
          <t>G000005</t>
        </is>
      </c>
      <c r="B6" t="inlineStr">
        <is>
          <t>Operations</t>
        </is>
      </c>
      <c r="C6" t="inlineStr">
        <is>
          <t>Horizontal</t>
        </is>
      </c>
      <c r="D6" t="n">
        <v>3</v>
      </c>
      <c r="E6" t="inlineStr">
        <is>
          <t>Operations!C28:E28</t>
        </is>
      </c>
      <c r="F6" t="inlineStr">
        <is>
          <t>'=R[-15]C[0]*R[-4]C[0]</t>
        </is>
      </c>
      <c r="G6" t="inlineStr">
        <is>
          <t>Vectorizable</t>
        </is>
      </c>
    </row>
    <row r="7">
      <c r="A7" t="inlineStr">
        <is>
          <t>G000006</t>
        </is>
      </c>
      <c r="B7" t="inlineStr">
        <is>
          <t>Operations</t>
        </is>
      </c>
      <c r="C7" t="inlineStr">
        <is>
          <t>Horizontal</t>
        </is>
      </c>
      <c r="D7" t="n">
        <v>4</v>
      </c>
      <c r="E7" t="inlineStr">
        <is>
          <t>Operations!B29:E29</t>
        </is>
      </c>
      <c r="F7" t="inlineStr">
        <is>
          <t>'=R[-15]C[0]*R[-4]C[0]</t>
        </is>
      </c>
      <c r="G7" t="inlineStr">
        <is>
          <t>Vectorizable</t>
        </is>
      </c>
    </row>
    <row r="8">
      <c r="A8" t="inlineStr">
        <is>
          <t>G000007</t>
        </is>
      </c>
      <c r="B8" t="inlineStr">
        <is>
          <t>Financing</t>
        </is>
      </c>
      <c r="C8" t="inlineStr">
        <is>
          <t>Horizontal</t>
        </is>
      </c>
      <c r="D8" t="n">
        <v>3</v>
      </c>
      <c r="E8" t="inlineStr">
        <is>
          <t>Financing!C22:E22</t>
        </is>
      </c>
      <c r="F8" t="inlineStr">
        <is>
          <t>'=R4C2*(R[-13]C[-1]+R[-13]C[0])/2</t>
        </is>
      </c>
      <c r="G8" t="inlineStr">
        <is>
          <t>Vectorizable</t>
        </is>
      </c>
    </row>
    <row r="9">
      <c r="A9" t="inlineStr">
        <is>
          <t>G000008</t>
        </is>
      </c>
      <c r="B9" t="inlineStr">
        <is>
          <t>Financing</t>
        </is>
      </c>
      <c r="C9" t="inlineStr">
        <is>
          <t>Horizontal</t>
        </is>
      </c>
      <c r="D9" t="n">
        <v>3</v>
      </c>
      <c r="E9" t="inlineStr">
        <is>
          <t>Financing!C23:E23</t>
        </is>
      </c>
      <c r="F9" t="inlineStr">
        <is>
          <t>'=R5C2*(R[-13]C[-1]+R[-13]C[0])/2</t>
        </is>
      </c>
      <c r="G9" t="inlineStr">
        <is>
          <t>Vectorizable</t>
        </is>
      </c>
    </row>
    <row r="10">
      <c r="A10" t="inlineStr">
        <is>
          <t>G000009</t>
        </is>
      </c>
      <c r="B10" t="inlineStr">
        <is>
          <t>Financing</t>
        </is>
      </c>
      <c r="C10" t="inlineStr">
        <is>
          <t>Horizontal</t>
        </is>
      </c>
      <c r="D10" t="n">
        <v>3</v>
      </c>
      <c r="E10" t="inlineStr">
        <is>
          <t>Financing!C24:E24</t>
        </is>
      </c>
      <c r="F10" t="inlineStr">
        <is>
          <t>'=R[-2]C[0]+R[-1]C[0]</t>
        </is>
      </c>
      <c r="G10" t="inlineStr">
        <is>
          <t>Vectorizable</t>
        </is>
      </c>
    </row>
    <row r="11">
      <c r="A11" t="inlineStr">
        <is>
          <t>G000010</t>
        </is>
      </c>
      <c r="B11" t="inlineStr">
        <is>
          <t>Financing</t>
        </is>
      </c>
      <c r="C11" t="inlineStr">
        <is>
          <t>Horizontal</t>
        </is>
      </c>
      <c r="D11" t="n">
        <v>4</v>
      </c>
      <c r="E11" t="inlineStr">
        <is>
          <t>Financing!B32:E32</t>
        </is>
      </c>
      <c r="F11" t="inlineStr">
        <is>
          <t>'=R[-2]C[0]+R[-1]C[0]</t>
        </is>
      </c>
      <c r="G11" t="inlineStr">
        <is>
          <t>Vectorizable</t>
        </is>
      </c>
    </row>
    <row r="12">
      <c r="A12" t="inlineStr">
        <is>
          <t>G000011</t>
        </is>
      </c>
      <c r="B12" t="inlineStr">
        <is>
          <t>Financing</t>
        </is>
      </c>
      <c r="C12" t="inlineStr">
        <is>
          <t>Horizontal</t>
        </is>
      </c>
      <c r="D12" t="n">
        <v>4</v>
      </c>
      <c r="E12" t="inlineStr">
        <is>
          <t>Financing!B34:E34</t>
        </is>
      </c>
      <c r="F12" t="inlineStr">
        <is>
          <t>'=R[-2]C[0]+R[-1]C[0]</t>
        </is>
      </c>
      <c r="G12" t="inlineStr">
        <is>
          <t>Vectorizable</t>
        </is>
      </c>
    </row>
    <row r="13">
      <c r="A13" t="inlineStr">
        <is>
          <t>G000012</t>
        </is>
      </c>
      <c r="B13" t="inlineStr">
        <is>
          <t>Financing</t>
        </is>
      </c>
      <c r="C13" t="inlineStr">
        <is>
          <t>Horizontal</t>
        </is>
      </c>
      <c r="D13" t="n">
        <v>3</v>
      </c>
      <c r="E13" t="inlineStr">
        <is>
          <t>Financing!C30:E30</t>
        </is>
      </c>
      <c r="F13" t="inlineStr">
        <is>
          <t>'=R[2]C[-1]</t>
        </is>
      </c>
      <c r="G13" t="inlineStr">
        <is>
          <t>Vectorizable</t>
        </is>
      </c>
    </row>
    <row r="14">
      <c r="A14" t="inlineStr">
        <is>
          <t>G000013</t>
        </is>
      </c>
      <c r="B14" t="inlineStr">
        <is>
          <t>Financing</t>
        </is>
      </c>
      <c r="C14" t="inlineStr">
        <is>
          <t>Horizontal</t>
        </is>
      </c>
      <c r="D14" t="n">
        <v>4</v>
      </c>
      <c r="E14" t="inlineStr">
        <is>
          <t>Financing!B31:E31</t>
        </is>
      </c>
      <c r="F14" t="inlineStr">
        <is>
          <t>'='Cash flows'!R[-13]C[0]</t>
        </is>
      </c>
      <c r="G14" t="inlineStr">
        <is>
          <t>Vectorizable</t>
        </is>
      </c>
    </row>
    <row r="15">
      <c r="A15" t="inlineStr">
        <is>
          <t>G000014</t>
        </is>
      </c>
      <c r="B15" t="inlineStr">
        <is>
          <t>Financing</t>
        </is>
      </c>
      <c r="C15" t="inlineStr">
        <is>
          <t>Horizontal</t>
        </is>
      </c>
      <c r="D15" t="n">
        <v>4</v>
      </c>
      <c r="E15" t="inlineStr">
        <is>
          <t>Financing!B33:E33</t>
        </is>
      </c>
      <c r="F15" t="inlineStr">
        <is>
          <t>'=-'Operations'!R[-6]C[0]</t>
        </is>
      </c>
      <c r="G15" t="inlineStr">
        <is>
          <t>Vectorizable</t>
        </is>
      </c>
    </row>
    <row r="16">
      <c r="A16" t="inlineStr">
        <is>
          <t>G000015</t>
        </is>
      </c>
      <c r="B16" t="inlineStr">
        <is>
          <t>Income</t>
        </is>
      </c>
      <c r="C16" t="inlineStr">
        <is>
          <t>Horizontal</t>
        </is>
      </c>
      <c r="D16" t="n">
        <v>3</v>
      </c>
      <c r="E16" t="inlineStr">
        <is>
          <t>Income!C5:E5</t>
        </is>
      </c>
      <c r="F16" t="inlineStr">
        <is>
          <t>'='Operations'!R[1]C[0]</t>
        </is>
      </c>
      <c r="G16" t="inlineStr">
        <is>
          <t>Vectorizable</t>
        </is>
      </c>
    </row>
    <row r="17">
      <c r="A17" t="inlineStr">
        <is>
          <t>G000016</t>
        </is>
      </c>
      <c r="B17" t="inlineStr">
        <is>
          <t>Income</t>
        </is>
      </c>
      <c r="C17" t="inlineStr">
        <is>
          <t>Horizontal</t>
        </is>
      </c>
      <c r="D17" t="n">
        <v>3</v>
      </c>
      <c r="E17" t="inlineStr">
        <is>
          <t>Income!C6:E6</t>
        </is>
      </c>
      <c r="F17" t="inlineStr">
        <is>
          <t>'=-'Operations'!R[1]C[0]*'Operations'!R[0]C[0]</t>
        </is>
      </c>
      <c r="G17" t="inlineStr">
        <is>
          <t>Vectorizable</t>
        </is>
      </c>
    </row>
    <row r="18">
      <c r="A18" t="inlineStr">
        <is>
          <t>G000017</t>
        </is>
      </c>
      <c r="B18" t="inlineStr">
        <is>
          <t>Income</t>
        </is>
      </c>
      <c r="C18" t="inlineStr">
        <is>
          <t>Horizontal</t>
        </is>
      </c>
      <c r="D18" t="n">
        <v>3</v>
      </c>
      <c r="E18" t="inlineStr">
        <is>
          <t>Income!C7:E7</t>
        </is>
      </c>
      <c r="F18" t="inlineStr">
        <is>
          <t>'=R[-2]C[0]+R[-1]C[0]</t>
        </is>
      </c>
      <c r="G18" t="inlineStr">
        <is>
          <t>Vectorizable</t>
        </is>
      </c>
    </row>
    <row r="19">
      <c r="A19" t="inlineStr">
        <is>
          <t>G000018</t>
        </is>
      </c>
      <c r="B19" t="inlineStr">
        <is>
          <t>Income</t>
        </is>
      </c>
      <c r="C19" t="inlineStr">
        <is>
          <t>Horizontal</t>
        </is>
      </c>
      <c r="D19" t="n">
        <v>3</v>
      </c>
      <c r="E19" t="inlineStr">
        <is>
          <t>Income!C12:E12</t>
        </is>
      </c>
      <c r="F19" t="inlineStr">
        <is>
          <t>'=R[-2]C[0]+R[-1]C[0]</t>
        </is>
      </c>
      <c r="G19" t="inlineStr">
        <is>
          <t>Vectorizable</t>
        </is>
      </c>
    </row>
    <row r="20">
      <c r="A20" t="inlineStr">
        <is>
          <t>G000019</t>
        </is>
      </c>
      <c r="B20" t="inlineStr">
        <is>
          <t>Income</t>
        </is>
      </c>
      <c r="C20" t="inlineStr">
        <is>
          <t>Horizontal</t>
        </is>
      </c>
      <c r="D20" t="n">
        <v>3</v>
      </c>
      <c r="E20" t="inlineStr">
        <is>
          <t>Income!C19:E19</t>
        </is>
      </c>
      <c r="F20" t="inlineStr">
        <is>
          <t>'=R[-2]C[0]+R[-1]C[0]</t>
        </is>
      </c>
      <c r="G20" t="inlineStr">
        <is>
          <t>Vectorizable</t>
        </is>
      </c>
    </row>
    <row r="21">
      <c r="A21" t="inlineStr">
        <is>
          <t>G000020</t>
        </is>
      </c>
      <c r="B21" t="inlineStr">
        <is>
          <t>Income</t>
        </is>
      </c>
      <c r="C21" t="inlineStr">
        <is>
          <t>Horizontal</t>
        </is>
      </c>
      <c r="D21" t="n">
        <v>3</v>
      </c>
      <c r="E21" t="inlineStr">
        <is>
          <t>Income!C8:E8</t>
        </is>
      </c>
      <c r="F21" t="inlineStr">
        <is>
          <t>'=-'Operations'!R[0]C[0]*'Operations'!R[-2]C[0]</t>
        </is>
      </c>
      <c r="G21" t="inlineStr">
        <is>
          <t>Vectorizable</t>
        </is>
      </c>
    </row>
    <row r="22">
      <c r="A22" t="inlineStr">
        <is>
          <t>G000021</t>
        </is>
      </c>
      <c r="B22" t="inlineStr">
        <is>
          <t>Income</t>
        </is>
      </c>
      <c r="C22" t="inlineStr">
        <is>
          <t>Horizontal</t>
        </is>
      </c>
      <c r="D22" t="n">
        <v>3</v>
      </c>
      <c r="E22" t="inlineStr">
        <is>
          <t>Income!C9:E9</t>
        </is>
      </c>
      <c r="F22" t="inlineStr">
        <is>
          <t>'=-'Operations'!R[8]C[0]</t>
        </is>
      </c>
      <c r="G22" t="inlineStr">
        <is>
          <t>Vectorizable</t>
        </is>
      </c>
    </row>
    <row r="23">
      <c r="A23" t="inlineStr">
        <is>
          <t>G000022</t>
        </is>
      </c>
      <c r="B23" t="inlineStr">
        <is>
          <t>Income</t>
        </is>
      </c>
      <c r="C23" t="inlineStr">
        <is>
          <t>Horizontal</t>
        </is>
      </c>
      <c r="D23" t="n">
        <v>3</v>
      </c>
      <c r="E23" t="inlineStr">
        <is>
          <t>Income!C10:E10</t>
        </is>
      </c>
      <c r="F23" t="inlineStr">
        <is>
          <t>'=SUM(R[-3]C[0]:R[-1]C[0])</t>
        </is>
      </c>
      <c r="G23" t="inlineStr">
        <is>
          <t>Vectorizable</t>
        </is>
      </c>
    </row>
    <row r="24">
      <c r="A24" t="inlineStr">
        <is>
          <t>G000023</t>
        </is>
      </c>
      <c r="B24" t="inlineStr">
        <is>
          <t>Income</t>
        </is>
      </c>
      <c r="C24" t="inlineStr">
        <is>
          <t>Horizontal</t>
        </is>
      </c>
      <c r="D24" t="n">
        <v>3</v>
      </c>
      <c r="E24" t="inlineStr">
        <is>
          <t>Income!C11:E11</t>
        </is>
      </c>
      <c r="F24" t="inlineStr">
        <is>
          <t>'=-'Financing'!R[13]C[0]</t>
        </is>
      </c>
      <c r="G24" t="inlineStr">
        <is>
          <t>Vectorizable</t>
        </is>
      </c>
    </row>
    <row r="25">
      <c r="A25" t="inlineStr">
        <is>
          <t>G000024</t>
        </is>
      </c>
      <c r="B25" t="inlineStr">
        <is>
          <t>Income</t>
        </is>
      </c>
      <c r="C25" t="inlineStr">
        <is>
          <t>Horizontal</t>
        </is>
      </c>
      <c r="D25" t="n">
        <v>2</v>
      </c>
      <c r="E25" t="inlineStr">
        <is>
          <t>Income!D14:E14</t>
        </is>
      </c>
      <c r="F25" t="inlineStr">
        <is>
          <t>'=R[0]C[-1]+R[-2]C[0]</t>
        </is>
      </c>
      <c r="G25" t="inlineStr">
        <is>
          <t>Vectorizable</t>
        </is>
      </c>
    </row>
    <row r="26">
      <c r="A26" t="inlineStr">
        <is>
          <t>G000025</t>
        </is>
      </c>
      <c r="B26" t="inlineStr">
        <is>
          <t>Income</t>
        </is>
      </c>
      <c r="C26" t="inlineStr">
        <is>
          <t>Horizontal</t>
        </is>
      </c>
      <c r="D26" t="n">
        <v>3</v>
      </c>
      <c r="E26" t="inlineStr">
        <is>
          <t>Income!C15:E15</t>
        </is>
      </c>
      <c r="F26" t="inlineStr">
        <is>
          <t>'=IF(R[-1]C[-1]&gt;=0,MAX('Operations'!R[-6]C[0]*R[-3]C[0],-'Operations'!R[-6]C[0]*R[-1]C[-1]),MAX(0,'Operations'!R[-6]C[0]*(R[-3]C[0]+R[-1]C[-1])))</t>
        </is>
      </c>
      <c r="G26" t="inlineStr">
        <is>
          <t>Vectorizable</t>
        </is>
      </c>
    </row>
    <row r="27">
      <c r="A27" t="inlineStr">
        <is>
          <t>G000026</t>
        </is>
      </c>
      <c r="B27" t="inlineStr">
        <is>
          <t>Income</t>
        </is>
      </c>
      <c r="C27" t="inlineStr">
        <is>
          <t>Horizontal</t>
        </is>
      </c>
      <c r="D27" t="n">
        <v>3</v>
      </c>
      <c r="E27" t="inlineStr">
        <is>
          <t>Income!C17:E17</t>
        </is>
      </c>
      <c r="F27" t="inlineStr">
        <is>
          <t>'=R[-5]C[0]</t>
        </is>
      </c>
      <c r="G27" t="inlineStr">
        <is>
          <t>Vectorizable</t>
        </is>
      </c>
    </row>
    <row r="28">
      <c r="A28" t="inlineStr">
        <is>
          <t>G000027</t>
        </is>
      </c>
      <c r="B28" t="inlineStr">
        <is>
          <t>Income</t>
        </is>
      </c>
      <c r="C28" t="inlineStr">
        <is>
          <t>Horizontal</t>
        </is>
      </c>
      <c r="D28" t="n">
        <v>3</v>
      </c>
      <c r="E28" t="inlineStr">
        <is>
          <t>Income!C18:E18</t>
        </is>
      </c>
      <c r="F28" t="inlineStr">
        <is>
          <t>'=-R[-3]C[0]</t>
        </is>
      </c>
      <c r="G28" t="inlineStr">
        <is>
          <t>Vectorizable</t>
        </is>
      </c>
    </row>
    <row r="29">
      <c r="A29" t="inlineStr">
        <is>
          <t>G000028</t>
        </is>
      </c>
      <c r="B29" t="inlineStr">
        <is>
          <t>Balance sheet</t>
        </is>
      </c>
      <c r="C29" t="inlineStr">
        <is>
          <t>Horizontal</t>
        </is>
      </c>
      <c r="D29" t="n">
        <v>4</v>
      </c>
      <c r="E29" t="inlineStr">
        <is>
          <t>Balance sheet!B6:E6</t>
        </is>
      </c>
      <c r="F29" t="inlineStr">
        <is>
          <t>'='Financing'!R[26]C[0]</t>
        </is>
      </c>
      <c r="G29" t="inlineStr">
        <is>
          <t>Vectorizable</t>
        </is>
      </c>
    </row>
    <row r="30">
      <c r="A30" t="inlineStr">
        <is>
          <t>G000029</t>
        </is>
      </c>
      <c r="B30" t="inlineStr">
        <is>
          <t>Balance sheet</t>
        </is>
      </c>
      <c r="C30" t="inlineStr">
        <is>
          <t>Horizontal</t>
        </is>
      </c>
      <c r="D30" t="n">
        <v>4</v>
      </c>
      <c r="E30" t="inlineStr">
        <is>
          <t>Balance sheet!B7:E7</t>
        </is>
      </c>
      <c r="F30" t="inlineStr">
        <is>
          <t>'='Operations'!R[19]C[0]</t>
        </is>
      </c>
      <c r="G30" t="inlineStr">
        <is>
          <t>Vectorizable</t>
        </is>
      </c>
    </row>
    <row r="31">
      <c r="A31" t="inlineStr">
        <is>
          <t>G000030</t>
        </is>
      </c>
      <c r="B31" t="inlineStr">
        <is>
          <t>Balance sheet</t>
        </is>
      </c>
      <c r="C31" t="inlineStr">
        <is>
          <t>Horizontal</t>
        </is>
      </c>
      <c r="D31" t="n">
        <v>4</v>
      </c>
      <c r="E31" t="inlineStr">
        <is>
          <t>Balance sheet!B8:E8</t>
        </is>
      </c>
      <c r="F31" t="inlineStr">
        <is>
          <t>'='Operations'!R[20]C[0]</t>
        </is>
      </c>
      <c r="G31" t="inlineStr">
        <is>
          <t>Vectorizable</t>
        </is>
      </c>
    </row>
    <row r="32">
      <c r="A32" t="inlineStr">
        <is>
          <t>G000031</t>
        </is>
      </c>
      <c r="B32" t="inlineStr">
        <is>
          <t>Balance sheet</t>
        </is>
      </c>
      <c r="C32" t="inlineStr">
        <is>
          <t>Horizontal</t>
        </is>
      </c>
      <c r="D32" t="n">
        <v>4</v>
      </c>
      <c r="E32" t="inlineStr">
        <is>
          <t>Balance sheet!B9:E9</t>
        </is>
      </c>
      <c r="F32" t="inlineStr">
        <is>
          <t>'=SUM(R[-3]C[0]:R[-1]C[0])</t>
        </is>
      </c>
      <c r="G32" t="inlineStr">
        <is>
          <t>Vectorizable</t>
        </is>
      </c>
    </row>
    <row r="33">
      <c r="A33" t="inlineStr">
        <is>
          <t>G000032</t>
        </is>
      </c>
      <c r="B33" t="inlineStr">
        <is>
          <t>Balance sheet</t>
        </is>
      </c>
      <c r="C33" t="inlineStr">
        <is>
          <t>Horizontal</t>
        </is>
      </c>
      <c r="D33" t="n">
        <v>3</v>
      </c>
      <c r="E33" t="inlineStr">
        <is>
          <t>Balance sheet!C11:E11</t>
        </is>
      </c>
      <c r="F33" t="inlineStr">
        <is>
          <t>'=R[0]C[-1]+'Operations'!R[5]C[0]</t>
        </is>
      </c>
      <c r="G33" t="inlineStr">
        <is>
          <t>Vectorizable</t>
        </is>
      </c>
    </row>
    <row r="34">
      <c r="A34" t="inlineStr">
        <is>
          <t>G000033</t>
        </is>
      </c>
      <c r="B34" t="inlineStr">
        <is>
          <t>Balance sheet</t>
        </is>
      </c>
      <c r="C34" t="inlineStr">
        <is>
          <t>Horizontal</t>
        </is>
      </c>
      <c r="D34" t="n">
        <v>3</v>
      </c>
      <c r="E34" t="inlineStr">
        <is>
          <t>Balance sheet!C12:E12</t>
        </is>
      </c>
      <c r="F34" t="inlineStr">
        <is>
          <t>'=R[0]C[-1]-'Operations'!R[5]C[0]</t>
        </is>
      </c>
      <c r="G34" t="inlineStr">
        <is>
          <t>Vectorizable</t>
        </is>
      </c>
    </row>
    <row r="35">
      <c r="A35" t="inlineStr">
        <is>
          <t>G000034</t>
        </is>
      </c>
      <c r="B35" t="inlineStr">
        <is>
          <t>Balance sheet</t>
        </is>
      </c>
      <c r="C35" t="inlineStr">
        <is>
          <t>Horizontal</t>
        </is>
      </c>
      <c r="D35" t="n">
        <v>4</v>
      </c>
      <c r="E35" t="inlineStr">
        <is>
          <t>Balance sheet!B13:E13</t>
        </is>
      </c>
      <c r="F35" t="inlineStr">
        <is>
          <t>'=R[-2]C[0]+R[-1]C[0]</t>
        </is>
      </c>
      <c r="G35" t="inlineStr">
        <is>
          <t>Vectorizable</t>
        </is>
      </c>
    </row>
    <row r="36">
      <c r="A36" t="inlineStr">
        <is>
          <t>G000035</t>
        </is>
      </c>
      <c r="B36" t="inlineStr">
        <is>
          <t>Balance sheet</t>
        </is>
      </c>
      <c r="C36" t="inlineStr">
        <is>
          <t>Horizontal</t>
        </is>
      </c>
      <c r="D36" t="n">
        <v>4</v>
      </c>
      <c r="E36" t="inlineStr">
        <is>
          <t>Balance sheet!B19:E19</t>
        </is>
      </c>
      <c r="F36" t="inlineStr">
        <is>
          <t>'=R[-2]C[0]+R[-1]C[0]</t>
        </is>
      </c>
      <c r="G36" t="inlineStr">
        <is>
          <t>Vectorizable</t>
        </is>
      </c>
    </row>
    <row r="37">
      <c r="A37" t="inlineStr">
        <is>
          <t>G000036</t>
        </is>
      </c>
      <c r="B37" t="inlineStr">
        <is>
          <t>Balance sheet</t>
        </is>
      </c>
      <c r="C37" t="inlineStr">
        <is>
          <t>Horizontal</t>
        </is>
      </c>
      <c r="D37" t="n">
        <v>4</v>
      </c>
      <c r="E37" t="inlineStr">
        <is>
          <t>Balance sheet!B23:E23</t>
        </is>
      </c>
      <c r="F37" t="inlineStr">
        <is>
          <t>'=R[-2]C[0]+R[-1]C[0]</t>
        </is>
      </c>
      <c r="G37" t="inlineStr">
        <is>
          <t>Vectorizable</t>
        </is>
      </c>
    </row>
    <row r="38">
      <c r="A38" t="inlineStr">
        <is>
          <t>G000037</t>
        </is>
      </c>
      <c r="B38" t="inlineStr">
        <is>
          <t>Balance sheet</t>
        </is>
      </c>
      <c r="C38" t="inlineStr">
        <is>
          <t>Horizontal</t>
        </is>
      </c>
      <c r="D38" t="n">
        <v>4</v>
      </c>
      <c r="E38" t="inlineStr">
        <is>
          <t>Balance sheet!B15:E15</t>
        </is>
      </c>
      <c r="F38" t="inlineStr">
        <is>
          <t>'=R[-6]C[0]+R[-2]C[0]</t>
        </is>
      </c>
      <c r="G38" t="inlineStr">
        <is>
          <t>Vectorizable</t>
        </is>
      </c>
    </row>
    <row r="39">
      <c r="A39" t="inlineStr">
        <is>
          <t>G000038</t>
        </is>
      </c>
      <c r="B39" t="inlineStr">
        <is>
          <t>Balance sheet</t>
        </is>
      </c>
      <c r="C39" t="inlineStr">
        <is>
          <t>Horizontal</t>
        </is>
      </c>
      <c r="D39" t="n">
        <v>4</v>
      </c>
      <c r="E39" t="inlineStr">
        <is>
          <t>Balance sheet!B25:E25</t>
        </is>
      </c>
      <c r="F39" t="inlineStr">
        <is>
          <t>'=R[-6]C[0]+R[-2]C[0]</t>
        </is>
      </c>
      <c r="G39" t="inlineStr">
        <is>
          <t>Vectorizable</t>
        </is>
      </c>
    </row>
    <row r="40">
      <c r="A40" t="inlineStr">
        <is>
          <t>G000039</t>
        </is>
      </c>
      <c r="B40" t="inlineStr">
        <is>
          <t>Balance sheet</t>
        </is>
      </c>
      <c r="C40" t="inlineStr">
        <is>
          <t>Horizontal</t>
        </is>
      </c>
      <c r="D40" t="n">
        <v>4</v>
      </c>
      <c r="E40" t="inlineStr">
        <is>
          <t>Balance sheet!B17:E17</t>
        </is>
      </c>
      <c r="F40" t="inlineStr">
        <is>
          <t>'='Operations'!R[12]C[0]</t>
        </is>
      </c>
      <c r="G40" t="inlineStr">
        <is>
          <t>Vectorizable</t>
        </is>
      </c>
    </row>
    <row r="41">
      <c r="A41" t="inlineStr">
        <is>
          <t>G000040</t>
        </is>
      </c>
      <c r="B41" t="inlineStr">
        <is>
          <t>Balance sheet</t>
        </is>
      </c>
      <c r="C41" t="inlineStr">
        <is>
          <t>Horizontal</t>
        </is>
      </c>
      <c r="D41" t="n">
        <v>4</v>
      </c>
      <c r="E41" t="inlineStr">
        <is>
          <t>Balance sheet!B18:E18</t>
        </is>
      </c>
      <c r="F41" t="inlineStr">
        <is>
          <t>'='Financing'!R[-8]C[0]</t>
        </is>
      </c>
      <c r="G41" t="inlineStr">
        <is>
          <t>Vectorizable</t>
        </is>
      </c>
    </row>
    <row r="42">
      <c r="A42" t="inlineStr">
        <is>
          <t>G000041</t>
        </is>
      </c>
      <c r="B42" t="inlineStr">
        <is>
          <t>Balance sheet</t>
        </is>
      </c>
      <c r="C42" t="inlineStr">
        <is>
          <t>Horizontal</t>
        </is>
      </c>
      <c r="D42" t="n">
        <v>4</v>
      </c>
      <c r="E42" t="inlineStr">
        <is>
          <t>Balance sheet!B21:E21</t>
        </is>
      </c>
      <c r="F42" t="inlineStr">
        <is>
          <t>'='Financing'!R[-12]C[0]</t>
        </is>
      </c>
      <c r="G42" t="inlineStr">
        <is>
          <t>Vectorizable</t>
        </is>
      </c>
    </row>
    <row r="43">
      <c r="A43" t="inlineStr">
        <is>
          <t>G000042</t>
        </is>
      </c>
      <c r="B43" t="inlineStr">
        <is>
          <t>Balance sheet</t>
        </is>
      </c>
      <c r="C43" t="inlineStr">
        <is>
          <t>Horizontal</t>
        </is>
      </c>
      <c r="D43" t="n">
        <v>3</v>
      </c>
      <c r="E43" t="inlineStr">
        <is>
          <t>Balance sheet!C22:E22</t>
        </is>
      </c>
      <c r="F43" t="inlineStr">
        <is>
          <t>'=R[0]C[-1]+'Financing'!R[-10]C[0]-'Financing'!R[-9]C[0]+'Income'!R[-3]C[0]</t>
        </is>
      </c>
      <c r="G43" t="inlineStr">
        <is>
          <t>Vectorizable</t>
        </is>
      </c>
    </row>
    <row r="44">
      <c r="A44" t="inlineStr">
        <is>
          <t>G000043</t>
        </is>
      </c>
      <c r="B44" t="inlineStr">
        <is>
          <t>Cash flows</t>
        </is>
      </c>
      <c r="C44" t="inlineStr">
        <is>
          <t>Horizontal</t>
        </is>
      </c>
      <c r="D44" t="n">
        <v>3</v>
      </c>
      <c r="E44" t="inlineStr">
        <is>
          <t>Cash flows!C6:E6</t>
        </is>
      </c>
      <c r="F44" t="inlineStr">
        <is>
          <t>'='Income'!R[13]C[0]</t>
        </is>
      </c>
      <c r="G44" t="inlineStr">
        <is>
          <t>Vectorizable</t>
        </is>
      </c>
    </row>
    <row r="45">
      <c r="A45" t="inlineStr">
        <is>
          <t>G000044</t>
        </is>
      </c>
      <c r="B45" t="inlineStr">
        <is>
          <t>Cash flows</t>
        </is>
      </c>
      <c r="C45" t="inlineStr">
        <is>
          <t>Horizontal</t>
        </is>
      </c>
      <c r="D45" t="n">
        <v>3</v>
      </c>
      <c r="E45" t="inlineStr">
        <is>
          <t>Cash flows!C7:E7</t>
        </is>
      </c>
      <c r="F45" t="inlineStr">
        <is>
          <t>'='Operations'!R[10]C[0]</t>
        </is>
      </c>
      <c r="G45" t="inlineStr">
        <is>
          <t>Vectorizable</t>
        </is>
      </c>
    </row>
    <row r="46">
      <c r="A46" t="inlineStr">
        <is>
          <t>G000045</t>
        </is>
      </c>
      <c r="B46" t="inlineStr">
        <is>
          <t>Cash flows</t>
        </is>
      </c>
      <c r="C46" t="inlineStr">
        <is>
          <t>Vertical</t>
        </is>
      </c>
      <c r="D46" t="n">
        <v>2</v>
      </c>
      <c r="E46" t="inlineStr">
        <is>
          <t>Cash flows!B8:B9</t>
        </is>
      </c>
      <c r="F46" t="inlineStr">
        <is>
          <t>'=-'Balance sheet'!R[-1]C[0]</t>
        </is>
      </c>
      <c r="G46" t="inlineStr">
        <is>
          <t>Vectorizable</t>
        </is>
      </c>
    </row>
    <row r="47">
      <c r="A47" t="inlineStr">
        <is>
          <t>G000046</t>
        </is>
      </c>
      <c r="B47" t="inlineStr">
        <is>
          <t>Cash flows</t>
        </is>
      </c>
      <c r="C47" t="inlineStr">
        <is>
          <t>Horizontal</t>
        </is>
      </c>
      <c r="D47" t="n">
        <v>3</v>
      </c>
      <c r="E47" t="inlineStr">
        <is>
          <t>Cash flows!C8:E8</t>
        </is>
      </c>
      <c r="F47" t="inlineStr">
        <is>
          <t>'=-('Balance sheet'!R[-1]C[0]-'Balance sheet'!R[-1]C[-1])</t>
        </is>
      </c>
      <c r="G47" t="inlineStr">
        <is>
          <t>Vectorizable</t>
        </is>
      </c>
    </row>
    <row r="48">
      <c r="A48" t="inlineStr">
        <is>
          <t>G000047</t>
        </is>
      </c>
      <c r="B48" t="inlineStr">
        <is>
          <t>Cash flows</t>
        </is>
      </c>
      <c r="C48" t="inlineStr">
        <is>
          <t>Horizontal</t>
        </is>
      </c>
      <c r="D48" t="n">
        <v>3</v>
      </c>
      <c r="E48" t="inlineStr">
        <is>
          <t>Cash flows!C9:E9</t>
        </is>
      </c>
      <c r="F48" t="inlineStr">
        <is>
          <t>'=-('Balance sheet'!R[-1]C[0]-'Balance sheet'!R[-1]C[-1])</t>
        </is>
      </c>
      <c r="G48" t="inlineStr">
        <is>
          <t>Vectorizable</t>
        </is>
      </c>
    </row>
    <row r="49">
      <c r="A49" t="inlineStr">
        <is>
          <t>G000048</t>
        </is>
      </c>
      <c r="B49" t="inlineStr">
        <is>
          <t>Cash flows</t>
        </is>
      </c>
      <c r="C49" t="inlineStr">
        <is>
          <t>Horizontal</t>
        </is>
      </c>
      <c r="D49" t="n">
        <v>3</v>
      </c>
      <c r="E49" t="inlineStr">
        <is>
          <t>Cash flows!C10:E10</t>
        </is>
      </c>
      <c r="F49" t="inlineStr">
        <is>
          <t>'='Balance sheet'!R[7]C[0]-'Balance sheet'!R[7]C[-1]</t>
        </is>
      </c>
      <c r="G49" t="inlineStr">
        <is>
          <t>Vectorizable</t>
        </is>
      </c>
    </row>
    <row r="50">
      <c r="A50" t="inlineStr">
        <is>
          <t>G000049</t>
        </is>
      </c>
      <c r="B50" t="inlineStr">
        <is>
          <t>Cash flows</t>
        </is>
      </c>
      <c r="C50" t="inlineStr">
        <is>
          <t>Horizontal</t>
        </is>
      </c>
      <c r="D50" t="n">
        <v>4</v>
      </c>
      <c r="E50" t="inlineStr">
        <is>
          <t>Cash flows!B11:E11</t>
        </is>
      </c>
      <c r="F50" t="inlineStr">
        <is>
          <t>'=SUM(R[-5]C[0]:R[-1]C[0])</t>
        </is>
      </c>
      <c r="G50" t="inlineStr">
        <is>
          <t>Vectorizable</t>
        </is>
      </c>
    </row>
    <row r="51">
      <c r="A51" t="inlineStr">
        <is>
          <t>G000050</t>
        </is>
      </c>
      <c r="B51" t="inlineStr">
        <is>
          <t>Cash flows</t>
        </is>
      </c>
      <c r="C51" t="inlineStr">
        <is>
          <t>Horizontal</t>
        </is>
      </c>
      <c r="D51" t="n">
        <v>4</v>
      </c>
      <c r="E51" t="inlineStr">
        <is>
          <t>Cash flows!B18:E18</t>
        </is>
      </c>
      <c r="F51" t="inlineStr">
        <is>
          <t>'=SUM(R[-5]C[0]:R[-1]C[0])</t>
        </is>
      </c>
      <c r="G51" t="inlineStr">
        <is>
          <t>Vectorizable</t>
        </is>
      </c>
    </row>
    <row r="52">
      <c r="A52" t="inlineStr">
        <is>
          <t>G000051</t>
        </is>
      </c>
      <c r="B52" t="inlineStr">
        <is>
          <t>Cash flows</t>
        </is>
      </c>
      <c r="C52" t="inlineStr">
        <is>
          <t>Horizontal</t>
        </is>
      </c>
      <c r="D52" t="n">
        <v>4</v>
      </c>
      <c r="E52" t="inlineStr">
        <is>
          <t>Cash flows!B12:E12</t>
        </is>
      </c>
      <c r="F52" t="inlineStr">
        <is>
          <t>'=-'Operations'!R[4]C[0]</t>
        </is>
      </c>
      <c r="G52" t="inlineStr">
        <is>
          <t>Vectorizable</t>
        </is>
      </c>
    </row>
    <row r="53">
      <c r="A53" t="inlineStr">
        <is>
          <t>G000052</t>
        </is>
      </c>
      <c r="B53" t="inlineStr">
        <is>
          <t>Cash flows</t>
        </is>
      </c>
      <c r="C53" t="inlineStr">
        <is>
          <t>Horizontal</t>
        </is>
      </c>
      <c r="D53" t="n">
        <v>4</v>
      </c>
      <c r="E53" t="inlineStr">
        <is>
          <t>Cash flows!B13:E13</t>
        </is>
      </c>
      <c r="F53" t="inlineStr">
        <is>
          <t>'=R[-2]C[0]+R[-1]C[0]</t>
        </is>
      </c>
      <c r="G53" t="inlineStr">
        <is>
          <t>Vectorizable</t>
        </is>
      </c>
    </row>
    <row r="54">
      <c r="A54" t="inlineStr">
        <is>
          <t>G000053</t>
        </is>
      </c>
      <c r="B54" t="inlineStr">
        <is>
          <t>Cash flows</t>
        </is>
      </c>
      <c r="C54" t="inlineStr">
        <is>
          <t>Horizontal</t>
        </is>
      </c>
      <c r="D54" t="n">
        <v>4</v>
      </c>
      <c r="E54" t="inlineStr">
        <is>
          <t>Cash flows!B20:E20</t>
        </is>
      </c>
      <c r="F54" t="inlineStr">
        <is>
          <t>'=R[-2]C[0]+R[-1]C[0]</t>
        </is>
      </c>
      <c r="G54" t="inlineStr">
        <is>
          <t>Vectorizable</t>
        </is>
      </c>
    </row>
    <row r="55">
      <c r="A55" t="inlineStr">
        <is>
          <t>G000054</t>
        </is>
      </c>
      <c r="B55" t="inlineStr">
        <is>
          <t>Cash flows</t>
        </is>
      </c>
      <c r="C55" t="inlineStr">
        <is>
          <t>Horizontal</t>
        </is>
      </c>
      <c r="D55" t="n">
        <v>4</v>
      </c>
      <c r="E55" t="inlineStr">
        <is>
          <t>Cash flows!B14:E14</t>
        </is>
      </c>
      <c r="F55" t="inlineStr">
        <is>
          <t>'='Financing'!R[-2]C[0]</t>
        </is>
      </c>
      <c r="G55" t="inlineStr">
        <is>
          <t>Vectorizable</t>
        </is>
      </c>
    </row>
    <row r="56">
      <c r="A56" t="inlineStr">
        <is>
          <t>G000055</t>
        </is>
      </c>
      <c r="B56" t="inlineStr">
        <is>
          <t>Cash flows</t>
        </is>
      </c>
      <c r="C56" t="inlineStr">
        <is>
          <t>Horizontal</t>
        </is>
      </c>
      <c r="D56" t="n">
        <v>3</v>
      </c>
      <c r="E56" t="inlineStr">
        <is>
          <t>Cash flows!C15:E15</t>
        </is>
      </c>
      <c r="F56" t="inlineStr">
        <is>
          <t>'=-'Financing'!R[-2]C[0]</t>
        </is>
      </c>
      <c r="G56" t="inlineStr">
        <is>
          <t>Vectorizable</t>
        </is>
      </c>
    </row>
    <row r="57">
      <c r="A57" t="inlineStr">
        <is>
          <t>G000056</t>
        </is>
      </c>
      <c r="B57" t="inlineStr">
        <is>
          <t>Cash flows</t>
        </is>
      </c>
      <c r="C57" t="inlineStr">
        <is>
          <t>Vertical</t>
        </is>
      </c>
      <c r="D57" t="n">
        <v>2</v>
      </c>
      <c r="E57" t="inlineStr">
        <is>
          <t>Cash flows!B16:B17</t>
        </is>
      </c>
      <c r="F57" t="inlineStr">
        <is>
          <t>'='Financing'!R[-7]C[0]</t>
        </is>
      </c>
      <c r="G57" t="inlineStr">
        <is>
          <t>Vectorizable</t>
        </is>
      </c>
    </row>
    <row r="58">
      <c r="A58" t="inlineStr">
        <is>
          <t>G000057</t>
        </is>
      </c>
      <c r="B58" t="inlineStr">
        <is>
          <t>Cash flows</t>
        </is>
      </c>
      <c r="C58" t="inlineStr">
        <is>
          <t>Horizontal</t>
        </is>
      </c>
      <c r="D58" t="n">
        <v>3</v>
      </c>
      <c r="E58" t="inlineStr">
        <is>
          <t>Cash flows!C16:E16</t>
        </is>
      </c>
      <c r="F58" t="inlineStr">
        <is>
          <t>'='Financing'!R[-7]C[0]-'Financing'!R[-7]C[-1]</t>
        </is>
      </c>
      <c r="G58" t="inlineStr">
        <is>
          <t>Vectorizable</t>
        </is>
      </c>
    </row>
    <row r="59">
      <c r="A59" t="inlineStr">
        <is>
          <t>G000058</t>
        </is>
      </c>
      <c r="B59" t="inlineStr">
        <is>
          <t>Cash flows</t>
        </is>
      </c>
      <c r="C59" t="inlineStr">
        <is>
          <t>Horizontal</t>
        </is>
      </c>
      <c r="D59" t="n">
        <v>3</v>
      </c>
      <c r="E59" t="inlineStr">
        <is>
          <t>Cash flows!C17:E17</t>
        </is>
      </c>
      <c r="F59" t="inlineStr">
        <is>
          <t>'='Financing'!R[-7]C[0]-'Financing'!R[-7]C[-1]</t>
        </is>
      </c>
      <c r="G59" t="inlineStr">
        <is>
          <t>Vectorizable</t>
        </is>
      </c>
    </row>
    <row r="60">
      <c r="A60" t="inlineStr">
        <is>
          <t>G000059</t>
        </is>
      </c>
      <c r="B60" t="inlineStr">
        <is>
          <t>Cash flows</t>
        </is>
      </c>
      <c r="C60" t="inlineStr">
        <is>
          <t>Horizontal</t>
        </is>
      </c>
      <c r="D60" t="n">
        <v>3</v>
      </c>
      <c r="E60" t="inlineStr">
        <is>
          <t>Cash flows!C19:E19</t>
        </is>
      </c>
      <c r="F60" t="inlineStr">
        <is>
          <t>'=R[1]C[-1]</t>
        </is>
      </c>
      <c r="G60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2026-03-05T04:05:45Z</dcterms:created>
  <dcterms:modified xsi:type="dcterms:W3CDTF">2026-03-05T04:05:45Z</dcterms:modified>
</cp:coreProperties>
</file>