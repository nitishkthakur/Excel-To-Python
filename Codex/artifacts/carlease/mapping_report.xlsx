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_Metadata" sheetId="2" state="visible" r:id="rId2"/>
    <sheet name="_Formula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Sheet1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 xml:space="preserve">This spreadsheet analyzes the lease/purchase decision.  In the case of a purchase, it is assumed 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10</v>
      </c>
      <c r="N2" t="inlineStr">
        <is>
          <t>00000000</t>
        </is>
      </c>
      <c r="O2" t="inlineStr">
        <is>
          <t>general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Sheet1</t>
        </is>
      </c>
      <c r="B3" t="inlineStr">
        <is>
          <t>A2</t>
        </is>
      </c>
      <c r="C3" t="n">
        <v>2</v>
      </c>
      <c r="D3" t="n">
        <v>1</v>
      </c>
      <c r="E3" t="inlineStr">
        <is>
          <t>Input</t>
        </is>
      </c>
      <c r="F3" t="n">
        <v/>
      </c>
      <c r="G3" t="inlineStr">
        <is>
          <t>sales tax is paid on the negotiated price at the time of purchase, and property taxes are paid annually.</t>
        </is>
      </c>
      <c r="H3" t="inlineStr"/>
      <c r="I3" t="inlineStr">
        <is>
          <t>General</t>
        </is>
      </c>
      <c r="J3" t="b">
        <v>0</v>
      </c>
      <c r="K3" t="b">
        <v>0</v>
      </c>
      <c r="L3" t="n">
        <v>10</v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Sheet1</t>
        </is>
      </c>
      <c r="B4" t="inlineStr">
        <is>
          <t>A3</t>
        </is>
      </c>
      <c r="C4" t="n">
        <v>3</v>
      </c>
      <c r="D4" t="n">
        <v>1</v>
      </c>
      <c r="E4" t="inlineStr">
        <is>
          <t>Input</t>
        </is>
      </c>
      <c r="F4" t="n">
        <v/>
      </c>
      <c r="G4" t="inlineStr">
        <is>
          <t xml:space="preserve">In the case of a lease, it is assumed sales tax is paid on the difference between the list price and the </t>
        </is>
      </c>
      <c r="H4" t="inlineStr"/>
      <c r="I4" t="inlineStr">
        <is>
          <t>General</t>
        </is>
      </c>
      <c r="J4" t="b">
        <v>0</v>
      </c>
      <c r="K4" t="b">
        <v>0</v>
      </c>
      <c r="L4" t="n">
        <v>10</v>
      </c>
      <c r="N4" t="inlineStr">
        <is>
          <t>00000000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Sheet1</t>
        </is>
      </c>
      <c r="B5" t="inlineStr">
        <is>
          <t>A4</t>
        </is>
      </c>
      <c r="C5" t="n">
        <v>4</v>
      </c>
      <c r="D5" t="n">
        <v>1</v>
      </c>
      <c r="E5" t="inlineStr">
        <is>
          <t>Input</t>
        </is>
      </c>
      <c r="F5" t="n">
        <v/>
      </c>
      <c r="G5" t="inlineStr">
        <is>
          <t>payoff at the time of purchase, sales tax is paid on the payoff when the lease expires, and property taxes</t>
        </is>
      </c>
      <c r="H5" t="inlineStr"/>
      <c r="I5" t="inlineStr">
        <is>
          <t>General</t>
        </is>
      </c>
      <c r="J5" t="b">
        <v>0</v>
      </c>
      <c r="K5" t="b">
        <v>0</v>
      </c>
      <c r="L5" t="n">
        <v>10</v>
      </c>
      <c r="N5" t="inlineStr">
        <is>
          <t>00000000</t>
        </is>
      </c>
      <c r="O5" t="inlineStr">
        <is>
          <t>left</t>
        </is>
      </c>
      <c r="P5" t="inlineStr">
        <is>
          <t>bottom</t>
        </is>
      </c>
      <c r="Q5" t="b">
        <v>0</v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Sheet1</t>
        </is>
      </c>
      <c r="B6" t="inlineStr">
        <is>
          <t>A5</t>
        </is>
      </c>
      <c r="C6" t="n">
        <v>5</v>
      </c>
      <c r="D6" t="n">
        <v>1</v>
      </c>
      <c r="E6" t="inlineStr">
        <is>
          <t>Input</t>
        </is>
      </c>
      <c r="F6" t="n">
        <v/>
      </c>
      <c r="G6" t="inlineStr">
        <is>
          <t>are paid by the lessor.  This spreadsheet assumes the item is purchased at the payoff price at the time</t>
        </is>
      </c>
      <c r="H6" t="inlineStr"/>
      <c r="I6" t="inlineStr">
        <is>
          <t>General</t>
        </is>
      </c>
      <c r="J6" t="b">
        <v>0</v>
      </c>
      <c r="K6" t="b">
        <v>0</v>
      </c>
      <c r="L6" t="n">
        <v>10</v>
      </c>
      <c r="N6" t="inlineStr">
        <is>
          <t>00000000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Sheet1</t>
        </is>
      </c>
      <c r="B7" t="inlineStr">
        <is>
          <t>A6</t>
        </is>
      </c>
      <c r="C7" t="n">
        <v>6</v>
      </c>
      <c r="D7" t="n">
        <v>1</v>
      </c>
      <c r="E7" t="inlineStr">
        <is>
          <t>Input</t>
        </is>
      </c>
      <c r="F7" t="n">
        <v/>
      </c>
      <c r="G7" t="inlineStr">
        <is>
          <t>the lease expires.  The lease has additional value to the lessee because of the option not to purchase.</t>
        </is>
      </c>
      <c r="H7" t="inlineStr"/>
      <c r="I7" t="inlineStr">
        <is>
          <t>General</t>
        </is>
      </c>
      <c r="J7" t="b">
        <v>0</v>
      </c>
      <c r="K7" t="b">
        <v>0</v>
      </c>
      <c r="L7" t="n">
        <v>10</v>
      </c>
      <c r="N7" t="inlineStr">
        <is>
          <t>00000000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Sheet1</t>
        </is>
      </c>
      <c r="B8" t="inlineStr">
        <is>
          <t>A7</t>
        </is>
      </c>
      <c r="C8" t="n">
        <v>7</v>
      </c>
      <c r="D8" t="n">
        <v>1</v>
      </c>
      <c r="E8" t="inlineStr">
        <is>
          <t>Input</t>
        </is>
      </c>
      <c r="F8" t="n">
        <v/>
      </c>
      <c r="G8" t="inlineStr">
        <is>
          <t xml:space="preserve">The features of your lease may be different than assumed here. </t>
        </is>
      </c>
      <c r="H8" t="inlineStr"/>
      <c r="I8" t="inlineStr">
        <is>
          <t>General</t>
        </is>
      </c>
      <c r="J8" t="b">
        <v>0</v>
      </c>
      <c r="K8" t="b">
        <v>0</v>
      </c>
      <c r="L8" t="n">
        <v>10</v>
      </c>
      <c r="N8" t="inlineStr">
        <is>
          <t>00000000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Sheet1</t>
        </is>
      </c>
      <c r="B9" t="inlineStr">
        <is>
          <t>A10</t>
        </is>
      </c>
      <c r="C9" t="n">
        <v>10</v>
      </c>
      <c r="D9" t="n">
        <v>1</v>
      </c>
      <c r="E9" t="inlineStr">
        <is>
          <t>Input</t>
        </is>
      </c>
      <c r="F9" t="n">
        <v/>
      </c>
      <c r="G9" t="inlineStr">
        <is>
          <t>Assumptions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10</v>
      </c>
      <c r="N9" t="inlineStr">
        <is>
          <t>00000000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Sheet1</t>
        </is>
      </c>
      <c r="B10" t="inlineStr">
        <is>
          <t>A11</t>
        </is>
      </c>
      <c r="C10" t="n">
        <v>11</v>
      </c>
      <c r="D10" t="n">
        <v>1</v>
      </c>
      <c r="E10" t="inlineStr">
        <is>
          <t>Input</t>
        </is>
      </c>
      <c r="F10" t="n">
        <v/>
      </c>
      <c r="G10" t="inlineStr">
        <is>
          <t>List price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10</v>
      </c>
      <c r="N10" t="inlineStr">
        <is>
          <t>00000000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Sheet1</t>
        </is>
      </c>
      <c r="B11" t="inlineStr">
        <is>
          <t>D11</t>
        </is>
      </c>
      <c r="C11" t="n">
        <v>11</v>
      </c>
      <c r="D11" t="n">
        <v>4</v>
      </c>
      <c r="E11" t="inlineStr">
        <is>
          <t>Input</t>
        </is>
      </c>
      <c r="F11" t="n">
        <v/>
      </c>
      <c r="G11" t="n">
        <v>26000</v>
      </c>
      <c r="H11" t="inlineStr"/>
      <c r="I11" t="inlineStr">
        <is>
          <t>_(\$* #,##0_);_(\$* \(#,##0\);_(\$* \-??_);_(@_)</t>
        </is>
      </c>
      <c r="J11" t="b">
        <v>0</v>
      </c>
      <c r="K11" t="b">
        <v>0</v>
      </c>
      <c r="L11" t="n">
        <v>10</v>
      </c>
      <c r="N11" t="inlineStr">
        <is>
          <t>00000000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Sheet1</t>
        </is>
      </c>
      <c r="B12" t="inlineStr">
        <is>
          <t>A12</t>
        </is>
      </c>
      <c r="C12" t="n">
        <v>12</v>
      </c>
      <c r="D12" t="n">
        <v>1</v>
      </c>
      <c r="E12" t="inlineStr">
        <is>
          <t>Input</t>
        </is>
      </c>
      <c r="F12" t="n">
        <v/>
      </c>
      <c r="G12" t="inlineStr">
        <is>
          <t>Negotiated price</t>
        </is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10</v>
      </c>
      <c r="N12" t="inlineStr">
        <is>
          <t>00000000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Sheet1</t>
        </is>
      </c>
      <c r="B13" t="inlineStr">
        <is>
          <t>D12</t>
        </is>
      </c>
      <c r="C13" t="n">
        <v>12</v>
      </c>
      <c r="D13" t="n">
        <v>4</v>
      </c>
      <c r="E13" t="inlineStr">
        <is>
          <t>Input</t>
        </is>
      </c>
      <c r="F13" t="n">
        <v/>
      </c>
      <c r="G13" t="n">
        <v>24000</v>
      </c>
      <c r="H13" t="inlineStr"/>
      <c r="I13" t="inlineStr">
        <is>
          <t>_(\$* #,##0_);_(\$* \(#,##0\);_(\$* \-??_);_(@_)</t>
        </is>
      </c>
      <c r="J13" t="b">
        <v>0</v>
      </c>
      <c r="K13" t="b">
        <v>0</v>
      </c>
      <c r="L13" t="n">
        <v>10</v>
      </c>
      <c r="N13" t="inlineStr">
        <is>
          <t>00000000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Sheet1</t>
        </is>
      </c>
      <c r="B14" t="inlineStr">
        <is>
          <t>A13</t>
        </is>
      </c>
      <c r="C14" t="n">
        <v>13</v>
      </c>
      <c r="D14" t="n">
        <v>1</v>
      </c>
      <c r="E14" t="inlineStr">
        <is>
          <t>Input</t>
        </is>
      </c>
      <c r="F14" t="n">
        <v/>
      </c>
      <c r="G14" t="inlineStr">
        <is>
          <t>Lease period (months)</t>
        </is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10</v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Sheet1</t>
        </is>
      </c>
      <c r="B15" t="inlineStr">
        <is>
          <t>D13</t>
        </is>
      </c>
      <c r="C15" t="n">
        <v>13</v>
      </c>
      <c r="D15" t="n">
        <v>4</v>
      </c>
      <c r="E15" t="inlineStr">
        <is>
          <t>Input</t>
        </is>
      </c>
      <c r="F15" t="n">
        <v/>
      </c>
      <c r="G15" t="n">
        <v>36</v>
      </c>
      <c r="H15" t="inlineStr"/>
      <c r="I15" t="inlineStr">
        <is>
          <t>_(* #,##0_);_(* \(#,##0\);_(* \-??_);_(@_)</t>
        </is>
      </c>
      <c r="J15" t="b">
        <v>0</v>
      </c>
      <c r="K15" t="b">
        <v>0</v>
      </c>
      <c r="L15" t="n">
        <v>10</v>
      </c>
      <c r="N15" t="inlineStr">
        <is>
          <t>00000000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Sheet1</t>
        </is>
      </c>
      <c r="B16" t="inlineStr">
        <is>
          <t>A14</t>
        </is>
      </c>
      <c r="C16" t="n">
        <v>14</v>
      </c>
      <c r="D16" t="n">
        <v>1</v>
      </c>
      <c r="E16" t="inlineStr">
        <is>
          <t>Input</t>
        </is>
      </c>
      <c r="F16" t="n">
        <v/>
      </c>
      <c r="G16" t="inlineStr">
        <is>
          <t>Payoff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10</v>
      </c>
      <c r="N16" t="inlineStr">
        <is>
          <t>00000000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Sheet1</t>
        </is>
      </c>
      <c r="B17" t="inlineStr">
        <is>
          <t>D14</t>
        </is>
      </c>
      <c r="C17" t="n">
        <v>14</v>
      </c>
      <c r="D17" t="n">
        <v>4</v>
      </c>
      <c r="E17" t="inlineStr">
        <is>
          <t>Input</t>
        </is>
      </c>
      <c r="F17" t="n">
        <v/>
      </c>
      <c r="G17" t="n">
        <v>20000</v>
      </c>
      <c r="H17" t="inlineStr"/>
      <c r="I17" t="inlineStr">
        <is>
          <t>_(\$* #,##0_);_(\$* \(#,##0\);_(\$* \-??_);_(@_)</t>
        </is>
      </c>
      <c r="J17" t="b">
        <v>0</v>
      </c>
      <c r="K17" t="b">
        <v>0</v>
      </c>
      <c r="L17" t="n">
        <v>10</v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Sheet1</t>
        </is>
      </c>
      <c r="B18" t="inlineStr">
        <is>
          <t>A15</t>
        </is>
      </c>
      <c r="C18" t="n">
        <v>15</v>
      </c>
      <c r="D18" t="n">
        <v>1</v>
      </c>
      <c r="E18" t="inlineStr">
        <is>
          <t>Input</t>
        </is>
      </c>
      <c r="F18" t="n">
        <v/>
      </c>
      <c r="G18" t="inlineStr">
        <is>
          <t>Interest rate (APR)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10</v>
      </c>
      <c r="N18" t="inlineStr">
        <is>
          <t>00000000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Sheet1</t>
        </is>
      </c>
      <c r="B19" t="inlineStr">
        <is>
          <t>D15</t>
        </is>
      </c>
      <c r="C19" t="n">
        <v>15</v>
      </c>
      <c r="D19" t="n">
        <v>4</v>
      </c>
      <c r="E19" t="inlineStr">
        <is>
          <t>Input</t>
        </is>
      </c>
      <c r="F19" t="n">
        <v/>
      </c>
      <c r="G19" t="n">
        <v>0.09</v>
      </c>
      <c r="H19" t="inlineStr"/>
      <c r="I19" t="inlineStr">
        <is>
          <t>0.00%</t>
        </is>
      </c>
      <c r="J19" t="b">
        <v>0</v>
      </c>
      <c r="K19" t="b">
        <v>0</v>
      </c>
      <c r="L19" t="n">
        <v>10</v>
      </c>
      <c r="N19" t="inlineStr">
        <is>
          <t>00000000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Sheet1</t>
        </is>
      </c>
      <c r="B20" t="inlineStr">
        <is>
          <t>A16</t>
        </is>
      </c>
      <c r="C20" t="n">
        <v>16</v>
      </c>
      <c r="D20" t="n">
        <v>1</v>
      </c>
      <c r="E20" t="inlineStr">
        <is>
          <t>Input</t>
        </is>
      </c>
      <c r="F20" t="n">
        <v/>
      </c>
      <c r="G20" t="inlineStr">
        <is>
          <t>Effective annual rate</t>
        </is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10</v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Sheet1</t>
        </is>
      </c>
      <c r="B21" t="inlineStr">
        <is>
          <t>D16</t>
        </is>
      </c>
      <c r="C21" t="n">
        <v>16</v>
      </c>
      <c r="D21" t="n">
        <v>4</v>
      </c>
      <c r="E21" t="inlineStr">
        <is>
          <t>Calculation</t>
        </is>
      </c>
      <c r="F21" t="inlineStr">
        <is>
          <t>'=+(1+D15/12)^12-1</t>
        </is>
      </c>
      <c r="G21" t="n">
        <v>0.0938068976709838</v>
      </c>
      <c r="H21" t="inlineStr"/>
      <c r="I21" t="inlineStr">
        <is>
          <t>0.00%</t>
        </is>
      </c>
      <c r="J21" t="b">
        <v>0</v>
      </c>
      <c r="K21" t="b">
        <v>0</v>
      </c>
      <c r="L21" t="n">
        <v>10</v>
      </c>
      <c r="N21" t="inlineStr">
        <is>
          <t>00000000</t>
        </is>
      </c>
      <c r="O21" t="inlineStr">
        <is>
          <t>right</t>
        </is>
      </c>
      <c r="P21" t="inlineStr">
        <is>
          <t>bottom</t>
        </is>
      </c>
      <c r="Q21" t="b">
        <v>0</v>
      </c>
      <c r="R21" t="b">
        <v>1</v>
      </c>
      <c r="S21" t="n">
        <v/>
      </c>
      <c r="T21" t="n">
        <v/>
      </c>
      <c r="U21" t="n">
        <v/>
      </c>
      <c r="V21" t="b">
        <v>0</v>
      </c>
      <c r="W21" t="inlineStr"/>
      <c r="X21">
        <f>+(1+R[-1]C[0]/12)^12-1</f>
        <v/>
      </c>
    </row>
    <row r="22">
      <c r="A22" t="inlineStr">
        <is>
          <t>Sheet1</t>
        </is>
      </c>
      <c r="B22" t="inlineStr">
        <is>
          <t>A17</t>
        </is>
      </c>
      <c r="C22" t="n">
        <v>17</v>
      </c>
      <c r="D22" t="n">
        <v>1</v>
      </c>
      <c r="E22" t="inlineStr">
        <is>
          <t>Input</t>
        </is>
      </c>
      <c r="F22" t="n">
        <v/>
      </c>
      <c r="G22" t="inlineStr">
        <is>
          <t>Sales tax rate</t>
        </is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10</v>
      </c>
      <c r="N22" t="inlineStr">
        <is>
          <t>00000000</t>
        </is>
      </c>
      <c r="O22" t="inlineStr">
        <is>
          <t>left</t>
        </is>
      </c>
      <c r="P22" t="inlineStr">
        <is>
          <t>bottom</t>
        </is>
      </c>
      <c r="Q22" t="b">
        <v>0</v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Sheet1</t>
        </is>
      </c>
      <c r="B23" t="inlineStr">
        <is>
          <t>D17</t>
        </is>
      </c>
      <c r="C23" t="n">
        <v>17</v>
      </c>
      <c r="D23" t="n">
        <v>4</v>
      </c>
      <c r="E23" t="inlineStr">
        <is>
          <t>Input</t>
        </is>
      </c>
      <c r="F23" t="n">
        <v/>
      </c>
      <c r="G23" t="n">
        <v>0.06</v>
      </c>
      <c r="H23" t="inlineStr"/>
      <c r="I23" t="inlineStr">
        <is>
          <t>0%</t>
        </is>
      </c>
      <c r="J23" t="b">
        <v>0</v>
      </c>
      <c r="K23" t="b">
        <v>0</v>
      </c>
      <c r="L23" t="n">
        <v>10</v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1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Sheet1</t>
        </is>
      </c>
      <c r="B24" t="inlineStr">
        <is>
          <t>A18</t>
        </is>
      </c>
      <c r="C24" t="n">
        <v>18</v>
      </c>
      <c r="D24" t="n">
        <v>1</v>
      </c>
      <c r="E24" t="inlineStr">
        <is>
          <t>Input</t>
        </is>
      </c>
      <c r="F24" t="n">
        <v/>
      </c>
      <c r="G24" t="inlineStr">
        <is>
          <t>Property tax (annual)</t>
        </is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10</v>
      </c>
      <c r="N24" t="inlineStr">
        <is>
          <t>00000000</t>
        </is>
      </c>
      <c r="O24" t="inlineStr">
        <is>
          <t>left</t>
        </is>
      </c>
      <c r="P24" t="inlineStr">
        <is>
          <t>bottom</t>
        </is>
      </c>
      <c r="Q24" t="b">
        <v>0</v>
      </c>
      <c r="R24" t="b">
        <v>1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Sheet1</t>
        </is>
      </c>
      <c r="B25" t="inlineStr">
        <is>
          <t>D18</t>
        </is>
      </c>
      <c r="C25" t="n">
        <v>18</v>
      </c>
      <c r="D25" t="n">
        <v>4</v>
      </c>
      <c r="E25" t="inlineStr">
        <is>
          <t>Input</t>
        </is>
      </c>
      <c r="F25" t="n">
        <v/>
      </c>
      <c r="G25" t="n">
        <v>300</v>
      </c>
      <c r="H25" t="inlineStr"/>
      <c r="I25" t="inlineStr">
        <is>
          <t>_(\$* #,##0_);_(\$* \(#,##0\);_(\$* \-??_);_(@_)</t>
        </is>
      </c>
      <c r="J25" t="b">
        <v>0</v>
      </c>
      <c r="K25" t="b">
        <v>0</v>
      </c>
      <c r="L25" t="n">
        <v>10</v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Sheet1</t>
        </is>
      </c>
      <c r="B26" t="inlineStr">
        <is>
          <t>A19</t>
        </is>
      </c>
      <c r="C26" t="n">
        <v>19</v>
      </c>
      <c r="D26" t="n">
        <v>1</v>
      </c>
      <c r="E26" t="inlineStr">
        <is>
          <t>Input</t>
        </is>
      </c>
      <c r="F26" t="n">
        <v/>
      </c>
      <c r="G26" t="inlineStr">
        <is>
          <t>Lease payment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10</v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Sheet1</t>
        </is>
      </c>
      <c r="B27" t="inlineStr">
        <is>
          <t>D19</t>
        </is>
      </c>
      <c r="C27" t="n">
        <v>19</v>
      </c>
      <c r="D27" t="n">
        <v>4</v>
      </c>
      <c r="E27" t="inlineStr">
        <is>
          <t>Input</t>
        </is>
      </c>
      <c r="F27" t="n">
        <v/>
      </c>
      <c r="G27" t="n">
        <v>280</v>
      </c>
      <c r="H27" t="inlineStr"/>
      <c r="I27" t="inlineStr">
        <is>
          <t>_(\$* #,##0_);_(\$* \(#,##0\);_(\$* \-??_);_(@_)</t>
        </is>
      </c>
      <c r="J27" t="b">
        <v>0</v>
      </c>
      <c r="K27" t="b">
        <v>0</v>
      </c>
      <c r="L27" t="n">
        <v>10</v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Sheet1</t>
        </is>
      </c>
      <c r="B28" t="inlineStr">
        <is>
          <t>D20</t>
        </is>
      </c>
      <c r="C28" t="n">
        <v>20</v>
      </c>
      <c r="D28" t="n">
        <v>4</v>
      </c>
      <c r="E28" t="inlineStr">
        <is>
          <t>Input</t>
        </is>
      </c>
      <c r="F28" t="n">
        <v/>
      </c>
      <c r="H28" t="inlineStr"/>
      <c r="I28" t="inlineStr">
        <is>
          <t>_(\$* #,##0_);_(\$* \(#,##0\);_(\$* \-??_);_(@_)</t>
        </is>
      </c>
      <c r="J28" t="b">
        <v>0</v>
      </c>
      <c r="K28" t="b">
        <v>0</v>
      </c>
      <c r="L28" t="n">
        <v>10</v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>Sheet1</t>
        </is>
      </c>
      <c r="B29" t="inlineStr">
        <is>
          <t>A21</t>
        </is>
      </c>
      <c r="C29" t="n">
        <v>21</v>
      </c>
      <c r="D29" t="n">
        <v>1</v>
      </c>
      <c r="E29" t="inlineStr">
        <is>
          <t>Input</t>
        </is>
      </c>
      <c r="F29" t="n">
        <v/>
      </c>
      <c r="G29" t="inlineStr">
        <is>
          <t>Results</t>
        </is>
      </c>
      <c r="H29" t="inlineStr"/>
      <c r="I29" t="inlineStr">
        <is>
          <t>General</t>
        </is>
      </c>
      <c r="J29" t="b">
        <v>1</v>
      </c>
      <c r="K29" t="b">
        <v>0</v>
      </c>
      <c r="L29" t="n">
        <v>10</v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</row>
    <row r="30">
      <c r="A30" t="inlineStr">
        <is>
          <t>Sheet1</t>
        </is>
      </c>
      <c r="B30" t="inlineStr">
        <is>
          <t>A22</t>
        </is>
      </c>
      <c r="C30" t="n">
        <v>22</v>
      </c>
      <c r="D30" t="n">
        <v>1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10</v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</row>
    <row r="31">
      <c r="A31" t="inlineStr">
        <is>
          <t>Sheet1</t>
        </is>
      </c>
      <c r="B31" t="inlineStr">
        <is>
          <t>B22</t>
        </is>
      </c>
      <c r="C31" t="n">
        <v>22</v>
      </c>
      <c r="D31" t="n">
        <v>2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10</v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</row>
    <row r="32">
      <c r="A32" t="inlineStr">
        <is>
          <t>Sheet1</t>
        </is>
      </c>
      <c r="B32" t="inlineStr">
        <is>
          <t>C22</t>
        </is>
      </c>
      <c r="C32" t="n">
        <v>22</v>
      </c>
      <c r="D32" t="n">
        <v>3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10</v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</row>
    <row r="33">
      <c r="A33" t="inlineStr">
        <is>
          <t>Sheet1</t>
        </is>
      </c>
      <c r="B33" t="inlineStr">
        <is>
          <t>D22</t>
        </is>
      </c>
      <c r="C33" t="n">
        <v>22</v>
      </c>
      <c r="D33" t="n">
        <v>4</v>
      </c>
      <c r="E33" t="inlineStr">
        <is>
          <t>Input</t>
        </is>
      </c>
      <c r="F33" t="n">
        <v/>
      </c>
      <c r="G33" t="inlineStr">
        <is>
          <t>Purchase</t>
        </is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10</v>
      </c>
      <c r="N33" t="inlineStr">
        <is>
          <t>00000000</t>
        </is>
      </c>
      <c r="O33" t="inlineStr">
        <is>
          <t>center</t>
        </is>
      </c>
      <c r="P33" t="inlineStr">
        <is>
          <t>bottom</t>
        </is>
      </c>
      <c r="Q33" t="b">
        <v>0</v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</row>
    <row r="34">
      <c r="A34" t="inlineStr">
        <is>
          <t>Sheet1</t>
        </is>
      </c>
      <c r="B34" t="inlineStr">
        <is>
          <t>E22</t>
        </is>
      </c>
      <c r="C34" t="n">
        <v>22</v>
      </c>
      <c r="D34" t="n">
        <v>5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10</v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</row>
    <row r="35">
      <c r="A35" t="inlineStr">
        <is>
          <t>Sheet1</t>
        </is>
      </c>
      <c r="B35" t="inlineStr">
        <is>
          <t>F22</t>
        </is>
      </c>
      <c r="C35" t="n">
        <v>22</v>
      </c>
      <c r="D35" t="n">
        <v>6</v>
      </c>
      <c r="E35" t="inlineStr">
        <is>
          <t>Input</t>
        </is>
      </c>
      <c r="F35" t="n">
        <v/>
      </c>
      <c r="G35" t="inlineStr">
        <is>
          <t>Lease</t>
        </is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10</v>
      </c>
      <c r="N35" t="inlineStr">
        <is>
          <t>00000000</t>
        </is>
      </c>
      <c r="O35" t="inlineStr">
        <is>
          <t>center</t>
        </is>
      </c>
      <c r="P35" t="inlineStr">
        <is>
          <t>bottom</t>
        </is>
      </c>
      <c r="Q35" t="b">
        <v>0</v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</row>
    <row r="36">
      <c r="A36" t="inlineStr">
        <is>
          <t>Sheet1</t>
        </is>
      </c>
      <c r="B36" t="inlineStr">
        <is>
          <t>G22</t>
        </is>
      </c>
      <c r="C36" t="n">
        <v>22</v>
      </c>
      <c r="D36" t="n">
        <v>7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10</v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</row>
    <row r="37">
      <c r="A37" t="inlineStr">
        <is>
          <t>Sheet1</t>
        </is>
      </c>
      <c r="B37" t="inlineStr">
        <is>
          <t>H22</t>
        </is>
      </c>
      <c r="C37" t="n">
        <v>22</v>
      </c>
      <c r="D37" t="n">
        <v>8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10</v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</row>
    <row r="38">
      <c r="A38" t="inlineStr">
        <is>
          <t>Sheet1</t>
        </is>
      </c>
      <c r="B38" t="inlineStr">
        <is>
          <t>A24</t>
        </is>
      </c>
      <c r="C38" t="n">
        <v>24</v>
      </c>
      <c r="D38" t="n">
        <v>1</v>
      </c>
      <c r="E38" t="inlineStr">
        <is>
          <t>Input</t>
        </is>
      </c>
      <c r="F38" t="n">
        <v/>
      </c>
      <c r="G38" t="inlineStr">
        <is>
          <t>Present value of payments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10</v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</row>
    <row r="39">
      <c r="A39" t="inlineStr">
        <is>
          <t>Sheet1</t>
        </is>
      </c>
      <c r="B39" t="inlineStr">
        <is>
          <t>D24</t>
        </is>
      </c>
      <c r="C39" t="n">
        <v>24</v>
      </c>
      <c r="D39" t="n">
        <v>4</v>
      </c>
      <c r="E39" t="inlineStr">
        <is>
          <t>Calculation</t>
        </is>
      </c>
      <c r="F39" t="inlineStr">
        <is>
          <t>'=+D12</t>
        </is>
      </c>
      <c r="G39" t="n">
        <v>24000</v>
      </c>
      <c r="H39" t="inlineStr"/>
      <c r="I39" t="inlineStr">
        <is>
          <t>_(\$* #,##0_);_(\$* \(#,##0\);_(\$* \-??_);_(@_)</t>
        </is>
      </c>
      <c r="J39" t="b">
        <v>0</v>
      </c>
      <c r="K39" t="b">
        <v>0</v>
      </c>
      <c r="L39" t="n">
        <v>10</v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>
        <f>+R[-12]C[0]</f>
        <v/>
      </c>
    </row>
    <row r="40">
      <c r="A40" t="inlineStr">
        <is>
          <t>Sheet1</t>
        </is>
      </c>
      <c r="B40" t="inlineStr">
        <is>
          <t>F24</t>
        </is>
      </c>
      <c r="C40" t="n">
        <v>24</v>
      </c>
      <c r="D40" t="n">
        <v>6</v>
      </c>
      <c r="E40" t="inlineStr">
        <is>
          <t>Calculation</t>
        </is>
      </c>
      <c r="F40" t="inlineStr">
        <is>
          <t>'=+D19-PV(D15/12,D13-1,D19)+D14/(1+D15/12)^D13</t>
        </is>
      </c>
      <c r="G40" t="n">
        <v>24154.1229736944</v>
      </c>
      <c r="H40" t="inlineStr"/>
      <c r="I40" t="inlineStr">
        <is>
          <t>_(\$* #,##0_);_(\$* \(#,##0\);_(\$* \-??_);_(@_)</t>
        </is>
      </c>
      <c r="J40" t="b">
        <v>0</v>
      </c>
      <c r="K40" t="b">
        <v>0</v>
      </c>
      <c r="L40" t="n">
        <v>10</v>
      </c>
      <c r="N40" t="inlineStr">
        <is>
          <t>00000000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>
        <f>+R[-5]C[-2]-PV(R[-9]C[-2]/12,R[-11]C[-2]-1,R[-5]C[-2])+R[-10]C[-2]/(1+R[-9]C[-2]/12)^R[-11]C[-2]</f>
        <v/>
      </c>
    </row>
    <row r="41">
      <c r="A41" t="inlineStr">
        <is>
          <t>Sheet1</t>
        </is>
      </c>
      <c r="B41" t="inlineStr">
        <is>
          <t>A25</t>
        </is>
      </c>
      <c r="C41" t="n">
        <v>25</v>
      </c>
      <c r="D41" t="n">
        <v>1</v>
      </c>
      <c r="E41" t="inlineStr">
        <is>
          <t>Input</t>
        </is>
      </c>
      <c r="F41" t="n">
        <v/>
      </c>
      <c r="G41" t="inlineStr">
        <is>
          <t>Present value of sales tax</t>
        </is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10</v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1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</row>
    <row r="42">
      <c r="A42" t="inlineStr">
        <is>
          <t>Sheet1</t>
        </is>
      </c>
      <c r="B42" t="inlineStr">
        <is>
          <t>D25</t>
        </is>
      </c>
      <c r="C42" t="n">
        <v>25</v>
      </c>
      <c r="D42" t="n">
        <v>4</v>
      </c>
      <c r="E42" t="inlineStr">
        <is>
          <t>Calculation</t>
        </is>
      </c>
      <c r="F42" t="inlineStr">
        <is>
          <t>'=+D17*D12</t>
        </is>
      </c>
      <c r="G42" t="n">
        <v>1440</v>
      </c>
      <c r="H42" t="inlineStr"/>
      <c r="I42" t="inlineStr">
        <is>
          <t>_(\$* #,##0_);_(\$* \(#,##0\);_(\$* \-??_);_(@_)</t>
        </is>
      </c>
      <c r="J42" t="b">
        <v>0</v>
      </c>
      <c r="K42" t="b">
        <v>0</v>
      </c>
      <c r="L42" t="n">
        <v>10</v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>
        <f>+R[-8]C[0]*R[-13]C[0]</f>
        <v/>
      </c>
    </row>
    <row r="43">
      <c r="A43" t="inlineStr">
        <is>
          <t>Sheet1</t>
        </is>
      </c>
      <c r="B43" t="inlineStr">
        <is>
          <t>F25</t>
        </is>
      </c>
      <c r="C43" t="n">
        <v>25</v>
      </c>
      <c r="D43" t="n">
        <v>6</v>
      </c>
      <c r="E43" t="inlineStr">
        <is>
          <t>Calculation</t>
        </is>
      </c>
      <c r="F43" t="inlineStr">
        <is>
          <t>'=0.06*(D11-D14)+D17*D14/(1+D15/12)^D13</t>
        </is>
      </c>
      <c r="G43" t="n">
        <v>1276.97875273846</v>
      </c>
      <c r="H43" t="inlineStr"/>
      <c r="I43" t="inlineStr">
        <is>
          <t>_(\$* #,##0_);_(\$* \(#,##0\);_(\$* \-??_);_(@_)</t>
        </is>
      </c>
      <c r="J43" t="b">
        <v>0</v>
      </c>
      <c r="K43" t="b">
        <v>0</v>
      </c>
      <c r="L43" t="n">
        <v>10</v>
      </c>
      <c r="N43" t="inlineStr">
        <is>
          <t>00000000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>
        <f>0.06*(R[-14]C[-2]-R[-11]C[-2])+R[-8]C[-2]*R[-11]C[-2]/(1+R[-10]C[-2]/12)^R[-12]C[-2]</f>
        <v/>
      </c>
    </row>
    <row r="44">
      <c r="A44" t="inlineStr">
        <is>
          <t>Sheet1</t>
        </is>
      </c>
      <c r="B44" t="inlineStr">
        <is>
          <t>A26</t>
        </is>
      </c>
      <c r="C44" t="n">
        <v>26</v>
      </c>
      <c r="D44" t="n">
        <v>1</v>
      </c>
      <c r="E44" t="inlineStr">
        <is>
          <t>Input</t>
        </is>
      </c>
      <c r="F44" t="n">
        <v/>
      </c>
      <c r="G44" t="inlineStr">
        <is>
          <t>Present value of property tax</t>
        </is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10</v>
      </c>
      <c r="N44" t="inlineStr">
        <is>
          <t>00000000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</row>
    <row r="45">
      <c r="A45" t="inlineStr">
        <is>
          <t>Sheet1</t>
        </is>
      </c>
      <c r="B45" t="inlineStr">
        <is>
          <t>D26</t>
        </is>
      </c>
      <c r="C45" t="n">
        <v>26</v>
      </c>
      <c r="D45" t="n">
        <v>4</v>
      </c>
      <c r="E45" t="inlineStr">
        <is>
          <t>Calculation</t>
        </is>
      </c>
      <c r="F45" t="inlineStr">
        <is>
          <t>'=-PV(D16,D13/12,D18)</t>
        </is>
      </c>
      <c r="G45" t="n">
        <v>754.265555860844</v>
      </c>
      <c r="H45" t="inlineStr"/>
      <c r="I45" t="inlineStr">
        <is>
          <t>_(\$* #,##0_);_(\$* \(#,##0\);_(\$* \-??_);_(@_)</t>
        </is>
      </c>
      <c r="J45" t="b">
        <v>0</v>
      </c>
      <c r="K45" t="b">
        <v>0</v>
      </c>
      <c r="L45" t="n">
        <v>10</v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>
        <f>-PV(R[-10]C[0],R[-13]C[0]/12,R[-8]C[0])</f>
        <v/>
      </c>
    </row>
    <row r="46">
      <c r="A46" t="inlineStr">
        <is>
          <t>Sheet1</t>
        </is>
      </c>
      <c r="B46" t="inlineStr">
        <is>
          <t>A27</t>
        </is>
      </c>
      <c r="C46" t="n">
        <v>27</v>
      </c>
      <c r="D46" t="n">
        <v>1</v>
      </c>
      <c r="E46" t="inlineStr">
        <is>
          <t>Input</t>
        </is>
      </c>
      <c r="F46" t="n">
        <v/>
      </c>
      <c r="G46" t="inlineStr">
        <is>
          <t>Total</t>
        </is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10</v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</row>
    <row r="47">
      <c r="A47" t="inlineStr">
        <is>
          <t>Sheet1</t>
        </is>
      </c>
      <c r="B47" t="inlineStr">
        <is>
          <t>D27</t>
        </is>
      </c>
      <c r="C47" t="n">
        <v>27</v>
      </c>
      <c r="D47" t="n">
        <v>4</v>
      </c>
      <c r="E47" t="inlineStr">
        <is>
          <t>Output</t>
        </is>
      </c>
      <c r="F47" t="inlineStr">
        <is>
          <t>'=+SUM(D24:D26)</t>
        </is>
      </c>
      <c r="G47" t="n">
        <v>26194.2655558608</v>
      </c>
      <c r="H47" t="inlineStr"/>
      <c r="I47" t="inlineStr">
        <is>
          <t>_(\$* #,##0_);_(\$* \(#,##0\);_(\$* \-??_);_(@_)</t>
        </is>
      </c>
      <c r="J47" t="b">
        <v>0</v>
      </c>
      <c r="K47" t="b">
        <v>0</v>
      </c>
      <c r="L47" t="n">
        <v>10</v>
      </c>
      <c r="N47" t="inlineStr">
        <is>
          <t>00000000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>
        <f>+SUM(R[-3]C[0]:R[-1]C[0])</f>
        <v/>
      </c>
    </row>
    <row r="48">
      <c r="A48" t="inlineStr">
        <is>
          <t>Sheet1</t>
        </is>
      </c>
      <c r="B48" t="inlineStr">
        <is>
          <t>F27</t>
        </is>
      </c>
      <c r="C48" t="n">
        <v>27</v>
      </c>
      <c r="D48" t="n">
        <v>6</v>
      </c>
      <c r="E48" t="inlineStr">
        <is>
          <t>Output</t>
        </is>
      </c>
      <c r="F48" t="inlineStr">
        <is>
          <t>'=+F24+F25</t>
        </is>
      </c>
      <c r="G48" t="n">
        <v>25431.1017264329</v>
      </c>
      <c r="H48" t="inlineStr"/>
      <c r="I48" t="inlineStr">
        <is>
          <t>_(\$* #,##0_);_(\$* \(#,##0\);_(\$* \-??_);_(@_)</t>
        </is>
      </c>
      <c r="J48" t="b">
        <v>0</v>
      </c>
      <c r="K48" t="b">
        <v>0</v>
      </c>
      <c r="L48" t="n">
        <v>10</v>
      </c>
      <c r="N48" t="inlineStr">
        <is>
          <t>00000000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>
        <f>+R[-3]C[0]+R[-2]C[0]</f>
        <v/>
      </c>
    </row>
    <row r="49">
      <c r="A49" t="inlineStr">
        <is>
          <t>Sheet1</t>
        </is>
      </c>
      <c r="B49" t="inlineStr">
        <is>
          <t>D28</t>
        </is>
      </c>
      <c r="C49" t="n">
        <v>28</v>
      </c>
      <c r="D49" t="n">
        <v>4</v>
      </c>
      <c r="E49" t="inlineStr">
        <is>
          <t>Input</t>
        </is>
      </c>
      <c r="F49" t="n">
        <v/>
      </c>
      <c r="H49" t="inlineStr"/>
      <c r="I49" t="inlineStr">
        <is>
          <t>_(\$* #,##0_);_(\$* \(#,##0\);_(\$* \-??_);_(@_)</t>
        </is>
      </c>
      <c r="J49" t="b">
        <v>0</v>
      </c>
      <c r="K49" t="b">
        <v>0</v>
      </c>
      <c r="L49" t="n">
        <v>10</v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</row>
    <row r="50">
      <c r="A50" t="inlineStr">
        <is>
          <t>Sheet1</t>
        </is>
      </c>
      <c r="B50" t="inlineStr">
        <is>
          <t>E28</t>
        </is>
      </c>
      <c r="C50" t="n">
        <v>28</v>
      </c>
      <c r="D50" t="n">
        <v>5</v>
      </c>
      <c r="E50" t="inlineStr">
        <is>
          <t>Input</t>
        </is>
      </c>
      <c r="F50" t="n">
        <v/>
      </c>
      <c r="H50" t="inlineStr"/>
      <c r="I50" t="inlineStr">
        <is>
          <t>_(\$* #,##0_);_(\$* \(#,##0\);_(\$* \-??_);_(@_)</t>
        </is>
      </c>
      <c r="J50" t="b">
        <v>0</v>
      </c>
      <c r="K50" t="b">
        <v>0</v>
      </c>
      <c r="L50" t="n">
        <v>10</v>
      </c>
      <c r="N50" t="inlineStr">
        <is>
          <t>00000000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</row>
    <row r="51">
      <c r="A51" t="inlineStr">
        <is>
          <t>Sheet1</t>
        </is>
      </c>
      <c r="B51" t="inlineStr">
        <is>
          <t>D29</t>
        </is>
      </c>
      <c r="C51" t="n">
        <v>29</v>
      </c>
      <c r="D51" t="n">
        <v>4</v>
      </c>
      <c r="E51" t="inlineStr">
        <is>
          <t>Input</t>
        </is>
      </c>
      <c r="F51" t="n">
        <v/>
      </c>
      <c r="H51" t="inlineStr"/>
      <c r="I51" t="inlineStr">
        <is>
          <t>_(\$* #,##0_);_(\$* \(#,##0\);_(\$* \-??_);_(@_)</t>
        </is>
      </c>
      <c r="J51" t="b">
        <v>0</v>
      </c>
      <c r="K51" t="b">
        <v>0</v>
      </c>
      <c r="L51" t="n">
        <v>10</v>
      </c>
      <c r="N51" t="inlineStr">
        <is>
          <t>00000000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</row>
    <row r="52">
      <c r="A52" t="inlineStr">
        <is>
          <t>Sheet1</t>
        </is>
      </c>
      <c r="B52" t="inlineStr">
        <is>
          <t>E29</t>
        </is>
      </c>
      <c r="C52" t="n">
        <v>29</v>
      </c>
      <c r="D52" t="n">
        <v>5</v>
      </c>
      <c r="E52" t="inlineStr">
        <is>
          <t>Input</t>
        </is>
      </c>
      <c r="F52" t="n">
        <v/>
      </c>
      <c r="H52" t="inlineStr"/>
      <c r="I52" t="inlineStr">
        <is>
          <t>_(\$* #,##0_);_(\$* \(#,##0\);_(\$* \-??_);_(@_)</t>
        </is>
      </c>
      <c r="J52" t="b">
        <v>0</v>
      </c>
      <c r="K52" t="b">
        <v>0</v>
      </c>
      <c r="L52" t="n">
        <v>10</v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</row>
    <row r="53">
      <c r="A53" t="inlineStr">
        <is>
          <t>Sheet1</t>
        </is>
      </c>
      <c r="B53" t="inlineStr">
        <is>
          <t>A30</t>
        </is>
      </c>
      <c r="C53" t="n">
        <v>30</v>
      </c>
      <c r="D53" t="n">
        <v>1</v>
      </c>
      <c r="E53" t="inlineStr">
        <is>
          <t>Input</t>
        </is>
      </c>
      <c r="F53" t="n">
        <v/>
      </c>
      <c r="G53" t="inlineStr">
        <is>
          <t>The following table provides a check on the lease calculations above.</t>
        </is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10</v>
      </c>
      <c r="N53" t="inlineStr">
        <is>
          <t>00000000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</row>
    <row r="54">
      <c r="A54" t="inlineStr">
        <is>
          <t>Sheet1</t>
        </is>
      </c>
      <c r="B54" t="inlineStr">
        <is>
          <t>D30</t>
        </is>
      </c>
      <c r="C54" t="n">
        <v>30</v>
      </c>
      <c r="D54" t="n">
        <v>4</v>
      </c>
      <c r="E54" t="inlineStr">
        <is>
          <t>Input</t>
        </is>
      </c>
      <c r="F54" t="n">
        <v/>
      </c>
      <c r="H54" t="inlineStr"/>
      <c r="I54" t="inlineStr">
        <is>
          <t>_(\$* #,##0_);_(\$* \(#,##0\);_(\$* \-??_);_(@_)</t>
        </is>
      </c>
      <c r="J54" t="b">
        <v>0</v>
      </c>
      <c r="K54" t="b">
        <v>0</v>
      </c>
      <c r="L54" t="n">
        <v>10</v>
      </c>
      <c r="N54" t="inlineStr">
        <is>
          <t>00000000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Sheet1</t>
        </is>
      </c>
      <c r="B55" t="inlineStr">
        <is>
          <t>E30</t>
        </is>
      </c>
      <c r="C55" t="n">
        <v>30</v>
      </c>
      <c r="D55" t="n">
        <v>5</v>
      </c>
      <c r="E55" t="inlineStr">
        <is>
          <t>Input</t>
        </is>
      </c>
      <c r="F55" t="n">
        <v/>
      </c>
      <c r="H55" t="inlineStr"/>
      <c r="I55" t="inlineStr">
        <is>
          <t>_(\$* #,##0_);_(\$* \(#,##0\);_(\$* \-??_);_(@_)</t>
        </is>
      </c>
      <c r="J55" t="b">
        <v>0</v>
      </c>
      <c r="K55" t="b">
        <v>0</v>
      </c>
      <c r="L55" t="n">
        <v>10</v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Sheet1</t>
        </is>
      </c>
      <c r="B56" t="inlineStr">
        <is>
          <t>D31</t>
        </is>
      </c>
      <c r="C56" t="n">
        <v>31</v>
      </c>
      <c r="D56" t="n">
        <v>4</v>
      </c>
      <c r="E56" t="inlineStr">
        <is>
          <t>Input</t>
        </is>
      </c>
      <c r="F56" t="n">
        <v/>
      </c>
      <c r="H56" t="inlineStr"/>
      <c r="I56" t="inlineStr">
        <is>
          <t>_(\$* #,##0_);_(\$* \(#,##0\);_(\$* \-??_);_(@_)</t>
        </is>
      </c>
      <c r="J56" t="b">
        <v>0</v>
      </c>
      <c r="K56" t="b">
        <v>0</v>
      </c>
      <c r="L56" t="n">
        <v>10</v>
      </c>
      <c r="N56" t="inlineStr">
        <is>
          <t>00000000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Sheet1</t>
        </is>
      </c>
      <c r="B57" t="inlineStr">
        <is>
          <t>E31</t>
        </is>
      </c>
      <c r="C57" t="n">
        <v>31</v>
      </c>
      <c r="D57" t="n">
        <v>5</v>
      </c>
      <c r="E57" t="inlineStr">
        <is>
          <t>Input</t>
        </is>
      </c>
      <c r="F57" t="n">
        <v/>
      </c>
      <c r="H57" t="inlineStr"/>
      <c r="I57" t="inlineStr">
        <is>
          <t>_(\$* #,##0_);_(\$* \(#,##0\);_(\$* \-??_);_(@_)</t>
        </is>
      </c>
      <c r="J57" t="b">
        <v>0</v>
      </c>
      <c r="K57" t="b">
        <v>0</v>
      </c>
      <c r="L57" t="n">
        <v>10</v>
      </c>
      <c r="N57" t="inlineStr">
        <is>
          <t>00000000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>Sheet1</t>
        </is>
      </c>
      <c r="B58" t="inlineStr">
        <is>
          <t>A32</t>
        </is>
      </c>
      <c r="C58" t="n">
        <v>32</v>
      </c>
      <c r="D58" t="n">
        <v>1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10</v>
      </c>
      <c r="N58" t="inlineStr">
        <is>
          <t>00000000</t>
        </is>
      </c>
      <c r="O58" t="inlineStr">
        <is>
          <t>center</t>
        </is>
      </c>
      <c r="P58" t="inlineStr">
        <is>
          <t>bottom</t>
        </is>
      </c>
      <c r="Q58" t="b">
        <v>0</v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</row>
    <row r="59">
      <c r="A59" t="inlineStr">
        <is>
          <t>Sheet1</t>
        </is>
      </c>
      <c r="B59" t="inlineStr">
        <is>
          <t>B32</t>
        </is>
      </c>
      <c r="C59" t="n">
        <v>32</v>
      </c>
      <c r="D59" t="n">
        <v>2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10</v>
      </c>
      <c r="N59" t="inlineStr">
        <is>
          <t>00000000</t>
        </is>
      </c>
      <c r="O59" t="inlineStr">
        <is>
          <t>center</t>
        </is>
      </c>
      <c r="P59" t="inlineStr">
        <is>
          <t>bottom</t>
        </is>
      </c>
      <c r="Q59" t="b">
        <v>0</v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</row>
    <row r="60">
      <c r="A60" t="inlineStr">
        <is>
          <t>Sheet1</t>
        </is>
      </c>
      <c r="B60" t="inlineStr">
        <is>
          <t>C32</t>
        </is>
      </c>
      <c r="C60" t="n">
        <v>32</v>
      </c>
      <c r="D60" t="n">
        <v>3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10</v>
      </c>
      <c r="N60" t="inlineStr">
        <is>
          <t>00000000</t>
        </is>
      </c>
      <c r="O60" t="inlineStr">
        <is>
          <t>center</t>
        </is>
      </c>
      <c r="P60" t="inlineStr">
        <is>
          <t>bottom</t>
        </is>
      </c>
      <c r="Q60" t="b">
        <v>0</v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</row>
    <row r="61">
      <c r="A61" t="inlineStr">
        <is>
          <t>Sheet1</t>
        </is>
      </c>
      <c r="B61" t="inlineStr">
        <is>
          <t>D32</t>
        </is>
      </c>
      <c r="C61" t="n">
        <v>32</v>
      </c>
      <c r="D61" t="n">
        <v>4</v>
      </c>
      <c r="E61" t="inlineStr">
        <is>
          <t>Input</t>
        </is>
      </c>
      <c r="F61" t="n">
        <v/>
      </c>
      <c r="G61" t="inlineStr">
        <is>
          <t>Sales</t>
        </is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10</v>
      </c>
      <c r="N61" t="inlineStr">
        <is>
          <t>00000000</t>
        </is>
      </c>
      <c r="O61" t="inlineStr">
        <is>
          <t>center</t>
        </is>
      </c>
      <c r="P61" t="inlineStr">
        <is>
          <t>bottom</t>
        </is>
      </c>
      <c r="Q61" t="b">
        <v>0</v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</row>
    <row r="62">
      <c r="A62" t="inlineStr">
        <is>
          <t>Sheet1</t>
        </is>
      </c>
      <c r="B62" t="inlineStr">
        <is>
          <t>E32</t>
        </is>
      </c>
      <c r="C62" t="n">
        <v>32</v>
      </c>
      <c r="D62" t="n">
        <v>5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10</v>
      </c>
      <c r="N62" t="inlineStr">
        <is>
          <t>00000000</t>
        </is>
      </c>
      <c r="O62" t="inlineStr">
        <is>
          <t>center</t>
        </is>
      </c>
      <c r="P62" t="inlineStr">
        <is>
          <t>bottom</t>
        </is>
      </c>
      <c r="Q62" t="b">
        <v>0</v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</row>
    <row r="63">
      <c r="A63" t="inlineStr">
        <is>
          <t>Sheet1</t>
        </is>
      </c>
      <c r="B63" t="inlineStr">
        <is>
          <t>F32</t>
        </is>
      </c>
      <c r="C63" t="n">
        <v>32</v>
      </c>
      <c r="D63" t="n">
        <v>6</v>
      </c>
      <c r="E63" t="inlineStr">
        <is>
          <t>Input</t>
        </is>
      </c>
      <c r="F63" t="n">
        <v/>
      </c>
      <c r="G63" t="inlineStr">
        <is>
          <t>PV</t>
        </is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10</v>
      </c>
      <c r="N63" t="inlineStr">
        <is>
          <t>00000000</t>
        </is>
      </c>
      <c r="O63" t="inlineStr">
        <is>
          <t>center</t>
        </is>
      </c>
      <c r="P63" t="inlineStr">
        <is>
          <t>bottom</t>
        </is>
      </c>
      <c r="Q63" t="b">
        <v>0</v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</row>
    <row r="64">
      <c r="A64" t="inlineStr">
        <is>
          <t>Sheet1</t>
        </is>
      </c>
      <c r="B64" t="inlineStr">
        <is>
          <t>G32</t>
        </is>
      </c>
      <c r="C64" t="n">
        <v>32</v>
      </c>
      <c r="D64" t="n">
        <v>7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10</v>
      </c>
      <c r="N64" t="inlineStr">
        <is>
          <t>00000000</t>
        </is>
      </c>
      <c r="O64" t="inlineStr">
        <is>
          <t>center</t>
        </is>
      </c>
      <c r="P64" t="inlineStr">
        <is>
          <t>bottom</t>
        </is>
      </c>
      <c r="Q64" t="b">
        <v>0</v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</row>
    <row r="65">
      <c r="A65" t="inlineStr">
        <is>
          <t>Sheet1</t>
        </is>
      </c>
      <c r="B65" t="inlineStr">
        <is>
          <t>H32</t>
        </is>
      </c>
      <c r="C65" t="n">
        <v>32</v>
      </c>
      <c r="D65" t="n">
        <v>8</v>
      </c>
      <c r="E65" t="inlineStr">
        <is>
          <t>Input</t>
        </is>
      </c>
      <c r="F65" t="n">
        <v/>
      </c>
      <c r="G65" t="inlineStr">
        <is>
          <t>Cumul</t>
        </is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10</v>
      </c>
      <c r="N65" t="inlineStr">
        <is>
          <t>00000000</t>
        </is>
      </c>
      <c r="O65" t="inlineStr">
        <is>
          <t>center</t>
        </is>
      </c>
      <c r="P65" t="inlineStr">
        <is>
          <t>bottom</t>
        </is>
      </c>
      <c r="Q65" t="b">
        <v>0</v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</row>
    <row r="66">
      <c r="A66" t="inlineStr">
        <is>
          <t>Sheet1</t>
        </is>
      </c>
      <c r="B66" t="inlineStr">
        <is>
          <t>A33</t>
        </is>
      </c>
      <c r="C66" t="n">
        <v>33</v>
      </c>
      <c r="D66" t="n">
        <v>1</v>
      </c>
      <c r="E66" t="inlineStr">
        <is>
          <t>Input</t>
        </is>
      </c>
      <c r="F66" t="n">
        <v/>
      </c>
      <c r="G66" t="inlineStr">
        <is>
          <t>Month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10</v>
      </c>
      <c r="N66" t="inlineStr">
        <is>
          <t>00000000</t>
        </is>
      </c>
      <c r="O66" t="inlineStr">
        <is>
          <t>center</t>
        </is>
      </c>
      <c r="P66" t="inlineStr">
        <is>
          <t>bottom</t>
        </is>
      </c>
      <c r="Q66" t="b">
        <v>0</v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</row>
    <row r="67">
      <c r="A67" t="inlineStr">
        <is>
          <t>Sheet1</t>
        </is>
      </c>
      <c r="B67" t="inlineStr">
        <is>
          <t>B33</t>
        </is>
      </c>
      <c r="C67" t="n">
        <v>33</v>
      </c>
      <c r="D67" t="n">
        <v>2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10</v>
      </c>
      <c r="N67" t="inlineStr">
        <is>
          <t>00000000</t>
        </is>
      </c>
      <c r="O67" t="inlineStr">
        <is>
          <t>center</t>
        </is>
      </c>
      <c r="P67" t="inlineStr">
        <is>
          <t>bottom</t>
        </is>
      </c>
      <c r="Q67" t="b">
        <v>0</v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</row>
    <row r="68">
      <c r="A68" t="inlineStr">
        <is>
          <t>Sheet1</t>
        </is>
      </c>
      <c r="B68" t="inlineStr">
        <is>
          <t>C33</t>
        </is>
      </c>
      <c r="C68" t="n">
        <v>33</v>
      </c>
      <c r="D68" t="n">
        <v>3</v>
      </c>
      <c r="E68" t="inlineStr">
        <is>
          <t>Input</t>
        </is>
      </c>
      <c r="F68" t="n">
        <v/>
      </c>
      <c r="G68" t="inlineStr">
        <is>
          <t>Payment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10</v>
      </c>
      <c r="N68" t="inlineStr">
        <is>
          <t>00000000</t>
        </is>
      </c>
      <c r="O68" t="inlineStr">
        <is>
          <t>center</t>
        </is>
      </c>
      <c r="P68" t="inlineStr">
        <is>
          <t>bottom</t>
        </is>
      </c>
      <c r="Q68" t="b">
        <v>0</v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</row>
    <row r="69">
      <c r="A69" t="inlineStr">
        <is>
          <t>Sheet1</t>
        </is>
      </c>
      <c r="B69" t="inlineStr">
        <is>
          <t>D33</t>
        </is>
      </c>
      <c r="C69" t="n">
        <v>33</v>
      </c>
      <c r="D69" t="n">
        <v>4</v>
      </c>
      <c r="E69" t="inlineStr">
        <is>
          <t>Input</t>
        </is>
      </c>
      <c r="F69" t="n">
        <v/>
      </c>
      <c r="G69" t="inlineStr">
        <is>
          <t>Tax</t>
        </is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10</v>
      </c>
      <c r="N69" t="inlineStr">
        <is>
          <t>00000000</t>
        </is>
      </c>
      <c r="O69" t="inlineStr">
        <is>
          <t>center</t>
        </is>
      </c>
      <c r="P69" t="inlineStr">
        <is>
          <t>bottom</t>
        </is>
      </c>
      <c r="Q69" t="b">
        <v>0</v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Sheet1</t>
        </is>
      </c>
      <c r="B70" t="inlineStr">
        <is>
          <t>E33</t>
        </is>
      </c>
      <c r="C70" t="n">
        <v>33</v>
      </c>
      <c r="D70" t="n">
        <v>5</v>
      </c>
      <c r="E70" t="inlineStr">
        <is>
          <t>Input</t>
        </is>
      </c>
      <c r="F70" t="n">
        <v/>
      </c>
      <c r="G70" t="inlineStr">
        <is>
          <t>Total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10</v>
      </c>
      <c r="N70" t="inlineStr">
        <is>
          <t>00000000</t>
        </is>
      </c>
      <c r="O70" t="inlineStr">
        <is>
          <t>center</t>
        </is>
      </c>
      <c r="P70" t="inlineStr">
        <is>
          <t>bottom</t>
        </is>
      </c>
      <c r="Q70" t="b">
        <v>0</v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Sheet1</t>
        </is>
      </c>
      <c r="B71" t="inlineStr">
        <is>
          <t>F33</t>
        </is>
      </c>
      <c r="C71" t="n">
        <v>33</v>
      </c>
      <c r="D71" t="n">
        <v>6</v>
      </c>
      <c r="E71" t="inlineStr">
        <is>
          <t>Input</t>
        </is>
      </c>
      <c r="F71" t="n">
        <v/>
      </c>
      <c r="G71" t="inlineStr">
        <is>
          <t>Factor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10</v>
      </c>
      <c r="N71" t="inlineStr">
        <is>
          <t>00000000</t>
        </is>
      </c>
      <c r="O71" t="inlineStr">
        <is>
          <t>center</t>
        </is>
      </c>
      <c r="P71" t="inlineStr">
        <is>
          <t>bottom</t>
        </is>
      </c>
      <c r="Q71" t="b">
        <v>0</v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Sheet1</t>
        </is>
      </c>
      <c r="B72" t="inlineStr">
        <is>
          <t>G33</t>
        </is>
      </c>
      <c r="C72" t="n">
        <v>33</v>
      </c>
      <c r="D72" t="n">
        <v>7</v>
      </c>
      <c r="E72" t="inlineStr">
        <is>
          <t>Input</t>
        </is>
      </c>
      <c r="F72" t="n">
        <v/>
      </c>
      <c r="G72" t="inlineStr">
        <is>
          <t>PV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10</v>
      </c>
      <c r="N72" t="inlineStr">
        <is>
          <t>00000000</t>
        </is>
      </c>
      <c r="O72" t="inlineStr">
        <is>
          <t>center</t>
        </is>
      </c>
      <c r="P72" t="inlineStr">
        <is>
          <t>bottom</t>
        </is>
      </c>
      <c r="Q72" t="b">
        <v>0</v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Sheet1</t>
        </is>
      </c>
      <c r="B73" t="inlineStr">
        <is>
          <t>H33</t>
        </is>
      </c>
      <c r="C73" t="n">
        <v>33</v>
      </c>
      <c r="D73" t="n">
        <v>8</v>
      </c>
      <c r="E73" t="inlineStr">
        <is>
          <t>Input</t>
        </is>
      </c>
      <c r="F73" t="n">
        <v/>
      </c>
      <c r="G73" t="inlineStr">
        <is>
          <t>PV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10</v>
      </c>
      <c r="N73" t="inlineStr">
        <is>
          <t>00000000</t>
        </is>
      </c>
      <c r="O73" t="inlineStr">
        <is>
          <t>center</t>
        </is>
      </c>
      <c r="P73" t="inlineStr">
        <is>
          <t>bottom</t>
        </is>
      </c>
      <c r="Q73" t="b">
        <v>0</v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Sheet1</t>
        </is>
      </c>
      <c r="B74" t="inlineStr">
        <is>
          <t>A34</t>
        </is>
      </c>
      <c r="C74" t="n">
        <v>34</v>
      </c>
      <c r="D74" t="n">
        <v>1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10</v>
      </c>
      <c r="N74" t="inlineStr">
        <is>
          <t>00000000</t>
        </is>
      </c>
      <c r="O74" t="inlineStr">
        <is>
          <t>right</t>
        </is>
      </c>
      <c r="P74" t="inlineStr">
        <is>
          <t>bottom</t>
        </is>
      </c>
      <c r="Q74" t="b">
        <v>0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Sheet1</t>
        </is>
      </c>
      <c r="B75" t="inlineStr">
        <is>
          <t>A35</t>
        </is>
      </c>
      <c r="C75" t="n">
        <v>35</v>
      </c>
      <c r="D75" t="n">
        <v>1</v>
      </c>
      <c r="E75" t="inlineStr">
        <is>
          <t>Input</t>
        </is>
      </c>
      <c r="F75" t="n">
        <v/>
      </c>
      <c r="G75" t="n">
        <v>0</v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10</v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Sheet1</t>
        </is>
      </c>
      <c r="B76" t="inlineStr">
        <is>
          <t>C35</t>
        </is>
      </c>
      <c r="C76" t="n">
        <v>35</v>
      </c>
      <c r="D76" t="n">
        <v>3</v>
      </c>
      <c r="E76" t="inlineStr">
        <is>
          <t>Calculation</t>
        </is>
      </c>
      <c r="F76" t="inlineStr">
        <is>
          <t>'=+D19</t>
        </is>
      </c>
      <c r="G76" t="n">
        <v>280</v>
      </c>
      <c r="H76" t="inlineStr"/>
      <c r="I76" t="inlineStr">
        <is>
          <t>_(\$* #,##0_);_(\$* \(#,##0\);_(\$* \-??_);_(@_)</t>
        </is>
      </c>
      <c r="J76" t="b">
        <v>0</v>
      </c>
      <c r="K76" t="b">
        <v>0</v>
      </c>
      <c r="L76" t="n">
        <v>10</v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>
        <f>+R[-16]C[1]</f>
        <v/>
      </c>
    </row>
    <row r="77">
      <c r="A77" t="inlineStr">
        <is>
          <t>Sheet1</t>
        </is>
      </c>
      <c r="B77" t="inlineStr">
        <is>
          <t>D35</t>
        </is>
      </c>
      <c r="C77" t="n">
        <v>35</v>
      </c>
      <c r="D77" t="n">
        <v>4</v>
      </c>
      <c r="E77" t="inlineStr">
        <is>
          <t>Calculation</t>
        </is>
      </c>
      <c r="F77" t="inlineStr">
        <is>
          <t>'=+D17*(D11-D14)</t>
        </is>
      </c>
      <c r="G77" t="n">
        <v>360</v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10</v>
      </c>
      <c r="N77" t="inlineStr">
        <is>
          <t>00000000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>
        <f>+R[-18]C[0]*(R[-24]C[0]-R[-21]C[0])</f>
        <v/>
      </c>
    </row>
    <row r="78">
      <c r="A78" t="inlineStr">
        <is>
          <t>Sheet1</t>
        </is>
      </c>
      <c r="B78" t="inlineStr">
        <is>
          <t>E35</t>
        </is>
      </c>
      <c r="C78" t="n">
        <v>35</v>
      </c>
      <c r="D78" t="n">
        <v>5</v>
      </c>
      <c r="E78" t="inlineStr">
        <is>
          <t>Calculation</t>
        </is>
      </c>
      <c r="F78" t="inlineStr">
        <is>
          <t>'=+SUM(C35:D35)</t>
        </is>
      </c>
      <c r="G78" t="n">
        <v>640</v>
      </c>
      <c r="H78" t="inlineStr"/>
      <c r="I78" t="inlineStr">
        <is>
          <t>_(\$* #,##0_);_(\$* \(#,##0\);_(\$* \-??_);_(@_)</t>
        </is>
      </c>
      <c r="J78" t="b">
        <v>0</v>
      </c>
      <c r="K78" t="b">
        <v>0</v>
      </c>
      <c r="L78" t="n">
        <v>10</v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1</v>
      </c>
      <c r="S78" t="inlineStr">
        <is>
          <t>G000001</t>
        </is>
      </c>
      <c r="T78" t="inlineStr">
        <is>
          <t>Vertical</t>
        </is>
      </c>
      <c r="U78" t="n">
        <v>37</v>
      </c>
      <c r="V78" t="b">
        <v>1</v>
      </c>
      <c r="W78" t="inlineStr">
        <is>
          <t>Sheet1!E35:E71</t>
        </is>
      </c>
      <c r="X78">
        <f>+SUM(R[0]C[-2]:R[0]C[-1])</f>
        <v/>
      </c>
    </row>
    <row r="79">
      <c r="A79" t="inlineStr">
        <is>
          <t>Sheet1</t>
        </is>
      </c>
      <c r="B79" t="inlineStr">
        <is>
          <t>F35</t>
        </is>
      </c>
      <c r="C79" t="n">
        <v>35</v>
      </c>
      <c r="D79" t="n">
        <v>6</v>
      </c>
      <c r="E79" t="inlineStr">
        <is>
          <t>Input</t>
        </is>
      </c>
      <c r="F79" t="n">
        <v/>
      </c>
      <c r="G79" t="n">
        <v>1</v>
      </c>
      <c r="H79" t="inlineStr"/>
      <c r="I79" t="inlineStr">
        <is>
          <t>0.0%</t>
        </is>
      </c>
      <c r="J79" t="b">
        <v>0</v>
      </c>
      <c r="K79" t="b">
        <v>0</v>
      </c>
      <c r="L79" t="n">
        <v>10</v>
      </c>
      <c r="N79" t="inlineStr">
        <is>
          <t>00000000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</row>
    <row r="80">
      <c r="A80" t="inlineStr">
        <is>
          <t>Sheet1</t>
        </is>
      </c>
      <c r="B80" t="inlineStr">
        <is>
          <t>G35</t>
        </is>
      </c>
      <c r="C80" t="n">
        <v>35</v>
      </c>
      <c r="D80" t="n">
        <v>7</v>
      </c>
      <c r="E80" t="inlineStr">
        <is>
          <t>Calculation</t>
        </is>
      </c>
      <c r="F80" t="inlineStr">
        <is>
          <t>'=+E35*F35</t>
        </is>
      </c>
      <c r="G80" t="n">
        <v>640</v>
      </c>
      <c r="H80" t="inlineStr"/>
      <c r="I80" t="inlineStr">
        <is>
          <t>0.00</t>
        </is>
      </c>
      <c r="J80" t="b">
        <v>0</v>
      </c>
      <c r="K80" t="b">
        <v>0</v>
      </c>
      <c r="L80" t="n">
        <v>10</v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1</v>
      </c>
      <c r="S80" t="inlineStr">
        <is>
          <t>G000002</t>
        </is>
      </c>
      <c r="T80" t="inlineStr">
        <is>
          <t>Vertical</t>
        </is>
      </c>
      <c r="U80" t="n">
        <v>37</v>
      </c>
      <c r="V80" t="b">
        <v>1</v>
      </c>
      <c r="W80" t="inlineStr">
        <is>
          <t>Sheet1!G35:G71</t>
        </is>
      </c>
      <c r="X80">
        <f>+R[0]C[-2]*R[0]C[-1]</f>
        <v/>
      </c>
    </row>
    <row r="81">
      <c r="A81" t="inlineStr">
        <is>
          <t>Sheet1</t>
        </is>
      </c>
      <c r="B81" t="inlineStr">
        <is>
          <t>H35</t>
        </is>
      </c>
      <c r="C81" t="n">
        <v>35</v>
      </c>
      <c r="D81" t="n">
        <v>8</v>
      </c>
      <c r="E81" t="inlineStr">
        <is>
          <t>Calculation</t>
        </is>
      </c>
      <c r="F81" t="inlineStr">
        <is>
          <t>'=+G35</t>
        </is>
      </c>
      <c r="G81" t="n">
        <v>640</v>
      </c>
      <c r="H81" t="inlineStr"/>
      <c r="I81" t="inlineStr">
        <is>
          <t>0.00</t>
        </is>
      </c>
      <c r="J81" t="b">
        <v>0</v>
      </c>
      <c r="K81" t="b">
        <v>0</v>
      </c>
      <c r="L81" t="n">
        <v>10</v>
      </c>
      <c r="N81" t="inlineStr">
        <is>
          <t>00000000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>
        <f>+R[0]C[-1]</f>
        <v/>
      </c>
    </row>
    <row r="82">
      <c r="A82" t="inlineStr">
        <is>
          <t>Sheet1</t>
        </is>
      </c>
      <c r="B82" t="inlineStr">
        <is>
          <t>A36</t>
        </is>
      </c>
      <c r="C82" t="n">
        <v>36</v>
      </c>
      <c r="D82" t="n">
        <v>1</v>
      </c>
      <c r="E82" t="inlineStr">
        <is>
          <t>Input</t>
        </is>
      </c>
      <c r="F82" t="n">
        <v/>
      </c>
      <c r="G82" t="n">
        <v>1</v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10</v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>Sheet1</t>
        </is>
      </c>
      <c r="B83" t="inlineStr">
        <is>
          <t>C36</t>
        </is>
      </c>
      <c r="C83" t="n">
        <v>36</v>
      </c>
      <c r="D83" t="n">
        <v>3</v>
      </c>
      <c r="E83" t="inlineStr">
        <is>
          <t>Calculation</t>
        </is>
      </c>
      <c r="F83" t="inlineStr">
        <is>
          <t>'=+C35</t>
        </is>
      </c>
      <c r="G83" t="n">
        <v>280</v>
      </c>
      <c r="H83" t="inlineStr"/>
      <c r="I83" t="inlineStr">
        <is>
          <t>_(\$* #,##0_);_(\$* \(#,##0\);_(\$* \-??_);_(@_)</t>
        </is>
      </c>
      <c r="J83" t="b">
        <v>0</v>
      </c>
      <c r="K83" t="b">
        <v>0</v>
      </c>
      <c r="L83" t="n">
        <v>10</v>
      </c>
      <c r="N83" t="inlineStr">
        <is>
          <t>00000000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1</v>
      </c>
      <c r="S83" t="inlineStr">
        <is>
          <t>G000003</t>
        </is>
      </c>
      <c r="T83" t="inlineStr">
        <is>
          <t>Vertical</t>
        </is>
      </c>
      <c r="U83" t="n">
        <v>35</v>
      </c>
      <c r="V83" t="b">
        <v>1</v>
      </c>
      <c r="W83" t="inlineStr">
        <is>
          <t>Sheet1!C36:C70</t>
        </is>
      </c>
      <c r="X83">
        <f>+R[-1]C[0]</f>
        <v/>
      </c>
    </row>
    <row r="84">
      <c r="A84" t="inlineStr">
        <is>
          <t>Sheet1</t>
        </is>
      </c>
      <c r="B84" t="inlineStr">
        <is>
          <t>E36</t>
        </is>
      </c>
      <c r="C84" t="n">
        <v>36</v>
      </c>
      <c r="D84" t="n">
        <v>5</v>
      </c>
      <c r="E84" t="inlineStr">
        <is>
          <t>Calculation</t>
        </is>
      </c>
      <c r="F84" t="inlineStr">
        <is>
          <t>'=+SUM(C36:D36)</t>
        </is>
      </c>
      <c r="G84" t="n">
        <v>280</v>
      </c>
      <c r="H84" t="inlineStr"/>
      <c r="I84" t="inlineStr">
        <is>
          <t>_(\$* #,##0_);_(\$* \(#,##0\);_(\$* \-??_);_(@_)</t>
        </is>
      </c>
      <c r="J84" t="b">
        <v>0</v>
      </c>
      <c r="K84" t="b">
        <v>0</v>
      </c>
      <c r="L84" t="n">
        <v>10</v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1</v>
      </c>
      <c r="S84" t="inlineStr">
        <is>
          <t>G000001</t>
        </is>
      </c>
      <c r="T84" t="inlineStr">
        <is>
          <t>Vertical</t>
        </is>
      </c>
      <c r="U84" t="n">
        <v>37</v>
      </c>
      <c r="V84" t="b">
        <v>1</v>
      </c>
      <c r="W84" t="inlineStr">
        <is>
          <t>Sheet1!E35:E71</t>
        </is>
      </c>
      <c r="X84">
        <f>+SUM(R[0]C[-2]:R[0]C[-1])</f>
        <v/>
      </c>
    </row>
    <row r="85">
      <c r="A85" t="inlineStr">
        <is>
          <t>Sheet1</t>
        </is>
      </c>
      <c r="B85" t="inlineStr">
        <is>
          <t>F36</t>
        </is>
      </c>
      <c r="C85" t="n">
        <v>36</v>
      </c>
      <c r="D85" t="n">
        <v>6</v>
      </c>
      <c r="E85" t="inlineStr">
        <is>
          <t>Calculation</t>
        </is>
      </c>
      <c r="F85" t="inlineStr">
        <is>
          <t>'=+F35/(1+$D$15/12)</t>
        </is>
      </c>
      <c r="G85" t="n">
        <v>0.9925558312655089</v>
      </c>
      <c r="H85" t="inlineStr"/>
      <c r="I85" t="inlineStr">
        <is>
          <t>0.0%</t>
        </is>
      </c>
      <c r="J85" t="b">
        <v>0</v>
      </c>
      <c r="K85" t="b">
        <v>0</v>
      </c>
      <c r="L85" t="n">
        <v>10</v>
      </c>
      <c r="N85" t="inlineStr">
        <is>
          <t>00000000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1</v>
      </c>
      <c r="S85" t="inlineStr">
        <is>
          <t>G000004</t>
        </is>
      </c>
      <c r="T85" t="inlineStr">
        <is>
          <t>Vertical</t>
        </is>
      </c>
      <c r="U85" t="n">
        <v>36</v>
      </c>
      <c r="V85" t="b">
        <v>1</v>
      </c>
      <c r="W85" t="inlineStr">
        <is>
          <t>Sheet1!F36:F71</t>
        </is>
      </c>
      <c r="X85">
        <f>+R[-1]C[0]/(1+R15C4/12)</f>
        <v/>
      </c>
    </row>
    <row r="86">
      <c r="A86" t="inlineStr">
        <is>
          <t>Sheet1</t>
        </is>
      </c>
      <c r="B86" t="inlineStr">
        <is>
          <t>G36</t>
        </is>
      </c>
      <c r="C86" t="n">
        <v>36</v>
      </c>
      <c r="D86" t="n">
        <v>7</v>
      </c>
      <c r="E86" t="inlineStr">
        <is>
          <t>Calculation</t>
        </is>
      </c>
      <c r="F86" t="inlineStr">
        <is>
          <t>'=+E36*F36</t>
        </is>
      </c>
      <c r="G86" t="n">
        <v>277.915632754342</v>
      </c>
      <c r="H86" t="inlineStr"/>
      <c r="I86" t="inlineStr">
        <is>
          <t>0.00</t>
        </is>
      </c>
      <c r="J86" t="b">
        <v>0</v>
      </c>
      <c r="K86" t="b">
        <v>0</v>
      </c>
      <c r="L86" t="n">
        <v>10</v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1</v>
      </c>
      <c r="S86" t="inlineStr">
        <is>
          <t>G000002</t>
        </is>
      </c>
      <c r="T86" t="inlineStr">
        <is>
          <t>Vertical</t>
        </is>
      </c>
      <c r="U86" t="n">
        <v>37</v>
      </c>
      <c r="V86" t="b">
        <v>1</v>
      </c>
      <c r="W86" t="inlineStr">
        <is>
          <t>Sheet1!G35:G71</t>
        </is>
      </c>
      <c r="X86">
        <f>+R[0]C[-2]*R[0]C[-1]</f>
        <v/>
      </c>
    </row>
    <row r="87">
      <c r="A87" t="inlineStr">
        <is>
          <t>Sheet1</t>
        </is>
      </c>
      <c r="B87" t="inlineStr">
        <is>
          <t>H36</t>
        </is>
      </c>
      <c r="C87" t="n">
        <v>36</v>
      </c>
      <c r="D87" t="n">
        <v>8</v>
      </c>
      <c r="E87" t="inlineStr">
        <is>
          <t>Calculation</t>
        </is>
      </c>
      <c r="F87" t="inlineStr">
        <is>
          <t>'=+H35+G36</t>
        </is>
      </c>
      <c r="G87" t="n">
        <v>917.915632754342</v>
      </c>
      <c r="H87" t="inlineStr"/>
      <c r="I87" t="inlineStr">
        <is>
          <t>0.00</t>
        </is>
      </c>
      <c r="J87" t="b">
        <v>0</v>
      </c>
      <c r="K87" t="b">
        <v>0</v>
      </c>
      <c r="L87" t="n">
        <v>10</v>
      </c>
      <c r="N87" t="inlineStr">
        <is>
          <t>00000000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1</v>
      </c>
      <c r="S87" t="inlineStr">
        <is>
          <t>G000005</t>
        </is>
      </c>
      <c r="T87" t="inlineStr">
        <is>
          <t>Vertical</t>
        </is>
      </c>
      <c r="U87" t="n">
        <v>36</v>
      </c>
      <c r="V87" t="b">
        <v>1</v>
      </c>
      <c r="W87" t="inlineStr">
        <is>
          <t>Sheet1!H36:H71</t>
        </is>
      </c>
      <c r="X87">
        <f>+R[-1]C[0]+R[0]C[-1]</f>
        <v/>
      </c>
    </row>
    <row r="88">
      <c r="A88" t="inlineStr">
        <is>
          <t>Sheet1</t>
        </is>
      </c>
      <c r="B88" t="inlineStr">
        <is>
          <t>A37</t>
        </is>
      </c>
      <c r="C88" t="n">
        <v>37</v>
      </c>
      <c r="D88" t="n">
        <v>1</v>
      </c>
      <c r="E88" t="inlineStr">
        <is>
          <t>Input</t>
        </is>
      </c>
      <c r="F88" t="n">
        <v/>
      </c>
      <c r="G88" t="n">
        <v>2</v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10</v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</row>
    <row r="89">
      <c r="A89" t="inlineStr">
        <is>
          <t>Sheet1</t>
        </is>
      </c>
      <c r="B89" t="inlineStr">
        <is>
          <t>C37</t>
        </is>
      </c>
      <c r="C89" t="n">
        <v>37</v>
      </c>
      <c r="D89" t="n">
        <v>3</v>
      </c>
      <c r="E89" t="inlineStr">
        <is>
          <t>Calculation</t>
        </is>
      </c>
      <c r="F89" t="inlineStr">
        <is>
          <t>'=+C36</t>
        </is>
      </c>
      <c r="G89" t="n">
        <v>280</v>
      </c>
      <c r="H89" t="inlineStr"/>
      <c r="I89" t="inlineStr">
        <is>
          <t>_(\$* #,##0_);_(\$* \(#,##0\);_(\$* \-??_);_(@_)</t>
        </is>
      </c>
      <c r="J89" t="b">
        <v>0</v>
      </c>
      <c r="K89" t="b">
        <v>0</v>
      </c>
      <c r="L89" t="n">
        <v>10</v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1</v>
      </c>
      <c r="S89" t="inlineStr">
        <is>
          <t>G000003</t>
        </is>
      </c>
      <c r="T89" t="inlineStr">
        <is>
          <t>Vertical</t>
        </is>
      </c>
      <c r="U89" t="n">
        <v>35</v>
      </c>
      <c r="V89" t="b">
        <v>1</v>
      </c>
      <c r="W89" t="inlineStr">
        <is>
          <t>Sheet1!C36:C70</t>
        </is>
      </c>
      <c r="X89">
        <f>+R[-1]C[0]</f>
        <v/>
      </c>
    </row>
    <row r="90">
      <c r="A90" t="inlineStr">
        <is>
          <t>Sheet1</t>
        </is>
      </c>
      <c r="B90" t="inlineStr">
        <is>
          <t>E37</t>
        </is>
      </c>
      <c r="C90" t="n">
        <v>37</v>
      </c>
      <c r="D90" t="n">
        <v>5</v>
      </c>
      <c r="E90" t="inlineStr">
        <is>
          <t>Calculation</t>
        </is>
      </c>
      <c r="F90" t="inlineStr">
        <is>
          <t>'=+SUM(C37:D37)</t>
        </is>
      </c>
      <c r="G90" t="n">
        <v>280</v>
      </c>
      <c r="H90" t="inlineStr"/>
      <c r="I90" t="inlineStr">
        <is>
          <t>_(\$* #,##0_);_(\$* \(#,##0\);_(\$* \-??_);_(@_)</t>
        </is>
      </c>
      <c r="J90" t="b">
        <v>0</v>
      </c>
      <c r="K90" t="b">
        <v>0</v>
      </c>
      <c r="L90" t="n">
        <v>10</v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1</v>
      </c>
      <c r="S90" t="inlineStr">
        <is>
          <t>G000001</t>
        </is>
      </c>
      <c r="T90" t="inlineStr">
        <is>
          <t>Vertical</t>
        </is>
      </c>
      <c r="U90" t="n">
        <v>37</v>
      </c>
      <c r="V90" t="b">
        <v>1</v>
      </c>
      <c r="W90" t="inlineStr">
        <is>
          <t>Sheet1!E35:E71</t>
        </is>
      </c>
      <c r="X90">
        <f>+SUM(R[0]C[-2]:R[0]C[-1])</f>
        <v/>
      </c>
    </row>
    <row r="91">
      <c r="A91" t="inlineStr">
        <is>
          <t>Sheet1</t>
        </is>
      </c>
      <c r="B91" t="inlineStr">
        <is>
          <t>F37</t>
        </is>
      </c>
      <c r="C91" t="n">
        <v>37</v>
      </c>
      <c r="D91" t="n">
        <v>6</v>
      </c>
      <c r="E91" t="inlineStr">
        <is>
          <t>Calculation</t>
        </is>
      </c>
      <c r="F91" t="inlineStr">
        <is>
          <t>'=+F36/(1+$D$15/12)</t>
        </is>
      </c>
      <c r="G91" t="n">
        <v>0.985167078179165</v>
      </c>
      <c r="H91" t="inlineStr"/>
      <c r="I91" t="inlineStr">
        <is>
          <t>0.0%</t>
        </is>
      </c>
      <c r="J91" t="b">
        <v>0</v>
      </c>
      <c r="K91" t="b">
        <v>0</v>
      </c>
      <c r="L91" t="n">
        <v>10</v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1</v>
      </c>
      <c r="S91" t="inlineStr">
        <is>
          <t>G000004</t>
        </is>
      </c>
      <c r="T91" t="inlineStr">
        <is>
          <t>Vertical</t>
        </is>
      </c>
      <c r="U91" t="n">
        <v>36</v>
      </c>
      <c r="V91" t="b">
        <v>1</v>
      </c>
      <c r="W91" t="inlineStr">
        <is>
          <t>Sheet1!F36:F71</t>
        </is>
      </c>
      <c r="X91">
        <f>+R[-1]C[0]/(1+R15C4/12)</f>
        <v/>
      </c>
    </row>
    <row r="92">
      <c r="A92" t="inlineStr">
        <is>
          <t>Sheet1</t>
        </is>
      </c>
      <c r="B92" t="inlineStr">
        <is>
          <t>G37</t>
        </is>
      </c>
      <c r="C92" t="n">
        <v>37</v>
      </c>
      <c r="D92" t="n">
        <v>7</v>
      </c>
      <c r="E92" t="inlineStr">
        <is>
          <t>Calculation</t>
        </is>
      </c>
      <c r="F92" t="inlineStr">
        <is>
          <t>'=+E37*F37</t>
        </is>
      </c>
      <c r="G92" t="n">
        <v>275.846781890166</v>
      </c>
      <c r="H92" t="inlineStr"/>
      <c r="I92" t="inlineStr">
        <is>
          <t>0.00</t>
        </is>
      </c>
      <c r="J92" t="b">
        <v>0</v>
      </c>
      <c r="K92" t="b">
        <v>0</v>
      </c>
      <c r="L92" t="n">
        <v>10</v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1</v>
      </c>
      <c r="S92" t="inlineStr">
        <is>
          <t>G000002</t>
        </is>
      </c>
      <c r="T92" t="inlineStr">
        <is>
          <t>Vertical</t>
        </is>
      </c>
      <c r="U92" t="n">
        <v>37</v>
      </c>
      <c r="V92" t="b">
        <v>1</v>
      </c>
      <c r="W92" t="inlineStr">
        <is>
          <t>Sheet1!G35:G71</t>
        </is>
      </c>
      <c r="X92">
        <f>+R[0]C[-2]*R[0]C[-1]</f>
        <v/>
      </c>
    </row>
    <row r="93">
      <c r="A93" t="inlineStr">
        <is>
          <t>Sheet1</t>
        </is>
      </c>
      <c r="B93" t="inlineStr">
        <is>
          <t>H37</t>
        </is>
      </c>
      <c r="C93" t="n">
        <v>37</v>
      </c>
      <c r="D93" t="n">
        <v>8</v>
      </c>
      <c r="E93" t="inlineStr">
        <is>
          <t>Calculation</t>
        </is>
      </c>
      <c r="F93" t="inlineStr">
        <is>
          <t>'=+H36+G37</t>
        </is>
      </c>
      <c r="G93" t="n">
        <v>1193.76241464451</v>
      </c>
      <c r="H93" t="inlineStr"/>
      <c r="I93" t="inlineStr">
        <is>
          <t>0.00</t>
        </is>
      </c>
      <c r="J93" t="b">
        <v>0</v>
      </c>
      <c r="K93" t="b">
        <v>0</v>
      </c>
      <c r="L93" t="n">
        <v>10</v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1</v>
      </c>
      <c r="S93" t="inlineStr">
        <is>
          <t>G000005</t>
        </is>
      </c>
      <c r="T93" t="inlineStr">
        <is>
          <t>Vertical</t>
        </is>
      </c>
      <c r="U93" t="n">
        <v>36</v>
      </c>
      <c r="V93" t="b">
        <v>1</v>
      </c>
      <c r="W93" t="inlineStr">
        <is>
          <t>Sheet1!H36:H71</t>
        </is>
      </c>
      <c r="X93">
        <f>+R[-1]C[0]+R[0]C[-1]</f>
        <v/>
      </c>
    </row>
    <row r="94">
      <c r="A94" t="inlineStr">
        <is>
          <t>Sheet1</t>
        </is>
      </c>
      <c r="B94" t="inlineStr">
        <is>
          <t>A38</t>
        </is>
      </c>
      <c r="C94" t="n">
        <v>38</v>
      </c>
      <c r="D94" t="n">
        <v>1</v>
      </c>
      <c r="E94" t="inlineStr">
        <is>
          <t>Input</t>
        </is>
      </c>
      <c r="F94" t="n">
        <v/>
      </c>
      <c r="G94" t="n">
        <v>3</v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10</v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</row>
    <row r="95">
      <c r="A95" t="inlineStr">
        <is>
          <t>Sheet1</t>
        </is>
      </c>
      <c r="B95" t="inlineStr">
        <is>
          <t>C38</t>
        </is>
      </c>
      <c r="C95" t="n">
        <v>38</v>
      </c>
      <c r="D95" t="n">
        <v>3</v>
      </c>
      <c r="E95" t="inlineStr">
        <is>
          <t>Calculation</t>
        </is>
      </c>
      <c r="F95" t="inlineStr">
        <is>
          <t>'=+C37</t>
        </is>
      </c>
      <c r="G95" t="n">
        <v>280</v>
      </c>
      <c r="H95" t="inlineStr"/>
      <c r="I95" t="inlineStr">
        <is>
          <t>_(\$* #,##0_);_(\$* \(#,##0\);_(\$* \-??_);_(@_)</t>
        </is>
      </c>
      <c r="J95" t="b">
        <v>0</v>
      </c>
      <c r="K95" t="b">
        <v>0</v>
      </c>
      <c r="L95" t="n">
        <v>10</v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1</v>
      </c>
      <c r="S95" t="inlineStr">
        <is>
          <t>G000003</t>
        </is>
      </c>
      <c r="T95" t="inlineStr">
        <is>
          <t>Vertical</t>
        </is>
      </c>
      <c r="U95" t="n">
        <v>35</v>
      </c>
      <c r="V95" t="b">
        <v>1</v>
      </c>
      <c r="W95" t="inlineStr">
        <is>
          <t>Sheet1!C36:C70</t>
        </is>
      </c>
      <c r="X95">
        <f>+R[-1]C[0]</f>
        <v/>
      </c>
    </row>
    <row r="96">
      <c r="A96" t="inlineStr">
        <is>
          <t>Sheet1</t>
        </is>
      </c>
      <c r="B96" t="inlineStr">
        <is>
          <t>E38</t>
        </is>
      </c>
      <c r="C96" t="n">
        <v>38</v>
      </c>
      <c r="D96" t="n">
        <v>5</v>
      </c>
      <c r="E96" t="inlineStr">
        <is>
          <t>Calculation</t>
        </is>
      </c>
      <c r="F96" t="inlineStr">
        <is>
          <t>'=+SUM(C38:D38)</t>
        </is>
      </c>
      <c r="G96" t="n">
        <v>280</v>
      </c>
      <c r="H96" t="inlineStr"/>
      <c r="I96" t="inlineStr">
        <is>
          <t>_(\$* #,##0_);_(\$* \(#,##0\);_(\$* \-??_);_(@_)</t>
        </is>
      </c>
      <c r="J96" t="b">
        <v>0</v>
      </c>
      <c r="K96" t="b">
        <v>0</v>
      </c>
      <c r="L96" t="n">
        <v>10</v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1</v>
      </c>
      <c r="S96" t="inlineStr">
        <is>
          <t>G000001</t>
        </is>
      </c>
      <c r="T96" t="inlineStr">
        <is>
          <t>Vertical</t>
        </is>
      </c>
      <c r="U96" t="n">
        <v>37</v>
      </c>
      <c r="V96" t="b">
        <v>1</v>
      </c>
      <c r="W96" t="inlineStr">
        <is>
          <t>Sheet1!E35:E71</t>
        </is>
      </c>
      <c r="X96">
        <f>+SUM(R[0]C[-2]:R[0]C[-1])</f>
        <v/>
      </c>
    </row>
    <row r="97">
      <c r="A97" t="inlineStr">
        <is>
          <t>Sheet1</t>
        </is>
      </c>
      <c r="B97" t="inlineStr">
        <is>
          <t>F38</t>
        </is>
      </c>
      <c r="C97" t="n">
        <v>38</v>
      </c>
      <c r="D97" t="n">
        <v>6</v>
      </c>
      <c r="E97" t="inlineStr">
        <is>
          <t>Calculation</t>
        </is>
      </c>
      <c r="F97" t="inlineStr">
        <is>
          <t>'=+F37/(1+$D$15/12)</t>
        </is>
      </c>
      <c r="G97" t="n">
        <v>0.977833328217533</v>
      </c>
      <c r="H97" t="inlineStr"/>
      <c r="I97" t="inlineStr">
        <is>
          <t>0.0%</t>
        </is>
      </c>
      <c r="J97" t="b">
        <v>0</v>
      </c>
      <c r="K97" t="b">
        <v>0</v>
      </c>
      <c r="L97" t="n">
        <v>10</v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1</v>
      </c>
      <c r="S97" t="inlineStr">
        <is>
          <t>G000004</t>
        </is>
      </c>
      <c r="T97" t="inlineStr">
        <is>
          <t>Vertical</t>
        </is>
      </c>
      <c r="U97" t="n">
        <v>36</v>
      </c>
      <c r="V97" t="b">
        <v>1</v>
      </c>
      <c r="W97" t="inlineStr">
        <is>
          <t>Sheet1!F36:F71</t>
        </is>
      </c>
      <c r="X97">
        <f>+R[-1]C[0]/(1+R15C4/12)</f>
        <v/>
      </c>
    </row>
    <row r="98">
      <c r="A98" t="inlineStr">
        <is>
          <t>Sheet1</t>
        </is>
      </c>
      <c r="B98" t="inlineStr">
        <is>
          <t>G38</t>
        </is>
      </c>
      <c r="C98" t="n">
        <v>38</v>
      </c>
      <c r="D98" t="n">
        <v>7</v>
      </c>
      <c r="E98" t="inlineStr">
        <is>
          <t>Calculation</t>
        </is>
      </c>
      <c r="F98" t="inlineStr">
        <is>
          <t>'=+E38*F38</t>
        </is>
      </c>
      <c r="G98" t="n">
        <v>273.793331900909</v>
      </c>
      <c r="H98" t="inlineStr"/>
      <c r="I98" t="inlineStr">
        <is>
          <t>0.00</t>
        </is>
      </c>
      <c r="J98" t="b">
        <v>0</v>
      </c>
      <c r="K98" t="b">
        <v>0</v>
      </c>
      <c r="L98" t="n">
        <v>10</v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1</v>
      </c>
      <c r="S98" t="inlineStr">
        <is>
          <t>G000002</t>
        </is>
      </c>
      <c r="T98" t="inlineStr">
        <is>
          <t>Vertical</t>
        </is>
      </c>
      <c r="U98" t="n">
        <v>37</v>
      </c>
      <c r="V98" t="b">
        <v>1</v>
      </c>
      <c r="W98" t="inlineStr">
        <is>
          <t>Sheet1!G35:G71</t>
        </is>
      </c>
      <c r="X98">
        <f>+R[0]C[-2]*R[0]C[-1]</f>
        <v/>
      </c>
    </row>
    <row r="99">
      <c r="A99" t="inlineStr">
        <is>
          <t>Sheet1</t>
        </is>
      </c>
      <c r="B99" t="inlineStr">
        <is>
          <t>H38</t>
        </is>
      </c>
      <c r="C99" t="n">
        <v>38</v>
      </c>
      <c r="D99" t="n">
        <v>8</v>
      </c>
      <c r="E99" t="inlineStr">
        <is>
          <t>Calculation</t>
        </is>
      </c>
      <c r="F99" t="inlineStr">
        <is>
          <t>'=+H37+G38</t>
        </is>
      </c>
      <c r="G99" t="n">
        <v>1467.55574654542</v>
      </c>
      <c r="H99" t="inlineStr"/>
      <c r="I99" t="inlineStr">
        <is>
          <t>0.00</t>
        </is>
      </c>
      <c r="J99" t="b">
        <v>0</v>
      </c>
      <c r="K99" t="b">
        <v>0</v>
      </c>
      <c r="L99" t="n">
        <v>10</v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1</v>
      </c>
      <c r="S99" t="inlineStr">
        <is>
          <t>G000005</t>
        </is>
      </c>
      <c r="T99" t="inlineStr">
        <is>
          <t>Vertical</t>
        </is>
      </c>
      <c r="U99" t="n">
        <v>36</v>
      </c>
      <c r="V99" t="b">
        <v>1</v>
      </c>
      <c r="W99" t="inlineStr">
        <is>
          <t>Sheet1!H36:H71</t>
        </is>
      </c>
      <c r="X99">
        <f>+R[-1]C[0]+R[0]C[-1]</f>
        <v/>
      </c>
    </row>
    <row r="100">
      <c r="A100" t="inlineStr">
        <is>
          <t>Sheet1</t>
        </is>
      </c>
      <c r="B100" t="inlineStr">
        <is>
          <t>A39</t>
        </is>
      </c>
      <c r="C100" t="n">
        <v>39</v>
      </c>
      <c r="D100" t="n">
        <v>1</v>
      </c>
      <c r="E100" t="inlineStr">
        <is>
          <t>Input</t>
        </is>
      </c>
      <c r="F100" t="n">
        <v/>
      </c>
      <c r="G100" t="n">
        <v>4</v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10</v>
      </c>
      <c r="N100" t="inlineStr">
        <is>
          <t>00000000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</row>
    <row r="101">
      <c r="A101" t="inlineStr">
        <is>
          <t>Sheet1</t>
        </is>
      </c>
      <c r="B101" t="inlineStr">
        <is>
          <t>C39</t>
        </is>
      </c>
      <c r="C101" t="n">
        <v>39</v>
      </c>
      <c r="D101" t="n">
        <v>3</v>
      </c>
      <c r="E101" t="inlineStr">
        <is>
          <t>Calculation</t>
        </is>
      </c>
      <c r="F101" t="inlineStr">
        <is>
          <t>'=+C38</t>
        </is>
      </c>
      <c r="G101" t="n">
        <v>280</v>
      </c>
      <c r="H101" t="inlineStr"/>
      <c r="I101" t="inlineStr">
        <is>
          <t>_(\$* #,##0_);_(\$* \(#,##0\);_(\$* \-??_);_(@_)</t>
        </is>
      </c>
      <c r="J101" t="b">
        <v>0</v>
      </c>
      <c r="K101" t="b">
        <v>0</v>
      </c>
      <c r="L101" t="n">
        <v>10</v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1</v>
      </c>
      <c r="S101" t="inlineStr">
        <is>
          <t>G000003</t>
        </is>
      </c>
      <c r="T101" t="inlineStr">
        <is>
          <t>Vertical</t>
        </is>
      </c>
      <c r="U101" t="n">
        <v>35</v>
      </c>
      <c r="V101" t="b">
        <v>1</v>
      </c>
      <c r="W101" t="inlineStr">
        <is>
          <t>Sheet1!C36:C70</t>
        </is>
      </c>
      <c r="X101">
        <f>+R[-1]C[0]</f>
        <v/>
      </c>
    </row>
    <row r="102">
      <c r="A102" t="inlineStr">
        <is>
          <t>Sheet1</t>
        </is>
      </c>
      <c r="B102" t="inlineStr">
        <is>
          <t>E39</t>
        </is>
      </c>
      <c r="C102" t="n">
        <v>39</v>
      </c>
      <c r="D102" t="n">
        <v>5</v>
      </c>
      <c r="E102" t="inlineStr">
        <is>
          <t>Calculation</t>
        </is>
      </c>
      <c r="F102" t="inlineStr">
        <is>
          <t>'=+SUM(C39:D39)</t>
        </is>
      </c>
      <c r="G102" t="n">
        <v>280</v>
      </c>
      <c r="H102" t="inlineStr"/>
      <c r="I102" t="inlineStr">
        <is>
          <t>_(\$* #,##0_);_(\$* \(#,##0\);_(\$* \-??_);_(@_)</t>
        </is>
      </c>
      <c r="J102" t="b">
        <v>0</v>
      </c>
      <c r="K102" t="b">
        <v>0</v>
      </c>
      <c r="L102" t="n">
        <v>10</v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1</v>
      </c>
      <c r="S102" t="inlineStr">
        <is>
          <t>G000001</t>
        </is>
      </c>
      <c r="T102" t="inlineStr">
        <is>
          <t>Vertical</t>
        </is>
      </c>
      <c r="U102" t="n">
        <v>37</v>
      </c>
      <c r="V102" t="b">
        <v>1</v>
      </c>
      <c r="W102" t="inlineStr">
        <is>
          <t>Sheet1!E35:E71</t>
        </is>
      </c>
      <c r="X102">
        <f>+SUM(R[0]C[-2]:R[0]C[-1])</f>
        <v/>
      </c>
    </row>
    <row r="103">
      <c r="A103" t="inlineStr">
        <is>
          <t>Sheet1</t>
        </is>
      </c>
      <c r="B103" t="inlineStr">
        <is>
          <t>F39</t>
        </is>
      </c>
      <c r="C103" t="n">
        <v>39</v>
      </c>
      <c r="D103" t="n">
        <v>6</v>
      </c>
      <c r="E103" t="inlineStr">
        <is>
          <t>Calculation</t>
        </is>
      </c>
      <c r="F103" t="inlineStr">
        <is>
          <t>'=+F38/(1+$D$15/12)</t>
        </is>
      </c>
      <c r="G103" t="n">
        <v>0.970554171928073</v>
      </c>
      <c r="H103" t="inlineStr"/>
      <c r="I103" t="inlineStr">
        <is>
          <t>0.0%</t>
        </is>
      </c>
      <c r="J103" t="b">
        <v>0</v>
      </c>
      <c r="K103" t="b">
        <v>0</v>
      </c>
      <c r="L103" t="n">
        <v>10</v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1</v>
      </c>
      <c r="S103" t="inlineStr">
        <is>
          <t>G000004</t>
        </is>
      </c>
      <c r="T103" t="inlineStr">
        <is>
          <t>Vertical</t>
        </is>
      </c>
      <c r="U103" t="n">
        <v>36</v>
      </c>
      <c r="V103" t="b">
        <v>1</v>
      </c>
      <c r="W103" t="inlineStr">
        <is>
          <t>Sheet1!F36:F71</t>
        </is>
      </c>
      <c r="X103">
        <f>+R[-1]C[0]/(1+R15C4/12)</f>
        <v/>
      </c>
    </row>
    <row r="104">
      <c r="A104" t="inlineStr">
        <is>
          <t>Sheet1</t>
        </is>
      </c>
      <c r="B104" t="inlineStr">
        <is>
          <t>G39</t>
        </is>
      </c>
      <c r="C104" t="n">
        <v>39</v>
      </c>
      <c r="D104" t="n">
        <v>7</v>
      </c>
      <c r="E104" t="inlineStr">
        <is>
          <t>Calculation</t>
        </is>
      </c>
      <c r="F104" t="inlineStr">
        <is>
          <t>'=+E39*F39</t>
        </is>
      </c>
      <c r="G104" t="n">
        <v>271.75516813986</v>
      </c>
      <c r="H104" t="inlineStr"/>
      <c r="I104" t="inlineStr">
        <is>
          <t>0.00</t>
        </is>
      </c>
      <c r="J104" t="b">
        <v>0</v>
      </c>
      <c r="K104" t="b">
        <v>0</v>
      </c>
      <c r="L104" t="n">
        <v>10</v>
      </c>
      <c r="N104" t="inlineStr">
        <is>
          <t>00000000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1</v>
      </c>
      <c r="S104" t="inlineStr">
        <is>
          <t>G000002</t>
        </is>
      </c>
      <c r="T104" t="inlineStr">
        <is>
          <t>Vertical</t>
        </is>
      </c>
      <c r="U104" t="n">
        <v>37</v>
      </c>
      <c r="V104" t="b">
        <v>1</v>
      </c>
      <c r="W104" t="inlineStr">
        <is>
          <t>Sheet1!G35:G71</t>
        </is>
      </c>
      <c r="X104">
        <f>+R[0]C[-2]*R[0]C[-1]</f>
        <v/>
      </c>
    </row>
    <row r="105">
      <c r="A105" t="inlineStr">
        <is>
          <t>Sheet1</t>
        </is>
      </c>
      <c r="B105" t="inlineStr">
        <is>
          <t>H39</t>
        </is>
      </c>
      <c r="C105" t="n">
        <v>39</v>
      </c>
      <c r="D105" t="n">
        <v>8</v>
      </c>
      <c r="E105" t="inlineStr">
        <is>
          <t>Calculation</t>
        </is>
      </c>
      <c r="F105" t="inlineStr">
        <is>
          <t>'=+H38+G39</t>
        </is>
      </c>
      <c r="G105" t="n">
        <v>1739.31091468528</v>
      </c>
      <c r="H105" t="inlineStr"/>
      <c r="I105" t="inlineStr">
        <is>
          <t>0.00</t>
        </is>
      </c>
      <c r="J105" t="b">
        <v>0</v>
      </c>
      <c r="K105" t="b">
        <v>0</v>
      </c>
      <c r="L105" t="n">
        <v>10</v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1</v>
      </c>
      <c r="S105" t="inlineStr">
        <is>
          <t>G000005</t>
        </is>
      </c>
      <c r="T105" t="inlineStr">
        <is>
          <t>Vertical</t>
        </is>
      </c>
      <c r="U105" t="n">
        <v>36</v>
      </c>
      <c r="V105" t="b">
        <v>1</v>
      </c>
      <c r="W105" t="inlineStr">
        <is>
          <t>Sheet1!H36:H71</t>
        </is>
      </c>
      <c r="X105">
        <f>+R[-1]C[0]+R[0]C[-1]</f>
        <v/>
      </c>
    </row>
    <row r="106">
      <c r="A106" t="inlineStr">
        <is>
          <t>Sheet1</t>
        </is>
      </c>
      <c r="B106" t="inlineStr">
        <is>
          <t>A40</t>
        </is>
      </c>
      <c r="C106" t="n">
        <v>40</v>
      </c>
      <c r="D106" t="n">
        <v>1</v>
      </c>
      <c r="E106" t="inlineStr">
        <is>
          <t>Input</t>
        </is>
      </c>
      <c r="F106" t="n">
        <v/>
      </c>
      <c r="G106" t="n">
        <v>5</v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10</v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</row>
    <row r="107">
      <c r="A107" t="inlineStr">
        <is>
          <t>Sheet1</t>
        </is>
      </c>
      <c r="B107" t="inlineStr">
        <is>
          <t>C40</t>
        </is>
      </c>
      <c r="C107" t="n">
        <v>40</v>
      </c>
      <c r="D107" t="n">
        <v>3</v>
      </c>
      <c r="E107" t="inlineStr">
        <is>
          <t>Calculation</t>
        </is>
      </c>
      <c r="F107" t="inlineStr">
        <is>
          <t>'=+C39</t>
        </is>
      </c>
      <c r="G107" t="n">
        <v>280</v>
      </c>
      <c r="H107" t="inlineStr"/>
      <c r="I107" t="inlineStr">
        <is>
          <t>_(\$* #,##0_);_(\$* \(#,##0\);_(\$* \-??_);_(@_)</t>
        </is>
      </c>
      <c r="J107" t="b">
        <v>0</v>
      </c>
      <c r="K107" t="b">
        <v>0</v>
      </c>
      <c r="L107" t="n">
        <v>10</v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1</v>
      </c>
      <c r="S107" t="inlineStr">
        <is>
          <t>G000003</t>
        </is>
      </c>
      <c r="T107" t="inlineStr">
        <is>
          <t>Vertical</t>
        </is>
      </c>
      <c r="U107" t="n">
        <v>35</v>
      </c>
      <c r="V107" t="b">
        <v>1</v>
      </c>
      <c r="W107" t="inlineStr">
        <is>
          <t>Sheet1!C36:C70</t>
        </is>
      </c>
      <c r="X107">
        <f>+R[-1]C[0]</f>
        <v/>
      </c>
    </row>
    <row r="108">
      <c r="A108" t="inlineStr">
        <is>
          <t>Sheet1</t>
        </is>
      </c>
      <c r="B108" t="inlineStr">
        <is>
          <t>E40</t>
        </is>
      </c>
      <c r="C108" t="n">
        <v>40</v>
      </c>
      <c r="D108" t="n">
        <v>5</v>
      </c>
      <c r="E108" t="inlineStr">
        <is>
          <t>Calculation</t>
        </is>
      </c>
      <c r="F108" t="inlineStr">
        <is>
          <t>'=+SUM(C40:D40)</t>
        </is>
      </c>
      <c r="G108" t="n">
        <v>280</v>
      </c>
      <c r="H108" t="inlineStr"/>
      <c r="I108" t="inlineStr">
        <is>
          <t>_(\$* #,##0_);_(\$* \(#,##0\);_(\$* \-??_);_(@_)</t>
        </is>
      </c>
      <c r="J108" t="b">
        <v>0</v>
      </c>
      <c r="K108" t="b">
        <v>0</v>
      </c>
      <c r="L108" t="n">
        <v>10</v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1</v>
      </c>
      <c r="S108" t="inlineStr">
        <is>
          <t>G000001</t>
        </is>
      </c>
      <c r="T108" t="inlineStr">
        <is>
          <t>Vertical</t>
        </is>
      </c>
      <c r="U108" t="n">
        <v>37</v>
      </c>
      <c r="V108" t="b">
        <v>1</v>
      </c>
      <c r="W108" t="inlineStr">
        <is>
          <t>Sheet1!E35:E71</t>
        </is>
      </c>
      <c r="X108">
        <f>+SUM(R[0]C[-2]:R[0]C[-1])</f>
        <v/>
      </c>
    </row>
    <row r="109">
      <c r="A109" t="inlineStr">
        <is>
          <t>Sheet1</t>
        </is>
      </c>
      <c r="B109" t="inlineStr">
        <is>
          <t>F40</t>
        </is>
      </c>
      <c r="C109" t="n">
        <v>40</v>
      </c>
      <c r="D109" t="n">
        <v>6</v>
      </c>
      <c r="E109" t="inlineStr">
        <is>
          <t>Calculation</t>
        </is>
      </c>
      <c r="F109" t="inlineStr">
        <is>
          <t>'=+F39/(1+$D$15/12)</t>
        </is>
      </c>
      <c r="G109" t="n">
        <v>0.963329202906275</v>
      </c>
      <c r="H109" t="inlineStr"/>
      <c r="I109" t="inlineStr">
        <is>
          <t>0.0%</t>
        </is>
      </c>
      <c r="J109" t="b">
        <v>0</v>
      </c>
      <c r="K109" t="b">
        <v>0</v>
      </c>
      <c r="L109" t="n">
        <v>10</v>
      </c>
      <c r="N109" t="inlineStr">
        <is>
          <t>00000000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1</v>
      </c>
      <c r="S109" t="inlineStr">
        <is>
          <t>G000004</t>
        </is>
      </c>
      <c r="T109" t="inlineStr">
        <is>
          <t>Vertical</t>
        </is>
      </c>
      <c r="U109" t="n">
        <v>36</v>
      </c>
      <c r="V109" t="b">
        <v>1</v>
      </c>
      <c r="W109" t="inlineStr">
        <is>
          <t>Sheet1!F36:F71</t>
        </is>
      </c>
      <c r="X109">
        <f>+R[-1]C[0]/(1+R15C4/12)</f>
        <v/>
      </c>
    </row>
    <row r="110">
      <c r="A110" t="inlineStr">
        <is>
          <t>Sheet1</t>
        </is>
      </c>
      <c r="B110" t="inlineStr">
        <is>
          <t>G40</t>
        </is>
      </c>
      <c r="C110" t="n">
        <v>40</v>
      </c>
      <c r="D110" t="n">
        <v>7</v>
      </c>
      <c r="E110" t="inlineStr">
        <is>
          <t>Calculation</t>
        </is>
      </c>
      <c r="F110" t="inlineStr">
        <is>
          <t>'=+E40*F40</t>
        </is>
      </c>
      <c r="G110" t="n">
        <v>269.732176813757</v>
      </c>
      <c r="H110" t="inlineStr"/>
      <c r="I110" t="inlineStr">
        <is>
          <t>0.00</t>
        </is>
      </c>
      <c r="J110" t="b">
        <v>0</v>
      </c>
      <c r="K110" t="b">
        <v>0</v>
      </c>
      <c r="L110" t="n">
        <v>10</v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1</v>
      </c>
      <c r="S110" t="inlineStr">
        <is>
          <t>G000002</t>
        </is>
      </c>
      <c r="T110" t="inlineStr">
        <is>
          <t>Vertical</t>
        </is>
      </c>
      <c r="U110" t="n">
        <v>37</v>
      </c>
      <c r="V110" t="b">
        <v>1</v>
      </c>
      <c r="W110" t="inlineStr">
        <is>
          <t>Sheet1!G35:G71</t>
        </is>
      </c>
      <c r="X110">
        <f>+R[0]C[-2]*R[0]C[-1]</f>
        <v/>
      </c>
    </row>
    <row r="111">
      <c r="A111" t="inlineStr">
        <is>
          <t>Sheet1</t>
        </is>
      </c>
      <c r="B111" t="inlineStr">
        <is>
          <t>H40</t>
        </is>
      </c>
      <c r="C111" t="n">
        <v>40</v>
      </c>
      <c r="D111" t="n">
        <v>8</v>
      </c>
      <c r="E111" t="inlineStr">
        <is>
          <t>Calculation</t>
        </is>
      </c>
      <c r="F111" t="inlineStr">
        <is>
          <t>'=+H39+G40</t>
        </is>
      </c>
      <c r="G111" t="n">
        <v>2009.04309149904</v>
      </c>
      <c r="H111" t="inlineStr"/>
      <c r="I111" t="inlineStr">
        <is>
          <t>0.00</t>
        </is>
      </c>
      <c r="J111" t="b">
        <v>0</v>
      </c>
      <c r="K111" t="b">
        <v>0</v>
      </c>
      <c r="L111" t="n">
        <v>10</v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1</v>
      </c>
      <c r="S111" t="inlineStr">
        <is>
          <t>G000005</t>
        </is>
      </c>
      <c r="T111" t="inlineStr">
        <is>
          <t>Vertical</t>
        </is>
      </c>
      <c r="U111" t="n">
        <v>36</v>
      </c>
      <c r="V111" t="b">
        <v>1</v>
      </c>
      <c r="W111" t="inlineStr">
        <is>
          <t>Sheet1!H36:H71</t>
        </is>
      </c>
      <c r="X111">
        <f>+R[-1]C[0]+R[0]C[-1]</f>
        <v/>
      </c>
    </row>
    <row r="112">
      <c r="A112" t="inlineStr">
        <is>
          <t>Sheet1</t>
        </is>
      </c>
      <c r="B112" t="inlineStr">
        <is>
          <t>A41</t>
        </is>
      </c>
      <c r="C112" t="n">
        <v>41</v>
      </c>
      <c r="D112" t="n">
        <v>1</v>
      </c>
      <c r="E112" t="inlineStr">
        <is>
          <t>Input</t>
        </is>
      </c>
      <c r="F112" t="n">
        <v/>
      </c>
      <c r="G112" t="n">
        <v>6</v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10</v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</row>
    <row r="113">
      <c r="A113" t="inlineStr">
        <is>
          <t>Sheet1</t>
        </is>
      </c>
      <c r="B113" t="inlineStr">
        <is>
          <t>C41</t>
        </is>
      </c>
      <c r="C113" t="n">
        <v>41</v>
      </c>
      <c r="D113" t="n">
        <v>3</v>
      </c>
      <c r="E113" t="inlineStr">
        <is>
          <t>Calculation</t>
        </is>
      </c>
      <c r="F113" t="inlineStr">
        <is>
          <t>'=+C40</t>
        </is>
      </c>
      <c r="G113" t="n">
        <v>280</v>
      </c>
      <c r="H113" t="inlineStr"/>
      <c r="I113" t="inlineStr">
        <is>
          <t>_(\$* #,##0_);_(\$* \(#,##0\);_(\$* \-??_);_(@_)</t>
        </is>
      </c>
      <c r="J113" t="b">
        <v>0</v>
      </c>
      <c r="K113" t="b">
        <v>0</v>
      </c>
      <c r="L113" t="n">
        <v>10</v>
      </c>
      <c r="N113" t="inlineStr">
        <is>
          <t>00000000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1</v>
      </c>
      <c r="S113" t="inlineStr">
        <is>
          <t>G000003</t>
        </is>
      </c>
      <c r="T113" t="inlineStr">
        <is>
          <t>Vertical</t>
        </is>
      </c>
      <c r="U113" t="n">
        <v>35</v>
      </c>
      <c r="V113" t="b">
        <v>1</v>
      </c>
      <c r="W113" t="inlineStr">
        <is>
          <t>Sheet1!C36:C70</t>
        </is>
      </c>
      <c r="X113">
        <f>+R[-1]C[0]</f>
        <v/>
      </c>
    </row>
    <row r="114">
      <c r="A114" t="inlineStr">
        <is>
          <t>Sheet1</t>
        </is>
      </c>
      <c r="B114" t="inlineStr">
        <is>
          <t>E41</t>
        </is>
      </c>
      <c r="C114" t="n">
        <v>41</v>
      </c>
      <c r="D114" t="n">
        <v>5</v>
      </c>
      <c r="E114" t="inlineStr">
        <is>
          <t>Calculation</t>
        </is>
      </c>
      <c r="F114" t="inlineStr">
        <is>
          <t>'=+SUM(C41:D41)</t>
        </is>
      </c>
      <c r="G114" t="n">
        <v>280</v>
      </c>
      <c r="H114" t="inlineStr"/>
      <c r="I114" t="inlineStr">
        <is>
          <t>_(\$* #,##0_);_(\$* \(#,##0\);_(\$* \-??_);_(@_)</t>
        </is>
      </c>
      <c r="J114" t="b">
        <v>0</v>
      </c>
      <c r="K114" t="b">
        <v>0</v>
      </c>
      <c r="L114" t="n">
        <v>10</v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1</v>
      </c>
      <c r="S114" t="inlineStr">
        <is>
          <t>G000001</t>
        </is>
      </c>
      <c r="T114" t="inlineStr">
        <is>
          <t>Vertical</t>
        </is>
      </c>
      <c r="U114" t="n">
        <v>37</v>
      </c>
      <c r="V114" t="b">
        <v>1</v>
      </c>
      <c r="W114" t="inlineStr">
        <is>
          <t>Sheet1!E35:E71</t>
        </is>
      </c>
      <c r="X114">
        <f>+SUM(R[0]C[-2]:R[0]C[-1])</f>
        <v/>
      </c>
    </row>
    <row r="115">
      <c r="A115" t="inlineStr">
        <is>
          <t>Sheet1</t>
        </is>
      </c>
      <c r="B115" t="inlineStr">
        <is>
          <t>F41</t>
        </is>
      </c>
      <c r="C115" t="n">
        <v>41</v>
      </c>
      <c r="D115" t="n">
        <v>6</v>
      </c>
      <c r="E115" t="inlineStr">
        <is>
          <t>Calculation</t>
        </is>
      </c>
      <c r="F115" t="inlineStr">
        <is>
          <t>'=+F40/(1+$D$15/12)</t>
        </is>
      </c>
      <c r="G115" t="n">
        <v>0.956158017772978</v>
      </c>
      <c r="H115" t="inlineStr"/>
      <c r="I115" t="inlineStr">
        <is>
          <t>0.0%</t>
        </is>
      </c>
      <c r="J115" t="b">
        <v>0</v>
      </c>
      <c r="K115" t="b">
        <v>0</v>
      </c>
      <c r="L115" t="n">
        <v>10</v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1</v>
      </c>
      <c r="S115" t="inlineStr">
        <is>
          <t>G000004</t>
        </is>
      </c>
      <c r="T115" t="inlineStr">
        <is>
          <t>Vertical</t>
        </is>
      </c>
      <c r="U115" t="n">
        <v>36</v>
      </c>
      <c r="V115" t="b">
        <v>1</v>
      </c>
      <c r="W115" t="inlineStr">
        <is>
          <t>Sheet1!F36:F71</t>
        </is>
      </c>
      <c r="X115">
        <f>+R[-1]C[0]/(1+R15C4/12)</f>
        <v/>
      </c>
    </row>
    <row r="116">
      <c r="A116" t="inlineStr">
        <is>
          <t>Sheet1</t>
        </is>
      </c>
      <c r="B116" t="inlineStr">
        <is>
          <t>G41</t>
        </is>
      </c>
      <c r="C116" t="n">
        <v>41</v>
      </c>
      <c r="D116" t="n">
        <v>7</v>
      </c>
      <c r="E116" t="inlineStr">
        <is>
          <t>Calculation</t>
        </is>
      </c>
      <c r="F116" t="inlineStr">
        <is>
          <t>'=+E41*F41</t>
        </is>
      </c>
      <c r="G116" t="n">
        <v>267.724244976434</v>
      </c>
      <c r="H116" t="inlineStr"/>
      <c r="I116" t="inlineStr">
        <is>
          <t>0.00</t>
        </is>
      </c>
      <c r="J116" t="b">
        <v>0</v>
      </c>
      <c r="K116" t="b">
        <v>0</v>
      </c>
      <c r="L116" t="n">
        <v>10</v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1</v>
      </c>
      <c r="S116" t="inlineStr">
        <is>
          <t>G000002</t>
        </is>
      </c>
      <c r="T116" t="inlineStr">
        <is>
          <t>Vertical</t>
        </is>
      </c>
      <c r="U116" t="n">
        <v>37</v>
      </c>
      <c r="V116" t="b">
        <v>1</v>
      </c>
      <c r="W116" t="inlineStr">
        <is>
          <t>Sheet1!G35:G71</t>
        </is>
      </c>
      <c r="X116">
        <f>+R[0]C[-2]*R[0]C[-1]</f>
        <v/>
      </c>
    </row>
    <row r="117">
      <c r="A117" t="inlineStr">
        <is>
          <t>Sheet1</t>
        </is>
      </c>
      <c r="B117" t="inlineStr">
        <is>
          <t>H41</t>
        </is>
      </c>
      <c r="C117" t="n">
        <v>41</v>
      </c>
      <c r="D117" t="n">
        <v>8</v>
      </c>
      <c r="E117" t="inlineStr">
        <is>
          <t>Calculation</t>
        </is>
      </c>
      <c r="F117" t="inlineStr">
        <is>
          <t>'=+H40+G41</t>
        </is>
      </c>
      <c r="G117" t="n">
        <v>2276.76733647547</v>
      </c>
      <c r="H117" t="inlineStr"/>
      <c r="I117" t="inlineStr">
        <is>
          <t>0.00</t>
        </is>
      </c>
      <c r="J117" t="b">
        <v>0</v>
      </c>
      <c r="K117" t="b">
        <v>0</v>
      </c>
      <c r="L117" t="n">
        <v>10</v>
      </c>
      <c r="N117" t="inlineStr">
        <is>
          <t>00000000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1</v>
      </c>
      <c r="S117" t="inlineStr">
        <is>
          <t>G000005</t>
        </is>
      </c>
      <c r="T117" t="inlineStr">
        <is>
          <t>Vertical</t>
        </is>
      </c>
      <c r="U117" t="n">
        <v>36</v>
      </c>
      <c r="V117" t="b">
        <v>1</v>
      </c>
      <c r="W117" t="inlineStr">
        <is>
          <t>Sheet1!H36:H71</t>
        </is>
      </c>
      <c r="X117">
        <f>+R[-1]C[0]+R[0]C[-1]</f>
        <v/>
      </c>
    </row>
    <row r="118">
      <c r="A118" t="inlineStr">
        <is>
          <t>Sheet1</t>
        </is>
      </c>
      <c r="B118" t="inlineStr">
        <is>
          <t>A42</t>
        </is>
      </c>
      <c r="C118" t="n">
        <v>42</v>
      </c>
      <c r="D118" t="n">
        <v>1</v>
      </c>
      <c r="E118" t="inlineStr">
        <is>
          <t>Input</t>
        </is>
      </c>
      <c r="F118" t="n">
        <v/>
      </c>
      <c r="G118" t="n">
        <v>7</v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10</v>
      </c>
      <c r="N118" t="inlineStr">
        <is>
          <t>00000000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1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</row>
    <row r="119">
      <c r="A119" t="inlineStr">
        <is>
          <t>Sheet1</t>
        </is>
      </c>
      <c r="B119" t="inlineStr">
        <is>
          <t>C42</t>
        </is>
      </c>
      <c r="C119" t="n">
        <v>42</v>
      </c>
      <c r="D119" t="n">
        <v>3</v>
      </c>
      <c r="E119" t="inlineStr">
        <is>
          <t>Calculation</t>
        </is>
      </c>
      <c r="F119" t="inlineStr">
        <is>
          <t>'=+C41</t>
        </is>
      </c>
      <c r="G119" t="n">
        <v>280</v>
      </c>
      <c r="H119" t="inlineStr"/>
      <c r="I119" t="inlineStr">
        <is>
          <t>_(\$* #,##0_);_(\$* \(#,##0\);_(\$* \-??_);_(@_)</t>
        </is>
      </c>
      <c r="J119" t="b">
        <v>0</v>
      </c>
      <c r="K119" t="b">
        <v>0</v>
      </c>
      <c r="L119" t="n">
        <v>10</v>
      </c>
      <c r="N119" t="inlineStr">
        <is>
          <t>00000000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1</v>
      </c>
      <c r="S119" t="inlineStr">
        <is>
          <t>G000003</t>
        </is>
      </c>
      <c r="T119" t="inlineStr">
        <is>
          <t>Vertical</t>
        </is>
      </c>
      <c r="U119" t="n">
        <v>35</v>
      </c>
      <c r="V119" t="b">
        <v>1</v>
      </c>
      <c r="W119" t="inlineStr">
        <is>
          <t>Sheet1!C36:C70</t>
        </is>
      </c>
      <c r="X119">
        <f>+R[-1]C[0]</f>
        <v/>
      </c>
    </row>
    <row r="120">
      <c r="A120" t="inlineStr">
        <is>
          <t>Sheet1</t>
        </is>
      </c>
      <c r="B120" t="inlineStr">
        <is>
          <t>E42</t>
        </is>
      </c>
      <c r="C120" t="n">
        <v>42</v>
      </c>
      <c r="D120" t="n">
        <v>5</v>
      </c>
      <c r="E120" t="inlineStr">
        <is>
          <t>Calculation</t>
        </is>
      </c>
      <c r="F120" t="inlineStr">
        <is>
          <t>'=+SUM(C42:D42)</t>
        </is>
      </c>
      <c r="G120" t="n">
        <v>280</v>
      </c>
      <c r="H120" t="inlineStr"/>
      <c r="I120" t="inlineStr">
        <is>
          <t>_(\$* #,##0_);_(\$* \(#,##0\);_(\$* \-??_);_(@_)</t>
        </is>
      </c>
      <c r="J120" t="b">
        <v>0</v>
      </c>
      <c r="K120" t="b">
        <v>0</v>
      </c>
      <c r="L120" t="n">
        <v>10</v>
      </c>
      <c r="N120" t="inlineStr">
        <is>
          <t>00000000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1</v>
      </c>
      <c r="S120" t="inlineStr">
        <is>
          <t>G000001</t>
        </is>
      </c>
      <c r="T120" t="inlineStr">
        <is>
          <t>Vertical</t>
        </is>
      </c>
      <c r="U120" t="n">
        <v>37</v>
      </c>
      <c r="V120" t="b">
        <v>1</v>
      </c>
      <c r="W120" t="inlineStr">
        <is>
          <t>Sheet1!E35:E71</t>
        </is>
      </c>
      <c r="X120">
        <f>+SUM(R[0]C[-2]:R[0]C[-1])</f>
        <v/>
      </c>
    </row>
    <row r="121">
      <c r="A121" t="inlineStr">
        <is>
          <t>Sheet1</t>
        </is>
      </c>
      <c r="B121" t="inlineStr">
        <is>
          <t>F42</t>
        </is>
      </c>
      <c r="C121" t="n">
        <v>42</v>
      </c>
      <c r="D121" t="n">
        <v>6</v>
      </c>
      <c r="E121" t="inlineStr">
        <is>
          <t>Calculation</t>
        </is>
      </c>
      <c r="F121" t="inlineStr">
        <is>
          <t>'=+F41/(1+$D$15/12)</t>
        </is>
      </c>
      <c r="G121" t="n">
        <v>0.949040216151839</v>
      </c>
      <c r="H121" t="inlineStr"/>
      <c r="I121" t="inlineStr">
        <is>
          <t>0.0%</t>
        </is>
      </c>
      <c r="J121" t="b">
        <v>0</v>
      </c>
      <c r="K121" t="b">
        <v>0</v>
      </c>
      <c r="L121" t="n">
        <v>10</v>
      </c>
      <c r="N121" t="inlineStr">
        <is>
          <t>00000000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1</v>
      </c>
      <c r="S121" t="inlineStr">
        <is>
          <t>G000004</t>
        </is>
      </c>
      <c r="T121" t="inlineStr">
        <is>
          <t>Vertical</t>
        </is>
      </c>
      <c r="U121" t="n">
        <v>36</v>
      </c>
      <c r="V121" t="b">
        <v>1</v>
      </c>
      <c r="W121" t="inlineStr">
        <is>
          <t>Sheet1!F36:F71</t>
        </is>
      </c>
      <c r="X121">
        <f>+R[-1]C[0]/(1+R15C4/12)</f>
        <v/>
      </c>
    </row>
    <row r="122">
      <c r="A122" t="inlineStr">
        <is>
          <t>Sheet1</t>
        </is>
      </c>
      <c r="B122" t="inlineStr">
        <is>
          <t>G42</t>
        </is>
      </c>
      <c r="C122" t="n">
        <v>42</v>
      </c>
      <c r="D122" t="n">
        <v>7</v>
      </c>
      <c r="E122" t="inlineStr">
        <is>
          <t>Calculation</t>
        </is>
      </c>
      <c r="F122" t="inlineStr">
        <is>
          <t>'=+E42*F42</t>
        </is>
      </c>
      <c r="G122" t="n">
        <v>265.731260522515</v>
      </c>
      <c r="H122" t="inlineStr"/>
      <c r="I122" t="inlineStr">
        <is>
          <t>0.00</t>
        </is>
      </c>
      <c r="J122" t="b">
        <v>0</v>
      </c>
      <c r="K122" t="b">
        <v>0</v>
      </c>
      <c r="L122" t="n">
        <v>10</v>
      </c>
      <c r="N122" t="inlineStr">
        <is>
          <t>00000000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1</v>
      </c>
      <c r="S122" t="inlineStr">
        <is>
          <t>G000002</t>
        </is>
      </c>
      <c r="T122" t="inlineStr">
        <is>
          <t>Vertical</t>
        </is>
      </c>
      <c r="U122" t="n">
        <v>37</v>
      </c>
      <c r="V122" t="b">
        <v>1</v>
      </c>
      <c r="W122" t="inlineStr">
        <is>
          <t>Sheet1!G35:G71</t>
        </is>
      </c>
      <c r="X122">
        <f>+R[0]C[-2]*R[0]C[-1]</f>
        <v/>
      </c>
    </row>
    <row r="123">
      <c r="A123" t="inlineStr">
        <is>
          <t>Sheet1</t>
        </is>
      </c>
      <c r="B123" t="inlineStr">
        <is>
          <t>H42</t>
        </is>
      </c>
      <c r="C123" t="n">
        <v>42</v>
      </c>
      <c r="D123" t="n">
        <v>8</v>
      </c>
      <c r="E123" t="inlineStr">
        <is>
          <t>Calculation</t>
        </is>
      </c>
      <c r="F123" t="inlineStr">
        <is>
          <t>'=+H41+G42</t>
        </is>
      </c>
      <c r="G123" t="n">
        <v>2542.49859699798</v>
      </c>
      <c r="H123" t="inlineStr"/>
      <c r="I123" t="inlineStr">
        <is>
          <t>0.00</t>
        </is>
      </c>
      <c r="J123" t="b">
        <v>0</v>
      </c>
      <c r="K123" t="b">
        <v>0</v>
      </c>
      <c r="L123" t="n">
        <v>10</v>
      </c>
      <c r="N123" t="inlineStr">
        <is>
          <t>00000000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1</v>
      </c>
      <c r="S123" t="inlineStr">
        <is>
          <t>G000005</t>
        </is>
      </c>
      <c r="T123" t="inlineStr">
        <is>
          <t>Vertical</t>
        </is>
      </c>
      <c r="U123" t="n">
        <v>36</v>
      </c>
      <c r="V123" t="b">
        <v>1</v>
      </c>
      <c r="W123" t="inlineStr">
        <is>
          <t>Sheet1!H36:H71</t>
        </is>
      </c>
      <c r="X123">
        <f>+R[-1]C[0]+R[0]C[-1]</f>
        <v/>
      </c>
    </row>
    <row r="124">
      <c r="A124" t="inlineStr">
        <is>
          <t>Sheet1</t>
        </is>
      </c>
      <c r="B124" t="inlineStr">
        <is>
          <t>A43</t>
        </is>
      </c>
      <c r="C124" t="n">
        <v>43</v>
      </c>
      <c r="D124" t="n">
        <v>1</v>
      </c>
      <c r="E124" t="inlineStr">
        <is>
          <t>Input</t>
        </is>
      </c>
      <c r="F124" t="n">
        <v/>
      </c>
      <c r="G124" t="n">
        <v>8</v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10</v>
      </c>
      <c r="N124" t="inlineStr">
        <is>
          <t>00000000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</row>
    <row r="125">
      <c r="A125" t="inlineStr">
        <is>
          <t>Sheet1</t>
        </is>
      </c>
      <c r="B125" t="inlineStr">
        <is>
          <t>C43</t>
        </is>
      </c>
      <c r="C125" t="n">
        <v>43</v>
      </c>
      <c r="D125" t="n">
        <v>3</v>
      </c>
      <c r="E125" t="inlineStr">
        <is>
          <t>Calculation</t>
        </is>
      </c>
      <c r="F125" t="inlineStr">
        <is>
          <t>'=+C42</t>
        </is>
      </c>
      <c r="G125" t="n">
        <v>280</v>
      </c>
      <c r="H125" t="inlineStr"/>
      <c r="I125" t="inlineStr">
        <is>
          <t>_(\$* #,##0_);_(\$* \(#,##0\);_(\$* \-??_);_(@_)</t>
        </is>
      </c>
      <c r="J125" t="b">
        <v>0</v>
      </c>
      <c r="K125" t="b">
        <v>0</v>
      </c>
      <c r="L125" t="n">
        <v>10</v>
      </c>
      <c r="N125" t="inlineStr">
        <is>
          <t>00000000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1</v>
      </c>
      <c r="S125" t="inlineStr">
        <is>
          <t>G000003</t>
        </is>
      </c>
      <c r="T125" t="inlineStr">
        <is>
          <t>Vertical</t>
        </is>
      </c>
      <c r="U125" t="n">
        <v>35</v>
      </c>
      <c r="V125" t="b">
        <v>1</v>
      </c>
      <c r="W125" t="inlineStr">
        <is>
          <t>Sheet1!C36:C70</t>
        </is>
      </c>
      <c r="X125">
        <f>+R[-1]C[0]</f>
        <v/>
      </c>
    </row>
    <row r="126">
      <c r="A126" t="inlineStr">
        <is>
          <t>Sheet1</t>
        </is>
      </c>
      <c r="B126" t="inlineStr">
        <is>
          <t>E43</t>
        </is>
      </c>
      <c r="C126" t="n">
        <v>43</v>
      </c>
      <c r="D126" t="n">
        <v>5</v>
      </c>
      <c r="E126" t="inlineStr">
        <is>
          <t>Calculation</t>
        </is>
      </c>
      <c r="F126" t="inlineStr">
        <is>
          <t>'=+SUM(C43:D43)</t>
        </is>
      </c>
      <c r="G126" t="n">
        <v>280</v>
      </c>
      <c r="H126" t="inlineStr"/>
      <c r="I126" t="inlineStr">
        <is>
          <t>_(\$* #,##0_);_(\$* \(#,##0\);_(\$* \-??_);_(@_)</t>
        </is>
      </c>
      <c r="J126" t="b">
        <v>0</v>
      </c>
      <c r="K126" t="b">
        <v>0</v>
      </c>
      <c r="L126" t="n">
        <v>10</v>
      </c>
      <c r="N126" t="inlineStr">
        <is>
          <t>00000000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1</v>
      </c>
      <c r="S126" t="inlineStr">
        <is>
          <t>G000001</t>
        </is>
      </c>
      <c r="T126" t="inlineStr">
        <is>
          <t>Vertical</t>
        </is>
      </c>
      <c r="U126" t="n">
        <v>37</v>
      </c>
      <c r="V126" t="b">
        <v>1</v>
      </c>
      <c r="W126" t="inlineStr">
        <is>
          <t>Sheet1!E35:E71</t>
        </is>
      </c>
      <c r="X126">
        <f>+SUM(R[0]C[-2]:R[0]C[-1])</f>
        <v/>
      </c>
    </row>
    <row r="127">
      <c r="A127" t="inlineStr">
        <is>
          <t>Sheet1</t>
        </is>
      </c>
      <c r="B127" t="inlineStr">
        <is>
          <t>F43</t>
        </is>
      </c>
      <c r="C127" t="n">
        <v>43</v>
      </c>
      <c r="D127" t="n">
        <v>6</v>
      </c>
      <c r="E127" t="inlineStr">
        <is>
          <t>Calculation</t>
        </is>
      </c>
      <c r="F127" t="inlineStr">
        <is>
          <t>'=+F42/(1+$D$15/12)</t>
        </is>
      </c>
      <c r="G127" t="n">
        <v>0.941975400646987</v>
      </c>
      <c r="H127" t="inlineStr"/>
      <c r="I127" t="inlineStr">
        <is>
          <t>0.0%</t>
        </is>
      </c>
      <c r="J127" t="b">
        <v>0</v>
      </c>
      <c r="K127" t="b">
        <v>0</v>
      </c>
      <c r="L127" t="n">
        <v>10</v>
      </c>
      <c r="N127" t="inlineStr">
        <is>
          <t>00000000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1</v>
      </c>
      <c r="S127" t="inlineStr">
        <is>
          <t>G000004</t>
        </is>
      </c>
      <c r="T127" t="inlineStr">
        <is>
          <t>Vertical</t>
        </is>
      </c>
      <c r="U127" t="n">
        <v>36</v>
      </c>
      <c r="V127" t="b">
        <v>1</v>
      </c>
      <c r="W127" t="inlineStr">
        <is>
          <t>Sheet1!F36:F71</t>
        </is>
      </c>
      <c r="X127">
        <f>+R[-1]C[0]/(1+R15C4/12)</f>
        <v/>
      </c>
    </row>
    <row r="128">
      <c r="A128" t="inlineStr">
        <is>
          <t>Sheet1</t>
        </is>
      </c>
      <c r="B128" t="inlineStr">
        <is>
          <t>G43</t>
        </is>
      </c>
      <c r="C128" t="n">
        <v>43</v>
      </c>
      <c r="D128" t="n">
        <v>7</v>
      </c>
      <c r="E128" t="inlineStr">
        <is>
          <t>Calculation</t>
        </is>
      </c>
      <c r="F128" t="inlineStr">
        <is>
          <t>'=+E43*F43</t>
        </is>
      </c>
      <c r="G128" t="n">
        <v>263.753112181156</v>
      </c>
      <c r="H128" t="inlineStr"/>
      <c r="I128" t="inlineStr">
        <is>
          <t>0.00</t>
        </is>
      </c>
      <c r="J128" t="b">
        <v>0</v>
      </c>
      <c r="K128" t="b">
        <v>0</v>
      </c>
      <c r="L128" t="n">
        <v>10</v>
      </c>
      <c r="N128" t="inlineStr">
        <is>
          <t>00000000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1</v>
      </c>
      <c r="S128" t="inlineStr">
        <is>
          <t>G000002</t>
        </is>
      </c>
      <c r="T128" t="inlineStr">
        <is>
          <t>Vertical</t>
        </is>
      </c>
      <c r="U128" t="n">
        <v>37</v>
      </c>
      <c r="V128" t="b">
        <v>1</v>
      </c>
      <c r="W128" t="inlineStr">
        <is>
          <t>Sheet1!G35:G71</t>
        </is>
      </c>
      <c r="X128">
        <f>+R[0]C[-2]*R[0]C[-1]</f>
        <v/>
      </c>
    </row>
    <row r="129">
      <c r="A129" t="inlineStr">
        <is>
          <t>Sheet1</t>
        </is>
      </c>
      <c r="B129" t="inlineStr">
        <is>
          <t>H43</t>
        </is>
      </c>
      <c r="C129" t="n">
        <v>43</v>
      </c>
      <c r="D129" t="n">
        <v>8</v>
      </c>
      <c r="E129" t="inlineStr">
        <is>
          <t>Calculation</t>
        </is>
      </c>
      <c r="F129" t="inlineStr">
        <is>
          <t>'=+H42+G43</t>
        </is>
      </c>
      <c r="G129" t="n">
        <v>2806.25170917914</v>
      </c>
      <c r="H129" t="inlineStr"/>
      <c r="I129" t="inlineStr">
        <is>
          <t>0.00</t>
        </is>
      </c>
      <c r="J129" t="b">
        <v>0</v>
      </c>
      <c r="K129" t="b">
        <v>0</v>
      </c>
      <c r="L129" t="n">
        <v>10</v>
      </c>
      <c r="N129" t="inlineStr">
        <is>
          <t>00000000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1</v>
      </c>
      <c r="S129" t="inlineStr">
        <is>
          <t>G000005</t>
        </is>
      </c>
      <c r="T129" t="inlineStr">
        <is>
          <t>Vertical</t>
        </is>
      </c>
      <c r="U129" t="n">
        <v>36</v>
      </c>
      <c r="V129" t="b">
        <v>1</v>
      </c>
      <c r="W129" t="inlineStr">
        <is>
          <t>Sheet1!H36:H71</t>
        </is>
      </c>
      <c r="X129">
        <f>+R[-1]C[0]+R[0]C[-1]</f>
        <v/>
      </c>
    </row>
    <row r="130">
      <c r="A130" t="inlineStr">
        <is>
          <t>Sheet1</t>
        </is>
      </c>
      <c r="B130" t="inlineStr">
        <is>
          <t>A44</t>
        </is>
      </c>
      <c r="C130" t="n">
        <v>44</v>
      </c>
      <c r="D130" t="n">
        <v>1</v>
      </c>
      <c r="E130" t="inlineStr">
        <is>
          <t>Input</t>
        </is>
      </c>
      <c r="F130" t="n">
        <v/>
      </c>
      <c r="G130" t="n">
        <v>9</v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10</v>
      </c>
      <c r="N130" t="inlineStr">
        <is>
          <t>00000000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</row>
    <row r="131">
      <c r="A131" t="inlineStr">
        <is>
          <t>Sheet1</t>
        </is>
      </c>
      <c r="B131" t="inlineStr">
        <is>
          <t>C44</t>
        </is>
      </c>
      <c r="C131" t="n">
        <v>44</v>
      </c>
      <c r="D131" t="n">
        <v>3</v>
      </c>
      <c r="E131" t="inlineStr">
        <is>
          <t>Calculation</t>
        </is>
      </c>
      <c r="F131" t="inlineStr">
        <is>
          <t>'=+C43</t>
        </is>
      </c>
      <c r="G131" t="n">
        <v>280</v>
      </c>
      <c r="H131" t="inlineStr"/>
      <c r="I131" t="inlineStr">
        <is>
          <t>_(\$* #,##0_);_(\$* \(#,##0\);_(\$* \-??_);_(@_)</t>
        </is>
      </c>
      <c r="J131" t="b">
        <v>0</v>
      </c>
      <c r="K131" t="b">
        <v>0</v>
      </c>
      <c r="L131" t="n">
        <v>10</v>
      </c>
      <c r="N131" t="inlineStr">
        <is>
          <t>00000000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1</v>
      </c>
      <c r="S131" t="inlineStr">
        <is>
          <t>G000003</t>
        </is>
      </c>
      <c r="T131" t="inlineStr">
        <is>
          <t>Vertical</t>
        </is>
      </c>
      <c r="U131" t="n">
        <v>35</v>
      </c>
      <c r="V131" t="b">
        <v>1</v>
      </c>
      <c r="W131" t="inlineStr">
        <is>
          <t>Sheet1!C36:C70</t>
        </is>
      </c>
      <c r="X131">
        <f>+R[-1]C[0]</f>
        <v/>
      </c>
    </row>
    <row r="132">
      <c r="A132" t="inlineStr">
        <is>
          <t>Sheet1</t>
        </is>
      </c>
      <c r="B132" t="inlineStr">
        <is>
          <t>E44</t>
        </is>
      </c>
      <c r="C132" t="n">
        <v>44</v>
      </c>
      <c r="D132" t="n">
        <v>5</v>
      </c>
      <c r="E132" t="inlineStr">
        <is>
          <t>Calculation</t>
        </is>
      </c>
      <c r="F132" t="inlineStr">
        <is>
          <t>'=+SUM(C44:D44)</t>
        </is>
      </c>
      <c r="G132" t="n">
        <v>280</v>
      </c>
      <c r="H132" t="inlineStr"/>
      <c r="I132" t="inlineStr">
        <is>
          <t>_(\$* #,##0_);_(\$* \(#,##0\);_(\$* \-??_);_(@_)</t>
        </is>
      </c>
      <c r="J132" t="b">
        <v>0</v>
      </c>
      <c r="K132" t="b">
        <v>0</v>
      </c>
      <c r="L132" t="n">
        <v>10</v>
      </c>
      <c r="N132" t="inlineStr">
        <is>
          <t>00000000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1</v>
      </c>
      <c r="S132" t="inlineStr">
        <is>
          <t>G000001</t>
        </is>
      </c>
      <c r="T132" t="inlineStr">
        <is>
          <t>Vertical</t>
        </is>
      </c>
      <c r="U132" t="n">
        <v>37</v>
      </c>
      <c r="V132" t="b">
        <v>1</v>
      </c>
      <c r="W132" t="inlineStr">
        <is>
          <t>Sheet1!E35:E71</t>
        </is>
      </c>
      <c r="X132">
        <f>+SUM(R[0]C[-2]:R[0]C[-1])</f>
        <v/>
      </c>
    </row>
    <row r="133">
      <c r="A133" t="inlineStr">
        <is>
          <t>Sheet1</t>
        </is>
      </c>
      <c r="B133" t="inlineStr">
        <is>
          <t>F44</t>
        </is>
      </c>
      <c r="C133" t="n">
        <v>44</v>
      </c>
      <c r="D133" t="n">
        <v>6</v>
      </c>
      <c r="E133" t="inlineStr">
        <is>
          <t>Calculation</t>
        </is>
      </c>
      <c r="F133" t="inlineStr">
        <is>
          <t>'=+F43/(1+$D$15/12)</t>
        </is>
      </c>
      <c r="G133" t="n">
        <v>0.93496317682083</v>
      </c>
      <c r="H133" t="inlineStr"/>
      <c r="I133" t="inlineStr">
        <is>
          <t>0.0%</t>
        </is>
      </c>
      <c r="J133" t="b">
        <v>0</v>
      </c>
      <c r="K133" t="b">
        <v>0</v>
      </c>
      <c r="L133" t="n">
        <v>10</v>
      </c>
      <c r="N133" t="inlineStr">
        <is>
          <t>00000000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1</v>
      </c>
      <c r="S133" t="inlineStr">
        <is>
          <t>G000004</t>
        </is>
      </c>
      <c r="T133" t="inlineStr">
        <is>
          <t>Vertical</t>
        </is>
      </c>
      <c r="U133" t="n">
        <v>36</v>
      </c>
      <c r="V133" t="b">
        <v>1</v>
      </c>
      <c r="W133" t="inlineStr">
        <is>
          <t>Sheet1!F36:F71</t>
        </is>
      </c>
      <c r="X133">
        <f>+R[-1]C[0]/(1+R15C4/12)</f>
        <v/>
      </c>
    </row>
    <row r="134">
      <c r="A134" t="inlineStr">
        <is>
          <t>Sheet1</t>
        </is>
      </c>
      <c r="B134" t="inlineStr">
        <is>
          <t>G44</t>
        </is>
      </c>
      <c r="C134" t="n">
        <v>44</v>
      </c>
      <c r="D134" t="n">
        <v>7</v>
      </c>
      <c r="E134" t="inlineStr">
        <is>
          <t>Calculation</t>
        </is>
      </c>
      <c r="F134" t="inlineStr">
        <is>
          <t>'=+E44*F44</t>
        </is>
      </c>
      <c r="G134" t="n">
        <v>261.789689509833</v>
      </c>
      <c r="H134" t="inlineStr"/>
      <c r="I134" t="inlineStr">
        <is>
          <t>0.00</t>
        </is>
      </c>
      <c r="J134" t="b">
        <v>0</v>
      </c>
      <c r="K134" t="b">
        <v>0</v>
      </c>
      <c r="L134" t="n">
        <v>10</v>
      </c>
      <c r="N134" t="inlineStr">
        <is>
          <t>00000000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1</v>
      </c>
      <c r="S134" t="inlineStr">
        <is>
          <t>G000002</t>
        </is>
      </c>
      <c r="T134" t="inlineStr">
        <is>
          <t>Vertical</t>
        </is>
      </c>
      <c r="U134" t="n">
        <v>37</v>
      </c>
      <c r="V134" t="b">
        <v>1</v>
      </c>
      <c r="W134" t="inlineStr">
        <is>
          <t>Sheet1!G35:G71</t>
        </is>
      </c>
      <c r="X134">
        <f>+R[0]C[-2]*R[0]C[-1]</f>
        <v/>
      </c>
    </row>
    <row r="135">
      <c r="A135" t="inlineStr">
        <is>
          <t>Sheet1</t>
        </is>
      </c>
      <c r="B135" t="inlineStr">
        <is>
          <t>H44</t>
        </is>
      </c>
      <c r="C135" t="n">
        <v>44</v>
      </c>
      <c r="D135" t="n">
        <v>8</v>
      </c>
      <c r="E135" t="inlineStr">
        <is>
          <t>Calculation</t>
        </is>
      </c>
      <c r="F135" t="inlineStr">
        <is>
          <t>'=+H43+G44</t>
        </is>
      </c>
      <c r="G135" t="n">
        <v>3068.04139868897</v>
      </c>
      <c r="H135" t="inlineStr"/>
      <c r="I135" t="inlineStr">
        <is>
          <t>0.00</t>
        </is>
      </c>
      <c r="J135" t="b">
        <v>0</v>
      </c>
      <c r="K135" t="b">
        <v>0</v>
      </c>
      <c r="L135" t="n">
        <v>10</v>
      </c>
      <c r="N135" t="inlineStr">
        <is>
          <t>00000000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1</v>
      </c>
      <c r="S135" t="inlineStr">
        <is>
          <t>G000005</t>
        </is>
      </c>
      <c r="T135" t="inlineStr">
        <is>
          <t>Vertical</t>
        </is>
      </c>
      <c r="U135" t="n">
        <v>36</v>
      </c>
      <c r="V135" t="b">
        <v>1</v>
      </c>
      <c r="W135" t="inlineStr">
        <is>
          <t>Sheet1!H36:H71</t>
        </is>
      </c>
      <c r="X135">
        <f>+R[-1]C[0]+R[0]C[-1]</f>
        <v/>
      </c>
    </row>
    <row r="136">
      <c r="A136" t="inlineStr">
        <is>
          <t>Sheet1</t>
        </is>
      </c>
      <c r="B136" t="inlineStr">
        <is>
          <t>A45</t>
        </is>
      </c>
      <c r="C136" t="n">
        <v>45</v>
      </c>
      <c r="D136" t="n">
        <v>1</v>
      </c>
      <c r="E136" t="inlineStr">
        <is>
          <t>Input</t>
        </is>
      </c>
      <c r="F136" t="n">
        <v/>
      </c>
      <c r="G136" t="n">
        <v>10</v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10</v>
      </c>
      <c r="N136" t="inlineStr">
        <is>
          <t>00000000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</row>
    <row r="137">
      <c r="A137" t="inlineStr">
        <is>
          <t>Sheet1</t>
        </is>
      </c>
      <c r="B137" t="inlineStr">
        <is>
          <t>C45</t>
        </is>
      </c>
      <c r="C137" t="n">
        <v>45</v>
      </c>
      <c r="D137" t="n">
        <v>3</v>
      </c>
      <c r="E137" t="inlineStr">
        <is>
          <t>Calculation</t>
        </is>
      </c>
      <c r="F137" t="inlineStr">
        <is>
          <t>'=+C44</t>
        </is>
      </c>
      <c r="G137" t="n">
        <v>280</v>
      </c>
      <c r="H137" t="inlineStr"/>
      <c r="I137" t="inlineStr">
        <is>
          <t>_(\$* #,##0_);_(\$* \(#,##0\);_(\$* \-??_);_(@_)</t>
        </is>
      </c>
      <c r="J137" t="b">
        <v>0</v>
      </c>
      <c r="K137" t="b">
        <v>0</v>
      </c>
      <c r="L137" t="n">
        <v>10</v>
      </c>
      <c r="N137" t="inlineStr">
        <is>
          <t>00000000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1</v>
      </c>
      <c r="S137" t="inlineStr">
        <is>
          <t>G000003</t>
        </is>
      </c>
      <c r="T137" t="inlineStr">
        <is>
          <t>Vertical</t>
        </is>
      </c>
      <c r="U137" t="n">
        <v>35</v>
      </c>
      <c r="V137" t="b">
        <v>1</v>
      </c>
      <c r="W137" t="inlineStr">
        <is>
          <t>Sheet1!C36:C70</t>
        </is>
      </c>
      <c r="X137">
        <f>+R[-1]C[0]</f>
        <v/>
      </c>
    </row>
    <row r="138">
      <c r="A138" t="inlineStr">
        <is>
          <t>Sheet1</t>
        </is>
      </c>
      <c r="B138" t="inlineStr">
        <is>
          <t>E45</t>
        </is>
      </c>
      <c r="C138" t="n">
        <v>45</v>
      </c>
      <c r="D138" t="n">
        <v>5</v>
      </c>
      <c r="E138" t="inlineStr">
        <is>
          <t>Calculation</t>
        </is>
      </c>
      <c r="F138" t="inlineStr">
        <is>
          <t>'=+SUM(C45:D45)</t>
        </is>
      </c>
      <c r="G138" t="n">
        <v>280</v>
      </c>
      <c r="H138" t="inlineStr"/>
      <c r="I138" t="inlineStr">
        <is>
          <t>_(\$* #,##0_);_(\$* \(#,##0\);_(\$* \-??_);_(@_)</t>
        </is>
      </c>
      <c r="J138" t="b">
        <v>0</v>
      </c>
      <c r="K138" t="b">
        <v>0</v>
      </c>
      <c r="L138" t="n">
        <v>10</v>
      </c>
      <c r="N138" t="inlineStr">
        <is>
          <t>00000000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1</v>
      </c>
      <c r="S138" t="inlineStr">
        <is>
          <t>G000001</t>
        </is>
      </c>
      <c r="T138" t="inlineStr">
        <is>
          <t>Vertical</t>
        </is>
      </c>
      <c r="U138" t="n">
        <v>37</v>
      </c>
      <c r="V138" t="b">
        <v>1</v>
      </c>
      <c r="W138" t="inlineStr">
        <is>
          <t>Sheet1!E35:E71</t>
        </is>
      </c>
      <c r="X138">
        <f>+SUM(R[0]C[-2]:R[0]C[-1])</f>
        <v/>
      </c>
    </row>
    <row r="139">
      <c r="A139" t="inlineStr">
        <is>
          <t>Sheet1</t>
        </is>
      </c>
      <c r="B139" t="inlineStr">
        <is>
          <t>F45</t>
        </is>
      </c>
      <c r="C139" t="n">
        <v>45</v>
      </c>
      <c r="D139" t="n">
        <v>6</v>
      </c>
      <c r="E139" t="inlineStr">
        <is>
          <t>Calculation</t>
        </is>
      </c>
      <c r="F139" t="inlineStr">
        <is>
          <t>'=+F44/(1+$D$15/12)</t>
        </is>
      </c>
      <c r="G139" t="n">
        <v>0.92800315317204</v>
      </c>
      <c r="H139" t="inlineStr"/>
      <c r="I139" t="inlineStr">
        <is>
          <t>0.0%</t>
        </is>
      </c>
      <c r="J139" t="b">
        <v>0</v>
      </c>
      <c r="K139" t="b">
        <v>0</v>
      </c>
      <c r="L139" t="n">
        <v>10</v>
      </c>
      <c r="N139" t="inlineStr">
        <is>
          <t>00000000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1</v>
      </c>
      <c r="S139" t="inlineStr">
        <is>
          <t>G000004</t>
        </is>
      </c>
      <c r="T139" t="inlineStr">
        <is>
          <t>Vertical</t>
        </is>
      </c>
      <c r="U139" t="n">
        <v>36</v>
      </c>
      <c r="V139" t="b">
        <v>1</v>
      </c>
      <c r="W139" t="inlineStr">
        <is>
          <t>Sheet1!F36:F71</t>
        </is>
      </c>
      <c r="X139">
        <f>+R[-1]C[0]/(1+R15C4/12)</f>
        <v/>
      </c>
    </row>
    <row r="140">
      <c r="A140" t="inlineStr">
        <is>
          <t>Sheet1</t>
        </is>
      </c>
      <c r="B140" t="inlineStr">
        <is>
          <t>G45</t>
        </is>
      </c>
      <c r="C140" t="n">
        <v>45</v>
      </c>
      <c r="D140" t="n">
        <v>7</v>
      </c>
      <c r="E140" t="inlineStr">
        <is>
          <t>Calculation</t>
        </is>
      </c>
      <c r="F140" t="inlineStr">
        <is>
          <t>'=+E45*F45</t>
        </is>
      </c>
      <c r="G140" t="n">
        <v>259.840882888171</v>
      </c>
      <c r="H140" t="inlineStr"/>
      <c r="I140" t="inlineStr">
        <is>
          <t>0.00</t>
        </is>
      </c>
      <c r="J140" t="b">
        <v>0</v>
      </c>
      <c r="K140" t="b">
        <v>0</v>
      </c>
      <c r="L140" t="n">
        <v>10</v>
      </c>
      <c r="N140" t="inlineStr">
        <is>
          <t>00000000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1</v>
      </c>
      <c r="S140" t="inlineStr">
        <is>
          <t>G000002</t>
        </is>
      </c>
      <c r="T140" t="inlineStr">
        <is>
          <t>Vertical</t>
        </is>
      </c>
      <c r="U140" t="n">
        <v>37</v>
      </c>
      <c r="V140" t="b">
        <v>1</v>
      </c>
      <c r="W140" t="inlineStr">
        <is>
          <t>Sheet1!G35:G71</t>
        </is>
      </c>
      <c r="X140">
        <f>+R[0]C[-2]*R[0]C[-1]</f>
        <v/>
      </c>
    </row>
    <row r="141">
      <c r="A141" t="inlineStr">
        <is>
          <t>Sheet1</t>
        </is>
      </c>
      <c r="B141" t="inlineStr">
        <is>
          <t>H45</t>
        </is>
      </c>
      <c r="C141" t="n">
        <v>45</v>
      </c>
      <c r="D141" t="n">
        <v>8</v>
      </c>
      <c r="E141" t="inlineStr">
        <is>
          <t>Calculation</t>
        </is>
      </c>
      <c r="F141" t="inlineStr">
        <is>
          <t>'=+H44+G45</t>
        </is>
      </c>
      <c r="G141" t="n">
        <v>3327.88228157714</v>
      </c>
      <c r="H141" t="inlineStr"/>
      <c r="I141" t="inlineStr">
        <is>
          <t>0.00</t>
        </is>
      </c>
      <c r="J141" t="b">
        <v>0</v>
      </c>
      <c r="K141" t="b">
        <v>0</v>
      </c>
      <c r="L141" t="n">
        <v>10</v>
      </c>
      <c r="N141" t="inlineStr">
        <is>
          <t>00000000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1</v>
      </c>
      <c r="S141" t="inlineStr">
        <is>
          <t>G000005</t>
        </is>
      </c>
      <c r="T141" t="inlineStr">
        <is>
          <t>Vertical</t>
        </is>
      </c>
      <c r="U141" t="n">
        <v>36</v>
      </c>
      <c r="V141" t="b">
        <v>1</v>
      </c>
      <c r="W141" t="inlineStr">
        <is>
          <t>Sheet1!H36:H71</t>
        </is>
      </c>
      <c r="X141">
        <f>+R[-1]C[0]+R[0]C[-1]</f>
        <v/>
      </c>
    </row>
    <row r="142">
      <c r="A142" t="inlineStr">
        <is>
          <t>Sheet1</t>
        </is>
      </c>
      <c r="B142" t="inlineStr">
        <is>
          <t>A46</t>
        </is>
      </c>
      <c r="C142" t="n">
        <v>46</v>
      </c>
      <c r="D142" t="n">
        <v>1</v>
      </c>
      <c r="E142" t="inlineStr">
        <is>
          <t>Input</t>
        </is>
      </c>
      <c r="F142" t="n">
        <v/>
      </c>
      <c r="G142" t="n">
        <v>11</v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10</v>
      </c>
      <c r="N142" t="inlineStr">
        <is>
          <t>00000000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</row>
    <row r="143">
      <c r="A143" t="inlineStr">
        <is>
          <t>Sheet1</t>
        </is>
      </c>
      <c r="B143" t="inlineStr">
        <is>
          <t>C46</t>
        </is>
      </c>
      <c r="C143" t="n">
        <v>46</v>
      </c>
      <c r="D143" t="n">
        <v>3</v>
      </c>
      <c r="E143" t="inlineStr">
        <is>
          <t>Calculation</t>
        </is>
      </c>
      <c r="F143" t="inlineStr">
        <is>
          <t>'=+C45</t>
        </is>
      </c>
      <c r="G143" t="n">
        <v>280</v>
      </c>
      <c r="H143" t="inlineStr"/>
      <c r="I143" t="inlineStr">
        <is>
          <t>_(\$* #,##0_);_(\$* \(#,##0\);_(\$* \-??_);_(@_)</t>
        </is>
      </c>
      <c r="J143" t="b">
        <v>0</v>
      </c>
      <c r="K143" t="b">
        <v>0</v>
      </c>
      <c r="L143" t="n">
        <v>10</v>
      </c>
      <c r="N143" t="inlineStr">
        <is>
          <t>00000000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1</v>
      </c>
      <c r="S143" t="inlineStr">
        <is>
          <t>G000003</t>
        </is>
      </c>
      <c r="T143" t="inlineStr">
        <is>
          <t>Vertical</t>
        </is>
      </c>
      <c r="U143" t="n">
        <v>35</v>
      </c>
      <c r="V143" t="b">
        <v>1</v>
      </c>
      <c r="W143" t="inlineStr">
        <is>
          <t>Sheet1!C36:C70</t>
        </is>
      </c>
      <c r="X143">
        <f>+R[-1]C[0]</f>
        <v/>
      </c>
    </row>
    <row r="144">
      <c r="A144" t="inlineStr">
        <is>
          <t>Sheet1</t>
        </is>
      </c>
      <c r="B144" t="inlineStr">
        <is>
          <t>E46</t>
        </is>
      </c>
      <c r="C144" t="n">
        <v>46</v>
      </c>
      <c r="D144" t="n">
        <v>5</v>
      </c>
      <c r="E144" t="inlineStr">
        <is>
          <t>Calculation</t>
        </is>
      </c>
      <c r="F144" t="inlineStr">
        <is>
          <t>'=+SUM(C46:D46)</t>
        </is>
      </c>
      <c r="G144" t="n">
        <v>280</v>
      </c>
      <c r="H144" t="inlineStr"/>
      <c r="I144" t="inlineStr">
        <is>
          <t>_(\$* #,##0_);_(\$* \(#,##0\);_(\$* \-??_);_(@_)</t>
        </is>
      </c>
      <c r="J144" t="b">
        <v>0</v>
      </c>
      <c r="K144" t="b">
        <v>0</v>
      </c>
      <c r="L144" t="n">
        <v>10</v>
      </c>
      <c r="N144" t="inlineStr">
        <is>
          <t>00000000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1</v>
      </c>
      <c r="S144" t="inlineStr">
        <is>
          <t>G000001</t>
        </is>
      </c>
      <c r="T144" t="inlineStr">
        <is>
          <t>Vertical</t>
        </is>
      </c>
      <c r="U144" t="n">
        <v>37</v>
      </c>
      <c r="V144" t="b">
        <v>1</v>
      </c>
      <c r="W144" t="inlineStr">
        <is>
          <t>Sheet1!E35:E71</t>
        </is>
      </c>
      <c r="X144">
        <f>+SUM(R[0]C[-2]:R[0]C[-1])</f>
        <v/>
      </c>
    </row>
    <row r="145">
      <c r="A145" t="inlineStr">
        <is>
          <t>Sheet1</t>
        </is>
      </c>
      <c r="B145" t="inlineStr">
        <is>
          <t>F46</t>
        </is>
      </c>
      <c r="C145" t="n">
        <v>46</v>
      </c>
      <c r="D145" t="n">
        <v>6</v>
      </c>
      <c r="E145" t="inlineStr">
        <is>
          <t>Calculation</t>
        </is>
      </c>
      <c r="F145" t="inlineStr">
        <is>
          <t>'=+F45/(1+$D$15/12)</t>
        </is>
      </c>
      <c r="G145" t="n">
        <v>0.9210949411136869</v>
      </c>
      <c r="H145" t="inlineStr"/>
      <c r="I145" t="inlineStr">
        <is>
          <t>0.0%</t>
        </is>
      </c>
      <c r="J145" t="b">
        <v>0</v>
      </c>
      <c r="K145" t="b">
        <v>0</v>
      </c>
      <c r="L145" t="n">
        <v>10</v>
      </c>
      <c r="N145" t="inlineStr">
        <is>
          <t>00000000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1</v>
      </c>
      <c r="S145" t="inlineStr">
        <is>
          <t>G000004</t>
        </is>
      </c>
      <c r="T145" t="inlineStr">
        <is>
          <t>Vertical</t>
        </is>
      </c>
      <c r="U145" t="n">
        <v>36</v>
      </c>
      <c r="V145" t="b">
        <v>1</v>
      </c>
      <c r="W145" t="inlineStr">
        <is>
          <t>Sheet1!F36:F71</t>
        </is>
      </c>
      <c r="X145">
        <f>+R[-1]C[0]/(1+R15C4/12)</f>
        <v/>
      </c>
    </row>
    <row r="146">
      <c r="A146" t="inlineStr">
        <is>
          <t>Sheet1</t>
        </is>
      </c>
      <c r="B146" t="inlineStr">
        <is>
          <t>G46</t>
        </is>
      </c>
      <c r="C146" t="n">
        <v>46</v>
      </c>
      <c r="D146" t="n">
        <v>7</v>
      </c>
      <c r="E146" t="inlineStr">
        <is>
          <t>Calculation</t>
        </is>
      </c>
      <c r="F146" t="inlineStr">
        <is>
          <t>'=+E46*F46</t>
        </is>
      </c>
      <c r="G146" t="n">
        <v>257.906583511833</v>
      </c>
      <c r="H146" t="inlineStr"/>
      <c r="I146" t="inlineStr">
        <is>
          <t>0.00</t>
        </is>
      </c>
      <c r="J146" t="b">
        <v>0</v>
      </c>
      <c r="K146" t="b">
        <v>0</v>
      </c>
      <c r="L146" t="n">
        <v>10</v>
      </c>
      <c r="N146" t="inlineStr">
        <is>
          <t>00000000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1</v>
      </c>
      <c r="S146" t="inlineStr">
        <is>
          <t>G000002</t>
        </is>
      </c>
      <c r="T146" t="inlineStr">
        <is>
          <t>Vertical</t>
        </is>
      </c>
      <c r="U146" t="n">
        <v>37</v>
      </c>
      <c r="V146" t="b">
        <v>1</v>
      </c>
      <c r="W146" t="inlineStr">
        <is>
          <t>Sheet1!G35:G71</t>
        </is>
      </c>
      <c r="X146">
        <f>+R[0]C[-2]*R[0]C[-1]</f>
        <v/>
      </c>
    </row>
    <row r="147">
      <c r="A147" t="inlineStr">
        <is>
          <t>Sheet1</t>
        </is>
      </c>
      <c r="B147" t="inlineStr">
        <is>
          <t>H46</t>
        </is>
      </c>
      <c r="C147" t="n">
        <v>46</v>
      </c>
      <c r="D147" t="n">
        <v>8</v>
      </c>
      <c r="E147" t="inlineStr">
        <is>
          <t>Calculation</t>
        </is>
      </c>
      <c r="F147" t="inlineStr">
        <is>
          <t>'=+H45+G46</t>
        </is>
      </c>
      <c r="G147" t="n">
        <v>3585.78886508898</v>
      </c>
      <c r="H147" t="inlineStr"/>
      <c r="I147" t="inlineStr">
        <is>
          <t>0.00</t>
        </is>
      </c>
      <c r="J147" t="b">
        <v>0</v>
      </c>
      <c r="K147" t="b">
        <v>0</v>
      </c>
      <c r="L147" t="n">
        <v>10</v>
      </c>
      <c r="N147" t="inlineStr">
        <is>
          <t>00000000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1</v>
      </c>
      <c r="S147" t="inlineStr">
        <is>
          <t>G000005</t>
        </is>
      </c>
      <c r="T147" t="inlineStr">
        <is>
          <t>Vertical</t>
        </is>
      </c>
      <c r="U147" t="n">
        <v>36</v>
      </c>
      <c r="V147" t="b">
        <v>1</v>
      </c>
      <c r="W147" t="inlineStr">
        <is>
          <t>Sheet1!H36:H71</t>
        </is>
      </c>
      <c r="X147">
        <f>+R[-1]C[0]+R[0]C[-1]</f>
        <v/>
      </c>
    </row>
    <row r="148">
      <c r="A148" t="inlineStr">
        <is>
          <t>Sheet1</t>
        </is>
      </c>
      <c r="B148" t="inlineStr">
        <is>
          <t>A47</t>
        </is>
      </c>
      <c r="C148" t="n">
        <v>47</v>
      </c>
      <c r="D148" t="n">
        <v>1</v>
      </c>
      <c r="E148" t="inlineStr">
        <is>
          <t>Input</t>
        </is>
      </c>
      <c r="F148" t="n">
        <v/>
      </c>
      <c r="G148" t="n">
        <v>12</v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10</v>
      </c>
      <c r="N148" t="inlineStr">
        <is>
          <t>00000000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</row>
    <row r="149">
      <c r="A149" t="inlineStr">
        <is>
          <t>Sheet1</t>
        </is>
      </c>
      <c r="B149" t="inlineStr">
        <is>
          <t>C47</t>
        </is>
      </c>
      <c r="C149" t="n">
        <v>47</v>
      </c>
      <c r="D149" t="n">
        <v>3</v>
      </c>
      <c r="E149" t="inlineStr">
        <is>
          <t>Calculation</t>
        </is>
      </c>
      <c r="F149" t="inlineStr">
        <is>
          <t>'=+C46</t>
        </is>
      </c>
      <c r="G149" t="n">
        <v>280</v>
      </c>
      <c r="H149" t="inlineStr"/>
      <c r="I149" t="inlineStr">
        <is>
          <t>_(\$* #,##0_);_(\$* \(#,##0\);_(\$* \-??_);_(@_)</t>
        </is>
      </c>
      <c r="J149" t="b">
        <v>0</v>
      </c>
      <c r="K149" t="b">
        <v>0</v>
      </c>
      <c r="L149" t="n">
        <v>10</v>
      </c>
      <c r="N149" t="inlineStr">
        <is>
          <t>00000000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1</v>
      </c>
      <c r="S149" t="inlineStr">
        <is>
          <t>G000003</t>
        </is>
      </c>
      <c r="T149" t="inlineStr">
        <is>
          <t>Vertical</t>
        </is>
      </c>
      <c r="U149" t="n">
        <v>35</v>
      </c>
      <c r="V149" t="b">
        <v>1</v>
      </c>
      <c r="W149" t="inlineStr">
        <is>
          <t>Sheet1!C36:C70</t>
        </is>
      </c>
      <c r="X149">
        <f>+R[-1]C[0]</f>
        <v/>
      </c>
    </row>
    <row r="150">
      <c r="A150" t="inlineStr">
        <is>
          <t>Sheet1</t>
        </is>
      </c>
      <c r="B150" t="inlineStr">
        <is>
          <t>E47</t>
        </is>
      </c>
      <c r="C150" t="n">
        <v>47</v>
      </c>
      <c r="D150" t="n">
        <v>5</v>
      </c>
      <c r="E150" t="inlineStr">
        <is>
          <t>Calculation</t>
        </is>
      </c>
      <c r="F150" t="inlineStr">
        <is>
          <t>'=+SUM(C47:D47)</t>
        </is>
      </c>
      <c r="G150" t="n">
        <v>280</v>
      </c>
      <c r="H150" t="inlineStr"/>
      <c r="I150" t="inlineStr">
        <is>
          <t>_(\$* #,##0_);_(\$* \(#,##0\);_(\$* \-??_);_(@_)</t>
        </is>
      </c>
      <c r="J150" t="b">
        <v>0</v>
      </c>
      <c r="K150" t="b">
        <v>0</v>
      </c>
      <c r="L150" t="n">
        <v>10</v>
      </c>
      <c r="N150" t="inlineStr">
        <is>
          <t>00000000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1</v>
      </c>
      <c r="S150" t="inlineStr">
        <is>
          <t>G000001</t>
        </is>
      </c>
      <c r="T150" t="inlineStr">
        <is>
          <t>Vertical</t>
        </is>
      </c>
      <c r="U150" t="n">
        <v>37</v>
      </c>
      <c r="V150" t="b">
        <v>1</v>
      </c>
      <c r="W150" t="inlineStr">
        <is>
          <t>Sheet1!E35:E71</t>
        </is>
      </c>
      <c r="X150">
        <f>+SUM(R[0]C[-2]:R[0]C[-1])</f>
        <v/>
      </c>
    </row>
    <row r="151">
      <c r="A151" t="inlineStr">
        <is>
          <t>Sheet1</t>
        </is>
      </c>
      <c r="B151" t="inlineStr">
        <is>
          <t>F47</t>
        </is>
      </c>
      <c r="C151" t="n">
        <v>47</v>
      </c>
      <c r="D151" t="n">
        <v>6</v>
      </c>
      <c r="E151" t="inlineStr">
        <is>
          <t>Calculation</t>
        </is>
      </c>
      <c r="F151" t="inlineStr">
        <is>
          <t>'=+F46/(1+$D$15/12)</t>
        </is>
      </c>
      <c r="G151" t="n">
        <v>0.914238154951551</v>
      </c>
      <c r="H151" t="inlineStr"/>
      <c r="I151" t="inlineStr">
        <is>
          <t>0.0%</t>
        </is>
      </c>
      <c r="J151" t="b">
        <v>0</v>
      </c>
      <c r="K151" t="b">
        <v>0</v>
      </c>
      <c r="L151" t="n">
        <v>10</v>
      </c>
      <c r="N151" t="inlineStr">
        <is>
          <t>00000000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1</v>
      </c>
      <c r="S151" t="inlineStr">
        <is>
          <t>G000004</t>
        </is>
      </c>
      <c r="T151" t="inlineStr">
        <is>
          <t>Vertical</t>
        </is>
      </c>
      <c r="U151" t="n">
        <v>36</v>
      </c>
      <c r="V151" t="b">
        <v>1</v>
      </c>
      <c r="W151" t="inlineStr">
        <is>
          <t>Sheet1!F36:F71</t>
        </is>
      </c>
      <c r="X151">
        <f>+R[-1]C[0]/(1+R15C4/12)</f>
        <v/>
      </c>
    </row>
    <row r="152">
      <c r="A152" t="inlineStr">
        <is>
          <t>Sheet1</t>
        </is>
      </c>
      <c r="B152" t="inlineStr">
        <is>
          <t>G47</t>
        </is>
      </c>
      <c r="C152" t="n">
        <v>47</v>
      </c>
      <c r="D152" t="n">
        <v>7</v>
      </c>
      <c r="E152" t="inlineStr">
        <is>
          <t>Calculation</t>
        </is>
      </c>
      <c r="F152" t="inlineStr">
        <is>
          <t>'=+E47*F47</t>
        </is>
      </c>
      <c r="G152" t="n">
        <v>255.986683386434</v>
      </c>
      <c r="H152" t="inlineStr"/>
      <c r="I152" t="inlineStr">
        <is>
          <t>0.00</t>
        </is>
      </c>
      <c r="J152" t="b">
        <v>0</v>
      </c>
      <c r="K152" t="b">
        <v>0</v>
      </c>
      <c r="L152" t="n">
        <v>10</v>
      </c>
      <c r="N152" t="inlineStr">
        <is>
          <t>00000000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1</v>
      </c>
      <c r="S152" t="inlineStr">
        <is>
          <t>G000002</t>
        </is>
      </c>
      <c r="T152" t="inlineStr">
        <is>
          <t>Vertical</t>
        </is>
      </c>
      <c r="U152" t="n">
        <v>37</v>
      </c>
      <c r="V152" t="b">
        <v>1</v>
      </c>
      <c r="W152" t="inlineStr">
        <is>
          <t>Sheet1!G35:G71</t>
        </is>
      </c>
      <c r="X152">
        <f>+R[0]C[-2]*R[0]C[-1]</f>
        <v/>
      </c>
    </row>
    <row r="153">
      <c r="A153" t="inlineStr">
        <is>
          <t>Sheet1</t>
        </is>
      </c>
      <c r="B153" t="inlineStr">
        <is>
          <t>H47</t>
        </is>
      </c>
      <c r="C153" t="n">
        <v>47</v>
      </c>
      <c r="D153" t="n">
        <v>8</v>
      </c>
      <c r="E153" t="inlineStr">
        <is>
          <t>Calculation</t>
        </is>
      </c>
      <c r="F153" t="inlineStr">
        <is>
          <t>'=+H46+G47</t>
        </is>
      </c>
      <c r="G153" t="n">
        <v>3841.77554847541</v>
      </c>
      <c r="H153" t="inlineStr"/>
      <c r="I153" t="inlineStr">
        <is>
          <t>0.00</t>
        </is>
      </c>
      <c r="J153" t="b">
        <v>0</v>
      </c>
      <c r="K153" t="b">
        <v>0</v>
      </c>
      <c r="L153" t="n">
        <v>10</v>
      </c>
      <c r="N153" t="inlineStr">
        <is>
          <t>00000000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1</v>
      </c>
      <c r="S153" t="inlineStr">
        <is>
          <t>G000005</t>
        </is>
      </c>
      <c r="T153" t="inlineStr">
        <is>
          <t>Vertical</t>
        </is>
      </c>
      <c r="U153" t="n">
        <v>36</v>
      </c>
      <c r="V153" t="b">
        <v>1</v>
      </c>
      <c r="W153" t="inlineStr">
        <is>
          <t>Sheet1!H36:H71</t>
        </is>
      </c>
      <c r="X153">
        <f>+R[-1]C[0]+R[0]C[-1]</f>
        <v/>
      </c>
    </row>
    <row r="154">
      <c r="A154" t="inlineStr">
        <is>
          <t>Sheet1</t>
        </is>
      </c>
      <c r="B154" t="inlineStr">
        <is>
          <t>A48</t>
        </is>
      </c>
      <c r="C154" t="n">
        <v>48</v>
      </c>
      <c r="D154" t="n">
        <v>1</v>
      </c>
      <c r="E154" t="inlineStr">
        <is>
          <t>Input</t>
        </is>
      </c>
      <c r="F154" t="n">
        <v/>
      </c>
      <c r="G154" t="n">
        <v>13</v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10</v>
      </c>
      <c r="N154" t="inlineStr">
        <is>
          <t>00000000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</row>
    <row r="155">
      <c r="A155" t="inlineStr">
        <is>
          <t>Sheet1</t>
        </is>
      </c>
      <c r="B155" t="inlineStr">
        <is>
          <t>C48</t>
        </is>
      </c>
      <c r="C155" t="n">
        <v>48</v>
      </c>
      <c r="D155" t="n">
        <v>3</v>
      </c>
      <c r="E155" t="inlineStr">
        <is>
          <t>Calculation</t>
        </is>
      </c>
      <c r="F155" t="inlineStr">
        <is>
          <t>'=+C47</t>
        </is>
      </c>
      <c r="G155" t="n">
        <v>280</v>
      </c>
      <c r="H155" t="inlineStr"/>
      <c r="I155" t="inlineStr">
        <is>
          <t>_(\$* #,##0_);_(\$* \(#,##0\);_(\$* \-??_);_(@_)</t>
        </is>
      </c>
      <c r="J155" t="b">
        <v>0</v>
      </c>
      <c r="K155" t="b">
        <v>0</v>
      </c>
      <c r="L155" t="n">
        <v>10</v>
      </c>
      <c r="N155" t="inlineStr">
        <is>
          <t>00000000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1</v>
      </c>
      <c r="S155" t="inlineStr">
        <is>
          <t>G000003</t>
        </is>
      </c>
      <c r="T155" t="inlineStr">
        <is>
          <t>Vertical</t>
        </is>
      </c>
      <c r="U155" t="n">
        <v>35</v>
      </c>
      <c r="V155" t="b">
        <v>1</v>
      </c>
      <c r="W155" t="inlineStr">
        <is>
          <t>Sheet1!C36:C70</t>
        </is>
      </c>
      <c r="X155">
        <f>+R[-1]C[0]</f>
        <v/>
      </c>
    </row>
    <row r="156">
      <c r="A156" t="inlineStr">
        <is>
          <t>Sheet1</t>
        </is>
      </c>
      <c r="B156" t="inlineStr">
        <is>
          <t>E48</t>
        </is>
      </c>
      <c r="C156" t="n">
        <v>48</v>
      </c>
      <c r="D156" t="n">
        <v>5</v>
      </c>
      <c r="E156" t="inlineStr">
        <is>
          <t>Calculation</t>
        </is>
      </c>
      <c r="F156" t="inlineStr">
        <is>
          <t>'=+SUM(C48:D48)</t>
        </is>
      </c>
      <c r="G156" t="n">
        <v>280</v>
      </c>
      <c r="H156" t="inlineStr"/>
      <c r="I156" t="inlineStr">
        <is>
          <t>_(\$* #,##0_);_(\$* \(#,##0\);_(\$* \-??_);_(@_)</t>
        </is>
      </c>
      <c r="J156" t="b">
        <v>0</v>
      </c>
      <c r="K156" t="b">
        <v>0</v>
      </c>
      <c r="L156" t="n">
        <v>10</v>
      </c>
      <c r="N156" t="inlineStr">
        <is>
          <t>00000000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1</v>
      </c>
      <c r="S156" t="inlineStr">
        <is>
          <t>G000001</t>
        </is>
      </c>
      <c r="T156" t="inlineStr">
        <is>
          <t>Vertical</t>
        </is>
      </c>
      <c r="U156" t="n">
        <v>37</v>
      </c>
      <c r="V156" t="b">
        <v>1</v>
      </c>
      <c r="W156" t="inlineStr">
        <is>
          <t>Sheet1!E35:E71</t>
        </is>
      </c>
      <c r="X156">
        <f>+SUM(R[0]C[-2]:R[0]C[-1])</f>
        <v/>
      </c>
    </row>
    <row r="157">
      <c r="A157" t="inlineStr">
        <is>
          <t>Sheet1</t>
        </is>
      </c>
      <c r="B157" t="inlineStr">
        <is>
          <t>F48</t>
        </is>
      </c>
      <c r="C157" t="n">
        <v>48</v>
      </c>
      <c r="D157" t="n">
        <v>6</v>
      </c>
      <c r="E157" t="inlineStr">
        <is>
          <t>Calculation</t>
        </is>
      </c>
      <c r="F157" t="inlineStr">
        <is>
          <t>'=+F47/(1+$D$15/12)</t>
        </is>
      </c>
      <c r="G157" t="n">
        <v>0.9074324118625809</v>
      </c>
      <c r="H157" t="inlineStr"/>
      <c r="I157" t="inlineStr">
        <is>
          <t>0.0%</t>
        </is>
      </c>
      <c r="J157" t="b">
        <v>0</v>
      </c>
      <c r="K157" t="b">
        <v>0</v>
      </c>
      <c r="L157" t="n">
        <v>10</v>
      </c>
      <c r="N157" t="inlineStr">
        <is>
          <t>00000000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1</v>
      </c>
      <c r="S157" t="inlineStr">
        <is>
          <t>G000004</t>
        </is>
      </c>
      <c r="T157" t="inlineStr">
        <is>
          <t>Vertical</t>
        </is>
      </c>
      <c r="U157" t="n">
        <v>36</v>
      </c>
      <c r="V157" t="b">
        <v>1</v>
      </c>
      <c r="W157" t="inlineStr">
        <is>
          <t>Sheet1!F36:F71</t>
        </is>
      </c>
      <c r="X157">
        <f>+R[-1]C[0]/(1+R15C4/12)</f>
        <v/>
      </c>
    </row>
    <row r="158">
      <c r="A158" t="inlineStr">
        <is>
          <t>Sheet1</t>
        </is>
      </c>
      <c r="B158" t="inlineStr">
        <is>
          <t>G48</t>
        </is>
      </c>
      <c r="C158" t="n">
        <v>48</v>
      </c>
      <c r="D158" t="n">
        <v>7</v>
      </c>
      <c r="E158" t="inlineStr">
        <is>
          <t>Calculation</t>
        </is>
      </c>
      <c r="F158" t="inlineStr">
        <is>
          <t>'=+E48*F48</t>
        </is>
      </c>
      <c r="G158" t="n">
        <v>254.081075321523</v>
      </c>
      <c r="H158" t="inlineStr"/>
      <c r="I158" t="inlineStr">
        <is>
          <t>0.00</t>
        </is>
      </c>
      <c r="J158" t="b">
        <v>0</v>
      </c>
      <c r="K158" t="b">
        <v>0</v>
      </c>
      <c r="L158" t="n">
        <v>10</v>
      </c>
      <c r="N158" t="inlineStr">
        <is>
          <t>00000000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1</v>
      </c>
      <c r="S158" t="inlineStr">
        <is>
          <t>G000002</t>
        </is>
      </c>
      <c r="T158" t="inlineStr">
        <is>
          <t>Vertical</t>
        </is>
      </c>
      <c r="U158" t="n">
        <v>37</v>
      </c>
      <c r="V158" t="b">
        <v>1</v>
      </c>
      <c r="W158" t="inlineStr">
        <is>
          <t>Sheet1!G35:G71</t>
        </is>
      </c>
      <c r="X158">
        <f>+R[0]C[-2]*R[0]C[-1]</f>
        <v/>
      </c>
    </row>
    <row r="159">
      <c r="A159" t="inlineStr">
        <is>
          <t>Sheet1</t>
        </is>
      </c>
      <c r="B159" t="inlineStr">
        <is>
          <t>H48</t>
        </is>
      </c>
      <c r="C159" t="n">
        <v>48</v>
      </c>
      <c r="D159" t="n">
        <v>8</v>
      </c>
      <c r="E159" t="inlineStr">
        <is>
          <t>Calculation</t>
        </is>
      </c>
      <c r="F159" t="inlineStr">
        <is>
          <t>'=+H47+G48</t>
        </is>
      </c>
      <c r="G159" t="n">
        <v>4095.85662379693</v>
      </c>
      <c r="H159" t="inlineStr"/>
      <c r="I159" t="inlineStr">
        <is>
          <t>0.00</t>
        </is>
      </c>
      <c r="J159" t="b">
        <v>0</v>
      </c>
      <c r="K159" t="b">
        <v>0</v>
      </c>
      <c r="L159" t="n">
        <v>10</v>
      </c>
      <c r="N159" t="inlineStr">
        <is>
          <t>00000000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1</v>
      </c>
      <c r="S159" t="inlineStr">
        <is>
          <t>G000005</t>
        </is>
      </c>
      <c r="T159" t="inlineStr">
        <is>
          <t>Vertical</t>
        </is>
      </c>
      <c r="U159" t="n">
        <v>36</v>
      </c>
      <c r="V159" t="b">
        <v>1</v>
      </c>
      <c r="W159" t="inlineStr">
        <is>
          <t>Sheet1!H36:H71</t>
        </is>
      </c>
      <c r="X159">
        <f>+R[-1]C[0]+R[0]C[-1]</f>
        <v/>
      </c>
    </row>
    <row r="160">
      <c r="A160" t="inlineStr">
        <is>
          <t>Sheet1</t>
        </is>
      </c>
      <c r="B160" t="inlineStr">
        <is>
          <t>A49</t>
        </is>
      </c>
      <c r="C160" t="n">
        <v>49</v>
      </c>
      <c r="D160" t="n">
        <v>1</v>
      </c>
      <c r="E160" t="inlineStr">
        <is>
          <t>Input</t>
        </is>
      </c>
      <c r="F160" t="n">
        <v/>
      </c>
      <c r="G160" t="n">
        <v>14</v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10</v>
      </c>
      <c r="N160" t="inlineStr">
        <is>
          <t>00000000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</row>
    <row r="161">
      <c r="A161" t="inlineStr">
        <is>
          <t>Sheet1</t>
        </is>
      </c>
      <c r="B161" t="inlineStr">
        <is>
          <t>C49</t>
        </is>
      </c>
      <c r="C161" t="n">
        <v>49</v>
      </c>
      <c r="D161" t="n">
        <v>3</v>
      </c>
      <c r="E161" t="inlineStr">
        <is>
          <t>Calculation</t>
        </is>
      </c>
      <c r="F161" t="inlineStr">
        <is>
          <t>'=+C48</t>
        </is>
      </c>
      <c r="G161" t="n">
        <v>280</v>
      </c>
      <c r="H161" t="inlineStr"/>
      <c r="I161" t="inlineStr">
        <is>
          <t>_(\$* #,##0_);_(\$* \(#,##0\);_(\$* \-??_);_(@_)</t>
        </is>
      </c>
      <c r="J161" t="b">
        <v>0</v>
      </c>
      <c r="K161" t="b">
        <v>0</v>
      </c>
      <c r="L161" t="n">
        <v>10</v>
      </c>
      <c r="N161" t="inlineStr">
        <is>
          <t>00000000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1</v>
      </c>
      <c r="S161" t="inlineStr">
        <is>
          <t>G000003</t>
        </is>
      </c>
      <c r="T161" t="inlineStr">
        <is>
          <t>Vertical</t>
        </is>
      </c>
      <c r="U161" t="n">
        <v>35</v>
      </c>
      <c r="V161" t="b">
        <v>1</v>
      </c>
      <c r="W161" t="inlineStr">
        <is>
          <t>Sheet1!C36:C70</t>
        </is>
      </c>
      <c r="X161">
        <f>+R[-1]C[0]</f>
        <v/>
      </c>
    </row>
    <row r="162">
      <c r="A162" t="inlineStr">
        <is>
          <t>Sheet1</t>
        </is>
      </c>
      <c r="B162" t="inlineStr">
        <is>
          <t>E49</t>
        </is>
      </c>
      <c r="C162" t="n">
        <v>49</v>
      </c>
      <c r="D162" t="n">
        <v>5</v>
      </c>
      <c r="E162" t="inlineStr">
        <is>
          <t>Calculation</t>
        </is>
      </c>
      <c r="F162" t="inlineStr">
        <is>
          <t>'=+SUM(C49:D49)</t>
        </is>
      </c>
      <c r="G162" t="n">
        <v>280</v>
      </c>
      <c r="H162" t="inlineStr"/>
      <c r="I162" t="inlineStr">
        <is>
          <t>_(\$* #,##0_);_(\$* \(#,##0\);_(\$* \-??_);_(@_)</t>
        </is>
      </c>
      <c r="J162" t="b">
        <v>0</v>
      </c>
      <c r="K162" t="b">
        <v>0</v>
      </c>
      <c r="L162" t="n">
        <v>10</v>
      </c>
      <c r="N162" t="inlineStr">
        <is>
          <t>00000000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1</v>
      </c>
      <c r="S162" t="inlineStr">
        <is>
          <t>G000001</t>
        </is>
      </c>
      <c r="T162" t="inlineStr">
        <is>
          <t>Vertical</t>
        </is>
      </c>
      <c r="U162" t="n">
        <v>37</v>
      </c>
      <c r="V162" t="b">
        <v>1</v>
      </c>
      <c r="W162" t="inlineStr">
        <is>
          <t>Sheet1!E35:E71</t>
        </is>
      </c>
      <c r="X162">
        <f>+SUM(R[0]C[-2]:R[0]C[-1])</f>
        <v/>
      </c>
    </row>
    <row r="163">
      <c r="A163" t="inlineStr">
        <is>
          <t>Sheet1</t>
        </is>
      </c>
      <c r="B163" t="inlineStr">
        <is>
          <t>F49</t>
        </is>
      </c>
      <c r="C163" t="n">
        <v>49</v>
      </c>
      <c r="D163" t="n">
        <v>6</v>
      </c>
      <c r="E163" t="inlineStr">
        <is>
          <t>Calculation</t>
        </is>
      </c>
      <c r="F163" t="inlineStr">
        <is>
          <t>'=+F48/(1+$D$15/12)</t>
        </is>
      </c>
      <c r="G163" t="n">
        <v>0.9006773318735301</v>
      </c>
      <c r="H163" t="inlineStr"/>
      <c r="I163" t="inlineStr">
        <is>
          <t>0.0%</t>
        </is>
      </c>
      <c r="J163" t="b">
        <v>0</v>
      </c>
      <c r="K163" t="b">
        <v>0</v>
      </c>
      <c r="L163" t="n">
        <v>10</v>
      </c>
      <c r="N163" t="inlineStr">
        <is>
          <t>00000000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1</v>
      </c>
      <c r="S163" t="inlineStr">
        <is>
          <t>G000004</t>
        </is>
      </c>
      <c r="T163" t="inlineStr">
        <is>
          <t>Vertical</t>
        </is>
      </c>
      <c r="U163" t="n">
        <v>36</v>
      </c>
      <c r="V163" t="b">
        <v>1</v>
      </c>
      <c r="W163" t="inlineStr">
        <is>
          <t>Sheet1!F36:F71</t>
        </is>
      </c>
      <c r="X163">
        <f>+R[-1]C[0]/(1+R15C4/12)</f>
        <v/>
      </c>
    </row>
    <row r="164">
      <c r="A164" t="inlineStr">
        <is>
          <t>Sheet1</t>
        </is>
      </c>
      <c r="B164" t="inlineStr">
        <is>
          <t>G49</t>
        </is>
      </c>
      <c r="C164" t="n">
        <v>49</v>
      </c>
      <c r="D164" t="n">
        <v>7</v>
      </c>
      <c r="E164" t="inlineStr">
        <is>
          <t>Calculation</t>
        </is>
      </c>
      <c r="F164" t="inlineStr">
        <is>
          <t>'=+E49*F49</t>
        </is>
      </c>
      <c r="G164" t="n">
        <v>252.189652924588</v>
      </c>
      <c r="H164" t="inlineStr"/>
      <c r="I164" t="inlineStr">
        <is>
          <t>0.00</t>
        </is>
      </c>
      <c r="J164" t="b">
        <v>0</v>
      </c>
      <c r="K164" t="b">
        <v>0</v>
      </c>
      <c r="L164" t="n">
        <v>10</v>
      </c>
      <c r="N164" t="inlineStr">
        <is>
          <t>00000000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1</v>
      </c>
      <c r="S164" t="inlineStr">
        <is>
          <t>G000002</t>
        </is>
      </c>
      <c r="T164" t="inlineStr">
        <is>
          <t>Vertical</t>
        </is>
      </c>
      <c r="U164" t="n">
        <v>37</v>
      </c>
      <c r="V164" t="b">
        <v>1</v>
      </c>
      <c r="W164" t="inlineStr">
        <is>
          <t>Sheet1!G35:G71</t>
        </is>
      </c>
      <c r="X164">
        <f>+R[0]C[-2]*R[0]C[-1]</f>
        <v/>
      </c>
    </row>
    <row r="165">
      <c r="A165" t="inlineStr">
        <is>
          <t>Sheet1</t>
        </is>
      </c>
      <c r="B165" t="inlineStr">
        <is>
          <t>H49</t>
        </is>
      </c>
      <c r="C165" t="n">
        <v>49</v>
      </c>
      <c r="D165" t="n">
        <v>8</v>
      </c>
      <c r="E165" t="inlineStr">
        <is>
          <t>Calculation</t>
        </is>
      </c>
      <c r="F165" t="inlineStr">
        <is>
          <t>'=+H48+G49</t>
        </is>
      </c>
      <c r="G165" t="n">
        <v>4348.04627672152</v>
      </c>
      <c r="H165" t="inlineStr"/>
      <c r="I165" t="inlineStr">
        <is>
          <t>0.00</t>
        </is>
      </c>
      <c r="J165" t="b">
        <v>0</v>
      </c>
      <c r="K165" t="b">
        <v>0</v>
      </c>
      <c r="L165" t="n">
        <v>10</v>
      </c>
      <c r="N165" t="inlineStr">
        <is>
          <t>00000000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1</v>
      </c>
      <c r="S165" t="inlineStr">
        <is>
          <t>G000005</t>
        </is>
      </c>
      <c r="T165" t="inlineStr">
        <is>
          <t>Vertical</t>
        </is>
      </c>
      <c r="U165" t="n">
        <v>36</v>
      </c>
      <c r="V165" t="b">
        <v>1</v>
      </c>
      <c r="W165" t="inlineStr">
        <is>
          <t>Sheet1!H36:H71</t>
        </is>
      </c>
      <c r="X165">
        <f>+R[-1]C[0]+R[0]C[-1]</f>
        <v/>
      </c>
    </row>
    <row r="166">
      <c r="A166" t="inlineStr">
        <is>
          <t>Sheet1</t>
        </is>
      </c>
      <c r="B166" t="inlineStr">
        <is>
          <t>A50</t>
        </is>
      </c>
      <c r="C166" t="n">
        <v>50</v>
      </c>
      <c r="D166" t="n">
        <v>1</v>
      </c>
      <c r="E166" t="inlineStr">
        <is>
          <t>Input</t>
        </is>
      </c>
      <c r="F166" t="n">
        <v/>
      </c>
      <c r="G166" t="n">
        <v>15</v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10</v>
      </c>
      <c r="N166" t="inlineStr">
        <is>
          <t>00000000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1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</row>
    <row r="167">
      <c r="A167" t="inlineStr">
        <is>
          <t>Sheet1</t>
        </is>
      </c>
      <c r="B167" t="inlineStr">
        <is>
          <t>C50</t>
        </is>
      </c>
      <c r="C167" t="n">
        <v>50</v>
      </c>
      <c r="D167" t="n">
        <v>3</v>
      </c>
      <c r="E167" t="inlineStr">
        <is>
          <t>Calculation</t>
        </is>
      </c>
      <c r="F167" t="inlineStr">
        <is>
          <t>'=+C49</t>
        </is>
      </c>
      <c r="G167" t="n">
        <v>280</v>
      </c>
      <c r="H167" t="inlineStr"/>
      <c r="I167" t="inlineStr">
        <is>
          <t>_(\$* #,##0_);_(\$* \(#,##0\);_(\$* \-??_);_(@_)</t>
        </is>
      </c>
      <c r="J167" t="b">
        <v>0</v>
      </c>
      <c r="K167" t="b">
        <v>0</v>
      </c>
      <c r="L167" t="n">
        <v>10</v>
      </c>
      <c r="N167" t="inlineStr">
        <is>
          <t>00000000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1</v>
      </c>
      <c r="S167" t="inlineStr">
        <is>
          <t>G000003</t>
        </is>
      </c>
      <c r="T167" t="inlineStr">
        <is>
          <t>Vertical</t>
        </is>
      </c>
      <c r="U167" t="n">
        <v>35</v>
      </c>
      <c r="V167" t="b">
        <v>1</v>
      </c>
      <c r="W167" t="inlineStr">
        <is>
          <t>Sheet1!C36:C70</t>
        </is>
      </c>
      <c r="X167">
        <f>+R[-1]C[0]</f>
        <v/>
      </c>
    </row>
    <row r="168">
      <c r="A168" t="inlineStr">
        <is>
          <t>Sheet1</t>
        </is>
      </c>
      <c r="B168" t="inlineStr">
        <is>
          <t>E50</t>
        </is>
      </c>
      <c r="C168" t="n">
        <v>50</v>
      </c>
      <c r="D168" t="n">
        <v>5</v>
      </c>
      <c r="E168" t="inlineStr">
        <is>
          <t>Calculation</t>
        </is>
      </c>
      <c r="F168" t="inlineStr">
        <is>
          <t>'=+SUM(C50:D50)</t>
        </is>
      </c>
      <c r="G168" t="n">
        <v>280</v>
      </c>
      <c r="H168" t="inlineStr"/>
      <c r="I168" t="inlineStr">
        <is>
          <t>_(\$* #,##0_);_(\$* \(#,##0\);_(\$* \-??_);_(@_)</t>
        </is>
      </c>
      <c r="J168" t="b">
        <v>0</v>
      </c>
      <c r="K168" t="b">
        <v>0</v>
      </c>
      <c r="L168" t="n">
        <v>10</v>
      </c>
      <c r="N168" t="inlineStr">
        <is>
          <t>00000000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1</v>
      </c>
      <c r="S168" t="inlineStr">
        <is>
          <t>G000001</t>
        </is>
      </c>
      <c r="T168" t="inlineStr">
        <is>
          <t>Vertical</t>
        </is>
      </c>
      <c r="U168" t="n">
        <v>37</v>
      </c>
      <c r="V168" t="b">
        <v>1</v>
      </c>
      <c r="W168" t="inlineStr">
        <is>
          <t>Sheet1!E35:E71</t>
        </is>
      </c>
      <c r="X168">
        <f>+SUM(R[0]C[-2]:R[0]C[-1])</f>
        <v/>
      </c>
    </row>
    <row r="169">
      <c r="A169" t="inlineStr">
        <is>
          <t>Sheet1</t>
        </is>
      </c>
      <c r="B169" t="inlineStr">
        <is>
          <t>F50</t>
        </is>
      </c>
      <c r="C169" t="n">
        <v>50</v>
      </c>
      <c r="D169" t="n">
        <v>6</v>
      </c>
      <c r="E169" t="inlineStr">
        <is>
          <t>Calculation</t>
        </is>
      </c>
      <c r="F169" t="inlineStr">
        <is>
          <t>'=+F49/(1+$D$15/12)</t>
        </is>
      </c>
      <c r="G169" t="n">
        <v>0.893972537839732</v>
      </c>
      <c r="H169" t="inlineStr"/>
      <c r="I169" t="inlineStr">
        <is>
          <t>0.0%</t>
        </is>
      </c>
      <c r="J169" t="b">
        <v>0</v>
      </c>
      <c r="K169" t="b">
        <v>0</v>
      </c>
      <c r="L169" t="n">
        <v>10</v>
      </c>
      <c r="N169" t="inlineStr">
        <is>
          <t>00000000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1</v>
      </c>
      <c r="S169" t="inlineStr">
        <is>
          <t>G000004</t>
        </is>
      </c>
      <c r="T169" t="inlineStr">
        <is>
          <t>Vertical</t>
        </is>
      </c>
      <c r="U169" t="n">
        <v>36</v>
      </c>
      <c r="V169" t="b">
        <v>1</v>
      </c>
      <c r="W169" t="inlineStr">
        <is>
          <t>Sheet1!F36:F71</t>
        </is>
      </c>
      <c r="X169">
        <f>+R[-1]C[0]/(1+R15C4/12)</f>
        <v/>
      </c>
    </row>
    <row r="170">
      <c r="A170" t="inlineStr">
        <is>
          <t>Sheet1</t>
        </is>
      </c>
      <c r="B170" t="inlineStr">
        <is>
          <t>G50</t>
        </is>
      </c>
      <c r="C170" t="n">
        <v>50</v>
      </c>
      <c r="D170" t="n">
        <v>7</v>
      </c>
      <c r="E170" t="inlineStr">
        <is>
          <t>Calculation</t>
        </is>
      </c>
      <c r="F170" t="inlineStr">
        <is>
          <t>'=+E50*F50</t>
        </is>
      </c>
      <c r="G170" t="n">
        <v>250.312310595125</v>
      </c>
      <c r="H170" t="inlineStr"/>
      <c r="I170" t="inlineStr">
        <is>
          <t>0.00</t>
        </is>
      </c>
      <c r="J170" t="b">
        <v>0</v>
      </c>
      <c r="K170" t="b">
        <v>0</v>
      </c>
      <c r="L170" t="n">
        <v>10</v>
      </c>
      <c r="N170" t="inlineStr">
        <is>
          <t>00000000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1</v>
      </c>
      <c r="S170" t="inlineStr">
        <is>
          <t>G000002</t>
        </is>
      </c>
      <c r="T170" t="inlineStr">
        <is>
          <t>Vertical</t>
        </is>
      </c>
      <c r="U170" t="n">
        <v>37</v>
      </c>
      <c r="V170" t="b">
        <v>1</v>
      </c>
      <c r="W170" t="inlineStr">
        <is>
          <t>Sheet1!G35:G71</t>
        </is>
      </c>
      <c r="X170">
        <f>+R[0]C[-2]*R[0]C[-1]</f>
        <v/>
      </c>
    </row>
    <row r="171">
      <c r="A171" t="inlineStr">
        <is>
          <t>Sheet1</t>
        </is>
      </c>
      <c r="B171" t="inlineStr">
        <is>
          <t>H50</t>
        </is>
      </c>
      <c r="C171" t="n">
        <v>50</v>
      </c>
      <c r="D171" t="n">
        <v>8</v>
      </c>
      <c r="E171" t="inlineStr">
        <is>
          <t>Calculation</t>
        </is>
      </c>
      <c r="F171" t="inlineStr">
        <is>
          <t>'=+H49+G50</t>
        </is>
      </c>
      <c r="G171" t="n">
        <v>4598.35858731665</v>
      </c>
      <c r="H171" t="inlineStr"/>
      <c r="I171" t="inlineStr">
        <is>
          <t>0.00</t>
        </is>
      </c>
      <c r="J171" t="b">
        <v>0</v>
      </c>
      <c r="K171" t="b">
        <v>0</v>
      </c>
      <c r="L171" t="n">
        <v>10</v>
      </c>
      <c r="N171" t="inlineStr">
        <is>
          <t>00000000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1</v>
      </c>
      <c r="S171" t="inlineStr">
        <is>
          <t>G000005</t>
        </is>
      </c>
      <c r="T171" t="inlineStr">
        <is>
          <t>Vertical</t>
        </is>
      </c>
      <c r="U171" t="n">
        <v>36</v>
      </c>
      <c r="V171" t="b">
        <v>1</v>
      </c>
      <c r="W171" t="inlineStr">
        <is>
          <t>Sheet1!H36:H71</t>
        </is>
      </c>
      <c r="X171">
        <f>+R[-1]C[0]+R[0]C[-1]</f>
        <v/>
      </c>
    </row>
    <row r="172">
      <c r="A172" t="inlineStr">
        <is>
          <t>Sheet1</t>
        </is>
      </c>
      <c r="B172" t="inlineStr">
        <is>
          <t>A51</t>
        </is>
      </c>
      <c r="C172" t="n">
        <v>51</v>
      </c>
      <c r="D172" t="n">
        <v>1</v>
      </c>
      <c r="E172" t="inlineStr">
        <is>
          <t>Input</t>
        </is>
      </c>
      <c r="F172" t="n">
        <v/>
      </c>
      <c r="G172" t="n">
        <v>16</v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10</v>
      </c>
      <c r="N172" t="inlineStr">
        <is>
          <t>00000000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</row>
    <row r="173">
      <c r="A173" t="inlineStr">
        <is>
          <t>Sheet1</t>
        </is>
      </c>
      <c r="B173" t="inlineStr">
        <is>
          <t>C51</t>
        </is>
      </c>
      <c r="C173" t="n">
        <v>51</v>
      </c>
      <c r="D173" t="n">
        <v>3</v>
      </c>
      <c r="E173" t="inlineStr">
        <is>
          <t>Calculation</t>
        </is>
      </c>
      <c r="F173" t="inlineStr">
        <is>
          <t>'=+C50</t>
        </is>
      </c>
      <c r="G173" t="n">
        <v>280</v>
      </c>
      <c r="H173" t="inlineStr"/>
      <c r="I173" t="inlineStr">
        <is>
          <t>_(\$* #,##0_);_(\$* \(#,##0\);_(\$* \-??_);_(@_)</t>
        </is>
      </c>
      <c r="J173" t="b">
        <v>0</v>
      </c>
      <c r="K173" t="b">
        <v>0</v>
      </c>
      <c r="L173" t="n">
        <v>10</v>
      </c>
      <c r="N173" t="inlineStr">
        <is>
          <t>00000000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1</v>
      </c>
      <c r="S173" t="inlineStr">
        <is>
          <t>G000003</t>
        </is>
      </c>
      <c r="T173" t="inlineStr">
        <is>
          <t>Vertical</t>
        </is>
      </c>
      <c r="U173" t="n">
        <v>35</v>
      </c>
      <c r="V173" t="b">
        <v>1</v>
      </c>
      <c r="W173" t="inlineStr">
        <is>
          <t>Sheet1!C36:C70</t>
        </is>
      </c>
      <c r="X173">
        <f>+R[-1]C[0]</f>
        <v/>
      </c>
    </row>
    <row r="174">
      <c r="A174" t="inlineStr">
        <is>
          <t>Sheet1</t>
        </is>
      </c>
      <c r="B174" t="inlineStr">
        <is>
          <t>E51</t>
        </is>
      </c>
      <c r="C174" t="n">
        <v>51</v>
      </c>
      <c r="D174" t="n">
        <v>5</v>
      </c>
      <c r="E174" t="inlineStr">
        <is>
          <t>Calculation</t>
        </is>
      </c>
      <c r="F174" t="inlineStr">
        <is>
          <t>'=+SUM(C51:D51)</t>
        </is>
      </c>
      <c r="G174" t="n">
        <v>280</v>
      </c>
      <c r="H174" t="inlineStr"/>
      <c r="I174" t="inlineStr">
        <is>
          <t>_(\$* #,##0_);_(\$* \(#,##0\);_(\$* \-??_);_(@_)</t>
        </is>
      </c>
      <c r="J174" t="b">
        <v>0</v>
      </c>
      <c r="K174" t="b">
        <v>0</v>
      </c>
      <c r="L174" t="n">
        <v>10</v>
      </c>
      <c r="N174" t="inlineStr">
        <is>
          <t>00000000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1</v>
      </c>
      <c r="S174" t="inlineStr">
        <is>
          <t>G000001</t>
        </is>
      </c>
      <c r="T174" t="inlineStr">
        <is>
          <t>Vertical</t>
        </is>
      </c>
      <c r="U174" t="n">
        <v>37</v>
      </c>
      <c r="V174" t="b">
        <v>1</v>
      </c>
      <c r="W174" t="inlineStr">
        <is>
          <t>Sheet1!E35:E71</t>
        </is>
      </c>
      <c r="X174">
        <f>+SUM(R[0]C[-2]:R[0]C[-1])</f>
        <v/>
      </c>
    </row>
    <row r="175">
      <c r="A175" t="inlineStr">
        <is>
          <t>Sheet1</t>
        </is>
      </c>
      <c r="B175" t="inlineStr">
        <is>
          <t>F51</t>
        </is>
      </c>
      <c r="C175" t="n">
        <v>51</v>
      </c>
      <c r="D175" t="n">
        <v>6</v>
      </c>
      <c r="E175" t="inlineStr">
        <is>
          <t>Calculation</t>
        </is>
      </c>
      <c r="F175" t="inlineStr">
        <is>
          <t>'=+F50/(1+$D$15/12)</t>
        </is>
      </c>
      <c r="G175" t="n">
        <v>0.8873176554240511</v>
      </c>
      <c r="H175" t="inlineStr"/>
      <c r="I175" t="inlineStr">
        <is>
          <t>0.0%</t>
        </is>
      </c>
      <c r="J175" t="b">
        <v>0</v>
      </c>
      <c r="K175" t="b">
        <v>0</v>
      </c>
      <c r="L175" t="n">
        <v>10</v>
      </c>
      <c r="N175" t="inlineStr">
        <is>
          <t>00000000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1</v>
      </c>
      <c r="S175" t="inlineStr">
        <is>
          <t>G000004</t>
        </is>
      </c>
      <c r="T175" t="inlineStr">
        <is>
          <t>Vertical</t>
        </is>
      </c>
      <c r="U175" t="n">
        <v>36</v>
      </c>
      <c r="V175" t="b">
        <v>1</v>
      </c>
      <c r="W175" t="inlineStr">
        <is>
          <t>Sheet1!F36:F71</t>
        </is>
      </c>
      <c r="X175">
        <f>+R[-1]C[0]/(1+R15C4/12)</f>
        <v/>
      </c>
    </row>
    <row r="176">
      <c r="A176" t="inlineStr">
        <is>
          <t>Sheet1</t>
        </is>
      </c>
      <c r="B176" t="inlineStr">
        <is>
          <t>G51</t>
        </is>
      </c>
      <c r="C176" t="n">
        <v>51</v>
      </c>
      <c r="D176" t="n">
        <v>7</v>
      </c>
      <c r="E176" t="inlineStr">
        <is>
          <t>Calculation</t>
        </is>
      </c>
      <c r="F176" t="inlineStr">
        <is>
          <t>'=+E51*F51</t>
        </is>
      </c>
      <c r="G176" t="n">
        <v>248.448943518734</v>
      </c>
      <c r="H176" t="inlineStr"/>
      <c r="I176" t="inlineStr">
        <is>
          <t>0.00</t>
        </is>
      </c>
      <c r="J176" t="b">
        <v>0</v>
      </c>
      <c r="K176" t="b">
        <v>0</v>
      </c>
      <c r="L176" t="n">
        <v>10</v>
      </c>
      <c r="N176" t="inlineStr">
        <is>
          <t>00000000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1</v>
      </c>
      <c r="S176" t="inlineStr">
        <is>
          <t>G000002</t>
        </is>
      </c>
      <c r="T176" t="inlineStr">
        <is>
          <t>Vertical</t>
        </is>
      </c>
      <c r="U176" t="n">
        <v>37</v>
      </c>
      <c r="V176" t="b">
        <v>1</v>
      </c>
      <c r="W176" t="inlineStr">
        <is>
          <t>Sheet1!G35:G71</t>
        </is>
      </c>
      <c r="X176">
        <f>+R[0]C[-2]*R[0]C[-1]</f>
        <v/>
      </c>
    </row>
    <row r="177">
      <c r="A177" t="inlineStr">
        <is>
          <t>Sheet1</t>
        </is>
      </c>
      <c r="B177" t="inlineStr">
        <is>
          <t>H51</t>
        </is>
      </c>
      <c r="C177" t="n">
        <v>51</v>
      </c>
      <c r="D177" t="n">
        <v>8</v>
      </c>
      <c r="E177" t="inlineStr">
        <is>
          <t>Calculation</t>
        </is>
      </c>
      <c r="F177" t="inlineStr">
        <is>
          <t>'=+H50+G51</t>
        </is>
      </c>
      <c r="G177" t="n">
        <v>4846.80753083538</v>
      </c>
      <c r="H177" t="inlineStr"/>
      <c r="I177" t="inlineStr">
        <is>
          <t>0.00</t>
        </is>
      </c>
      <c r="J177" t="b">
        <v>0</v>
      </c>
      <c r="K177" t="b">
        <v>0</v>
      </c>
      <c r="L177" t="n">
        <v>10</v>
      </c>
      <c r="N177" t="inlineStr">
        <is>
          <t>00000000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1</v>
      </c>
      <c r="S177" t="inlineStr">
        <is>
          <t>G000005</t>
        </is>
      </c>
      <c r="T177" t="inlineStr">
        <is>
          <t>Vertical</t>
        </is>
      </c>
      <c r="U177" t="n">
        <v>36</v>
      </c>
      <c r="V177" t="b">
        <v>1</v>
      </c>
      <c r="W177" t="inlineStr">
        <is>
          <t>Sheet1!H36:H71</t>
        </is>
      </c>
      <c r="X177">
        <f>+R[-1]C[0]+R[0]C[-1]</f>
        <v/>
      </c>
    </row>
    <row r="178">
      <c r="A178" t="inlineStr">
        <is>
          <t>Sheet1</t>
        </is>
      </c>
      <c r="B178" t="inlineStr">
        <is>
          <t>A52</t>
        </is>
      </c>
      <c r="C178" t="n">
        <v>52</v>
      </c>
      <c r="D178" t="n">
        <v>1</v>
      </c>
      <c r="E178" t="inlineStr">
        <is>
          <t>Input</t>
        </is>
      </c>
      <c r="F178" t="n">
        <v/>
      </c>
      <c r="G178" t="n">
        <v>17</v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10</v>
      </c>
      <c r="N178" t="inlineStr">
        <is>
          <t>00000000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</row>
    <row r="179">
      <c r="A179" t="inlineStr">
        <is>
          <t>Sheet1</t>
        </is>
      </c>
      <c r="B179" t="inlineStr">
        <is>
          <t>C52</t>
        </is>
      </c>
      <c r="C179" t="n">
        <v>52</v>
      </c>
      <c r="D179" t="n">
        <v>3</v>
      </c>
      <c r="E179" t="inlineStr">
        <is>
          <t>Calculation</t>
        </is>
      </c>
      <c r="F179" t="inlineStr">
        <is>
          <t>'=+C51</t>
        </is>
      </c>
      <c r="G179" t="n">
        <v>280</v>
      </c>
      <c r="H179" t="inlineStr"/>
      <c r="I179" t="inlineStr">
        <is>
          <t>_(\$* #,##0_);_(\$* \(#,##0\);_(\$* \-??_);_(@_)</t>
        </is>
      </c>
      <c r="J179" t="b">
        <v>0</v>
      </c>
      <c r="K179" t="b">
        <v>0</v>
      </c>
      <c r="L179" t="n">
        <v>10</v>
      </c>
      <c r="N179" t="inlineStr">
        <is>
          <t>00000000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1</v>
      </c>
      <c r="S179" t="inlineStr">
        <is>
          <t>G000003</t>
        </is>
      </c>
      <c r="T179" t="inlineStr">
        <is>
          <t>Vertical</t>
        </is>
      </c>
      <c r="U179" t="n">
        <v>35</v>
      </c>
      <c r="V179" t="b">
        <v>1</v>
      </c>
      <c r="W179" t="inlineStr">
        <is>
          <t>Sheet1!C36:C70</t>
        </is>
      </c>
      <c r="X179">
        <f>+R[-1]C[0]</f>
        <v/>
      </c>
    </row>
    <row r="180">
      <c r="A180" t="inlineStr">
        <is>
          <t>Sheet1</t>
        </is>
      </c>
      <c r="B180" t="inlineStr">
        <is>
          <t>E52</t>
        </is>
      </c>
      <c r="C180" t="n">
        <v>52</v>
      </c>
      <c r="D180" t="n">
        <v>5</v>
      </c>
      <c r="E180" t="inlineStr">
        <is>
          <t>Calculation</t>
        </is>
      </c>
      <c r="F180" t="inlineStr">
        <is>
          <t>'=+SUM(C52:D52)</t>
        </is>
      </c>
      <c r="G180" t="n">
        <v>280</v>
      </c>
      <c r="H180" t="inlineStr"/>
      <c r="I180" t="inlineStr">
        <is>
          <t>_(\$* #,##0_);_(\$* \(#,##0\);_(\$* \-??_);_(@_)</t>
        </is>
      </c>
      <c r="J180" t="b">
        <v>0</v>
      </c>
      <c r="K180" t="b">
        <v>0</v>
      </c>
      <c r="L180" t="n">
        <v>10</v>
      </c>
      <c r="N180" t="inlineStr">
        <is>
          <t>00000000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1</v>
      </c>
      <c r="S180" t="inlineStr">
        <is>
          <t>G000001</t>
        </is>
      </c>
      <c r="T180" t="inlineStr">
        <is>
          <t>Vertical</t>
        </is>
      </c>
      <c r="U180" t="n">
        <v>37</v>
      </c>
      <c r="V180" t="b">
        <v>1</v>
      </c>
      <c r="W180" t="inlineStr">
        <is>
          <t>Sheet1!E35:E71</t>
        </is>
      </c>
      <c r="X180">
        <f>+SUM(R[0]C[-2]:R[0]C[-1])</f>
        <v/>
      </c>
    </row>
    <row r="181">
      <c r="A181" t="inlineStr">
        <is>
          <t>Sheet1</t>
        </is>
      </c>
      <c r="B181" t="inlineStr">
        <is>
          <t>F52</t>
        </is>
      </c>
      <c r="C181" t="n">
        <v>52</v>
      </c>
      <c r="D181" t="n">
        <v>6</v>
      </c>
      <c r="E181" t="inlineStr">
        <is>
          <t>Calculation</t>
        </is>
      </c>
      <c r="F181" t="inlineStr">
        <is>
          <t>'=+F51/(1+$D$15/12)</t>
        </is>
      </c>
      <c r="G181" t="n">
        <v>0.880712313075981</v>
      </c>
      <c r="H181" t="inlineStr"/>
      <c r="I181" t="inlineStr">
        <is>
          <t>0.0%</t>
        </is>
      </c>
      <c r="J181" t="b">
        <v>0</v>
      </c>
      <c r="K181" t="b">
        <v>0</v>
      </c>
      <c r="L181" t="n">
        <v>10</v>
      </c>
      <c r="N181" t="inlineStr">
        <is>
          <t>00000000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1</v>
      </c>
      <c r="S181" t="inlineStr">
        <is>
          <t>G000004</t>
        </is>
      </c>
      <c r="T181" t="inlineStr">
        <is>
          <t>Vertical</t>
        </is>
      </c>
      <c r="U181" t="n">
        <v>36</v>
      </c>
      <c r="V181" t="b">
        <v>1</v>
      </c>
      <c r="W181" t="inlineStr">
        <is>
          <t>Sheet1!F36:F71</t>
        </is>
      </c>
      <c r="X181">
        <f>+R[-1]C[0]/(1+R15C4/12)</f>
        <v/>
      </c>
    </row>
    <row r="182">
      <c r="A182" t="inlineStr">
        <is>
          <t>Sheet1</t>
        </is>
      </c>
      <c r="B182" t="inlineStr">
        <is>
          <t>G52</t>
        </is>
      </c>
      <c r="C182" t="n">
        <v>52</v>
      </c>
      <c r="D182" t="n">
        <v>7</v>
      </c>
      <c r="E182" t="inlineStr">
        <is>
          <t>Calculation</t>
        </is>
      </c>
      <c r="F182" t="inlineStr">
        <is>
          <t>'=+E52*F52</t>
        </is>
      </c>
      <c r="G182" t="n">
        <v>246.599447661275</v>
      </c>
      <c r="H182" t="inlineStr"/>
      <c r="I182" t="inlineStr">
        <is>
          <t>0.00</t>
        </is>
      </c>
      <c r="J182" t="b">
        <v>0</v>
      </c>
      <c r="K182" t="b">
        <v>0</v>
      </c>
      <c r="L182" t="n">
        <v>10</v>
      </c>
      <c r="N182" t="inlineStr">
        <is>
          <t>00000000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1</v>
      </c>
      <c r="S182" t="inlineStr">
        <is>
          <t>G000002</t>
        </is>
      </c>
      <c r="T182" t="inlineStr">
        <is>
          <t>Vertical</t>
        </is>
      </c>
      <c r="U182" t="n">
        <v>37</v>
      </c>
      <c r="V182" t="b">
        <v>1</v>
      </c>
      <c r="W182" t="inlineStr">
        <is>
          <t>Sheet1!G35:G71</t>
        </is>
      </c>
      <c r="X182">
        <f>+R[0]C[-2]*R[0]C[-1]</f>
        <v/>
      </c>
    </row>
    <row r="183">
      <c r="A183" t="inlineStr">
        <is>
          <t>Sheet1</t>
        </is>
      </c>
      <c r="B183" t="inlineStr">
        <is>
          <t>H52</t>
        </is>
      </c>
      <c r="C183" t="n">
        <v>52</v>
      </c>
      <c r="D183" t="n">
        <v>8</v>
      </c>
      <c r="E183" t="inlineStr">
        <is>
          <t>Calculation</t>
        </is>
      </c>
      <c r="F183" t="inlineStr">
        <is>
          <t>'=+H51+G52</t>
        </is>
      </c>
      <c r="G183" t="n">
        <v>5093.40697849666</v>
      </c>
      <c r="H183" t="inlineStr"/>
      <c r="I183" t="inlineStr">
        <is>
          <t>0.00</t>
        </is>
      </c>
      <c r="J183" t="b">
        <v>0</v>
      </c>
      <c r="K183" t="b">
        <v>0</v>
      </c>
      <c r="L183" t="n">
        <v>10</v>
      </c>
      <c r="N183" t="inlineStr">
        <is>
          <t>00000000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1</v>
      </c>
      <c r="S183" t="inlineStr">
        <is>
          <t>G000005</t>
        </is>
      </c>
      <c r="T183" t="inlineStr">
        <is>
          <t>Vertical</t>
        </is>
      </c>
      <c r="U183" t="n">
        <v>36</v>
      </c>
      <c r="V183" t="b">
        <v>1</v>
      </c>
      <c r="W183" t="inlineStr">
        <is>
          <t>Sheet1!H36:H71</t>
        </is>
      </c>
      <c r="X183">
        <f>+R[-1]C[0]+R[0]C[-1]</f>
        <v/>
      </c>
    </row>
    <row r="184">
      <c r="A184" t="inlineStr">
        <is>
          <t>Sheet1</t>
        </is>
      </c>
      <c r="B184" t="inlineStr">
        <is>
          <t>A53</t>
        </is>
      </c>
      <c r="C184" t="n">
        <v>53</v>
      </c>
      <c r="D184" t="n">
        <v>1</v>
      </c>
      <c r="E184" t="inlineStr">
        <is>
          <t>Input</t>
        </is>
      </c>
      <c r="F184" t="n">
        <v/>
      </c>
      <c r="G184" t="n">
        <v>18</v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10</v>
      </c>
      <c r="N184" t="inlineStr">
        <is>
          <t>00000000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</row>
    <row r="185">
      <c r="A185" t="inlineStr">
        <is>
          <t>Sheet1</t>
        </is>
      </c>
      <c r="B185" t="inlineStr">
        <is>
          <t>C53</t>
        </is>
      </c>
      <c r="C185" t="n">
        <v>53</v>
      </c>
      <c r="D185" t="n">
        <v>3</v>
      </c>
      <c r="E185" t="inlineStr">
        <is>
          <t>Calculation</t>
        </is>
      </c>
      <c r="F185" t="inlineStr">
        <is>
          <t>'=+C52</t>
        </is>
      </c>
      <c r="G185" t="n">
        <v>280</v>
      </c>
      <c r="H185" t="inlineStr"/>
      <c r="I185" t="inlineStr">
        <is>
          <t>_(\$* #,##0_);_(\$* \(#,##0\);_(\$* \-??_);_(@_)</t>
        </is>
      </c>
      <c r="J185" t="b">
        <v>0</v>
      </c>
      <c r="K185" t="b">
        <v>0</v>
      </c>
      <c r="L185" t="n">
        <v>10</v>
      </c>
      <c r="N185" t="inlineStr">
        <is>
          <t>00000000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1</v>
      </c>
      <c r="S185" t="inlineStr">
        <is>
          <t>G000003</t>
        </is>
      </c>
      <c r="T185" t="inlineStr">
        <is>
          <t>Vertical</t>
        </is>
      </c>
      <c r="U185" t="n">
        <v>35</v>
      </c>
      <c r="V185" t="b">
        <v>1</v>
      </c>
      <c r="W185" t="inlineStr">
        <is>
          <t>Sheet1!C36:C70</t>
        </is>
      </c>
      <c r="X185">
        <f>+R[-1]C[0]</f>
        <v/>
      </c>
    </row>
    <row r="186">
      <c r="A186" t="inlineStr">
        <is>
          <t>Sheet1</t>
        </is>
      </c>
      <c r="B186" t="inlineStr">
        <is>
          <t>E53</t>
        </is>
      </c>
      <c r="C186" t="n">
        <v>53</v>
      </c>
      <c r="D186" t="n">
        <v>5</v>
      </c>
      <c r="E186" t="inlineStr">
        <is>
          <t>Calculation</t>
        </is>
      </c>
      <c r="F186" t="inlineStr">
        <is>
          <t>'=+SUM(C53:D53)</t>
        </is>
      </c>
      <c r="G186" t="n">
        <v>280</v>
      </c>
      <c r="H186" t="inlineStr"/>
      <c r="I186" t="inlineStr">
        <is>
          <t>_(\$* #,##0_);_(\$* \(#,##0\);_(\$* \-??_);_(@_)</t>
        </is>
      </c>
      <c r="J186" t="b">
        <v>0</v>
      </c>
      <c r="K186" t="b">
        <v>0</v>
      </c>
      <c r="L186" t="n">
        <v>10</v>
      </c>
      <c r="N186" t="inlineStr">
        <is>
          <t>00000000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1</v>
      </c>
      <c r="S186" t="inlineStr">
        <is>
          <t>G000001</t>
        </is>
      </c>
      <c r="T186" t="inlineStr">
        <is>
          <t>Vertical</t>
        </is>
      </c>
      <c r="U186" t="n">
        <v>37</v>
      </c>
      <c r="V186" t="b">
        <v>1</v>
      </c>
      <c r="W186" t="inlineStr">
        <is>
          <t>Sheet1!E35:E71</t>
        </is>
      </c>
      <c r="X186">
        <f>+SUM(R[0]C[-2]:R[0]C[-1])</f>
        <v/>
      </c>
    </row>
    <row r="187">
      <c r="A187" t="inlineStr">
        <is>
          <t>Sheet1</t>
        </is>
      </c>
      <c r="B187" t="inlineStr">
        <is>
          <t>F53</t>
        </is>
      </c>
      <c r="C187" t="n">
        <v>53</v>
      </c>
      <c r="D187" t="n">
        <v>6</v>
      </c>
      <c r="E187" t="inlineStr">
        <is>
          <t>Calculation</t>
        </is>
      </c>
      <c r="F187" t="inlineStr">
        <is>
          <t>'=+F52/(1+$D$15/12)</t>
        </is>
      </c>
      <c r="G187" t="n">
        <v>0.8741561420109</v>
      </c>
      <c r="H187" t="inlineStr"/>
      <c r="I187" t="inlineStr">
        <is>
          <t>0.0%</t>
        </is>
      </c>
      <c r="J187" t="b">
        <v>0</v>
      </c>
      <c r="K187" t="b">
        <v>0</v>
      </c>
      <c r="L187" t="n">
        <v>10</v>
      </c>
      <c r="N187" t="inlineStr">
        <is>
          <t>00000000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1</v>
      </c>
      <c r="S187" t="inlineStr">
        <is>
          <t>G000004</t>
        </is>
      </c>
      <c r="T187" t="inlineStr">
        <is>
          <t>Vertical</t>
        </is>
      </c>
      <c r="U187" t="n">
        <v>36</v>
      </c>
      <c r="V187" t="b">
        <v>1</v>
      </c>
      <c r="W187" t="inlineStr">
        <is>
          <t>Sheet1!F36:F71</t>
        </is>
      </c>
      <c r="X187">
        <f>+R[-1]C[0]/(1+R15C4/12)</f>
        <v/>
      </c>
    </row>
    <row r="188">
      <c r="A188" t="inlineStr">
        <is>
          <t>Sheet1</t>
        </is>
      </c>
      <c r="B188" t="inlineStr">
        <is>
          <t>G53</t>
        </is>
      </c>
      <c r="C188" t="n">
        <v>53</v>
      </c>
      <c r="D188" t="n">
        <v>7</v>
      </c>
      <c r="E188" t="inlineStr">
        <is>
          <t>Calculation</t>
        </is>
      </c>
      <c r="F188" t="inlineStr">
        <is>
          <t>'=+E53*F53</t>
        </is>
      </c>
      <c r="G188" t="n">
        <v>244.763719763052</v>
      </c>
      <c r="H188" t="inlineStr"/>
      <c r="I188" t="inlineStr">
        <is>
          <t>0.00</t>
        </is>
      </c>
      <c r="J188" t="b">
        <v>0</v>
      </c>
      <c r="K188" t="b">
        <v>0</v>
      </c>
      <c r="L188" t="n">
        <v>10</v>
      </c>
      <c r="N188" t="inlineStr">
        <is>
          <t>00000000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1</v>
      </c>
      <c r="S188" t="inlineStr">
        <is>
          <t>G000002</t>
        </is>
      </c>
      <c r="T188" t="inlineStr">
        <is>
          <t>Vertical</t>
        </is>
      </c>
      <c r="U188" t="n">
        <v>37</v>
      </c>
      <c r="V188" t="b">
        <v>1</v>
      </c>
      <c r="W188" t="inlineStr">
        <is>
          <t>Sheet1!G35:G71</t>
        </is>
      </c>
      <c r="X188">
        <f>+R[0]C[-2]*R[0]C[-1]</f>
        <v/>
      </c>
    </row>
    <row r="189">
      <c r="A189" t="inlineStr">
        <is>
          <t>Sheet1</t>
        </is>
      </c>
      <c r="B189" t="inlineStr">
        <is>
          <t>H53</t>
        </is>
      </c>
      <c r="C189" t="n">
        <v>53</v>
      </c>
      <c r="D189" t="n">
        <v>8</v>
      </c>
      <c r="E189" t="inlineStr">
        <is>
          <t>Calculation</t>
        </is>
      </c>
      <c r="F189" t="inlineStr">
        <is>
          <t>'=+H52+G53</t>
        </is>
      </c>
      <c r="G189" t="n">
        <v>5338.17069825971</v>
      </c>
      <c r="H189" t="inlineStr"/>
      <c r="I189" t="inlineStr">
        <is>
          <t>0.00</t>
        </is>
      </c>
      <c r="J189" t="b">
        <v>0</v>
      </c>
      <c r="K189" t="b">
        <v>0</v>
      </c>
      <c r="L189" t="n">
        <v>10</v>
      </c>
      <c r="N189" t="inlineStr">
        <is>
          <t>00000000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1</v>
      </c>
      <c r="S189" t="inlineStr">
        <is>
          <t>G000005</t>
        </is>
      </c>
      <c r="T189" t="inlineStr">
        <is>
          <t>Vertical</t>
        </is>
      </c>
      <c r="U189" t="n">
        <v>36</v>
      </c>
      <c r="V189" t="b">
        <v>1</v>
      </c>
      <c r="W189" t="inlineStr">
        <is>
          <t>Sheet1!H36:H71</t>
        </is>
      </c>
      <c r="X189">
        <f>+R[-1]C[0]+R[0]C[-1]</f>
        <v/>
      </c>
    </row>
    <row r="190">
      <c r="A190" t="inlineStr">
        <is>
          <t>Sheet1</t>
        </is>
      </c>
      <c r="B190" t="inlineStr">
        <is>
          <t>A54</t>
        </is>
      </c>
      <c r="C190" t="n">
        <v>54</v>
      </c>
      <c r="D190" t="n">
        <v>1</v>
      </c>
      <c r="E190" t="inlineStr">
        <is>
          <t>Input</t>
        </is>
      </c>
      <c r="F190" t="n">
        <v/>
      </c>
      <c r="G190" t="n">
        <v>19</v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10</v>
      </c>
      <c r="N190" t="inlineStr">
        <is>
          <t>00000000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</row>
    <row r="191">
      <c r="A191" t="inlineStr">
        <is>
          <t>Sheet1</t>
        </is>
      </c>
      <c r="B191" t="inlineStr">
        <is>
          <t>C54</t>
        </is>
      </c>
      <c r="C191" t="n">
        <v>54</v>
      </c>
      <c r="D191" t="n">
        <v>3</v>
      </c>
      <c r="E191" t="inlineStr">
        <is>
          <t>Calculation</t>
        </is>
      </c>
      <c r="F191" t="inlineStr">
        <is>
          <t>'=+C53</t>
        </is>
      </c>
      <c r="G191" t="n">
        <v>280</v>
      </c>
      <c r="H191" t="inlineStr"/>
      <c r="I191" t="inlineStr">
        <is>
          <t>_(\$* #,##0_);_(\$* \(#,##0\);_(\$* \-??_);_(@_)</t>
        </is>
      </c>
      <c r="J191" t="b">
        <v>0</v>
      </c>
      <c r="K191" t="b">
        <v>0</v>
      </c>
      <c r="L191" t="n">
        <v>10</v>
      </c>
      <c r="N191" t="inlineStr">
        <is>
          <t>00000000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1</v>
      </c>
      <c r="S191" t="inlineStr">
        <is>
          <t>G000003</t>
        </is>
      </c>
      <c r="T191" t="inlineStr">
        <is>
          <t>Vertical</t>
        </is>
      </c>
      <c r="U191" t="n">
        <v>35</v>
      </c>
      <c r="V191" t="b">
        <v>1</v>
      </c>
      <c r="W191" t="inlineStr">
        <is>
          <t>Sheet1!C36:C70</t>
        </is>
      </c>
      <c r="X191">
        <f>+R[-1]C[0]</f>
        <v/>
      </c>
    </row>
    <row r="192">
      <c r="A192" t="inlineStr">
        <is>
          <t>Sheet1</t>
        </is>
      </c>
      <c r="B192" t="inlineStr">
        <is>
          <t>E54</t>
        </is>
      </c>
      <c r="C192" t="n">
        <v>54</v>
      </c>
      <c r="D192" t="n">
        <v>5</v>
      </c>
      <c r="E192" t="inlineStr">
        <is>
          <t>Calculation</t>
        </is>
      </c>
      <c r="F192" t="inlineStr">
        <is>
          <t>'=+SUM(C54:D54)</t>
        </is>
      </c>
      <c r="G192" t="n">
        <v>280</v>
      </c>
      <c r="H192" t="inlineStr"/>
      <c r="I192" t="inlineStr">
        <is>
          <t>_(\$* #,##0_);_(\$* \(#,##0\);_(\$* \-??_);_(@_)</t>
        </is>
      </c>
      <c r="J192" t="b">
        <v>0</v>
      </c>
      <c r="K192" t="b">
        <v>0</v>
      </c>
      <c r="L192" t="n">
        <v>10</v>
      </c>
      <c r="N192" t="inlineStr">
        <is>
          <t>00000000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1</v>
      </c>
      <c r="S192" t="inlineStr">
        <is>
          <t>G000001</t>
        </is>
      </c>
      <c r="T192" t="inlineStr">
        <is>
          <t>Vertical</t>
        </is>
      </c>
      <c r="U192" t="n">
        <v>37</v>
      </c>
      <c r="V192" t="b">
        <v>1</v>
      </c>
      <c r="W192" t="inlineStr">
        <is>
          <t>Sheet1!E35:E71</t>
        </is>
      </c>
      <c r="X192">
        <f>+SUM(R[0]C[-2]:R[0]C[-1])</f>
        <v/>
      </c>
    </row>
    <row r="193">
      <c r="A193" t="inlineStr">
        <is>
          <t>Sheet1</t>
        </is>
      </c>
      <c r="B193" t="inlineStr">
        <is>
          <t>F54</t>
        </is>
      </c>
      <c r="C193" t="n">
        <v>54</v>
      </c>
      <c r="D193" t="n">
        <v>6</v>
      </c>
      <c r="E193" t="inlineStr">
        <is>
          <t>Calculation</t>
        </is>
      </c>
      <c r="F193" t="inlineStr">
        <is>
          <t>'=+F53/(1+$D$15/12)</t>
        </is>
      </c>
      <c r="G193" t="n">
        <v>0.867648776189478</v>
      </c>
      <c r="H193" t="inlineStr"/>
      <c r="I193" t="inlineStr">
        <is>
          <t>0.0%</t>
        </is>
      </c>
      <c r="J193" t="b">
        <v>0</v>
      </c>
      <c r="K193" t="b">
        <v>0</v>
      </c>
      <c r="L193" t="n">
        <v>10</v>
      </c>
      <c r="N193" t="inlineStr">
        <is>
          <t>00000000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1</v>
      </c>
      <c r="S193" t="inlineStr">
        <is>
          <t>G000004</t>
        </is>
      </c>
      <c r="T193" t="inlineStr">
        <is>
          <t>Vertical</t>
        </is>
      </c>
      <c r="U193" t="n">
        <v>36</v>
      </c>
      <c r="V193" t="b">
        <v>1</v>
      </c>
      <c r="W193" t="inlineStr">
        <is>
          <t>Sheet1!F36:F71</t>
        </is>
      </c>
      <c r="X193">
        <f>+R[-1]C[0]/(1+R15C4/12)</f>
        <v/>
      </c>
    </row>
    <row r="194">
      <c r="A194" t="inlineStr">
        <is>
          <t>Sheet1</t>
        </is>
      </c>
      <c r="B194" t="inlineStr">
        <is>
          <t>G54</t>
        </is>
      </c>
      <c r="C194" t="n">
        <v>54</v>
      </c>
      <c r="D194" t="n">
        <v>7</v>
      </c>
      <c r="E194" t="inlineStr">
        <is>
          <t>Calculation</t>
        </is>
      </c>
      <c r="F194" t="inlineStr">
        <is>
          <t>'=+E54*F54</t>
        </is>
      </c>
      <c r="G194" t="n">
        <v>242.941657333054</v>
      </c>
      <c r="H194" t="inlineStr"/>
      <c r="I194" t="inlineStr">
        <is>
          <t>0.00</t>
        </is>
      </c>
      <c r="J194" t="b">
        <v>0</v>
      </c>
      <c r="K194" t="b">
        <v>0</v>
      </c>
      <c r="L194" t="n">
        <v>10</v>
      </c>
      <c r="N194" t="inlineStr">
        <is>
          <t>00000000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1</v>
      </c>
      <c r="S194" t="inlineStr">
        <is>
          <t>G000002</t>
        </is>
      </c>
      <c r="T194" t="inlineStr">
        <is>
          <t>Vertical</t>
        </is>
      </c>
      <c r="U194" t="n">
        <v>37</v>
      </c>
      <c r="V194" t="b">
        <v>1</v>
      </c>
      <c r="W194" t="inlineStr">
        <is>
          <t>Sheet1!G35:G71</t>
        </is>
      </c>
      <c r="X194">
        <f>+R[0]C[-2]*R[0]C[-1]</f>
        <v/>
      </c>
    </row>
    <row r="195">
      <c r="A195" t="inlineStr">
        <is>
          <t>Sheet1</t>
        </is>
      </c>
      <c r="B195" t="inlineStr">
        <is>
          <t>H54</t>
        </is>
      </c>
      <c r="C195" t="n">
        <v>54</v>
      </c>
      <c r="D195" t="n">
        <v>8</v>
      </c>
      <c r="E195" t="inlineStr">
        <is>
          <t>Calculation</t>
        </is>
      </c>
      <c r="F195" t="inlineStr">
        <is>
          <t>'=+H53+G54</t>
        </is>
      </c>
      <c r="G195" t="n">
        <v>5581.11235559276</v>
      </c>
      <c r="H195" t="inlineStr"/>
      <c r="I195" t="inlineStr">
        <is>
          <t>0.00</t>
        </is>
      </c>
      <c r="J195" t="b">
        <v>0</v>
      </c>
      <c r="K195" t="b">
        <v>0</v>
      </c>
      <c r="L195" t="n">
        <v>10</v>
      </c>
      <c r="N195" t="inlineStr">
        <is>
          <t>00000000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1</v>
      </c>
      <c r="S195" t="inlineStr">
        <is>
          <t>G000005</t>
        </is>
      </c>
      <c r="T195" t="inlineStr">
        <is>
          <t>Vertical</t>
        </is>
      </c>
      <c r="U195" t="n">
        <v>36</v>
      </c>
      <c r="V195" t="b">
        <v>1</v>
      </c>
      <c r="W195" t="inlineStr">
        <is>
          <t>Sheet1!H36:H71</t>
        </is>
      </c>
      <c r="X195">
        <f>+R[-1]C[0]+R[0]C[-1]</f>
        <v/>
      </c>
    </row>
    <row r="196">
      <c r="A196" t="inlineStr">
        <is>
          <t>Sheet1</t>
        </is>
      </c>
      <c r="B196" t="inlineStr">
        <is>
          <t>A55</t>
        </is>
      </c>
      <c r="C196" t="n">
        <v>55</v>
      </c>
      <c r="D196" t="n">
        <v>1</v>
      </c>
      <c r="E196" t="inlineStr">
        <is>
          <t>Input</t>
        </is>
      </c>
      <c r="F196" t="n">
        <v/>
      </c>
      <c r="G196" t="n">
        <v>20</v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10</v>
      </c>
      <c r="N196" t="inlineStr">
        <is>
          <t>00000000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</row>
    <row r="197">
      <c r="A197" t="inlineStr">
        <is>
          <t>Sheet1</t>
        </is>
      </c>
      <c r="B197" t="inlineStr">
        <is>
          <t>C55</t>
        </is>
      </c>
      <c r="C197" t="n">
        <v>55</v>
      </c>
      <c r="D197" t="n">
        <v>3</v>
      </c>
      <c r="E197" t="inlineStr">
        <is>
          <t>Calculation</t>
        </is>
      </c>
      <c r="F197" t="inlineStr">
        <is>
          <t>'=+C54</t>
        </is>
      </c>
      <c r="G197" t="n">
        <v>280</v>
      </c>
      <c r="H197" t="inlineStr"/>
      <c r="I197" t="inlineStr">
        <is>
          <t>_(\$* #,##0_);_(\$* \(#,##0\);_(\$* \-??_);_(@_)</t>
        </is>
      </c>
      <c r="J197" t="b">
        <v>0</v>
      </c>
      <c r="K197" t="b">
        <v>0</v>
      </c>
      <c r="L197" t="n">
        <v>10</v>
      </c>
      <c r="N197" t="inlineStr">
        <is>
          <t>00000000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1</v>
      </c>
      <c r="S197" t="inlineStr">
        <is>
          <t>G000003</t>
        </is>
      </c>
      <c r="T197" t="inlineStr">
        <is>
          <t>Vertical</t>
        </is>
      </c>
      <c r="U197" t="n">
        <v>35</v>
      </c>
      <c r="V197" t="b">
        <v>1</v>
      </c>
      <c r="W197" t="inlineStr">
        <is>
          <t>Sheet1!C36:C70</t>
        </is>
      </c>
      <c r="X197">
        <f>+R[-1]C[0]</f>
        <v/>
      </c>
    </row>
    <row r="198">
      <c r="A198" t="inlineStr">
        <is>
          <t>Sheet1</t>
        </is>
      </c>
      <c r="B198" t="inlineStr">
        <is>
          <t>E55</t>
        </is>
      </c>
      <c r="C198" t="n">
        <v>55</v>
      </c>
      <c r="D198" t="n">
        <v>5</v>
      </c>
      <c r="E198" t="inlineStr">
        <is>
          <t>Calculation</t>
        </is>
      </c>
      <c r="F198" t="inlineStr">
        <is>
          <t>'=+SUM(C55:D55)</t>
        </is>
      </c>
      <c r="G198" t="n">
        <v>280</v>
      </c>
      <c r="H198" t="inlineStr"/>
      <c r="I198" t="inlineStr">
        <is>
          <t>_(\$* #,##0_);_(\$* \(#,##0\);_(\$* \-??_);_(@_)</t>
        </is>
      </c>
      <c r="J198" t="b">
        <v>0</v>
      </c>
      <c r="K198" t="b">
        <v>0</v>
      </c>
      <c r="L198" t="n">
        <v>10</v>
      </c>
      <c r="N198" t="inlineStr">
        <is>
          <t>00000000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1</v>
      </c>
      <c r="S198" t="inlineStr">
        <is>
          <t>G000001</t>
        </is>
      </c>
      <c r="T198" t="inlineStr">
        <is>
          <t>Vertical</t>
        </is>
      </c>
      <c r="U198" t="n">
        <v>37</v>
      </c>
      <c r="V198" t="b">
        <v>1</v>
      </c>
      <c r="W198" t="inlineStr">
        <is>
          <t>Sheet1!E35:E71</t>
        </is>
      </c>
      <c r="X198">
        <f>+SUM(R[0]C[-2]:R[0]C[-1])</f>
        <v/>
      </c>
    </row>
    <row r="199">
      <c r="A199" t="inlineStr">
        <is>
          <t>Sheet1</t>
        </is>
      </c>
      <c r="B199" t="inlineStr">
        <is>
          <t>F55</t>
        </is>
      </c>
      <c r="C199" t="n">
        <v>55</v>
      </c>
      <c r="D199" t="n">
        <v>6</v>
      </c>
      <c r="E199" t="inlineStr">
        <is>
          <t>Calculation</t>
        </is>
      </c>
      <c r="F199" t="inlineStr">
        <is>
          <t>'=+F54/(1+$D$15/12)</t>
        </is>
      </c>
      <c r="G199" t="n">
        <v>0.861189852297249</v>
      </c>
      <c r="H199" t="inlineStr"/>
      <c r="I199" t="inlineStr">
        <is>
          <t>0.0%</t>
        </is>
      </c>
      <c r="J199" t="b">
        <v>0</v>
      </c>
      <c r="K199" t="b">
        <v>0</v>
      </c>
      <c r="L199" t="n">
        <v>10</v>
      </c>
      <c r="N199" t="inlineStr">
        <is>
          <t>00000000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1</v>
      </c>
      <c r="S199" t="inlineStr">
        <is>
          <t>G000004</t>
        </is>
      </c>
      <c r="T199" t="inlineStr">
        <is>
          <t>Vertical</t>
        </is>
      </c>
      <c r="U199" t="n">
        <v>36</v>
      </c>
      <c r="V199" t="b">
        <v>1</v>
      </c>
      <c r="W199" t="inlineStr">
        <is>
          <t>Sheet1!F36:F71</t>
        </is>
      </c>
      <c r="X199">
        <f>+R[-1]C[0]/(1+R15C4/12)</f>
        <v/>
      </c>
    </row>
    <row r="200">
      <c r="A200" t="inlineStr">
        <is>
          <t>Sheet1</t>
        </is>
      </c>
      <c r="B200" t="inlineStr">
        <is>
          <t>G55</t>
        </is>
      </c>
      <c r="C200" t="n">
        <v>55</v>
      </c>
      <c r="D200" t="n">
        <v>7</v>
      </c>
      <c r="E200" t="inlineStr">
        <is>
          <t>Calculation</t>
        </is>
      </c>
      <c r="F200" t="inlineStr">
        <is>
          <t>'=+E55*F55</t>
        </is>
      </c>
      <c r="G200" t="n">
        <v>241.13315864323</v>
      </c>
      <c r="H200" t="inlineStr"/>
      <c r="I200" t="inlineStr">
        <is>
          <t>0.00</t>
        </is>
      </c>
      <c r="J200" t="b">
        <v>0</v>
      </c>
      <c r="K200" t="b">
        <v>0</v>
      </c>
      <c r="L200" t="n">
        <v>10</v>
      </c>
      <c r="N200" t="inlineStr">
        <is>
          <t>00000000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1</v>
      </c>
      <c r="S200" t="inlineStr">
        <is>
          <t>G000002</t>
        </is>
      </c>
      <c r="T200" t="inlineStr">
        <is>
          <t>Vertical</t>
        </is>
      </c>
      <c r="U200" t="n">
        <v>37</v>
      </c>
      <c r="V200" t="b">
        <v>1</v>
      </c>
      <c r="W200" t="inlineStr">
        <is>
          <t>Sheet1!G35:G71</t>
        </is>
      </c>
      <c r="X200">
        <f>+R[0]C[-2]*R[0]C[-1]</f>
        <v/>
      </c>
    </row>
    <row r="201">
      <c r="A201" t="inlineStr">
        <is>
          <t>Sheet1</t>
        </is>
      </c>
      <c r="B201" t="inlineStr">
        <is>
          <t>H55</t>
        </is>
      </c>
      <c r="C201" t="n">
        <v>55</v>
      </c>
      <c r="D201" t="n">
        <v>8</v>
      </c>
      <c r="E201" t="inlineStr">
        <is>
          <t>Calculation</t>
        </is>
      </c>
      <c r="F201" t="inlineStr">
        <is>
          <t>'=+H54+G55</t>
        </is>
      </c>
      <c r="G201" t="n">
        <v>5822.24551423599</v>
      </c>
      <c r="H201" t="inlineStr"/>
      <c r="I201" t="inlineStr">
        <is>
          <t>0.00</t>
        </is>
      </c>
      <c r="J201" t="b">
        <v>0</v>
      </c>
      <c r="K201" t="b">
        <v>0</v>
      </c>
      <c r="L201" t="n">
        <v>10</v>
      </c>
      <c r="N201" t="inlineStr">
        <is>
          <t>00000000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1</v>
      </c>
      <c r="S201" t="inlineStr">
        <is>
          <t>G000005</t>
        </is>
      </c>
      <c r="T201" t="inlineStr">
        <is>
          <t>Vertical</t>
        </is>
      </c>
      <c r="U201" t="n">
        <v>36</v>
      </c>
      <c r="V201" t="b">
        <v>1</v>
      </c>
      <c r="W201" t="inlineStr">
        <is>
          <t>Sheet1!H36:H71</t>
        </is>
      </c>
      <c r="X201">
        <f>+R[-1]C[0]+R[0]C[-1]</f>
        <v/>
      </c>
    </row>
    <row r="202">
      <c r="A202" t="inlineStr">
        <is>
          <t>Sheet1</t>
        </is>
      </c>
      <c r="B202" t="inlineStr">
        <is>
          <t>A56</t>
        </is>
      </c>
      <c r="C202" t="n">
        <v>56</v>
      </c>
      <c r="D202" t="n">
        <v>1</v>
      </c>
      <c r="E202" t="inlineStr">
        <is>
          <t>Input</t>
        </is>
      </c>
      <c r="F202" t="n">
        <v/>
      </c>
      <c r="G202" t="n">
        <v>21</v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10</v>
      </c>
      <c r="N202" t="inlineStr">
        <is>
          <t>00000000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</row>
    <row r="203">
      <c r="A203" t="inlineStr">
        <is>
          <t>Sheet1</t>
        </is>
      </c>
      <c r="B203" t="inlineStr">
        <is>
          <t>C56</t>
        </is>
      </c>
      <c r="C203" t="n">
        <v>56</v>
      </c>
      <c r="D203" t="n">
        <v>3</v>
      </c>
      <c r="E203" t="inlineStr">
        <is>
          <t>Calculation</t>
        </is>
      </c>
      <c r="F203" t="inlineStr">
        <is>
          <t>'=+C55</t>
        </is>
      </c>
      <c r="G203" t="n">
        <v>280</v>
      </c>
      <c r="H203" t="inlineStr"/>
      <c r="I203" t="inlineStr">
        <is>
          <t>_(\$* #,##0_);_(\$* \(#,##0\);_(\$* \-??_);_(@_)</t>
        </is>
      </c>
      <c r="J203" t="b">
        <v>0</v>
      </c>
      <c r="K203" t="b">
        <v>0</v>
      </c>
      <c r="L203" t="n">
        <v>10</v>
      </c>
      <c r="N203" t="inlineStr">
        <is>
          <t>00000000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1</v>
      </c>
      <c r="S203" t="inlineStr">
        <is>
          <t>G000003</t>
        </is>
      </c>
      <c r="T203" t="inlineStr">
        <is>
          <t>Vertical</t>
        </is>
      </c>
      <c r="U203" t="n">
        <v>35</v>
      </c>
      <c r="V203" t="b">
        <v>1</v>
      </c>
      <c r="W203" t="inlineStr">
        <is>
          <t>Sheet1!C36:C70</t>
        </is>
      </c>
      <c r="X203">
        <f>+R[-1]C[0]</f>
        <v/>
      </c>
    </row>
    <row r="204">
      <c r="A204" t="inlineStr">
        <is>
          <t>Sheet1</t>
        </is>
      </c>
      <c r="B204" t="inlineStr">
        <is>
          <t>E56</t>
        </is>
      </c>
      <c r="C204" t="n">
        <v>56</v>
      </c>
      <c r="D204" t="n">
        <v>5</v>
      </c>
      <c r="E204" t="inlineStr">
        <is>
          <t>Calculation</t>
        </is>
      </c>
      <c r="F204" t="inlineStr">
        <is>
          <t>'=+SUM(C56:D56)</t>
        </is>
      </c>
      <c r="G204" t="n">
        <v>280</v>
      </c>
      <c r="H204" t="inlineStr"/>
      <c r="I204" t="inlineStr">
        <is>
          <t>_(\$* #,##0_);_(\$* \(#,##0\);_(\$* \-??_);_(@_)</t>
        </is>
      </c>
      <c r="J204" t="b">
        <v>0</v>
      </c>
      <c r="K204" t="b">
        <v>0</v>
      </c>
      <c r="L204" t="n">
        <v>10</v>
      </c>
      <c r="N204" t="inlineStr">
        <is>
          <t>00000000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1</v>
      </c>
      <c r="S204" t="inlineStr">
        <is>
          <t>G000001</t>
        </is>
      </c>
      <c r="T204" t="inlineStr">
        <is>
          <t>Vertical</t>
        </is>
      </c>
      <c r="U204" t="n">
        <v>37</v>
      </c>
      <c r="V204" t="b">
        <v>1</v>
      </c>
      <c r="W204" t="inlineStr">
        <is>
          <t>Sheet1!E35:E71</t>
        </is>
      </c>
      <c r="X204">
        <f>+SUM(R[0]C[-2]:R[0]C[-1])</f>
        <v/>
      </c>
    </row>
    <row r="205">
      <c r="A205" t="inlineStr">
        <is>
          <t>Sheet1</t>
        </is>
      </c>
      <c r="B205" t="inlineStr">
        <is>
          <t>F56</t>
        </is>
      </c>
      <c r="C205" t="n">
        <v>56</v>
      </c>
      <c r="D205" t="n">
        <v>6</v>
      </c>
      <c r="E205" t="inlineStr">
        <is>
          <t>Calculation</t>
        </is>
      </c>
      <c r="F205" t="inlineStr">
        <is>
          <t>'=+F55/(1+$D$15/12)</t>
        </is>
      </c>
      <c r="G205" t="n">
        <v>0.854779009724316</v>
      </c>
      <c r="H205" t="inlineStr"/>
      <c r="I205" t="inlineStr">
        <is>
          <t>0.0%</t>
        </is>
      </c>
      <c r="J205" t="b">
        <v>0</v>
      </c>
      <c r="K205" t="b">
        <v>0</v>
      </c>
      <c r="L205" t="n">
        <v>10</v>
      </c>
      <c r="N205" t="inlineStr">
        <is>
          <t>00000000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1</v>
      </c>
      <c r="S205" t="inlineStr">
        <is>
          <t>G000004</t>
        </is>
      </c>
      <c r="T205" t="inlineStr">
        <is>
          <t>Vertical</t>
        </is>
      </c>
      <c r="U205" t="n">
        <v>36</v>
      </c>
      <c r="V205" t="b">
        <v>1</v>
      </c>
      <c r="W205" t="inlineStr">
        <is>
          <t>Sheet1!F36:F71</t>
        </is>
      </c>
      <c r="X205">
        <f>+R[-1]C[0]/(1+R15C4/12)</f>
        <v/>
      </c>
    </row>
    <row r="206">
      <c r="A206" t="inlineStr">
        <is>
          <t>Sheet1</t>
        </is>
      </c>
      <c r="B206" t="inlineStr">
        <is>
          <t>G56</t>
        </is>
      </c>
      <c r="C206" t="n">
        <v>56</v>
      </c>
      <c r="D206" t="n">
        <v>7</v>
      </c>
      <c r="E206" t="inlineStr">
        <is>
          <t>Calculation</t>
        </is>
      </c>
      <c r="F206" t="inlineStr">
        <is>
          <t>'=+E56*F56</t>
        </is>
      </c>
      <c r="G206" t="n">
        <v>239.338122722809</v>
      </c>
      <c r="H206" t="inlineStr"/>
      <c r="I206" t="inlineStr">
        <is>
          <t>0.00</t>
        </is>
      </c>
      <c r="J206" t="b">
        <v>0</v>
      </c>
      <c r="K206" t="b">
        <v>0</v>
      </c>
      <c r="L206" t="n">
        <v>10</v>
      </c>
      <c r="N206" t="inlineStr">
        <is>
          <t>00000000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1</v>
      </c>
      <c r="S206" t="inlineStr">
        <is>
          <t>G000002</t>
        </is>
      </c>
      <c r="T206" t="inlineStr">
        <is>
          <t>Vertical</t>
        </is>
      </c>
      <c r="U206" t="n">
        <v>37</v>
      </c>
      <c r="V206" t="b">
        <v>1</v>
      </c>
      <c r="W206" t="inlineStr">
        <is>
          <t>Sheet1!G35:G71</t>
        </is>
      </c>
      <c r="X206">
        <f>+R[0]C[-2]*R[0]C[-1]</f>
        <v/>
      </c>
    </row>
    <row r="207">
      <c r="A207" t="inlineStr">
        <is>
          <t>Sheet1</t>
        </is>
      </c>
      <c r="B207" t="inlineStr">
        <is>
          <t>H56</t>
        </is>
      </c>
      <c r="C207" t="n">
        <v>56</v>
      </c>
      <c r="D207" t="n">
        <v>8</v>
      </c>
      <c r="E207" t="inlineStr">
        <is>
          <t>Calculation</t>
        </is>
      </c>
      <c r="F207" t="inlineStr">
        <is>
          <t>'=+H55+G56</t>
        </is>
      </c>
      <c r="G207" t="n">
        <v>6061.5836369588</v>
      </c>
      <c r="H207" t="inlineStr"/>
      <c r="I207" t="inlineStr">
        <is>
          <t>0.00</t>
        </is>
      </c>
      <c r="J207" t="b">
        <v>0</v>
      </c>
      <c r="K207" t="b">
        <v>0</v>
      </c>
      <c r="L207" t="n">
        <v>10</v>
      </c>
      <c r="N207" t="inlineStr">
        <is>
          <t>00000000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1</v>
      </c>
      <c r="S207" t="inlineStr">
        <is>
          <t>G000005</t>
        </is>
      </c>
      <c r="T207" t="inlineStr">
        <is>
          <t>Vertical</t>
        </is>
      </c>
      <c r="U207" t="n">
        <v>36</v>
      </c>
      <c r="V207" t="b">
        <v>1</v>
      </c>
      <c r="W207" t="inlineStr">
        <is>
          <t>Sheet1!H36:H71</t>
        </is>
      </c>
      <c r="X207">
        <f>+R[-1]C[0]+R[0]C[-1]</f>
        <v/>
      </c>
    </row>
    <row r="208">
      <c r="A208" t="inlineStr">
        <is>
          <t>Sheet1</t>
        </is>
      </c>
      <c r="B208" t="inlineStr">
        <is>
          <t>A57</t>
        </is>
      </c>
      <c r="C208" t="n">
        <v>57</v>
      </c>
      <c r="D208" t="n">
        <v>1</v>
      </c>
      <c r="E208" t="inlineStr">
        <is>
          <t>Input</t>
        </is>
      </c>
      <c r="F208" t="n">
        <v/>
      </c>
      <c r="G208" t="n">
        <v>22</v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10</v>
      </c>
      <c r="N208" t="inlineStr">
        <is>
          <t>00000000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</row>
    <row r="209">
      <c r="A209" t="inlineStr">
        <is>
          <t>Sheet1</t>
        </is>
      </c>
      <c r="B209" t="inlineStr">
        <is>
          <t>C57</t>
        </is>
      </c>
      <c r="C209" t="n">
        <v>57</v>
      </c>
      <c r="D209" t="n">
        <v>3</v>
      </c>
      <c r="E209" t="inlineStr">
        <is>
          <t>Calculation</t>
        </is>
      </c>
      <c r="F209" t="inlineStr">
        <is>
          <t>'=+C56</t>
        </is>
      </c>
      <c r="G209" t="n">
        <v>280</v>
      </c>
      <c r="H209" t="inlineStr"/>
      <c r="I209" t="inlineStr">
        <is>
          <t>_(\$* #,##0_);_(\$* \(#,##0\);_(\$* \-??_);_(@_)</t>
        </is>
      </c>
      <c r="J209" t="b">
        <v>0</v>
      </c>
      <c r="K209" t="b">
        <v>0</v>
      </c>
      <c r="L209" t="n">
        <v>10</v>
      </c>
      <c r="N209" t="inlineStr">
        <is>
          <t>00000000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1</v>
      </c>
      <c r="S209" t="inlineStr">
        <is>
          <t>G000003</t>
        </is>
      </c>
      <c r="T209" t="inlineStr">
        <is>
          <t>Vertical</t>
        </is>
      </c>
      <c r="U209" t="n">
        <v>35</v>
      </c>
      <c r="V209" t="b">
        <v>1</v>
      </c>
      <c r="W209" t="inlineStr">
        <is>
          <t>Sheet1!C36:C70</t>
        </is>
      </c>
      <c r="X209">
        <f>+R[-1]C[0]</f>
        <v/>
      </c>
    </row>
    <row r="210">
      <c r="A210" t="inlineStr">
        <is>
          <t>Sheet1</t>
        </is>
      </c>
      <c r="B210" t="inlineStr">
        <is>
          <t>E57</t>
        </is>
      </c>
      <c r="C210" t="n">
        <v>57</v>
      </c>
      <c r="D210" t="n">
        <v>5</v>
      </c>
      <c r="E210" t="inlineStr">
        <is>
          <t>Calculation</t>
        </is>
      </c>
      <c r="F210" t="inlineStr">
        <is>
          <t>'=+SUM(C57:D57)</t>
        </is>
      </c>
      <c r="G210" t="n">
        <v>280</v>
      </c>
      <c r="H210" t="inlineStr"/>
      <c r="I210" t="inlineStr">
        <is>
          <t>_(\$* #,##0_);_(\$* \(#,##0\);_(\$* \-??_);_(@_)</t>
        </is>
      </c>
      <c r="J210" t="b">
        <v>0</v>
      </c>
      <c r="K210" t="b">
        <v>0</v>
      </c>
      <c r="L210" t="n">
        <v>10</v>
      </c>
      <c r="N210" t="inlineStr">
        <is>
          <t>00000000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1</v>
      </c>
      <c r="S210" t="inlineStr">
        <is>
          <t>G000001</t>
        </is>
      </c>
      <c r="T210" t="inlineStr">
        <is>
          <t>Vertical</t>
        </is>
      </c>
      <c r="U210" t="n">
        <v>37</v>
      </c>
      <c r="V210" t="b">
        <v>1</v>
      </c>
      <c r="W210" t="inlineStr">
        <is>
          <t>Sheet1!E35:E71</t>
        </is>
      </c>
      <c r="X210">
        <f>+SUM(R[0]C[-2]:R[0]C[-1])</f>
        <v/>
      </c>
    </row>
    <row r="211">
      <c r="A211" t="inlineStr">
        <is>
          <t>Sheet1</t>
        </is>
      </c>
      <c r="B211" t="inlineStr">
        <is>
          <t>F57</t>
        </is>
      </c>
      <c r="C211" t="n">
        <v>57</v>
      </c>
      <c r="D211" t="n">
        <v>6</v>
      </c>
      <c r="E211" t="inlineStr">
        <is>
          <t>Calculation</t>
        </is>
      </c>
      <c r="F211" t="inlineStr">
        <is>
          <t>'=+F56/(1+$D$15/12)</t>
        </is>
      </c>
      <c r="G211" t="n">
        <v>0.848415890545227</v>
      </c>
      <c r="H211" t="inlineStr"/>
      <c r="I211" t="inlineStr">
        <is>
          <t>0.0%</t>
        </is>
      </c>
      <c r="J211" t="b">
        <v>0</v>
      </c>
      <c r="K211" t="b">
        <v>0</v>
      </c>
      <c r="L211" t="n">
        <v>10</v>
      </c>
      <c r="N211" t="inlineStr">
        <is>
          <t>00000000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1</v>
      </c>
      <c r="S211" t="inlineStr">
        <is>
          <t>G000004</t>
        </is>
      </c>
      <c r="T211" t="inlineStr">
        <is>
          <t>Vertical</t>
        </is>
      </c>
      <c r="U211" t="n">
        <v>36</v>
      </c>
      <c r="V211" t="b">
        <v>1</v>
      </c>
      <c r="W211" t="inlineStr">
        <is>
          <t>Sheet1!F36:F71</t>
        </is>
      </c>
      <c r="X211">
        <f>+R[-1]C[0]/(1+R15C4/12)</f>
        <v/>
      </c>
    </row>
    <row r="212">
      <c r="A212" t="inlineStr">
        <is>
          <t>Sheet1</t>
        </is>
      </c>
      <c r="B212" t="inlineStr">
        <is>
          <t>G57</t>
        </is>
      </c>
      <c r="C212" t="n">
        <v>57</v>
      </c>
      <c r="D212" t="n">
        <v>7</v>
      </c>
      <c r="E212" t="inlineStr">
        <is>
          <t>Calculation</t>
        </is>
      </c>
      <c r="F212" t="inlineStr">
        <is>
          <t>'=+E57*F57</t>
        </is>
      </c>
      <c r="G212" t="n">
        <v>237.556449352664</v>
      </c>
      <c r="H212" t="inlineStr"/>
      <c r="I212" t="inlineStr">
        <is>
          <t>0.00</t>
        </is>
      </c>
      <c r="J212" t="b">
        <v>0</v>
      </c>
      <c r="K212" t="b">
        <v>0</v>
      </c>
      <c r="L212" t="n">
        <v>10</v>
      </c>
      <c r="N212" t="inlineStr">
        <is>
          <t>00000000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1</v>
      </c>
      <c r="S212" t="inlineStr">
        <is>
          <t>G000002</t>
        </is>
      </c>
      <c r="T212" t="inlineStr">
        <is>
          <t>Vertical</t>
        </is>
      </c>
      <c r="U212" t="n">
        <v>37</v>
      </c>
      <c r="V212" t="b">
        <v>1</v>
      </c>
      <c r="W212" t="inlineStr">
        <is>
          <t>Sheet1!G35:G71</t>
        </is>
      </c>
      <c r="X212">
        <f>+R[0]C[-2]*R[0]C[-1]</f>
        <v/>
      </c>
    </row>
    <row r="213">
      <c r="A213" t="inlineStr">
        <is>
          <t>Sheet1</t>
        </is>
      </c>
      <c r="B213" t="inlineStr">
        <is>
          <t>H57</t>
        </is>
      </c>
      <c r="C213" t="n">
        <v>57</v>
      </c>
      <c r="D213" t="n">
        <v>8</v>
      </c>
      <c r="E213" t="inlineStr">
        <is>
          <t>Calculation</t>
        </is>
      </c>
      <c r="F213" t="inlineStr">
        <is>
          <t>'=+H56+G57</t>
        </is>
      </c>
      <c r="G213" t="n">
        <v>6299.14008631146</v>
      </c>
      <c r="H213" t="inlineStr"/>
      <c r="I213" t="inlineStr">
        <is>
          <t>0.00</t>
        </is>
      </c>
      <c r="J213" t="b">
        <v>0</v>
      </c>
      <c r="K213" t="b">
        <v>0</v>
      </c>
      <c r="L213" t="n">
        <v>10</v>
      </c>
      <c r="N213" t="inlineStr">
        <is>
          <t>00000000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1</v>
      </c>
      <c r="S213" t="inlineStr">
        <is>
          <t>G000005</t>
        </is>
      </c>
      <c r="T213" t="inlineStr">
        <is>
          <t>Vertical</t>
        </is>
      </c>
      <c r="U213" t="n">
        <v>36</v>
      </c>
      <c r="V213" t="b">
        <v>1</v>
      </c>
      <c r="W213" t="inlineStr">
        <is>
          <t>Sheet1!H36:H71</t>
        </is>
      </c>
      <c r="X213">
        <f>+R[-1]C[0]+R[0]C[-1]</f>
        <v/>
      </c>
    </row>
    <row r="214">
      <c r="A214" t="inlineStr">
        <is>
          <t>Sheet1</t>
        </is>
      </c>
      <c r="B214" t="inlineStr">
        <is>
          <t>A58</t>
        </is>
      </c>
      <c r="C214" t="n">
        <v>58</v>
      </c>
      <c r="D214" t="n">
        <v>1</v>
      </c>
      <c r="E214" t="inlineStr">
        <is>
          <t>Input</t>
        </is>
      </c>
      <c r="F214" t="n">
        <v/>
      </c>
      <c r="G214" t="n">
        <v>23</v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10</v>
      </c>
      <c r="N214" t="inlineStr">
        <is>
          <t>00000000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</row>
    <row r="215">
      <c r="A215" t="inlineStr">
        <is>
          <t>Sheet1</t>
        </is>
      </c>
      <c r="B215" t="inlineStr">
        <is>
          <t>C58</t>
        </is>
      </c>
      <c r="C215" t="n">
        <v>58</v>
      </c>
      <c r="D215" t="n">
        <v>3</v>
      </c>
      <c r="E215" t="inlineStr">
        <is>
          <t>Calculation</t>
        </is>
      </c>
      <c r="F215" t="inlineStr">
        <is>
          <t>'=+C57</t>
        </is>
      </c>
      <c r="G215" t="n">
        <v>280</v>
      </c>
      <c r="H215" t="inlineStr"/>
      <c r="I215" t="inlineStr">
        <is>
          <t>_(\$* #,##0_);_(\$* \(#,##0\);_(\$* \-??_);_(@_)</t>
        </is>
      </c>
      <c r="J215" t="b">
        <v>0</v>
      </c>
      <c r="K215" t="b">
        <v>0</v>
      </c>
      <c r="L215" t="n">
        <v>10</v>
      </c>
      <c r="N215" t="inlineStr">
        <is>
          <t>00000000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1</v>
      </c>
      <c r="S215" t="inlineStr">
        <is>
          <t>G000003</t>
        </is>
      </c>
      <c r="T215" t="inlineStr">
        <is>
          <t>Vertical</t>
        </is>
      </c>
      <c r="U215" t="n">
        <v>35</v>
      </c>
      <c r="V215" t="b">
        <v>1</v>
      </c>
      <c r="W215" t="inlineStr">
        <is>
          <t>Sheet1!C36:C70</t>
        </is>
      </c>
      <c r="X215">
        <f>+R[-1]C[0]</f>
        <v/>
      </c>
    </row>
    <row r="216">
      <c r="A216" t="inlineStr">
        <is>
          <t>Sheet1</t>
        </is>
      </c>
      <c r="B216" t="inlineStr">
        <is>
          <t>E58</t>
        </is>
      </c>
      <c r="C216" t="n">
        <v>58</v>
      </c>
      <c r="D216" t="n">
        <v>5</v>
      </c>
      <c r="E216" t="inlineStr">
        <is>
          <t>Calculation</t>
        </is>
      </c>
      <c r="F216" t="inlineStr">
        <is>
          <t>'=+SUM(C58:D58)</t>
        </is>
      </c>
      <c r="G216" t="n">
        <v>280</v>
      </c>
      <c r="H216" t="inlineStr"/>
      <c r="I216" t="inlineStr">
        <is>
          <t>_(\$* #,##0_);_(\$* \(#,##0\);_(\$* \-??_);_(@_)</t>
        </is>
      </c>
      <c r="J216" t="b">
        <v>0</v>
      </c>
      <c r="K216" t="b">
        <v>0</v>
      </c>
      <c r="L216" t="n">
        <v>10</v>
      </c>
      <c r="N216" t="inlineStr">
        <is>
          <t>00000000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1</v>
      </c>
      <c r="S216" t="inlineStr">
        <is>
          <t>G000001</t>
        </is>
      </c>
      <c r="T216" t="inlineStr">
        <is>
          <t>Vertical</t>
        </is>
      </c>
      <c r="U216" t="n">
        <v>37</v>
      </c>
      <c r="V216" t="b">
        <v>1</v>
      </c>
      <c r="W216" t="inlineStr">
        <is>
          <t>Sheet1!E35:E71</t>
        </is>
      </c>
      <c r="X216">
        <f>+SUM(R[0]C[-2]:R[0]C[-1])</f>
        <v/>
      </c>
    </row>
    <row r="217">
      <c r="A217" t="inlineStr">
        <is>
          <t>Sheet1</t>
        </is>
      </c>
      <c r="B217" t="inlineStr">
        <is>
          <t>F58</t>
        </is>
      </c>
      <c r="C217" t="n">
        <v>58</v>
      </c>
      <c r="D217" t="n">
        <v>6</v>
      </c>
      <c r="E217" t="inlineStr">
        <is>
          <t>Calculation</t>
        </is>
      </c>
      <c r="F217" t="inlineStr">
        <is>
          <t>'=+F57/(1+$D$15/12)</t>
        </is>
      </c>
      <c r="G217" t="n">
        <v>0.842100139498985</v>
      </c>
      <c r="H217" t="inlineStr"/>
      <c r="I217" t="inlineStr">
        <is>
          <t>0.0%</t>
        </is>
      </c>
      <c r="J217" t="b">
        <v>0</v>
      </c>
      <c r="K217" t="b">
        <v>0</v>
      </c>
      <c r="L217" t="n">
        <v>10</v>
      </c>
      <c r="N217" t="inlineStr">
        <is>
          <t>00000000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1</v>
      </c>
      <c r="S217" t="inlineStr">
        <is>
          <t>G000004</t>
        </is>
      </c>
      <c r="T217" t="inlineStr">
        <is>
          <t>Vertical</t>
        </is>
      </c>
      <c r="U217" t="n">
        <v>36</v>
      </c>
      <c r="V217" t="b">
        <v>1</v>
      </c>
      <c r="W217" t="inlineStr">
        <is>
          <t>Sheet1!F36:F71</t>
        </is>
      </c>
      <c r="X217">
        <f>+R[-1]C[0]/(1+R15C4/12)</f>
        <v/>
      </c>
    </row>
    <row r="218">
      <c r="A218" t="inlineStr">
        <is>
          <t>Sheet1</t>
        </is>
      </c>
      <c r="B218" t="inlineStr">
        <is>
          <t>G58</t>
        </is>
      </c>
      <c r="C218" t="n">
        <v>58</v>
      </c>
      <c r="D218" t="n">
        <v>7</v>
      </c>
      <c r="E218" t="inlineStr">
        <is>
          <t>Calculation</t>
        </is>
      </c>
      <c r="F218" t="inlineStr">
        <is>
          <t>'=+E58*F58</t>
        </is>
      </c>
      <c r="G218" t="n">
        <v>235.788039059716</v>
      </c>
      <c r="H218" t="inlineStr"/>
      <c r="I218" t="inlineStr">
        <is>
          <t>0.00</t>
        </is>
      </c>
      <c r="J218" t="b">
        <v>0</v>
      </c>
      <c r="K218" t="b">
        <v>0</v>
      </c>
      <c r="L218" t="n">
        <v>10</v>
      </c>
      <c r="N218" t="inlineStr">
        <is>
          <t>00000000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1</v>
      </c>
      <c r="S218" t="inlineStr">
        <is>
          <t>G000002</t>
        </is>
      </c>
      <c r="T218" t="inlineStr">
        <is>
          <t>Vertical</t>
        </is>
      </c>
      <c r="U218" t="n">
        <v>37</v>
      </c>
      <c r="V218" t="b">
        <v>1</v>
      </c>
      <c r="W218" t="inlineStr">
        <is>
          <t>Sheet1!G35:G71</t>
        </is>
      </c>
      <c r="X218">
        <f>+R[0]C[-2]*R[0]C[-1]</f>
        <v/>
      </c>
    </row>
    <row r="219">
      <c r="A219" t="inlineStr">
        <is>
          <t>Sheet1</t>
        </is>
      </c>
      <c r="B219" t="inlineStr">
        <is>
          <t>H58</t>
        </is>
      </c>
      <c r="C219" t="n">
        <v>58</v>
      </c>
      <c r="D219" t="n">
        <v>8</v>
      </c>
      <c r="E219" t="inlineStr">
        <is>
          <t>Calculation</t>
        </is>
      </c>
      <c r="F219" t="inlineStr">
        <is>
          <t>'=+H57+G58</t>
        </is>
      </c>
      <c r="G219" t="n">
        <v>6534.92812537118</v>
      </c>
      <c r="H219" t="inlineStr"/>
      <c r="I219" t="inlineStr">
        <is>
          <t>0.00</t>
        </is>
      </c>
      <c r="J219" t="b">
        <v>0</v>
      </c>
      <c r="K219" t="b">
        <v>0</v>
      </c>
      <c r="L219" t="n">
        <v>10</v>
      </c>
      <c r="N219" t="inlineStr">
        <is>
          <t>00000000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1</v>
      </c>
      <c r="S219" t="inlineStr">
        <is>
          <t>G000005</t>
        </is>
      </c>
      <c r="T219" t="inlineStr">
        <is>
          <t>Vertical</t>
        </is>
      </c>
      <c r="U219" t="n">
        <v>36</v>
      </c>
      <c r="V219" t="b">
        <v>1</v>
      </c>
      <c r="W219" t="inlineStr">
        <is>
          <t>Sheet1!H36:H71</t>
        </is>
      </c>
      <c r="X219">
        <f>+R[-1]C[0]+R[0]C[-1]</f>
        <v/>
      </c>
    </row>
    <row r="220">
      <c r="A220" t="inlineStr">
        <is>
          <t>Sheet1</t>
        </is>
      </c>
      <c r="B220" t="inlineStr">
        <is>
          <t>A59</t>
        </is>
      </c>
      <c r="C220" t="n">
        <v>59</v>
      </c>
      <c r="D220" t="n">
        <v>1</v>
      </c>
      <c r="E220" t="inlineStr">
        <is>
          <t>Input</t>
        </is>
      </c>
      <c r="F220" t="n">
        <v/>
      </c>
      <c r="G220" t="n">
        <v>24</v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10</v>
      </c>
      <c r="N220" t="inlineStr">
        <is>
          <t>00000000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1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</row>
    <row r="221">
      <c r="A221" t="inlineStr">
        <is>
          <t>Sheet1</t>
        </is>
      </c>
      <c r="B221" t="inlineStr">
        <is>
          <t>C59</t>
        </is>
      </c>
      <c r="C221" t="n">
        <v>59</v>
      </c>
      <c r="D221" t="n">
        <v>3</v>
      </c>
      <c r="E221" t="inlineStr">
        <is>
          <t>Calculation</t>
        </is>
      </c>
      <c r="F221" t="inlineStr">
        <is>
          <t>'=+C58</t>
        </is>
      </c>
      <c r="G221" t="n">
        <v>280</v>
      </c>
      <c r="H221" t="inlineStr"/>
      <c r="I221" t="inlineStr">
        <is>
          <t>_(\$* #,##0_);_(\$* \(#,##0\);_(\$* \-??_);_(@_)</t>
        </is>
      </c>
      <c r="J221" t="b">
        <v>0</v>
      </c>
      <c r="K221" t="b">
        <v>0</v>
      </c>
      <c r="L221" t="n">
        <v>10</v>
      </c>
      <c r="N221" t="inlineStr">
        <is>
          <t>00000000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1</v>
      </c>
      <c r="S221" t="inlineStr">
        <is>
          <t>G000003</t>
        </is>
      </c>
      <c r="T221" t="inlineStr">
        <is>
          <t>Vertical</t>
        </is>
      </c>
      <c r="U221" t="n">
        <v>35</v>
      </c>
      <c r="V221" t="b">
        <v>1</v>
      </c>
      <c r="W221" t="inlineStr">
        <is>
          <t>Sheet1!C36:C70</t>
        </is>
      </c>
      <c r="X221">
        <f>+R[-1]C[0]</f>
        <v/>
      </c>
    </row>
    <row r="222">
      <c r="A222" t="inlineStr">
        <is>
          <t>Sheet1</t>
        </is>
      </c>
      <c r="B222" t="inlineStr">
        <is>
          <t>E59</t>
        </is>
      </c>
      <c r="C222" t="n">
        <v>59</v>
      </c>
      <c r="D222" t="n">
        <v>5</v>
      </c>
      <c r="E222" t="inlineStr">
        <is>
          <t>Calculation</t>
        </is>
      </c>
      <c r="F222" t="inlineStr">
        <is>
          <t>'=+SUM(C59:D59)</t>
        </is>
      </c>
      <c r="G222" t="n">
        <v>280</v>
      </c>
      <c r="H222" t="inlineStr"/>
      <c r="I222" t="inlineStr">
        <is>
          <t>_(\$* #,##0_);_(\$* \(#,##0\);_(\$* \-??_);_(@_)</t>
        </is>
      </c>
      <c r="J222" t="b">
        <v>0</v>
      </c>
      <c r="K222" t="b">
        <v>0</v>
      </c>
      <c r="L222" t="n">
        <v>10</v>
      </c>
      <c r="N222" t="inlineStr">
        <is>
          <t>00000000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1</v>
      </c>
      <c r="S222" t="inlineStr">
        <is>
          <t>G000001</t>
        </is>
      </c>
      <c r="T222" t="inlineStr">
        <is>
          <t>Vertical</t>
        </is>
      </c>
      <c r="U222" t="n">
        <v>37</v>
      </c>
      <c r="V222" t="b">
        <v>1</v>
      </c>
      <c r="W222" t="inlineStr">
        <is>
          <t>Sheet1!E35:E71</t>
        </is>
      </c>
      <c r="X222">
        <f>+SUM(R[0]C[-2]:R[0]C[-1])</f>
        <v/>
      </c>
    </row>
    <row r="223">
      <c r="A223" t="inlineStr">
        <is>
          <t>Sheet1</t>
        </is>
      </c>
      <c r="B223" t="inlineStr">
        <is>
          <t>F59</t>
        </is>
      </c>
      <c r="C223" t="n">
        <v>59</v>
      </c>
      <c r="D223" t="n">
        <v>6</v>
      </c>
      <c r="E223" t="inlineStr">
        <is>
          <t>Calculation</t>
        </is>
      </c>
      <c r="F223" t="inlineStr">
        <is>
          <t>'=+F58/(1+$D$15/12)</t>
        </is>
      </c>
      <c r="G223" t="n">
        <v>0.835831403969216</v>
      </c>
      <c r="H223" t="inlineStr"/>
      <c r="I223" t="inlineStr">
        <is>
          <t>0.0%</t>
        </is>
      </c>
      <c r="J223" t="b">
        <v>0</v>
      </c>
      <c r="K223" t="b">
        <v>0</v>
      </c>
      <c r="L223" t="n">
        <v>10</v>
      </c>
      <c r="N223" t="inlineStr">
        <is>
          <t>00000000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1</v>
      </c>
      <c r="S223" t="inlineStr">
        <is>
          <t>G000004</t>
        </is>
      </c>
      <c r="T223" t="inlineStr">
        <is>
          <t>Vertical</t>
        </is>
      </c>
      <c r="U223" t="n">
        <v>36</v>
      </c>
      <c r="V223" t="b">
        <v>1</v>
      </c>
      <c r="W223" t="inlineStr">
        <is>
          <t>Sheet1!F36:F71</t>
        </is>
      </c>
      <c r="X223">
        <f>+R[-1]C[0]/(1+R15C4/12)</f>
        <v/>
      </c>
    </row>
    <row r="224">
      <c r="A224" t="inlineStr">
        <is>
          <t>Sheet1</t>
        </is>
      </c>
      <c r="B224" t="inlineStr">
        <is>
          <t>G59</t>
        </is>
      </c>
      <c r="C224" t="n">
        <v>59</v>
      </c>
      <c r="D224" t="n">
        <v>7</v>
      </c>
      <c r="E224" t="inlineStr">
        <is>
          <t>Calculation</t>
        </is>
      </c>
      <c r="F224" t="inlineStr">
        <is>
          <t>'=+E59*F59</t>
        </is>
      </c>
      <c r="G224" t="n">
        <v>234.03279311138</v>
      </c>
      <c r="H224" t="inlineStr"/>
      <c r="I224" t="inlineStr">
        <is>
          <t>0.00</t>
        </is>
      </c>
      <c r="J224" t="b">
        <v>0</v>
      </c>
      <c r="K224" t="b">
        <v>0</v>
      </c>
      <c r="L224" t="n">
        <v>10</v>
      </c>
      <c r="N224" t="inlineStr">
        <is>
          <t>00000000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1</v>
      </c>
      <c r="S224" t="inlineStr">
        <is>
          <t>G000002</t>
        </is>
      </c>
      <c r="T224" t="inlineStr">
        <is>
          <t>Vertical</t>
        </is>
      </c>
      <c r="U224" t="n">
        <v>37</v>
      </c>
      <c r="V224" t="b">
        <v>1</v>
      </c>
      <c r="W224" t="inlineStr">
        <is>
          <t>Sheet1!G35:G71</t>
        </is>
      </c>
      <c r="X224">
        <f>+R[0]C[-2]*R[0]C[-1]</f>
        <v/>
      </c>
    </row>
    <row r="225">
      <c r="A225" t="inlineStr">
        <is>
          <t>Sheet1</t>
        </is>
      </c>
      <c r="B225" t="inlineStr">
        <is>
          <t>H59</t>
        </is>
      </c>
      <c r="C225" t="n">
        <v>59</v>
      </c>
      <c r="D225" t="n">
        <v>8</v>
      </c>
      <c r="E225" t="inlineStr">
        <is>
          <t>Calculation</t>
        </is>
      </c>
      <c r="F225" t="inlineStr">
        <is>
          <t>'=+H58+G59</t>
        </is>
      </c>
      <c r="G225" t="n">
        <v>6768.96091848256</v>
      </c>
      <c r="H225" t="inlineStr"/>
      <c r="I225" t="inlineStr">
        <is>
          <t>0.00</t>
        </is>
      </c>
      <c r="J225" t="b">
        <v>0</v>
      </c>
      <c r="K225" t="b">
        <v>0</v>
      </c>
      <c r="L225" t="n">
        <v>10</v>
      </c>
      <c r="N225" t="inlineStr">
        <is>
          <t>00000000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1</v>
      </c>
      <c r="S225" t="inlineStr">
        <is>
          <t>G000005</t>
        </is>
      </c>
      <c r="T225" t="inlineStr">
        <is>
          <t>Vertical</t>
        </is>
      </c>
      <c r="U225" t="n">
        <v>36</v>
      </c>
      <c r="V225" t="b">
        <v>1</v>
      </c>
      <c r="W225" t="inlineStr">
        <is>
          <t>Sheet1!H36:H71</t>
        </is>
      </c>
      <c r="X225">
        <f>+R[-1]C[0]+R[0]C[-1]</f>
        <v/>
      </c>
    </row>
    <row r="226">
      <c r="A226" t="inlineStr">
        <is>
          <t>Sheet1</t>
        </is>
      </c>
      <c r="B226" t="inlineStr">
        <is>
          <t>A60</t>
        </is>
      </c>
      <c r="C226" t="n">
        <v>60</v>
      </c>
      <c r="D226" t="n">
        <v>1</v>
      </c>
      <c r="E226" t="inlineStr">
        <is>
          <t>Input</t>
        </is>
      </c>
      <c r="F226" t="n">
        <v/>
      </c>
      <c r="G226" t="n">
        <v>25</v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10</v>
      </c>
      <c r="N226" t="inlineStr">
        <is>
          <t>00000000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1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</row>
    <row r="227">
      <c r="A227" t="inlineStr">
        <is>
          <t>Sheet1</t>
        </is>
      </c>
      <c r="B227" t="inlineStr">
        <is>
          <t>C60</t>
        </is>
      </c>
      <c r="C227" t="n">
        <v>60</v>
      </c>
      <c r="D227" t="n">
        <v>3</v>
      </c>
      <c r="E227" t="inlineStr">
        <is>
          <t>Calculation</t>
        </is>
      </c>
      <c r="F227" t="inlineStr">
        <is>
          <t>'=+C59</t>
        </is>
      </c>
      <c r="G227" t="n">
        <v>280</v>
      </c>
      <c r="H227" t="inlineStr"/>
      <c r="I227" t="inlineStr">
        <is>
          <t>_(\$* #,##0_);_(\$* \(#,##0\);_(\$* \-??_);_(@_)</t>
        </is>
      </c>
      <c r="J227" t="b">
        <v>0</v>
      </c>
      <c r="K227" t="b">
        <v>0</v>
      </c>
      <c r="L227" t="n">
        <v>10</v>
      </c>
      <c r="N227" t="inlineStr">
        <is>
          <t>00000000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1</v>
      </c>
      <c r="S227" t="inlineStr">
        <is>
          <t>G000003</t>
        </is>
      </c>
      <c r="T227" t="inlineStr">
        <is>
          <t>Vertical</t>
        </is>
      </c>
      <c r="U227" t="n">
        <v>35</v>
      </c>
      <c r="V227" t="b">
        <v>1</v>
      </c>
      <c r="W227" t="inlineStr">
        <is>
          <t>Sheet1!C36:C70</t>
        </is>
      </c>
      <c r="X227">
        <f>+R[-1]C[0]</f>
        <v/>
      </c>
    </row>
    <row r="228">
      <c r="A228" t="inlineStr">
        <is>
          <t>Sheet1</t>
        </is>
      </c>
      <c r="B228" t="inlineStr">
        <is>
          <t>E60</t>
        </is>
      </c>
      <c r="C228" t="n">
        <v>60</v>
      </c>
      <c r="D228" t="n">
        <v>5</v>
      </c>
      <c r="E228" t="inlineStr">
        <is>
          <t>Calculation</t>
        </is>
      </c>
      <c r="F228" t="inlineStr">
        <is>
          <t>'=+SUM(C60:D60)</t>
        </is>
      </c>
      <c r="G228" t="n">
        <v>280</v>
      </c>
      <c r="H228" t="inlineStr"/>
      <c r="I228" t="inlineStr">
        <is>
          <t>_(\$* #,##0_);_(\$* \(#,##0\);_(\$* \-??_);_(@_)</t>
        </is>
      </c>
      <c r="J228" t="b">
        <v>0</v>
      </c>
      <c r="K228" t="b">
        <v>0</v>
      </c>
      <c r="L228" t="n">
        <v>10</v>
      </c>
      <c r="N228" t="inlineStr">
        <is>
          <t>00000000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1</v>
      </c>
      <c r="S228" t="inlineStr">
        <is>
          <t>G000001</t>
        </is>
      </c>
      <c r="T228" t="inlineStr">
        <is>
          <t>Vertical</t>
        </is>
      </c>
      <c r="U228" t="n">
        <v>37</v>
      </c>
      <c r="V228" t="b">
        <v>1</v>
      </c>
      <c r="W228" t="inlineStr">
        <is>
          <t>Sheet1!E35:E71</t>
        </is>
      </c>
      <c r="X228">
        <f>+SUM(R[0]C[-2]:R[0]C[-1])</f>
        <v/>
      </c>
    </row>
    <row r="229">
      <c r="A229" t="inlineStr">
        <is>
          <t>Sheet1</t>
        </is>
      </c>
      <c r="B229" t="inlineStr">
        <is>
          <t>F60</t>
        </is>
      </c>
      <c r="C229" t="n">
        <v>60</v>
      </c>
      <c r="D229" t="n">
        <v>6</v>
      </c>
      <c r="E229" t="inlineStr">
        <is>
          <t>Calculation</t>
        </is>
      </c>
      <c r="F229" t="inlineStr">
        <is>
          <t>'=+F59/(1+$D$15/12)</t>
        </is>
      </c>
      <c r="G229" t="n">
        <v>0.829609333964482</v>
      </c>
      <c r="H229" t="inlineStr"/>
      <c r="I229" t="inlineStr">
        <is>
          <t>0.0%</t>
        </is>
      </c>
      <c r="J229" t="b">
        <v>0</v>
      </c>
      <c r="K229" t="b">
        <v>0</v>
      </c>
      <c r="L229" t="n">
        <v>10</v>
      </c>
      <c r="N229" t="inlineStr">
        <is>
          <t>00000000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1</v>
      </c>
      <c r="S229" t="inlineStr">
        <is>
          <t>G000004</t>
        </is>
      </c>
      <c r="T229" t="inlineStr">
        <is>
          <t>Vertical</t>
        </is>
      </c>
      <c r="U229" t="n">
        <v>36</v>
      </c>
      <c r="V229" t="b">
        <v>1</v>
      </c>
      <c r="W229" t="inlineStr">
        <is>
          <t>Sheet1!F36:F71</t>
        </is>
      </c>
      <c r="X229">
        <f>+R[-1]C[0]/(1+R15C4/12)</f>
        <v/>
      </c>
    </row>
    <row r="230">
      <c r="A230" t="inlineStr">
        <is>
          <t>Sheet1</t>
        </is>
      </c>
      <c r="B230" t="inlineStr">
        <is>
          <t>G60</t>
        </is>
      </c>
      <c r="C230" t="n">
        <v>60</v>
      </c>
      <c r="D230" t="n">
        <v>7</v>
      </c>
      <c r="E230" t="inlineStr">
        <is>
          <t>Calculation</t>
        </is>
      </c>
      <c r="F230" t="inlineStr">
        <is>
          <t>'=+E60*F60</t>
        </is>
      </c>
      <c r="G230" t="n">
        <v>232.290613510055</v>
      </c>
      <c r="H230" t="inlineStr"/>
      <c r="I230" t="inlineStr">
        <is>
          <t>0.00</t>
        </is>
      </c>
      <c r="J230" t="b">
        <v>0</v>
      </c>
      <c r="K230" t="b">
        <v>0</v>
      </c>
      <c r="L230" t="n">
        <v>10</v>
      </c>
      <c r="N230" t="inlineStr">
        <is>
          <t>00000000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1</v>
      </c>
      <c r="S230" t="inlineStr">
        <is>
          <t>G000002</t>
        </is>
      </c>
      <c r="T230" t="inlineStr">
        <is>
          <t>Vertical</t>
        </is>
      </c>
      <c r="U230" t="n">
        <v>37</v>
      </c>
      <c r="V230" t="b">
        <v>1</v>
      </c>
      <c r="W230" t="inlineStr">
        <is>
          <t>Sheet1!G35:G71</t>
        </is>
      </c>
      <c r="X230">
        <f>+R[0]C[-2]*R[0]C[-1]</f>
        <v/>
      </c>
    </row>
    <row r="231">
      <c r="A231" t="inlineStr">
        <is>
          <t>Sheet1</t>
        </is>
      </c>
      <c r="B231" t="inlineStr">
        <is>
          <t>H60</t>
        </is>
      </c>
      <c r="C231" t="n">
        <v>60</v>
      </c>
      <c r="D231" t="n">
        <v>8</v>
      </c>
      <c r="E231" t="inlineStr">
        <is>
          <t>Calculation</t>
        </is>
      </c>
      <c r="F231" t="inlineStr">
        <is>
          <t>'=+H59+G60</t>
        </is>
      </c>
      <c r="G231" t="n">
        <v>7001.25153199261</v>
      </c>
      <c r="H231" t="inlineStr"/>
      <c r="I231" t="inlineStr">
        <is>
          <t>0.00</t>
        </is>
      </c>
      <c r="J231" t="b">
        <v>0</v>
      </c>
      <c r="K231" t="b">
        <v>0</v>
      </c>
      <c r="L231" t="n">
        <v>10</v>
      </c>
      <c r="N231" t="inlineStr">
        <is>
          <t>00000000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1</v>
      </c>
      <c r="S231" t="inlineStr">
        <is>
          <t>G000005</t>
        </is>
      </c>
      <c r="T231" t="inlineStr">
        <is>
          <t>Vertical</t>
        </is>
      </c>
      <c r="U231" t="n">
        <v>36</v>
      </c>
      <c r="V231" t="b">
        <v>1</v>
      </c>
      <c r="W231" t="inlineStr">
        <is>
          <t>Sheet1!H36:H71</t>
        </is>
      </c>
      <c r="X231">
        <f>+R[-1]C[0]+R[0]C[-1]</f>
        <v/>
      </c>
    </row>
    <row r="232">
      <c r="A232" t="inlineStr">
        <is>
          <t>Sheet1</t>
        </is>
      </c>
      <c r="B232" t="inlineStr">
        <is>
          <t>A61</t>
        </is>
      </c>
      <c r="C232" t="n">
        <v>61</v>
      </c>
      <c r="D232" t="n">
        <v>1</v>
      </c>
      <c r="E232" t="inlineStr">
        <is>
          <t>Input</t>
        </is>
      </c>
      <c r="F232" t="n">
        <v/>
      </c>
      <c r="G232" t="n">
        <v>26</v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10</v>
      </c>
      <c r="N232" t="inlineStr">
        <is>
          <t>00000000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</row>
    <row r="233">
      <c r="A233" t="inlineStr">
        <is>
          <t>Sheet1</t>
        </is>
      </c>
      <c r="B233" t="inlineStr">
        <is>
          <t>C61</t>
        </is>
      </c>
      <c r="C233" t="n">
        <v>61</v>
      </c>
      <c r="D233" t="n">
        <v>3</v>
      </c>
      <c r="E233" t="inlineStr">
        <is>
          <t>Calculation</t>
        </is>
      </c>
      <c r="F233" t="inlineStr">
        <is>
          <t>'=+C60</t>
        </is>
      </c>
      <c r="G233" t="n">
        <v>280</v>
      </c>
      <c r="H233" t="inlineStr"/>
      <c r="I233" t="inlineStr">
        <is>
          <t>_(\$* #,##0_);_(\$* \(#,##0\);_(\$* \-??_);_(@_)</t>
        </is>
      </c>
      <c r="J233" t="b">
        <v>0</v>
      </c>
      <c r="K233" t="b">
        <v>0</v>
      </c>
      <c r="L233" t="n">
        <v>10</v>
      </c>
      <c r="N233" t="inlineStr">
        <is>
          <t>00000000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1</v>
      </c>
      <c r="S233" t="inlineStr">
        <is>
          <t>G000003</t>
        </is>
      </c>
      <c r="T233" t="inlineStr">
        <is>
          <t>Vertical</t>
        </is>
      </c>
      <c r="U233" t="n">
        <v>35</v>
      </c>
      <c r="V233" t="b">
        <v>1</v>
      </c>
      <c r="W233" t="inlineStr">
        <is>
          <t>Sheet1!C36:C70</t>
        </is>
      </c>
      <c r="X233">
        <f>+R[-1]C[0]</f>
        <v/>
      </c>
    </row>
    <row r="234">
      <c r="A234" t="inlineStr">
        <is>
          <t>Sheet1</t>
        </is>
      </c>
      <c r="B234" t="inlineStr">
        <is>
          <t>E61</t>
        </is>
      </c>
      <c r="C234" t="n">
        <v>61</v>
      </c>
      <c r="D234" t="n">
        <v>5</v>
      </c>
      <c r="E234" t="inlineStr">
        <is>
          <t>Calculation</t>
        </is>
      </c>
      <c r="F234" t="inlineStr">
        <is>
          <t>'=+SUM(C61:D61)</t>
        </is>
      </c>
      <c r="G234" t="n">
        <v>280</v>
      </c>
      <c r="H234" t="inlineStr"/>
      <c r="I234" t="inlineStr">
        <is>
          <t>_(\$* #,##0_);_(\$* \(#,##0\);_(\$* \-??_);_(@_)</t>
        </is>
      </c>
      <c r="J234" t="b">
        <v>0</v>
      </c>
      <c r="K234" t="b">
        <v>0</v>
      </c>
      <c r="L234" t="n">
        <v>10</v>
      </c>
      <c r="N234" t="inlineStr">
        <is>
          <t>00000000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1</v>
      </c>
      <c r="S234" t="inlineStr">
        <is>
          <t>G000001</t>
        </is>
      </c>
      <c r="T234" t="inlineStr">
        <is>
          <t>Vertical</t>
        </is>
      </c>
      <c r="U234" t="n">
        <v>37</v>
      </c>
      <c r="V234" t="b">
        <v>1</v>
      </c>
      <c r="W234" t="inlineStr">
        <is>
          <t>Sheet1!E35:E71</t>
        </is>
      </c>
      <c r="X234">
        <f>+SUM(R[0]C[-2]:R[0]C[-1])</f>
        <v/>
      </c>
    </row>
    <row r="235">
      <c r="A235" t="inlineStr">
        <is>
          <t>Sheet1</t>
        </is>
      </c>
      <c r="B235" t="inlineStr">
        <is>
          <t>F61</t>
        </is>
      </c>
      <c r="C235" t="n">
        <v>61</v>
      </c>
      <c r="D235" t="n">
        <v>6</v>
      </c>
      <c r="E235" t="inlineStr">
        <is>
          <t>Calculation</t>
        </is>
      </c>
      <c r="F235" t="inlineStr">
        <is>
          <t>'=+F60/(1+$D$15/12)</t>
        </is>
      </c>
      <c r="G235" t="n">
        <v>0.823433582098741</v>
      </c>
      <c r="H235" t="inlineStr"/>
      <c r="I235" t="inlineStr">
        <is>
          <t>0.0%</t>
        </is>
      </c>
      <c r="J235" t="b">
        <v>0</v>
      </c>
      <c r="K235" t="b">
        <v>0</v>
      </c>
      <c r="L235" t="n">
        <v>10</v>
      </c>
      <c r="N235" t="inlineStr">
        <is>
          <t>00000000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1</v>
      </c>
      <c r="S235" t="inlineStr">
        <is>
          <t>G000004</t>
        </is>
      </c>
      <c r="T235" t="inlineStr">
        <is>
          <t>Vertical</t>
        </is>
      </c>
      <c r="U235" t="n">
        <v>36</v>
      </c>
      <c r="V235" t="b">
        <v>1</v>
      </c>
      <c r="W235" t="inlineStr">
        <is>
          <t>Sheet1!F36:F71</t>
        </is>
      </c>
      <c r="X235">
        <f>+R[-1]C[0]/(1+R15C4/12)</f>
        <v/>
      </c>
    </row>
    <row r="236">
      <c r="A236" t="inlineStr">
        <is>
          <t>Sheet1</t>
        </is>
      </c>
      <c r="B236" t="inlineStr">
        <is>
          <t>G61</t>
        </is>
      </c>
      <c r="C236" t="n">
        <v>61</v>
      </c>
      <c r="D236" t="n">
        <v>7</v>
      </c>
      <c r="E236" t="inlineStr">
        <is>
          <t>Calculation</t>
        </is>
      </c>
      <c r="F236" t="inlineStr">
        <is>
          <t>'=+E61*F61</t>
        </is>
      </c>
      <c r="G236" t="n">
        <v>230.561402987648</v>
      </c>
      <c r="H236" t="inlineStr"/>
      <c r="I236" t="inlineStr">
        <is>
          <t>0.00</t>
        </is>
      </c>
      <c r="J236" t="b">
        <v>0</v>
      </c>
      <c r="K236" t="b">
        <v>0</v>
      </c>
      <c r="L236" t="n">
        <v>10</v>
      </c>
      <c r="N236" t="inlineStr">
        <is>
          <t>00000000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1</v>
      </c>
      <c r="S236" t="inlineStr">
        <is>
          <t>G000002</t>
        </is>
      </c>
      <c r="T236" t="inlineStr">
        <is>
          <t>Vertical</t>
        </is>
      </c>
      <c r="U236" t="n">
        <v>37</v>
      </c>
      <c r="V236" t="b">
        <v>1</v>
      </c>
      <c r="W236" t="inlineStr">
        <is>
          <t>Sheet1!G35:G71</t>
        </is>
      </c>
      <c r="X236">
        <f>+R[0]C[-2]*R[0]C[-1]</f>
        <v/>
      </c>
    </row>
    <row r="237">
      <c r="A237" t="inlineStr">
        <is>
          <t>Sheet1</t>
        </is>
      </c>
      <c r="B237" t="inlineStr">
        <is>
          <t>H61</t>
        </is>
      </c>
      <c r="C237" t="n">
        <v>61</v>
      </c>
      <c r="D237" t="n">
        <v>8</v>
      </c>
      <c r="E237" t="inlineStr">
        <is>
          <t>Calculation</t>
        </is>
      </c>
      <c r="F237" t="inlineStr">
        <is>
          <t>'=+H60+G61</t>
        </is>
      </c>
      <c r="G237" t="n">
        <v>7231.81293498026</v>
      </c>
      <c r="H237" t="inlineStr"/>
      <c r="I237" t="inlineStr">
        <is>
          <t>0.00</t>
        </is>
      </c>
      <c r="J237" t="b">
        <v>0</v>
      </c>
      <c r="K237" t="b">
        <v>0</v>
      </c>
      <c r="L237" t="n">
        <v>10</v>
      </c>
      <c r="N237" t="inlineStr">
        <is>
          <t>00000000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1</v>
      </c>
      <c r="S237" t="inlineStr">
        <is>
          <t>G000005</t>
        </is>
      </c>
      <c r="T237" t="inlineStr">
        <is>
          <t>Vertical</t>
        </is>
      </c>
      <c r="U237" t="n">
        <v>36</v>
      </c>
      <c r="V237" t="b">
        <v>1</v>
      </c>
      <c r="W237" t="inlineStr">
        <is>
          <t>Sheet1!H36:H71</t>
        </is>
      </c>
      <c r="X237">
        <f>+R[-1]C[0]+R[0]C[-1]</f>
        <v/>
      </c>
    </row>
    <row r="238">
      <c r="A238" t="inlineStr">
        <is>
          <t>Sheet1</t>
        </is>
      </c>
      <c r="B238" t="inlineStr">
        <is>
          <t>A62</t>
        </is>
      </c>
      <c r="C238" t="n">
        <v>62</v>
      </c>
      <c r="D238" t="n">
        <v>1</v>
      </c>
      <c r="E238" t="inlineStr">
        <is>
          <t>Input</t>
        </is>
      </c>
      <c r="F238" t="n">
        <v/>
      </c>
      <c r="G238" t="n">
        <v>27</v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10</v>
      </c>
      <c r="N238" t="inlineStr">
        <is>
          <t>00000000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</row>
    <row r="239">
      <c r="A239" t="inlineStr">
        <is>
          <t>Sheet1</t>
        </is>
      </c>
      <c r="B239" t="inlineStr">
        <is>
          <t>C62</t>
        </is>
      </c>
      <c r="C239" t="n">
        <v>62</v>
      </c>
      <c r="D239" t="n">
        <v>3</v>
      </c>
      <c r="E239" t="inlineStr">
        <is>
          <t>Calculation</t>
        </is>
      </c>
      <c r="F239" t="inlineStr">
        <is>
          <t>'=+C61</t>
        </is>
      </c>
      <c r="G239" t="n">
        <v>280</v>
      </c>
      <c r="H239" t="inlineStr"/>
      <c r="I239" t="inlineStr">
        <is>
          <t>_(\$* #,##0_);_(\$* \(#,##0\);_(\$* \-??_);_(@_)</t>
        </is>
      </c>
      <c r="J239" t="b">
        <v>0</v>
      </c>
      <c r="K239" t="b">
        <v>0</v>
      </c>
      <c r="L239" t="n">
        <v>10</v>
      </c>
      <c r="N239" t="inlineStr">
        <is>
          <t>00000000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1</v>
      </c>
      <c r="S239" t="inlineStr">
        <is>
          <t>G000003</t>
        </is>
      </c>
      <c r="T239" t="inlineStr">
        <is>
          <t>Vertical</t>
        </is>
      </c>
      <c r="U239" t="n">
        <v>35</v>
      </c>
      <c r="V239" t="b">
        <v>1</v>
      </c>
      <c r="W239" t="inlineStr">
        <is>
          <t>Sheet1!C36:C70</t>
        </is>
      </c>
      <c r="X239">
        <f>+R[-1]C[0]</f>
        <v/>
      </c>
    </row>
    <row r="240">
      <c r="A240" t="inlineStr">
        <is>
          <t>Sheet1</t>
        </is>
      </c>
      <c r="B240" t="inlineStr">
        <is>
          <t>E62</t>
        </is>
      </c>
      <c r="C240" t="n">
        <v>62</v>
      </c>
      <c r="D240" t="n">
        <v>5</v>
      </c>
      <c r="E240" t="inlineStr">
        <is>
          <t>Calculation</t>
        </is>
      </c>
      <c r="F240" t="inlineStr">
        <is>
          <t>'=+SUM(C62:D62)</t>
        </is>
      </c>
      <c r="G240" t="n">
        <v>280</v>
      </c>
      <c r="H240" t="inlineStr"/>
      <c r="I240" t="inlineStr">
        <is>
          <t>_(\$* #,##0_);_(\$* \(#,##0\);_(\$* \-??_);_(@_)</t>
        </is>
      </c>
      <c r="J240" t="b">
        <v>0</v>
      </c>
      <c r="K240" t="b">
        <v>0</v>
      </c>
      <c r="L240" t="n">
        <v>10</v>
      </c>
      <c r="N240" t="inlineStr">
        <is>
          <t>00000000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1</v>
      </c>
      <c r="S240" t="inlineStr">
        <is>
          <t>G000001</t>
        </is>
      </c>
      <c r="T240" t="inlineStr">
        <is>
          <t>Vertical</t>
        </is>
      </c>
      <c r="U240" t="n">
        <v>37</v>
      </c>
      <c r="V240" t="b">
        <v>1</v>
      </c>
      <c r="W240" t="inlineStr">
        <is>
          <t>Sheet1!E35:E71</t>
        </is>
      </c>
      <c r="X240">
        <f>+SUM(R[0]C[-2]:R[0]C[-1])</f>
        <v/>
      </c>
    </row>
    <row r="241">
      <c r="A241" t="inlineStr">
        <is>
          <t>Sheet1</t>
        </is>
      </c>
      <c r="B241" t="inlineStr">
        <is>
          <t>F62</t>
        </is>
      </c>
      <c r="C241" t="n">
        <v>62</v>
      </c>
      <c r="D241" t="n">
        <v>6</v>
      </c>
      <c r="E241" t="inlineStr">
        <is>
          <t>Calculation</t>
        </is>
      </c>
      <c r="F241" t="inlineStr">
        <is>
          <t>'=+F61/(1+$D$15/12)</t>
        </is>
      </c>
      <c r="G241" t="n">
        <v>0.817303803571952</v>
      </c>
      <c r="H241" t="inlineStr"/>
      <c r="I241" t="inlineStr">
        <is>
          <t>0.0%</t>
        </is>
      </c>
      <c r="J241" t="b">
        <v>0</v>
      </c>
      <c r="K241" t="b">
        <v>0</v>
      </c>
      <c r="L241" t="n">
        <v>10</v>
      </c>
      <c r="N241" t="inlineStr">
        <is>
          <t>00000000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1</v>
      </c>
      <c r="S241" t="inlineStr">
        <is>
          <t>G000004</t>
        </is>
      </c>
      <c r="T241" t="inlineStr">
        <is>
          <t>Vertical</t>
        </is>
      </c>
      <c r="U241" t="n">
        <v>36</v>
      </c>
      <c r="V241" t="b">
        <v>1</v>
      </c>
      <c r="W241" t="inlineStr">
        <is>
          <t>Sheet1!F36:F71</t>
        </is>
      </c>
      <c r="X241">
        <f>+R[-1]C[0]/(1+R15C4/12)</f>
        <v/>
      </c>
    </row>
    <row r="242">
      <c r="A242" t="inlineStr">
        <is>
          <t>Sheet1</t>
        </is>
      </c>
      <c r="B242" t="inlineStr">
        <is>
          <t>G62</t>
        </is>
      </c>
      <c r="C242" t="n">
        <v>62</v>
      </c>
      <c r="D242" t="n">
        <v>7</v>
      </c>
      <c r="E242" t="inlineStr">
        <is>
          <t>Calculation</t>
        </is>
      </c>
      <c r="F242" t="inlineStr">
        <is>
          <t>'=+E62*F62</t>
        </is>
      </c>
      <c r="G242" t="n">
        <v>228.845065000146</v>
      </c>
      <c r="H242" t="inlineStr"/>
      <c r="I242" t="inlineStr">
        <is>
          <t>0.00</t>
        </is>
      </c>
      <c r="J242" t="b">
        <v>0</v>
      </c>
      <c r="K242" t="b">
        <v>0</v>
      </c>
      <c r="L242" t="n">
        <v>10</v>
      </c>
      <c r="N242" t="inlineStr">
        <is>
          <t>00000000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1</v>
      </c>
      <c r="S242" t="inlineStr">
        <is>
          <t>G000002</t>
        </is>
      </c>
      <c r="T242" t="inlineStr">
        <is>
          <t>Vertical</t>
        </is>
      </c>
      <c r="U242" t="n">
        <v>37</v>
      </c>
      <c r="V242" t="b">
        <v>1</v>
      </c>
      <c r="W242" t="inlineStr">
        <is>
          <t>Sheet1!G35:G71</t>
        </is>
      </c>
      <c r="X242">
        <f>+R[0]C[-2]*R[0]C[-1]</f>
        <v/>
      </c>
    </row>
    <row r="243">
      <c r="A243" t="inlineStr">
        <is>
          <t>Sheet1</t>
        </is>
      </c>
      <c r="B243" t="inlineStr">
        <is>
          <t>H62</t>
        </is>
      </c>
      <c r="C243" t="n">
        <v>62</v>
      </c>
      <c r="D243" t="n">
        <v>8</v>
      </c>
      <c r="E243" t="inlineStr">
        <is>
          <t>Calculation</t>
        </is>
      </c>
      <c r="F243" t="inlineStr">
        <is>
          <t>'=+H61+G62</t>
        </is>
      </c>
      <c r="G243" t="n">
        <v>7460.65799998041</v>
      </c>
      <c r="H243" t="inlineStr"/>
      <c r="I243" t="inlineStr">
        <is>
          <t>0.00</t>
        </is>
      </c>
      <c r="J243" t="b">
        <v>0</v>
      </c>
      <c r="K243" t="b">
        <v>0</v>
      </c>
      <c r="L243" t="n">
        <v>10</v>
      </c>
      <c r="N243" t="inlineStr">
        <is>
          <t>00000000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1</v>
      </c>
      <c r="S243" t="inlineStr">
        <is>
          <t>G000005</t>
        </is>
      </c>
      <c r="T243" t="inlineStr">
        <is>
          <t>Vertical</t>
        </is>
      </c>
      <c r="U243" t="n">
        <v>36</v>
      </c>
      <c r="V243" t="b">
        <v>1</v>
      </c>
      <c r="W243" t="inlineStr">
        <is>
          <t>Sheet1!H36:H71</t>
        </is>
      </c>
      <c r="X243">
        <f>+R[-1]C[0]+R[0]C[-1]</f>
        <v/>
      </c>
    </row>
    <row r="244">
      <c r="A244" t="inlineStr">
        <is>
          <t>Sheet1</t>
        </is>
      </c>
      <c r="B244" t="inlineStr">
        <is>
          <t>A63</t>
        </is>
      </c>
      <c r="C244" t="n">
        <v>63</v>
      </c>
      <c r="D244" t="n">
        <v>1</v>
      </c>
      <c r="E244" t="inlineStr">
        <is>
          <t>Input</t>
        </is>
      </c>
      <c r="F244" t="n">
        <v/>
      </c>
      <c r="G244" t="n">
        <v>28</v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10</v>
      </c>
      <c r="N244" t="inlineStr">
        <is>
          <t>00000000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1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</row>
    <row r="245">
      <c r="A245" t="inlineStr">
        <is>
          <t>Sheet1</t>
        </is>
      </c>
      <c r="B245" t="inlineStr">
        <is>
          <t>C63</t>
        </is>
      </c>
      <c r="C245" t="n">
        <v>63</v>
      </c>
      <c r="D245" t="n">
        <v>3</v>
      </c>
      <c r="E245" t="inlineStr">
        <is>
          <t>Calculation</t>
        </is>
      </c>
      <c r="F245" t="inlineStr">
        <is>
          <t>'=+C62</t>
        </is>
      </c>
      <c r="G245" t="n">
        <v>280</v>
      </c>
      <c r="H245" t="inlineStr"/>
      <c r="I245" t="inlineStr">
        <is>
          <t>_(\$* #,##0_);_(\$* \(#,##0\);_(\$* \-??_);_(@_)</t>
        </is>
      </c>
      <c r="J245" t="b">
        <v>0</v>
      </c>
      <c r="K245" t="b">
        <v>0</v>
      </c>
      <c r="L245" t="n">
        <v>10</v>
      </c>
      <c r="N245" t="inlineStr">
        <is>
          <t>00000000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1</v>
      </c>
      <c r="S245" t="inlineStr">
        <is>
          <t>G000003</t>
        </is>
      </c>
      <c r="T245" t="inlineStr">
        <is>
          <t>Vertical</t>
        </is>
      </c>
      <c r="U245" t="n">
        <v>35</v>
      </c>
      <c r="V245" t="b">
        <v>1</v>
      </c>
      <c r="W245" t="inlineStr">
        <is>
          <t>Sheet1!C36:C70</t>
        </is>
      </c>
      <c r="X245">
        <f>+R[-1]C[0]</f>
        <v/>
      </c>
    </row>
    <row r="246">
      <c r="A246" t="inlineStr">
        <is>
          <t>Sheet1</t>
        </is>
      </c>
      <c r="B246" t="inlineStr">
        <is>
          <t>E63</t>
        </is>
      </c>
      <c r="C246" t="n">
        <v>63</v>
      </c>
      <c r="D246" t="n">
        <v>5</v>
      </c>
      <c r="E246" t="inlineStr">
        <is>
          <t>Calculation</t>
        </is>
      </c>
      <c r="F246" t="inlineStr">
        <is>
          <t>'=+SUM(C63:D63)</t>
        </is>
      </c>
      <c r="G246" t="n">
        <v>280</v>
      </c>
      <c r="H246" t="inlineStr"/>
      <c r="I246" t="inlineStr">
        <is>
          <t>_(\$* #,##0_);_(\$* \(#,##0\);_(\$* \-??_);_(@_)</t>
        </is>
      </c>
      <c r="J246" t="b">
        <v>0</v>
      </c>
      <c r="K246" t="b">
        <v>0</v>
      </c>
      <c r="L246" t="n">
        <v>10</v>
      </c>
      <c r="N246" t="inlineStr">
        <is>
          <t>00000000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1</v>
      </c>
      <c r="S246" t="inlineStr">
        <is>
          <t>G000001</t>
        </is>
      </c>
      <c r="T246" t="inlineStr">
        <is>
          <t>Vertical</t>
        </is>
      </c>
      <c r="U246" t="n">
        <v>37</v>
      </c>
      <c r="V246" t="b">
        <v>1</v>
      </c>
      <c r="W246" t="inlineStr">
        <is>
          <t>Sheet1!E35:E71</t>
        </is>
      </c>
      <c r="X246">
        <f>+SUM(R[0]C[-2]:R[0]C[-1])</f>
        <v/>
      </c>
    </row>
    <row r="247">
      <c r="A247" t="inlineStr">
        <is>
          <t>Sheet1</t>
        </is>
      </c>
      <c r="B247" t="inlineStr">
        <is>
          <t>F63</t>
        </is>
      </c>
      <c r="C247" t="n">
        <v>63</v>
      </c>
      <c r="D247" t="n">
        <v>6</v>
      </c>
      <c r="E247" t="inlineStr">
        <is>
          <t>Calculation</t>
        </is>
      </c>
      <c r="F247" t="inlineStr">
        <is>
          <t>'=+F62/(1+$D$15/12)</t>
        </is>
      </c>
      <c r="G247" t="n">
        <v>0.811219656150821</v>
      </c>
      <c r="H247" t="inlineStr"/>
      <c r="I247" t="inlineStr">
        <is>
          <t>0.0%</t>
        </is>
      </c>
      <c r="J247" t="b">
        <v>0</v>
      </c>
      <c r="K247" t="b">
        <v>0</v>
      </c>
      <c r="L247" t="n">
        <v>10</v>
      </c>
      <c r="N247" t="inlineStr">
        <is>
          <t>00000000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1</v>
      </c>
      <c r="S247" t="inlineStr">
        <is>
          <t>G000004</t>
        </is>
      </c>
      <c r="T247" t="inlineStr">
        <is>
          <t>Vertical</t>
        </is>
      </c>
      <c r="U247" t="n">
        <v>36</v>
      </c>
      <c r="V247" t="b">
        <v>1</v>
      </c>
      <c r="W247" t="inlineStr">
        <is>
          <t>Sheet1!F36:F71</t>
        </is>
      </c>
      <c r="X247">
        <f>+R[-1]C[0]/(1+R15C4/12)</f>
        <v/>
      </c>
    </row>
    <row r="248">
      <c r="A248" t="inlineStr">
        <is>
          <t>Sheet1</t>
        </is>
      </c>
      <c r="B248" t="inlineStr">
        <is>
          <t>G63</t>
        </is>
      </c>
      <c r="C248" t="n">
        <v>63</v>
      </c>
      <c r="D248" t="n">
        <v>7</v>
      </c>
      <c r="E248" t="inlineStr">
        <is>
          <t>Calculation</t>
        </is>
      </c>
      <c r="F248" t="inlineStr">
        <is>
          <t>'=+E63*F63</t>
        </is>
      </c>
      <c r="G248" t="n">
        <v>227.14150372223</v>
      </c>
      <c r="H248" t="inlineStr"/>
      <c r="I248" t="inlineStr">
        <is>
          <t>0.00</t>
        </is>
      </c>
      <c r="J248" t="b">
        <v>0</v>
      </c>
      <c r="K248" t="b">
        <v>0</v>
      </c>
      <c r="L248" t="n">
        <v>10</v>
      </c>
      <c r="N248" t="inlineStr">
        <is>
          <t>00000000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1</v>
      </c>
      <c r="S248" t="inlineStr">
        <is>
          <t>G000002</t>
        </is>
      </c>
      <c r="T248" t="inlineStr">
        <is>
          <t>Vertical</t>
        </is>
      </c>
      <c r="U248" t="n">
        <v>37</v>
      </c>
      <c r="V248" t="b">
        <v>1</v>
      </c>
      <c r="W248" t="inlineStr">
        <is>
          <t>Sheet1!G35:G71</t>
        </is>
      </c>
      <c r="X248">
        <f>+R[0]C[-2]*R[0]C[-1]</f>
        <v/>
      </c>
    </row>
    <row r="249">
      <c r="A249" t="inlineStr">
        <is>
          <t>Sheet1</t>
        </is>
      </c>
      <c r="B249" t="inlineStr">
        <is>
          <t>H63</t>
        </is>
      </c>
      <c r="C249" t="n">
        <v>63</v>
      </c>
      <c r="D249" t="n">
        <v>8</v>
      </c>
      <c r="E249" t="inlineStr">
        <is>
          <t>Calculation</t>
        </is>
      </c>
      <c r="F249" t="inlineStr">
        <is>
          <t>'=+H62+G63</t>
        </is>
      </c>
      <c r="G249" t="n">
        <v>7687.79950370264</v>
      </c>
      <c r="H249" t="inlineStr"/>
      <c r="I249" t="inlineStr">
        <is>
          <t>0.00</t>
        </is>
      </c>
      <c r="J249" t="b">
        <v>0</v>
      </c>
      <c r="K249" t="b">
        <v>0</v>
      </c>
      <c r="L249" t="n">
        <v>10</v>
      </c>
      <c r="N249" t="inlineStr">
        <is>
          <t>00000000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1</v>
      </c>
      <c r="S249" t="inlineStr">
        <is>
          <t>G000005</t>
        </is>
      </c>
      <c r="T249" t="inlineStr">
        <is>
          <t>Vertical</t>
        </is>
      </c>
      <c r="U249" t="n">
        <v>36</v>
      </c>
      <c r="V249" t="b">
        <v>1</v>
      </c>
      <c r="W249" t="inlineStr">
        <is>
          <t>Sheet1!H36:H71</t>
        </is>
      </c>
      <c r="X249">
        <f>+R[-1]C[0]+R[0]C[-1]</f>
        <v/>
      </c>
    </row>
    <row r="250">
      <c r="A250" t="inlineStr">
        <is>
          <t>Sheet1</t>
        </is>
      </c>
      <c r="B250" t="inlineStr">
        <is>
          <t>A64</t>
        </is>
      </c>
      <c r="C250" t="n">
        <v>64</v>
      </c>
      <c r="D250" t="n">
        <v>1</v>
      </c>
      <c r="E250" t="inlineStr">
        <is>
          <t>Input</t>
        </is>
      </c>
      <c r="F250" t="n">
        <v/>
      </c>
      <c r="G250" t="n">
        <v>29</v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10</v>
      </c>
      <c r="N250" t="inlineStr">
        <is>
          <t>00000000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</row>
    <row r="251">
      <c r="A251" t="inlineStr">
        <is>
          <t>Sheet1</t>
        </is>
      </c>
      <c r="B251" t="inlineStr">
        <is>
          <t>C64</t>
        </is>
      </c>
      <c r="C251" t="n">
        <v>64</v>
      </c>
      <c r="D251" t="n">
        <v>3</v>
      </c>
      <c r="E251" t="inlineStr">
        <is>
          <t>Calculation</t>
        </is>
      </c>
      <c r="F251" t="inlineStr">
        <is>
          <t>'=+C63</t>
        </is>
      </c>
      <c r="G251" t="n">
        <v>280</v>
      </c>
      <c r="H251" t="inlineStr"/>
      <c r="I251" t="inlineStr">
        <is>
          <t>_(\$* #,##0_);_(\$* \(#,##0\);_(\$* \-??_);_(@_)</t>
        </is>
      </c>
      <c r="J251" t="b">
        <v>0</v>
      </c>
      <c r="K251" t="b">
        <v>0</v>
      </c>
      <c r="L251" t="n">
        <v>10</v>
      </c>
      <c r="N251" t="inlineStr">
        <is>
          <t>00000000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1</v>
      </c>
      <c r="S251" t="inlineStr">
        <is>
          <t>G000003</t>
        </is>
      </c>
      <c r="T251" t="inlineStr">
        <is>
          <t>Vertical</t>
        </is>
      </c>
      <c r="U251" t="n">
        <v>35</v>
      </c>
      <c r="V251" t="b">
        <v>1</v>
      </c>
      <c r="W251" t="inlineStr">
        <is>
          <t>Sheet1!C36:C70</t>
        </is>
      </c>
      <c r="X251">
        <f>+R[-1]C[0]</f>
        <v/>
      </c>
    </row>
    <row r="252">
      <c r="A252" t="inlineStr">
        <is>
          <t>Sheet1</t>
        </is>
      </c>
      <c r="B252" t="inlineStr">
        <is>
          <t>E64</t>
        </is>
      </c>
      <c r="C252" t="n">
        <v>64</v>
      </c>
      <c r="D252" t="n">
        <v>5</v>
      </c>
      <c r="E252" t="inlineStr">
        <is>
          <t>Calculation</t>
        </is>
      </c>
      <c r="F252" t="inlineStr">
        <is>
          <t>'=+SUM(C64:D64)</t>
        </is>
      </c>
      <c r="G252" t="n">
        <v>280</v>
      </c>
      <c r="H252" t="inlineStr"/>
      <c r="I252" t="inlineStr">
        <is>
          <t>_(\$* #,##0_);_(\$* \(#,##0\);_(\$* \-??_);_(@_)</t>
        </is>
      </c>
      <c r="J252" t="b">
        <v>0</v>
      </c>
      <c r="K252" t="b">
        <v>0</v>
      </c>
      <c r="L252" t="n">
        <v>10</v>
      </c>
      <c r="N252" t="inlineStr">
        <is>
          <t>00000000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1</v>
      </c>
      <c r="S252" t="inlineStr">
        <is>
          <t>G000001</t>
        </is>
      </c>
      <c r="T252" t="inlineStr">
        <is>
          <t>Vertical</t>
        </is>
      </c>
      <c r="U252" t="n">
        <v>37</v>
      </c>
      <c r="V252" t="b">
        <v>1</v>
      </c>
      <c r="W252" t="inlineStr">
        <is>
          <t>Sheet1!E35:E71</t>
        </is>
      </c>
      <c r="X252">
        <f>+SUM(R[0]C[-2]:R[0]C[-1])</f>
        <v/>
      </c>
    </row>
    <row r="253">
      <c r="A253" t="inlineStr">
        <is>
          <t>Sheet1</t>
        </is>
      </c>
      <c r="B253" t="inlineStr">
        <is>
          <t>F64</t>
        </is>
      </c>
      <c r="C253" t="n">
        <v>64</v>
      </c>
      <c r="D253" t="n">
        <v>6</v>
      </c>
      <c r="E253" t="inlineStr">
        <is>
          <t>Calculation</t>
        </is>
      </c>
      <c r="F253" t="inlineStr">
        <is>
          <t>'=+F63/(1+$D$15/12)</t>
        </is>
      </c>
      <c r="G253" t="n">
        <v>0.805180800149698</v>
      </c>
      <c r="H253" t="inlineStr"/>
      <c r="I253" t="inlineStr">
        <is>
          <t>0.0%</t>
        </is>
      </c>
      <c r="J253" t="b">
        <v>0</v>
      </c>
      <c r="K253" t="b">
        <v>0</v>
      </c>
      <c r="L253" t="n">
        <v>10</v>
      </c>
      <c r="N253" t="inlineStr">
        <is>
          <t>00000000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1</v>
      </c>
      <c r="S253" t="inlineStr">
        <is>
          <t>G000004</t>
        </is>
      </c>
      <c r="T253" t="inlineStr">
        <is>
          <t>Vertical</t>
        </is>
      </c>
      <c r="U253" t="n">
        <v>36</v>
      </c>
      <c r="V253" t="b">
        <v>1</v>
      </c>
      <c r="W253" t="inlineStr">
        <is>
          <t>Sheet1!F36:F71</t>
        </is>
      </c>
      <c r="X253">
        <f>+R[-1]C[0]/(1+R15C4/12)</f>
        <v/>
      </c>
    </row>
    <row r="254">
      <c r="A254" t="inlineStr">
        <is>
          <t>Sheet1</t>
        </is>
      </c>
      <c r="B254" t="inlineStr">
        <is>
          <t>G64</t>
        </is>
      </c>
      <c r="C254" t="n">
        <v>64</v>
      </c>
      <c r="D254" t="n">
        <v>7</v>
      </c>
      <c r="E254" t="inlineStr">
        <is>
          <t>Calculation</t>
        </is>
      </c>
      <c r="F254" t="inlineStr">
        <is>
          <t>'=+E64*F64</t>
        </is>
      </c>
      <c r="G254" t="n">
        <v>225.450624041915</v>
      </c>
      <c r="H254" t="inlineStr"/>
      <c r="I254" t="inlineStr">
        <is>
          <t>0.00</t>
        </is>
      </c>
      <c r="J254" t="b">
        <v>0</v>
      </c>
      <c r="K254" t="b">
        <v>0</v>
      </c>
      <c r="L254" t="n">
        <v>10</v>
      </c>
      <c r="N254" t="inlineStr">
        <is>
          <t>00000000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1</v>
      </c>
      <c r="S254" t="inlineStr">
        <is>
          <t>G000002</t>
        </is>
      </c>
      <c r="T254" t="inlineStr">
        <is>
          <t>Vertical</t>
        </is>
      </c>
      <c r="U254" t="n">
        <v>37</v>
      </c>
      <c r="V254" t="b">
        <v>1</v>
      </c>
      <c r="W254" t="inlineStr">
        <is>
          <t>Sheet1!G35:G71</t>
        </is>
      </c>
      <c r="X254">
        <f>+R[0]C[-2]*R[0]C[-1]</f>
        <v/>
      </c>
    </row>
    <row r="255">
      <c r="A255" t="inlineStr">
        <is>
          <t>Sheet1</t>
        </is>
      </c>
      <c r="B255" t="inlineStr">
        <is>
          <t>H64</t>
        </is>
      </c>
      <c r="C255" t="n">
        <v>64</v>
      </c>
      <c r="D255" t="n">
        <v>8</v>
      </c>
      <c r="E255" t="inlineStr">
        <is>
          <t>Calculation</t>
        </is>
      </c>
      <c r="F255" t="inlineStr">
        <is>
          <t>'=+H63+G64</t>
        </is>
      </c>
      <c r="G255" t="n">
        <v>7913.25012774455</v>
      </c>
      <c r="H255" t="inlineStr"/>
      <c r="I255" t="inlineStr">
        <is>
          <t>0.00</t>
        </is>
      </c>
      <c r="J255" t="b">
        <v>0</v>
      </c>
      <c r="K255" t="b">
        <v>0</v>
      </c>
      <c r="L255" t="n">
        <v>10</v>
      </c>
      <c r="N255" t="inlineStr">
        <is>
          <t>00000000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1</v>
      </c>
      <c r="S255" t="inlineStr">
        <is>
          <t>G000005</t>
        </is>
      </c>
      <c r="T255" t="inlineStr">
        <is>
          <t>Vertical</t>
        </is>
      </c>
      <c r="U255" t="n">
        <v>36</v>
      </c>
      <c r="V255" t="b">
        <v>1</v>
      </c>
      <c r="W255" t="inlineStr">
        <is>
          <t>Sheet1!H36:H71</t>
        </is>
      </c>
      <c r="X255">
        <f>+R[-1]C[0]+R[0]C[-1]</f>
        <v/>
      </c>
    </row>
    <row r="256">
      <c r="A256" t="inlineStr">
        <is>
          <t>Sheet1</t>
        </is>
      </c>
      <c r="B256" t="inlineStr">
        <is>
          <t>A65</t>
        </is>
      </c>
      <c r="C256" t="n">
        <v>65</v>
      </c>
      <c r="D256" t="n">
        <v>1</v>
      </c>
      <c r="E256" t="inlineStr">
        <is>
          <t>Input</t>
        </is>
      </c>
      <c r="F256" t="n">
        <v/>
      </c>
      <c r="G256" t="n">
        <v>30</v>
      </c>
      <c r="H256" t="inlineStr"/>
      <c r="I256" t="inlineStr">
        <is>
          <t>General</t>
        </is>
      </c>
      <c r="J256" t="b">
        <v>0</v>
      </c>
      <c r="K256" t="b">
        <v>0</v>
      </c>
      <c r="L256" t="n">
        <v>10</v>
      </c>
      <c r="N256" t="inlineStr">
        <is>
          <t>00000000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1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</row>
    <row r="257">
      <c r="A257" t="inlineStr">
        <is>
          <t>Sheet1</t>
        </is>
      </c>
      <c r="B257" t="inlineStr">
        <is>
          <t>C65</t>
        </is>
      </c>
      <c r="C257" t="n">
        <v>65</v>
      </c>
      <c r="D257" t="n">
        <v>3</v>
      </c>
      <c r="E257" t="inlineStr">
        <is>
          <t>Calculation</t>
        </is>
      </c>
      <c r="F257" t="inlineStr">
        <is>
          <t>'=+C64</t>
        </is>
      </c>
      <c r="G257" t="n">
        <v>280</v>
      </c>
      <c r="H257" t="inlineStr"/>
      <c r="I257" t="inlineStr">
        <is>
          <t>_(\$* #,##0_);_(\$* \(#,##0\);_(\$* \-??_);_(@_)</t>
        </is>
      </c>
      <c r="J257" t="b">
        <v>0</v>
      </c>
      <c r="K257" t="b">
        <v>0</v>
      </c>
      <c r="L257" t="n">
        <v>10</v>
      </c>
      <c r="N257" t="inlineStr">
        <is>
          <t>00000000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1</v>
      </c>
      <c r="S257" t="inlineStr">
        <is>
          <t>G000003</t>
        </is>
      </c>
      <c r="T257" t="inlineStr">
        <is>
          <t>Vertical</t>
        </is>
      </c>
      <c r="U257" t="n">
        <v>35</v>
      </c>
      <c r="V257" t="b">
        <v>1</v>
      </c>
      <c r="W257" t="inlineStr">
        <is>
          <t>Sheet1!C36:C70</t>
        </is>
      </c>
      <c r="X257">
        <f>+R[-1]C[0]</f>
        <v/>
      </c>
    </row>
    <row r="258">
      <c r="A258" t="inlineStr">
        <is>
          <t>Sheet1</t>
        </is>
      </c>
      <c r="B258" t="inlineStr">
        <is>
          <t>E65</t>
        </is>
      </c>
      <c r="C258" t="n">
        <v>65</v>
      </c>
      <c r="D258" t="n">
        <v>5</v>
      </c>
      <c r="E258" t="inlineStr">
        <is>
          <t>Calculation</t>
        </is>
      </c>
      <c r="F258" t="inlineStr">
        <is>
          <t>'=+SUM(C65:D65)</t>
        </is>
      </c>
      <c r="G258" t="n">
        <v>280</v>
      </c>
      <c r="H258" t="inlineStr"/>
      <c r="I258" t="inlineStr">
        <is>
          <t>_(\$* #,##0_);_(\$* \(#,##0\);_(\$* \-??_);_(@_)</t>
        </is>
      </c>
      <c r="J258" t="b">
        <v>0</v>
      </c>
      <c r="K258" t="b">
        <v>0</v>
      </c>
      <c r="L258" t="n">
        <v>10</v>
      </c>
      <c r="N258" t="inlineStr">
        <is>
          <t>00000000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1</v>
      </c>
      <c r="S258" t="inlineStr">
        <is>
          <t>G000001</t>
        </is>
      </c>
      <c r="T258" t="inlineStr">
        <is>
          <t>Vertical</t>
        </is>
      </c>
      <c r="U258" t="n">
        <v>37</v>
      </c>
      <c r="V258" t="b">
        <v>1</v>
      </c>
      <c r="W258" t="inlineStr">
        <is>
          <t>Sheet1!E35:E71</t>
        </is>
      </c>
      <c r="X258">
        <f>+SUM(R[0]C[-2]:R[0]C[-1])</f>
        <v/>
      </c>
    </row>
    <row r="259">
      <c r="A259" t="inlineStr">
        <is>
          <t>Sheet1</t>
        </is>
      </c>
      <c r="B259" t="inlineStr">
        <is>
          <t>F65</t>
        </is>
      </c>
      <c r="C259" t="n">
        <v>65</v>
      </c>
      <c r="D259" t="n">
        <v>6</v>
      </c>
      <c r="E259" t="inlineStr">
        <is>
          <t>Calculation</t>
        </is>
      </c>
      <c r="F259" t="inlineStr">
        <is>
          <t>'=+F64/(1+$D$15/12)</t>
        </is>
      </c>
      <c r="G259" t="n">
        <v>0.7991868984116109</v>
      </c>
      <c r="H259" t="inlineStr"/>
      <c r="I259" t="inlineStr">
        <is>
          <t>0.0%</t>
        </is>
      </c>
      <c r="J259" t="b">
        <v>0</v>
      </c>
      <c r="K259" t="b">
        <v>0</v>
      </c>
      <c r="L259" t="n">
        <v>10</v>
      </c>
      <c r="N259" t="inlineStr">
        <is>
          <t>00000000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1</v>
      </c>
      <c r="S259" t="inlineStr">
        <is>
          <t>G000004</t>
        </is>
      </c>
      <c r="T259" t="inlineStr">
        <is>
          <t>Vertical</t>
        </is>
      </c>
      <c r="U259" t="n">
        <v>36</v>
      </c>
      <c r="V259" t="b">
        <v>1</v>
      </c>
      <c r="W259" t="inlineStr">
        <is>
          <t>Sheet1!F36:F71</t>
        </is>
      </c>
      <c r="X259">
        <f>+R[-1]C[0]/(1+R15C4/12)</f>
        <v/>
      </c>
    </row>
    <row r="260">
      <c r="A260" t="inlineStr">
        <is>
          <t>Sheet1</t>
        </is>
      </c>
      <c r="B260" t="inlineStr">
        <is>
          <t>G65</t>
        </is>
      </c>
      <c r="C260" t="n">
        <v>65</v>
      </c>
      <c r="D260" t="n">
        <v>7</v>
      </c>
      <c r="E260" t="inlineStr">
        <is>
          <t>Calculation</t>
        </is>
      </c>
      <c r="F260" t="inlineStr">
        <is>
          <t>'=+E65*F65</t>
        </is>
      </c>
      <c r="G260" t="n">
        <v>223.772331555251</v>
      </c>
      <c r="H260" t="inlineStr"/>
      <c r="I260" t="inlineStr">
        <is>
          <t>0.00</t>
        </is>
      </c>
      <c r="J260" t="b">
        <v>0</v>
      </c>
      <c r="K260" t="b">
        <v>0</v>
      </c>
      <c r="L260" t="n">
        <v>10</v>
      </c>
      <c r="N260" t="inlineStr">
        <is>
          <t>00000000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1</v>
      </c>
      <c r="S260" t="inlineStr">
        <is>
          <t>G000002</t>
        </is>
      </c>
      <c r="T260" t="inlineStr">
        <is>
          <t>Vertical</t>
        </is>
      </c>
      <c r="U260" t="n">
        <v>37</v>
      </c>
      <c r="V260" t="b">
        <v>1</v>
      </c>
      <c r="W260" t="inlineStr">
        <is>
          <t>Sheet1!G35:G71</t>
        </is>
      </c>
      <c r="X260">
        <f>+R[0]C[-2]*R[0]C[-1]</f>
        <v/>
      </c>
    </row>
    <row r="261">
      <c r="A261" t="inlineStr">
        <is>
          <t>Sheet1</t>
        </is>
      </c>
      <c r="B261" t="inlineStr">
        <is>
          <t>H65</t>
        </is>
      </c>
      <c r="C261" t="n">
        <v>65</v>
      </c>
      <c r="D261" t="n">
        <v>8</v>
      </c>
      <c r="E261" t="inlineStr">
        <is>
          <t>Calculation</t>
        </is>
      </c>
      <c r="F261" t="inlineStr">
        <is>
          <t>'=+H64+G65</t>
        </is>
      </c>
      <c r="G261" t="n">
        <v>8137.02245929981</v>
      </c>
      <c r="H261" t="inlineStr"/>
      <c r="I261" t="inlineStr">
        <is>
          <t>0.00</t>
        </is>
      </c>
      <c r="J261" t="b">
        <v>0</v>
      </c>
      <c r="K261" t="b">
        <v>0</v>
      </c>
      <c r="L261" t="n">
        <v>10</v>
      </c>
      <c r="N261" t="inlineStr">
        <is>
          <t>00000000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1</v>
      </c>
      <c r="S261" t="inlineStr">
        <is>
          <t>G000005</t>
        </is>
      </c>
      <c r="T261" t="inlineStr">
        <is>
          <t>Vertical</t>
        </is>
      </c>
      <c r="U261" t="n">
        <v>36</v>
      </c>
      <c r="V261" t="b">
        <v>1</v>
      </c>
      <c r="W261" t="inlineStr">
        <is>
          <t>Sheet1!H36:H71</t>
        </is>
      </c>
      <c r="X261">
        <f>+R[-1]C[0]+R[0]C[-1]</f>
        <v/>
      </c>
    </row>
    <row r="262">
      <c r="A262" t="inlineStr">
        <is>
          <t>Sheet1</t>
        </is>
      </c>
      <c r="B262" t="inlineStr">
        <is>
          <t>A66</t>
        </is>
      </c>
      <c r="C262" t="n">
        <v>66</v>
      </c>
      <c r="D262" t="n">
        <v>1</v>
      </c>
      <c r="E262" t="inlineStr">
        <is>
          <t>Input</t>
        </is>
      </c>
      <c r="F262" t="n">
        <v/>
      </c>
      <c r="G262" t="n">
        <v>31</v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10</v>
      </c>
      <c r="N262" t="inlineStr">
        <is>
          <t>00000000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1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</row>
    <row r="263">
      <c r="A263" t="inlineStr">
        <is>
          <t>Sheet1</t>
        </is>
      </c>
      <c r="B263" t="inlineStr">
        <is>
          <t>C66</t>
        </is>
      </c>
      <c r="C263" t="n">
        <v>66</v>
      </c>
      <c r="D263" t="n">
        <v>3</v>
      </c>
      <c r="E263" t="inlineStr">
        <is>
          <t>Calculation</t>
        </is>
      </c>
      <c r="F263" t="inlineStr">
        <is>
          <t>'=+C65</t>
        </is>
      </c>
      <c r="G263" t="n">
        <v>280</v>
      </c>
      <c r="H263" t="inlineStr"/>
      <c r="I263" t="inlineStr">
        <is>
          <t>_(\$* #,##0_);_(\$* \(#,##0\);_(\$* \-??_);_(@_)</t>
        </is>
      </c>
      <c r="J263" t="b">
        <v>0</v>
      </c>
      <c r="K263" t="b">
        <v>0</v>
      </c>
      <c r="L263" t="n">
        <v>10</v>
      </c>
      <c r="N263" t="inlineStr">
        <is>
          <t>00000000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1</v>
      </c>
      <c r="S263" t="inlineStr">
        <is>
          <t>G000003</t>
        </is>
      </c>
      <c r="T263" t="inlineStr">
        <is>
          <t>Vertical</t>
        </is>
      </c>
      <c r="U263" t="n">
        <v>35</v>
      </c>
      <c r="V263" t="b">
        <v>1</v>
      </c>
      <c r="W263" t="inlineStr">
        <is>
          <t>Sheet1!C36:C70</t>
        </is>
      </c>
      <c r="X263">
        <f>+R[-1]C[0]</f>
        <v/>
      </c>
    </row>
    <row r="264">
      <c r="A264" t="inlineStr">
        <is>
          <t>Sheet1</t>
        </is>
      </c>
      <c r="B264" t="inlineStr">
        <is>
          <t>E66</t>
        </is>
      </c>
      <c r="C264" t="n">
        <v>66</v>
      </c>
      <c r="D264" t="n">
        <v>5</v>
      </c>
      <c r="E264" t="inlineStr">
        <is>
          <t>Calculation</t>
        </is>
      </c>
      <c r="F264" t="inlineStr">
        <is>
          <t>'=+SUM(C66:D66)</t>
        </is>
      </c>
      <c r="G264" t="n">
        <v>280</v>
      </c>
      <c r="H264" t="inlineStr"/>
      <c r="I264" t="inlineStr">
        <is>
          <t>_(\$* #,##0_);_(\$* \(#,##0\);_(\$* \-??_);_(@_)</t>
        </is>
      </c>
      <c r="J264" t="b">
        <v>0</v>
      </c>
      <c r="K264" t="b">
        <v>0</v>
      </c>
      <c r="L264" t="n">
        <v>10</v>
      </c>
      <c r="N264" t="inlineStr">
        <is>
          <t>00000000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1</v>
      </c>
      <c r="S264" t="inlineStr">
        <is>
          <t>G000001</t>
        </is>
      </c>
      <c r="T264" t="inlineStr">
        <is>
          <t>Vertical</t>
        </is>
      </c>
      <c r="U264" t="n">
        <v>37</v>
      </c>
      <c r="V264" t="b">
        <v>1</v>
      </c>
      <c r="W264" t="inlineStr">
        <is>
          <t>Sheet1!E35:E71</t>
        </is>
      </c>
      <c r="X264">
        <f>+SUM(R[0]C[-2]:R[0]C[-1])</f>
        <v/>
      </c>
    </row>
    <row r="265">
      <c r="A265" t="inlineStr">
        <is>
          <t>Sheet1</t>
        </is>
      </c>
      <c r="B265" t="inlineStr">
        <is>
          <t>F66</t>
        </is>
      </c>
      <c r="C265" t="n">
        <v>66</v>
      </c>
      <c r="D265" t="n">
        <v>6</v>
      </c>
      <c r="E265" t="inlineStr">
        <is>
          <t>Calculation</t>
        </is>
      </c>
      <c r="F265" t="inlineStr">
        <is>
          <t>'=+F65/(1+$D$15/12)</t>
        </is>
      </c>
      <c r="G265" t="n">
        <v>0.79323761628944</v>
      </c>
      <c r="H265" t="inlineStr"/>
      <c r="I265" t="inlineStr">
        <is>
          <t>0.0%</t>
        </is>
      </c>
      <c r="J265" t="b">
        <v>0</v>
      </c>
      <c r="K265" t="b">
        <v>0</v>
      </c>
      <c r="L265" t="n">
        <v>10</v>
      </c>
      <c r="N265" t="inlineStr">
        <is>
          <t>00000000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1</v>
      </c>
      <c r="S265" t="inlineStr">
        <is>
          <t>G000004</t>
        </is>
      </c>
      <c r="T265" t="inlineStr">
        <is>
          <t>Vertical</t>
        </is>
      </c>
      <c r="U265" t="n">
        <v>36</v>
      </c>
      <c r="V265" t="b">
        <v>1</v>
      </c>
      <c r="W265" t="inlineStr">
        <is>
          <t>Sheet1!F36:F71</t>
        </is>
      </c>
      <c r="X265">
        <f>+R[-1]C[0]/(1+R15C4/12)</f>
        <v/>
      </c>
    </row>
    <row r="266">
      <c r="A266" t="inlineStr">
        <is>
          <t>Sheet1</t>
        </is>
      </c>
      <c r="B266" t="inlineStr">
        <is>
          <t>G66</t>
        </is>
      </c>
      <c r="C266" t="n">
        <v>66</v>
      </c>
      <c r="D266" t="n">
        <v>7</v>
      </c>
      <c r="E266" t="inlineStr">
        <is>
          <t>Calculation</t>
        </is>
      </c>
      <c r="F266" t="inlineStr">
        <is>
          <t>'=+E66*F66</t>
        </is>
      </c>
      <c r="G266" t="n">
        <v>222.106532561043</v>
      </c>
      <c r="H266" t="inlineStr"/>
      <c r="I266" t="inlineStr">
        <is>
          <t>0.00</t>
        </is>
      </c>
      <c r="J266" t="b">
        <v>0</v>
      </c>
      <c r="K266" t="b">
        <v>0</v>
      </c>
      <c r="L266" t="n">
        <v>10</v>
      </c>
      <c r="N266" t="inlineStr">
        <is>
          <t>00000000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1</v>
      </c>
      <c r="S266" t="inlineStr">
        <is>
          <t>G000002</t>
        </is>
      </c>
      <c r="T266" t="inlineStr">
        <is>
          <t>Vertical</t>
        </is>
      </c>
      <c r="U266" t="n">
        <v>37</v>
      </c>
      <c r="V266" t="b">
        <v>1</v>
      </c>
      <c r="W266" t="inlineStr">
        <is>
          <t>Sheet1!G35:G71</t>
        </is>
      </c>
      <c r="X266">
        <f>+R[0]C[-2]*R[0]C[-1]</f>
        <v/>
      </c>
    </row>
    <row r="267">
      <c r="A267" t="inlineStr">
        <is>
          <t>Sheet1</t>
        </is>
      </c>
      <c r="B267" t="inlineStr">
        <is>
          <t>H66</t>
        </is>
      </c>
      <c r="C267" t="n">
        <v>66</v>
      </c>
      <c r="D267" t="n">
        <v>8</v>
      </c>
      <c r="E267" t="inlineStr">
        <is>
          <t>Calculation</t>
        </is>
      </c>
      <c r="F267" t="inlineStr">
        <is>
          <t>'=+H65+G66</t>
        </is>
      </c>
      <c r="G267" t="n">
        <v>8359.128991860851</v>
      </c>
      <c r="H267" t="inlineStr"/>
      <c r="I267" t="inlineStr">
        <is>
          <t>0.00</t>
        </is>
      </c>
      <c r="J267" t="b">
        <v>0</v>
      </c>
      <c r="K267" t="b">
        <v>0</v>
      </c>
      <c r="L267" t="n">
        <v>10</v>
      </c>
      <c r="N267" t="inlineStr">
        <is>
          <t>00000000</t>
        </is>
      </c>
      <c r="O267" t="inlineStr">
        <is>
          <t>general</t>
        </is>
      </c>
      <c r="P267" t="inlineStr">
        <is>
          <t>bottom</t>
        </is>
      </c>
      <c r="Q267" t="b">
        <v>0</v>
      </c>
      <c r="R267" t="b">
        <v>1</v>
      </c>
      <c r="S267" t="inlineStr">
        <is>
          <t>G000005</t>
        </is>
      </c>
      <c r="T267" t="inlineStr">
        <is>
          <t>Vertical</t>
        </is>
      </c>
      <c r="U267" t="n">
        <v>36</v>
      </c>
      <c r="V267" t="b">
        <v>1</v>
      </c>
      <c r="W267" t="inlineStr">
        <is>
          <t>Sheet1!H36:H71</t>
        </is>
      </c>
      <c r="X267">
        <f>+R[-1]C[0]+R[0]C[-1]</f>
        <v/>
      </c>
    </row>
    <row r="268">
      <c r="A268" t="inlineStr">
        <is>
          <t>Sheet1</t>
        </is>
      </c>
      <c r="B268" t="inlineStr">
        <is>
          <t>A67</t>
        </is>
      </c>
      <c r="C268" t="n">
        <v>67</v>
      </c>
      <c r="D268" t="n">
        <v>1</v>
      </c>
      <c r="E268" t="inlineStr">
        <is>
          <t>Input</t>
        </is>
      </c>
      <c r="F268" t="n">
        <v/>
      </c>
      <c r="G268" t="n">
        <v>32</v>
      </c>
      <c r="H268" t="inlineStr"/>
      <c r="I268" t="inlineStr">
        <is>
          <t>General</t>
        </is>
      </c>
      <c r="J268" t="b">
        <v>0</v>
      </c>
      <c r="K268" t="b">
        <v>0</v>
      </c>
      <c r="L268" t="n">
        <v>10</v>
      </c>
      <c r="N268" t="inlineStr">
        <is>
          <t>00000000</t>
        </is>
      </c>
      <c r="O268" t="inlineStr">
        <is>
          <t>general</t>
        </is>
      </c>
      <c r="P268" t="inlineStr">
        <is>
          <t>bottom</t>
        </is>
      </c>
      <c r="Q268" t="b">
        <v>0</v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</row>
    <row r="269">
      <c r="A269" t="inlineStr">
        <is>
          <t>Sheet1</t>
        </is>
      </c>
      <c r="B269" t="inlineStr">
        <is>
          <t>C67</t>
        </is>
      </c>
      <c r="C269" t="n">
        <v>67</v>
      </c>
      <c r="D269" t="n">
        <v>3</v>
      </c>
      <c r="E269" t="inlineStr">
        <is>
          <t>Calculation</t>
        </is>
      </c>
      <c r="F269" t="inlineStr">
        <is>
          <t>'=+C66</t>
        </is>
      </c>
      <c r="G269" t="n">
        <v>280</v>
      </c>
      <c r="H269" t="inlineStr"/>
      <c r="I269" t="inlineStr">
        <is>
          <t>_(\$* #,##0_);_(\$* \(#,##0\);_(\$* \-??_);_(@_)</t>
        </is>
      </c>
      <c r="J269" t="b">
        <v>0</v>
      </c>
      <c r="K269" t="b">
        <v>0</v>
      </c>
      <c r="L269" t="n">
        <v>10</v>
      </c>
      <c r="N269" t="inlineStr">
        <is>
          <t>00000000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1</v>
      </c>
      <c r="S269" t="inlineStr">
        <is>
          <t>G000003</t>
        </is>
      </c>
      <c r="T269" t="inlineStr">
        <is>
          <t>Vertical</t>
        </is>
      </c>
      <c r="U269" t="n">
        <v>35</v>
      </c>
      <c r="V269" t="b">
        <v>1</v>
      </c>
      <c r="W269" t="inlineStr">
        <is>
          <t>Sheet1!C36:C70</t>
        </is>
      </c>
      <c r="X269">
        <f>+R[-1]C[0]</f>
        <v/>
      </c>
    </row>
    <row r="270">
      <c r="A270" t="inlineStr">
        <is>
          <t>Sheet1</t>
        </is>
      </c>
      <c r="B270" t="inlineStr">
        <is>
          <t>E67</t>
        </is>
      </c>
      <c r="C270" t="n">
        <v>67</v>
      </c>
      <c r="D270" t="n">
        <v>5</v>
      </c>
      <c r="E270" t="inlineStr">
        <is>
          <t>Calculation</t>
        </is>
      </c>
      <c r="F270" t="inlineStr">
        <is>
          <t>'=+SUM(C67:D67)</t>
        </is>
      </c>
      <c r="G270" t="n">
        <v>280</v>
      </c>
      <c r="H270" t="inlineStr"/>
      <c r="I270" t="inlineStr">
        <is>
          <t>_(\$* #,##0_);_(\$* \(#,##0\);_(\$* \-??_);_(@_)</t>
        </is>
      </c>
      <c r="J270" t="b">
        <v>0</v>
      </c>
      <c r="K270" t="b">
        <v>0</v>
      </c>
      <c r="L270" t="n">
        <v>10</v>
      </c>
      <c r="N270" t="inlineStr">
        <is>
          <t>00000000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1</v>
      </c>
      <c r="S270" t="inlineStr">
        <is>
          <t>G000001</t>
        </is>
      </c>
      <c r="T270" t="inlineStr">
        <is>
          <t>Vertical</t>
        </is>
      </c>
      <c r="U270" t="n">
        <v>37</v>
      </c>
      <c r="V270" t="b">
        <v>1</v>
      </c>
      <c r="W270" t="inlineStr">
        <is>
          <t>Sheet1!E35:E71</t>
        </is>
      </c>
      <c r="X270">
        <f>+SUM(R[0]C[-2]:R[0]C[-1])</f>
        <v/>
      </c>
    </row>
    <row r="271">
      <c r="A271" t="inlineStr">
        <is>
          <t>Sheet1</t>
        </is>
      </c>
      <c r="B271" t="inlineStr">
        <is>
          <t>F67</t>
        </is>
      </c>
      <c r="C271" t="n">
        <v>67</v>
      </c>
      <c r="D271" t="n">
        <v>6</v>
      </c>
      <c r="E271" t="inlineStr">
        <is>
          <t>Calculation</t>
        </is>
      </c>
      <c r="F271" t="inlineStr">
        <is>
          <t>'=+F66/(1+$D$15/12)</t>
        </is>
      </c>
      <c r="G271" t="n">
        <v>0.7873326216272361</v>
      </c>
      <c r="H271" t="inlineStr"/>
      <c r="I271" t="inlineStr">
        <is>
          <t>0.0%</t>
        </is>
      </c>
      <c r="J271" t="b">
        <v>0</v>
      </c>
      <c r="K271" t="b">
        <v>0</v>
      </c>
      <c r="L271" t="n">
        <v>10</v>
      </c>
      <c r="N271" t="inlineStr">
        <is>
          <t>00000000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1</v>
      </c>
      <c r="S271" t="inlineStr">
        <is>
          <t>G000004</t>
        </is>
      </c>
      <c r="T271" t="inlineStr">
        <is>
          <t>Vertical</t>
        </is>
      </c>
      <c r="U271" t="n">
        <v>36</v>
      </c>
      <c r="V271" t="b">
        <v>1</v>
      </c>
      <c r="W271" t="inlineStr">
        <is>
          <t>Sheet1!F36:F71</t>
        </is>
      </c>
      <c r="X271">
        <f>+R[-1]C[0]/(1+R15C4/12)</f>
        <v/>
      </c>
    </row>
    <row r="272">
      <c r="A272" t="inlineStr">
        <is>
          <t>Sheet1</t>
        </is>
      </c>
      <c r="B272" t="inlineStr">
        <is>
          <t>G67</t>
        </is>
      </c>
      <c r="C272" t="n">
        <v>67</v>
      </c>
      <c r="D272" t="n">
        <v>7</v>
      </c>
      <c r="E272" t="inlineStr">
        <is>
          <t>Calculation</t>
        </is>
      </c>
      <c r="F272" t="inlineStr">
        <is>
          <t>'=+E67*F67</t>
        </is>
      </c>
      <c r="G272" t="n">
        <v>220.453134055626</v>
      </c>
      <c r="H272" t="inlineStr"/>
      <c r="I272" t="inlineStr">
        <is>
          <t>0.00</t>
        </is>
      </c>
      <c r="J272" t="b">
        <v>0</v>
      </c>
      <c r="K272" t="b">
        <v>0</v>
      </c>
      <c r="L272" t="n">
        <v>10</v>
      </c>
      <c r="N272" t="inlineStr">
        <is>
          <t>00000000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1</v>
      </c>
      <c r="S272" t="inlineStr">
        <is>
          <t>G000002</t>
        </is>
      </c>
      <c r="T272" t="inlineStr">
        <is>
          <t>Vertical</t>
        </is>
      </c>
      <c r="U272" t="n">
        <v>37</v>
      </c>
      <c r="V272" t="b">
        <v>1</v>
      </c>
      <c r="W272" t="inlineStr">
        <is>
          <t>Sheet1!G35:G71</t>
        </is>
      </c>
      <c r="X272">
        <f>+R[0]C[-2]*R[0]C[-1]</f>
        <v/>
      </c>
    </row>
    <row r="273">
      <c r="A273" t="inlineStr">
        <is>
          <t>Sheet1</t>
        </is>
      </c>
      <c r="B273" t="inlineStr">
        <is>
          <t>H67</t>
        </is>
      </c>
      <c r="C273" t="n">
        <v>67</v>
      </c>
      <c r="D273" t="n">
        <v>8</v>
      </c>
      <c r="E273" t="inlineStr">
        <is>
          <t>Calculation</t>
        </is>
      </c>
      <c r="F273" t="inlineStr">
        <is>
          <t>'=+H66+G67</t>
        </is>
      </c>
      <c r="G273" t="n">
        <v>8579.58212591647</v>
      </c>
      <c r="H273" t="inlineStr"/>
      <c r="I273" t="inlineStr">
        <is>
          <t>0.00</t>
        </is>
      </c>
      <c r="J273" t="b">
        <v>0</v>
      </c>
      <c r="K273" t="b">
        <v>0</v>
      </c>
      <c r="L273" t="n">
        <v>10</v>
      </c>
      <c r="N273" t="inlineStr">
        <is>
          <t>00000000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1</v>
      </c>
      <c r="S273" t="inlineStr">
        <is>
          <t>G000005</t>
        </is>
      </c>
      <c r="T273" t="inlineStr">
        <is>
          <t>Vertical</t>
        </is>
      </c>
      <c r="U273" t="n">
        <v>36</v>
      </c>
      <c r="V273" t="b">
        <v>1</v>
      </c>
      <c r="W273" t="inlineStr">
        <is>
          <t>Sheet1!H36:H71</t>
        </is>
      </c>
      <c r="X273">
        <f>+R[-1]C[0]+R[0]C[-1]</f>
        <v/>
      </c>
    </row>
    <row r="274">
      <c r="A274" t="inlineStr">
        <is>
          <t>Sheet1</t>
        </is>
      </c>
      <c r="B274" t="inlineStr">
        <is>
          <t>A68</t>
        </is>
      </c>
      <c r="C274" t="n">
        <v>68</v>
      </c>
      <c r="D274" t="n">
        <v>1</v>
      </c>
      <c r="E274" t="inlineStr">
        <is>
          <t>Input</t>
        </is>
      </c>
      <c r="F274" t="n">
        <v/>
      </c>
      <c r="G274" t="n">
        <v>33</v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10</v>
      </c>
      <c r="N274" t="inlineStr">
        <is>
          <t>00000000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</row>
    <row r="275">
      <c r="A275" t="inlineStr">
        <is>
          <t>Sheet1</t>
        </is>
      </c>
      <c r="B275" t="inlineStr">
        <is>
          <t>C68</t>
        </is>
      </c>
      <c r="C275" t="n">
        <v>68</v>
      </c>
      <c r="D275" t="n">
        <v>3</v>
      </c>
      <c r="E275" t="inlineStr">
        <is>
          <t>Calculation</t>
        </is>
      </c>
      <c r="F275" t="inlineStr">
        <is>
          <t>'=+C67</t>
        </is>
      </c>
      <c r="G275" t="n">
        <v>280</v>
      </c>
      <c r="H275" t="inlineStr"/>
      <c r="I275" t="inlineStr">
        <is>
          <t>_(\$* #,##0_);_(\$* \(#,##0\);_(\$* \-??_);_(@_)</t>
        </is>
      </c>
      <c r="J275" t="b">
        <v>0</v>
      </c>
      <c r="K275" t="b">
        <v>0</v>
      </c>
      <c r="L275" t="n">
        <v>10</v>
      </c>
      <c r="N275" t="inlineStr">
        <is>
          <t>00000000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1</v>
      </c>
      <c r="S275" t="inlineStr">
        <is>
          <t>G000003</t>
        </is>
      </c>
      <c r="T275" t="inlineStr">
        <is>
          <t>Vertical</t>
        </is>
      </c>
      <c r="U275" t="n">
        <v>35</v>
      </c>
      <c r="V275" t="b">
        <v>1</v>
      </c>
      <c r="W275" t="inlineStr">
        <is>
          <t>Sheet1!C36:C70</t>
        </is>
      </c>
      <c r="X275">
        <f>+R[-1]C[0]</f>
        <v/>
      </c>
    </row>
    <row r="276">
      <c r="A276" t="inlineStr">
        <is>
          <t>Sheet1</t>
        </is>
      </c>
      <c r="B276" t="inlineStr">
        <is>
          <t>E68</t>
        </is>
      </c>
      <c r="C276" t="n">
        <v>68</v>
      </c>
      <c r="D276" t="n">
        <v>5</v>
      </c>
      <c r="E276" t="inlineStr">
        <is>
          <t>Calculation</t>
        </is>
      </c>
      <c r="F276" t="inlineStr">
        <is>
          <t>'=+SUM(C68:D68)</t>
        </is>
      </c>
      <c r="G276" t="n">
        <v>280</v>
      </c>
      <c r="H276" t="inlineStr"/>
      <c r="I276" t="inlineStr">
        <is>
          <t>_(\$* #,##0_);_(\$* \(#,##0\);_(\$* \-??_);_(@_)</t>
        </is>
      </c>
      <c r="J276" t="b">
        <v>0</v>
      </c>
      <c r="K276" t="b">
        <v>0</v>
      </c>
      <c r="L276" t="n">
        <v>10</v>
      </c>
      <c r="N276" t="inlineStr">
        <is>
          <t>00000000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1</v>
      </c>
      <c r="S276" t="inlineStr">
        <is>
          <t>G000001</t>
        </is>
      </c>
      <c r="T276" t="inlineStr">
        <is>
          <t>Vertical</t>
        </is>
      </c>
      <c r="U276" t="n">
        <v>37</v>
      </c>
      <c r="V276" t="b">
        <v>1</v>
      </c>
      <c r="W276" t="inlineStr">
        <is>
          <t>Sheet1!E35:E71</t>
        </is>
      </c>
      <c r="X276">
        <f>+SUM(R[0]C[-2]:R[0]C[-1])</f>
        <v/>
      </c>
    </row>
    <row r="277">
      <c r="A277" t="inlineStr">
        <is>
          <t>Sheet1</t>
        </is>
      </c>
      <c r="B277" t="inlineStr">
        <is>
          <t>F68</t>
        </is>
      </c>
      <c r="C277" t="n">
        <v>68</v>
      </c>
      <c r="D277" t="n">
        <v>6</v>
      </c>
      <c r="E277" t="inlineStr">
        <is>
          <t>Calculation</t>
        </is>
      </c>
      <c r="F277" t="inlineStr">
        <is>
          <t>'=+F67/(1+$D$15/12)</t>
        </is>
      </c>
      <c r="G277" t="n">
        <v>0.781471584741673</v>
      </c>
      <c r="H277" t="inlineStr"/>
      <c r="I277" t="inlineStr">
        <is>
          <t>0.0%</t>
        </is>
      </c>
      <c r="J277" t="b">
        <v>0</v>
      </c>
      <c r="K277" t="b">
        <v>0</v>
      </c>
      <c r="L277" t="n">
        <v>10</v>
      </c>
      <c r="N277" t="inlineStr">
        <is>
          <t>00000000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1</v>
      </c>
      <c r="S277" t="inlineStr">
        <is>
          <t>G000004</t>
        </is>
      </c>
      <c r="T277" t="inlineStr">
        <is>
          <t>Vertical</t>
        </is>
      </c>
      <c r="U277" t="n">
        <v>36</v>
      </c>
      <c r="V277" t="b">
        <v>1</v>
      </c>
      <c r="W277" t="inlineStr">
        <is>
          <t>Sheet1!F36:F71</t>
        </is>
      </c>
      <c r="X277">
        <f>+R[-1]C[0]/(1+R15C4/12)</f>
        <v/>
      </c>
    </row>
    <row r="278">
      <c r="A278" t="inlineStr">
        <is>
          <t>Sheet1</t>
        </is>
      </c>
      <c r="B278" t="inlineStr">
        <is>
          <t>G68</t>
        </is>
      </c>
      <c r="C278" t="n">
        <v>68</v>
      </c>
      <c r="D278" t="n">
        <v>7</v>
      </c>
      <c r="E278" t="inlineStr">
        <is>
          <t>Calculation</t>
        </is>
      </c>
      <c r="F278" t="inlineStr">
        <is>
          <t>'=+E68*F68</t>
        </is>
      </c>
      <c r="G278" t="n">
        <v>218.812043727668</v>
      </c>
      <c r="H278" t="inlineStr"/>
      <c r="I278" t="inlineStr">
        <is>
          <t>0.00</t>
        </is>
      </c>
      <c r="J278" t="b">
        <v>0</v>
      </c>
      <c r="K278" t="b">
        <v>0</v>
      </c>
      <c r="L278" t="n">
        <v>10</v>
      </c>
      <c r="N278" t="inlineStr">
        <is>
          <t>00000000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1</v>
      </c>
      <c r="S278" t="inlineStr">
        <is>
          <t>G000002</t>
        </is>
      </c>
      <c r="T278" t="inlineStr">
        <is>
          <t>Vertical</t>
        </is>
      </c>
      <c r="U278" t="n">
        <v>37</v>
      </c>
      <c r="V278" t="b">
        <v>1</v>
      </c>
      <c r="W278" t="inlineStr">
        <is>
          <t>Sheet1!G35:G71</t>
        </is>
      </c>
      <c r="X278">
        <f>+R[0]C[-2]*R[0]C[-1]</f>
        <v/>
      </c>
    </row>
    <row r="279">
      <c r="A279" t="inlineStr">
        <is>
          <t>Sheet1</t>
        </is>
      </c>
      <c r="B279" t="inlineStr">
        <is>
          <t>H68</t>
        </is>
      </c>
      <c r="C279" t="n">
        <v>68</v>
      </c>
      <c r="D279" t="n">
        <v>8</v>
      </c>
      <c r="E279" t="inlineStr">
        <is>
          <t>Calculation</t>
        </is>
      </c>
      <c r="F279" t="inlineStr">
        <is>
          <t>'=+H67+G68</t>
        </is>
      </c>
      <c r="G279" t="n">
        <v>8798.39416964414</v>
      </c>
      <c r="H279" t="inlineStr"/>
      <c r="I279" t="inlineStr">
        <is>
          <t>0.00</t>
        </is>
      </c>
      <c r="J279" t="b">
        <v>0</v>
      </c>
      <c r="K279" t="b">
        <v>0</v>
      </c>
      <c r="L279" t="n">
        <v>10</v>
      </c>
      <c r="N279" t="inlineStr">
        <is>
          <t>00000000</t>
        </is>
      </c>
      <c r="O279" t="inlineStr">
        <is>
          <t>general</t>
        </is>
      </c>
      <c r="P279" t="inlineStr">
        <is>
          <t>bottom</t>
        </is>
      </c>
      <c r="Q279" t="b">
        <v>0</v>
      </c>
      <c r="R279" t="b">
        <v>1</v>
      </c>
      <c r="S279" t="inlineStr">
        <is>
          <t>G000005</t>
        </is>
      </c>
      <c r="T279" t="inlineStr">
        <is>
          <t>Vertical</t>
        </is>
      </c>
      <c r="U279" t="n">
        <v>36</v>
      </c>
      <c r="V279" t="b">
        <v>1</v>
      </c>
      <c r="W279" t="inlineStr">
        <is>
          <t>Sheet1!H36:H71</t>
        </is>
      </c>
      <c r="X279">
        <f>+R[-1]C[0]+R[0]C[-1]</f>
        <v/>
      </c>
    </row>
    <row r="280">
      <c r="A280" t="inlineStr">
        <is>
          <t>Sheet1</t>
        </is>
      </c>
      <c r="B280" t="inlineStr">
        <is>
          <t>A69</t>
        </is>
      </c>
      <c r="C280" t="n">
        <v>69</v>
      </c>
      <c r="D280" t="n">
        <v>1</v>
      </c>
      <c r="E280" t="inlineStr">
        <is>
          <t>Input</t>
        </is>
      </c>
      <c r="F280" t="n">
        <v/>
      </c>
      <c r="G280" t="n">
        <v>34</v>
      </c>
      <c r="H280" t="inlineStr"/>
      <c r="I280" t="inlineStr">
        <is>
          <t>General</t>
        </is>
      </c>
      <c r="J280" t="b">
        <v>0</v>
      </c>
      <c r="K280" t="b">
        <v>0</v>
      </c>
      <c r="L280" t="n">
        <v>10</v>
      </c>
      <c r="N280" t="inlineStr">
        <is>
          <t>00000000</t>
        </is>
      </c>
      <c r="O280" t="inlineStr">
        <is>
          <t>general</t>
        </is>
      </c>
      <c r="P280" t="inlineStr">
        <is>
          <t>bottom</t>
        </is>
      </c>
      <c r="Q280" t="b">
        <v>0</v>
      </c>
      <c r="R280" t="b">
        <v>1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</row>
    <row r="281">
      <c r="A281" t="inlineStr">
        <is>
          <t>Sheet1</t>
        </is>
      </c>
      <c r="B281" t="inlineStr">
        <is>
          <t>C69</t>
        </is>
      </c>
      <c r="C281" t="n">
        <v>69</v>
      </c>
      <c r="D281" t="n">
        <v>3</v>
      </c>
      <c r="E281" t="inlineStr">
        <is>
          <t>Calculation</t>
        </is>
      </c>
      <c r="F281" t="inlineStr">
        <is>
          <t>'=+C68</t>
        </is>
      </c>
      <c r="G281" t="n">
        <v>280</v>
      </c>
      <c r="H281" t="inlineStr"/>
      <c r="I281" t="inlineStr">
        <is>
          <t>_(\$* #,##0_);_(\$* \(#,##0\);_(\$* \-??_);_(@_)</t>
        </is>
      </c>
      <c r="J281" t="b">
        <v>0</v>
      </c>
      <c r="K281" t="b">
        <v>0</v>
      </c>
      <c r="L281" t="n">
        <v>10</v>
      </c>
      <c r="N281" t="inlineStr">
        <is>
          <t>00000000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1</v>
      </c>
      <c r="S281" t="inlineStr">
        <is>
          <t>G000003</t>
        </is>
      </c>
      <c r="T281" t="inlineStr">
        <is>
          <t>Vertical</t>
        </is>
      </c>
      <c r="U281" t="n">
        <v>35</v>
      </c>
      <c r="V281" t="b">
        <v>1</v>
      </c>
      <c r="W281" t="inlineStr">
        <is>
          <t>Sheet1!C36:C70</t>
        </is>
      </c>
      <c r="X281">
        <f>+R[-1]C[0]</f>
        <v/>
      </c>
    </row>
    <row r="282">
      <c r="A282" t="inlineStr">
        <is>
          <t>Sheet1</t>
        </is>
      </c>
      <c r="B282" t="inlineStr">
        <is>
          <t>E69</t>
        </is>
      </c>
      <c r="C282" t="n">
        <v>69</v>
      </c>
      <c r="D282" t="n">
        <v>5</v>
      </c>
      <c r="E282" t="inlineStr">
        <is>
          <t>Calculation</t>
        </is>
      </c>
      <c r="F282" t="inlineStr">
        <is>
          <t>'=+SUM(C69:D69)</t>
        </is>
      </c>
      <c r="G282" t="n">
        <v>280</v>
      </c>
      <c r="H282" t="inlineStr"/>
      <c r="I282" t="inlineStr">
        <is>
          <t>_(\$* #,##0_);_(\$* \(#,##0\);_(\$* \-??_);_(@_)</t>
        </is>
      </c>
      <c r="J282" t="b">
        <v>0</v>
      </c>
      <c r="K282" t="b">
        <v>0</v>
      </c>
      <c r="L282" t="n">
        <v>10</v>
      </c>
      <c r="N282" t="inlineStr">
        <is>
          <t>00000000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1</v>
      </c>
      <c r="S282" t="inlineStr">
        <is>
          <t>G000001</t>
        </is>
      </c>
      <c r="T282" t="inlineStr">
        <is>
          <t>Vertical</t>
        </is>
      </c>
      <c r="U282" t="n">
        <v>37</v>
      </c>
      <c r="V282" t="b">
        <v>1</v>
      </c>
      <c r="W282" t="inlineStr">
        <is>
          <t>Sheet1!E35:E71</t>
        </is>
      </c>
      <c r="X282">
        <f>+SUM(R[0]C[-2]:R[0]C[-1])</f>
        <v/>
      </c>
    </row>
    <row r="283">
      <c r="A283" t="inlineStr">
        <is>
          <t>Sheet1</t>
        </is>
      </c>
      <c r="B283" t="inlineStr">
        <is>
          <t>F69</t>
        </is>
      </c>
      <c r="C283" t="n">
        <v>69</v>
      </c>
      <c r="D283" t="n">
        <v>6</v>
      </c>
      <c r="E283" t="inlineStr">
        <is>
          <t>Calculation</t>
        </is>
      </c>
      <c r="F283" t="inlineStr">
        <is>
          <t>'=+F68/(1+$D$15/12)</t>
        </is>
      </c>
      <c r="G283" t="n">
        <v>0.775654178403646</v>
      </c>
      <c r="H283" t="inlineStr"/>
      <c r="I283" t="inlineStr">
        <is>
          <t>0.0%</t>
        </is>
      </c>
      <c r="J283" t="b">
        <v>0</v>
      </c>
      <c r="K283" t="b">
        <v>0</v>
      </c>
      <c r="L283" t="n">
        <v>10</v>
      </c>
      <c r="N283" t="inlineStr">
        <is>
          <t>00000000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1</v>
      </c>
      <c r="S283" t="inlineStr">
        <is>
          <t>G000004</t>
        </is>
      </c>
      <c r="T283" t="inlineStr">
        <is>
          <t>Vertical</t>
        </is>
      </c>
      <c r="U283" t="n">
        <v>36</v>
      </c>
      <c r="V283" t="b">
        <v>1</v>
      </c>
      <c r="W283" t="inlineStr">
        <is>
          <t>Sheet1!F36:F71</t>
        </is>
      </c>
      <c r="X283">
        <f>+R[-1]C[0]/(1+R15C4/12)</f>
        <v/>
      </c>
    </row>
    <row r="284">
      <c r="A284" t="inlineStr">
        <is>
          <t>Sheet1</t>
        </is>
      </c>
      <c r="B284" t="inlineStr">
        <is>
          <t>G69</t>
        </is>
      </c>
      <c r="C284" t="n">
        <v>69</v>
      </c>
      <c r="D284" t="n">
        <v>7</v>
      </c>
      <c r="E284" t="inlineStr">
        <is>
          <t>Calculation</t>
        </is>
      </c>
      <c r="F284" t="inlineStr">
        <is>
          <t>'=+E69*F69</t>
        </is>
      </c>
      <c r="G284" t="n">
        <v>217.183169953021</v>
      </c>
      <c r="H284" t="inlineStr"/>
      <c r="I284" t="inlineStr">
        <is>
          <t>0.00</t>
        </is>
      </c>
      <c r="J284" t="b">
        <v>0</v>
      </c>
      <c r="K284" t="b">
        <v>0</v>
      </c>
      <c r="L284" t="n">
        <v>10</v>
      </c>
      <c r="N284" t="inlineStr">
        <is>
          <t>00000000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1</v>
      </c>
      <c r="S284" t="inlineStr">
        <is>
          <t>G000002</t>
        </is>
      </c>
      <c r="T284" t="inlineStr">
        <is>
          <t>Vertical</t>
        </is>
      </c>
      <c r="U284" t="n">
        <v>37</v>
      </c>
      <c r="V284" t="b">
        <v>1</v>
      </c>
      <c r="W284" t="inlineStr">
        <is>
          <t>Sheet1!G35:G71</t>
        </is>
      </c>
      <c r="X284">
        <f>+R[0]C[-2]*R[0]C[-1]</f>
        <v/>
      </c>
    </row>
    <row r="285">
      <c r="A285" t="inlineStr">
        <is>
          <t>Sheet1</t>
        </is>
      </c>
      <c r="B285" t="inlineStr">
        <is>
          <t>H69</t>
        </is>
      </c>
      <c r="C285" t="n">
        <v>69</v>
      </c>
      <c r="D285" t="n">
        <v>8</v>
      </c>
      <c r="E285" t="inlineStr">
        <is>
          <t>Calculation</t>
        </is>
      </c>
      <c r="F285" t="inlineStr">
        <is>
          <t>'=+H68+G69</t>
        </is>
      </c>
      <c r="G285" t="n">
        <v>9015.577339597159</v>
      </c>
      <c r="H285" t="inlineStr"/>
      <c r="I285" t="inlineStr">
        <is>
          <t>0.00</t>
        </is>
      </c>
      <c r="J285" t="b">
        <v>0</v>
      </c>
      <c r="K285" t="b">
        <v>0</v>
      </c>
      <c r="L285" t="n">
        <v>10</v>
      </c>
      <c r="N285" t="inlineStr">
        <is>
          <t>00000000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1</v>
      </c>
      <c r="S285" t="inlineStr">
        <is>
          <t>G000005</t>
        </is>
      </c>
      <c r="T285" t="inlineStr">
        <is>
          <t>Vertical</t>
        </is>
      </c>
      <c r="U285" t="n">
        <v>36</v>
      </c>
      <c r="V285" t="b">
        <v>1</v>
      </c>
      <c r="W285" t="inlineStr">
        <is>
          <t>Sheet1!H36:H71</t>
        </is>
      </c>
      <c r="X285">
        <f>+R[-1]C[0]+R[0]C[-1]</f>
        <v/>
      </c>
    </row>
    <row r="286">
      <c r="A286" t="inlineStr">
        <is>
          <t>Sheet1</t>
        </is>
      </c>
      <c r="B286" t="inlineStr">
        <is>
          <t>A70</t>
        </is>
      </c>
      <c r="C286" t="n">
        <v>70</v>
      </c>
      <c r="D286" t="n">
        <v>1</v>
      </c>
      <c r="E286" t="inlineStr">
        <is>
          <t>Input</t>
        </is>
      </c>
      <c r="F286" t="n">
        <v/>
      </c>
      <c r="G286" t="n">
        <v>35</v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10</v>
      </c>
      <c r="N286" t="inlineStr">
        <is>
          <t>00000000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1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</row>
    <row r="287">
      <c r="A287" t="inlineStr">
        <is>
          <t>Sheet1</t>
        </is>
      </c>
      <c r="B287" t="inlineStr">
        <is>
          <t>C70</t>
        </is>
      </c>
      <c r="C287" t="n">
        <v>70</v>
      </c>
      <c r="D287" t="n">
        <v>3</v>
      </c>
      <c r="E287" t="inlineStr">
        <is>
          <t>Calculation</t>
        </is>
      </c>
      <c r="F287" t="inlineStr">
        <is>
          <t>'=+C69</t>
        </is>
      </c>
      <c r="G287" t="n">
        <v>280</v>
      </c>
      <c r="H287" t="inlineStr"/>
      <c r="I287" t="inlineStr">
        <is>
          <t>_(\$* #,##0_);_(\$* \(#,##0\);_(\$* \-??_);_(@_)</t>
        </is>
      </c>
      <c r="J287" t="b">
        <v>0</v>
      </c>
      <c r="K287" t="b">
        <v>0</v>
      </c>
      <c r="L287" t="n">
        <v>10</v>
      </c>
      <c r="N287" t="inlineStr">
        <is>
          <t>00000000</t>
        </is>
      </c>
      <c r="O287" t="inlineStr">
        <is>
          <t>general</t>
        </is>
      </c>
      <c r="P287" t="inlineStr">
        <is>
          <t>bottom</t>
        </is>
      </c>
      <c r="Q287" t="b">
        <v>0</v>
      </c>
      <c r="R287" t="b">
        <v>1</v>
      </c>
      <c r="S287" t="inlineStr">
        <is>
          <t>G000003</t>
        </is>
      </c>
      <c r="T287" t="inlineStr">
        <is>
          <t>Vertical</t>
        </is>
      </c>
      <c r="U287" t="n">
        <v>35</v>
      </c>
      <c r="V287" t="b">
        <v>1</v>
      </c>
      <c r="W287" t="inlineStr">
        <is>
          <t>Sheet1!C36:C70</t>
        </is>
      </c>
      <c r="X287">
        <f>+R[-1]C[0]</f>
        <v/>
      </c>
    </row>
    <row r="288">
      <c r="A288" t="inlineStr">
        <is>
          <t>Sheet1</t>
        </is>
      </c>
      <c r="B288" t="inlineStr">
        <is>
          <t>E70</t>
        </is>
      </c>
      <c r="C288" t="n">
        <v>70</v>
      </c>
      <c r="D288" t="n">
        <v>5</v>
      </c>
      <c r="E288" t="inlineStr">
        <is>
          <t>Calculation</t>
        </is>
      </c>
      <c r="F288" t="inlineStr">
        <is>
          <t>'=+SUM(C70:D70)</t>
        </is>
      </c>
      <c r="G288" t="n">
        <v>280</v>
      </c>
      <c r="H288" t="inlineStr"/>
      <c r="I288" t="inlineStr">
        <is>
          <t>_(\$* #,##0_);_(\$* \(#,##0\);_(\$* \-??_);_(@_)</t>
        </is>
      </c>
      <c r="J288" t="b">
        <v>0</v>
      </c>
      <c r="K288" t="b">
        <v>0</v>
      </c>
      <c r="L288" t="n">
        <v>10</v>
      </c>
      <c r="N288" t="inlineStr">
        <is>
          <t>00000000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1</v>
      </c>
      <c r="S288" t="inlineStr">
        <is>
          <t>G000001</t>
        </is>
      </c>
      <c r="T288" t="inlineStr">
        <is>
          <t>Vertical</t>
        </is>
      </c>
      <c r="U288" t="n">
        <v>37</v>
      </c>
      <c r="V288" t="b">
        <v>1</v>
      </c>
      <c r="W288" t="inlineStr">
        <is>
          <t>Sheet1!E35:E71</t>
        </is>
      </c>
      <c r="X288">
        <f>+SUM(R[0]C[-2]:R[0]C[-1])</f>
        <v/>
      </c>
    </row>
    <row r="289">
      <c r="A289" t="inlineStr">
        <is>
          <t>Sheet1</t>
        </is>
      </c>
      <c r="B289" t="inlineStr">
        <is>
          <t>F70</t>
        </is>
      </c>
      <c r="C289" t="n">
        <v>70</v>
      </c>
      <c r="D289" t="n">
        <v>6</v>
      </c>
      <c r="E289" t="inlineStr">
        <is>
          <t>Calculation</t>
        </is>
      </c>
      <c r="F289" t="inlineStr">
        <is>
          <t>'=+F69/(1+$D$15/12)</t>
        </is>
      </c>
      <c r="G289" t="n">
        <v>0.769880077819996</v>
      </c>
      <c r="H289" t="inlineStr"/>
      <c r="I289" t="inlineStr">
        <is>
          <t>0.0%</t>
        </is>
      </c>
      <c r="J289" t="b">
        <v>0</v>
      </c>
      <c r="K289" t="b">
        <v>0</v>
      </c>
      <c r="L289" t="n">
        <v>10</v>
      </c>
      <c r="N289" t="inlineStr">
        <is>
          <t>00000000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1</v>
      </c>
      <c r="S289" t="inlineStr">
        <is>
          <t>G000004</t>
        </is>
      </c>
      <c r="T289" t="inlineStr">
        <is>
          <t>Vertical</t>
        </is>
      </c>
      <c r="U289" t="n">
        <v>36</v>
      </c>
      <c r="V289" t="b">
        <v>1</v>
      </c>
      <c r="W289" t="inlineStr">
        <is>
          <t>Sheet1!F36:F71</t>
        </is>
      </c>
      <c r="X289">
        <f>+R[-1]C[0]/(1+R15C4/12)</f>
        <v/>
      </c>
    </row>
    <row r="290">
      <c r="A290" t="inlineStr">
        <is>
          <t>Sheet1</t>
        </is>
      </c>
      <c r="B290" t="inlineStr">
        <is>
          <t>G70</t>
        </is>
      </c>
      <c r="C290" t="n">
        <v>70</v>
      </c>
      <c r="D290" t="n">
        <v>7</v>
      </c>
      <c r="E290" t="inlineStr">
        <is>
          <t>Calculation</t>
        </is>
      </c>
      <c r="F290" t="inlineStr">
        <is>
          <t>'=+E70*F70</t>
        </is>
      </c>
      <c r="G290" t="n">
        <v>215.566421789599</v>
      </c>
      <c r="H290" t="inlineStr"/>
      <c r="I290" t="inlineStr">
        <is>
          <t>0.00</t>
        </is>
      </c>
      <c r="J290" t="b">
        <v>0</v>
      </c>
      <c r="K290" t="b">
        <v>0</v>
      </c>
      <c r="L290" t="n">
        <v>10</v>
      </c>
      <c r="N290" t="inlineStr">
        <is>
          <t>00000000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1</v>
      </c>
      <c r="S290" t="inlineStr">
        <is>
          <t>G000002</t>
        </is>
      </c>
      <c r="T290" t="inlineStr">
        <is>
          <t>Vertical</t>
        </is>
      </c>
      <c r="U290" t="n">
        <v>37</v>
      </c>
      <c r="V290" t="b">
        <v>1</v>
      </c>
      <c r="W290" t="inlineStr">
        <is>
          <t>Sheet1!G35:G71</t>
        </is>
      </c>
      <c r="X290">
        <f>+R[0]C[-2]*R[0]C[-1]</f>
        <v/>
      </c>
    </row>
    <row r="291">
      <c r="A291" t="inlineStr">
        <is>
          <t>Sheet1</t>
        </is>
      </c>
      <c r="B291" t="inlineStr">
        <is>
          <t>H70</t>
        </is>
      </c>
      <c r="C291" t="n">
        <v>70</v>
      </c>
      <c r="D291" t="n">
        <v>8</v>
      </c>
      <c r="E291" t="inlineStr">
        <is>
          <t>Calculation</t>
        </is>
      </c>
      <c r="F291" t="inlineStr">
        <is>
          <t>'=+H69+G70</t>
        </is>
      </c>
      <c r="G291" t="n">
        <v>9231.14376138676</v>
      </c>
      <c r="H291" t="inlineStr"/>
      <c r="I291" t="inlineStr">
        <is>
          <t>0.00</t>
        </is>
      </c>
      <c r="J291" t="b">
        <v>0</v>
      </c>
      <c r="K291" t="b">
        <v>0</v>
      </c>
      <c r="L291" t="n">
        <v>10</v>
      </c>
      <c r="N291" t="inlineStr">
        <is>
          <t>00000000</t>
        </is>
      </c>
      <c r="O291" t="inlineStr">
        <is>
          <t>general</t>
        </is>
      </c>
      <c r="P291" t="inlineStr">
        <is>
          <t>bottom</t>
        </is>
      </c>
      <c r="Q291" t="b">
        <v>0</v>
      </c>
      <c r="R291" t="b">
        <v>1</v>
      </c>
      <c r="S291" t="inlineStr">
        <is>
          <t>G000005</t>
        </is>
      </c>
      <c r="T291" t="inlineStr">
        <is>
          <t>Vertical</t>
        </is>
      </c>
      <c r="U291" t="n">
        <v>36</v>
      </c>
      <c r="V291" t="b">
        <v>1</v>
      </c>
      <c r="W291" t="inlineStr">
        <is>
          <t>Sheet1!H36:H71</t>
        </is>
      </c>
      <c r="X291">
        <f>+R[-1]C[0]+R[0]C[-1]</f>
        <v/>
      </c>
    </row>
    <row r="292">
      <c r="A292" t="inlineStr">
        <is>
          <t>Sheet1</t>
        </is>
      </c>
      <c r="B292" t="inlineStr">
        <is>
          <t>A71</t>
        </is>
      </c>
      <c r="C292" t="n">
        <v>71</v>
      </c>
      <c r="D292" t="n">
        <v>1</v>
      </c>
      <c r="E292" t="inlineStr">
        <is>
          <t>Input</t>
        </is>
      </c>
      <c r="F292" t="n">
        <v/>
      </c>
      <c r="G292" t="n">
        <v>36</v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10</v>
      </c>
      <c r="N292" t="inlineStr">
        <is>
          <t>00000000</t>
        </is>
      </c>
      <c r="O292" t="inlineStr">
        <is>
          <t>general</t>
        </is>
      </c>
      <c r="P292" t="inlineStr">
        <is>
          <t>bottom</t>
        </is>
      </c>
      <c r="Q292" t="b">
        <v>0</v>
      </c>
      <c r="R292" t="b">
        <v>1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</row>
    <row r="293">
      <c r="A293" t="inlineStr">
        <is>
          <t>Sheet1</t>
        </is>
      </c>
      <c r="B293" t="inlineStr">
        <is>
          <t>C71</t>
        </is>
      </c>
      <c r="C293" t="n">
        <v>71</v>
      </c>
      <c r="D293" t="n">
        <v>3</v>
      </c>
      <c r="E293" t="inlineStr">
        <is>
          <t>Calculation</t>
        </is>
      </c>
      <c r="F293" t="inlineStr">
        <is>
          <t>'=+D14</t>
        </is>
      </c>
      <c r="G293" t="n">
        <v>20000</v>
      </c>
      <c r="H293" t="inlineStr"/>
      <c r="I293" t="inlineStr">
        <is>
          <t>_(\$* #,##0_);_(\$* \(#,##0\);_(\$* \-??_);_(@_)</t>
        </is>
      </c>
      <c r="J293" t="b">
        <v>0</v>
      </c>
      <c r="K293" t="b">
        <v>0</v>
      </c>
      <c r="L293" t="n">
        <v>10</v>
      </c>
      <c r="N293" t="inlineStr">
        <is>
          <t>00000000</t>
        </is>
      </c>
      <c r="O293" t="inlineStr">
        <is>
          <t>general</t>
        </is>
      </c>
      <c r="P293" t="inlineStr">
        <is>
          <t>bottom</t>
        </is>
      </c>
      <c r="Q293" t="b">
        <v>0</v>
      </c>
      <c r="R293" t="b">
        <v>1</v>
      </c>
      <c r="S293" t="n">
        <v/>
      </c>
      <c r="T293" t="n">
        <v/>
      </c>
      <c r="U293" t="n">
        <v/>
      </c>
      <c r="V293" t="b">
        <v>0</v>
      </c>
      <c r="W293" t="inlineStr"/>
      <c r="X293">
        <f>+R[-57]C[1]</f>
        <v/>
      </c>
    </row>
    <row r="294">
      <c r="A294" t="inlineStr">
        <is>
          <t>Sheet1</t>
        </is>
      </c>
      <c r="B294" t="inlineStr">
        <is>
          <t>D71</t>
        </is>
      </c>
      <c r="C294" t="n">
        <v>71</v>
      </c>
      <c r="D294" t="n">
        <v>4</v>
      </c>
      <c r="E294" t="inlineStr">
        <is>
          <t>Calculation</t>
        </is>
      </c>
      <c r="F294" t="inlineStr">
        <is>
          <t>'=+D17*D14</t>
        </is>
      </c>
      <c r="G294" t="n">
        <v>1200</v>
      </c>
      <c r="H294" t="inlineStr"/>
      <c r="I294" t="inlineStr">
        <is>
          <t>_(\$* #,##0_);_(\$* \(#,##0\);_(\$* \-??_);_(@_)</t>
        </is>
      </c>
      <c r="J294" t="b">
        <v>0</v>
      </c>
      <c r="K294" t="b">
        <v>0</v>
      </c>
      <c r="L294" t="n">
        <v>10</v>
      </c>
      <c r="N294" t="inlineStr">
        <is>
          <t>00000000</t>
        </is>
      </c>
      <c r="O294" t="inlineStr">
        <is>
          <t>general</t>
        </is>
      </c>
      <c r="P294" t="inlineStr">
        <is>
          <t>bottom</t>
        </is>
      </c>
      <c r="Q294" t="b">
        <v>0</v>
      </c>
      <c r="R294" t="b">
        <v>1</v>
      </c>
      <c r="S294" t="n">
        <v/>
      </c>
      <c r="T294" t="n">
        <v/>
      </c>
      <c r="U294" t="n">
        <v/>
      </c>
      <c r="V294" t="b">
        <v>0</v>
      </c>
      <c r="W294" t="inlineStr"/>
      <c r="X294">
        <f>+R[-54]C[0]*R[-57]C[0]</f>
        <v/>
      </c>
    </row>
    <row r="295">
      <c r="A295" t="inlineStr">
        <is>
          <t>Sheet1</t>
        </is>
      </c>
      <c r="B295" t="inlineStr">
        <is>
          <t>E71</t>
        </is>
      </c>
      <c r="C295" t="n">
        <v>71</v>
      </c>
      <c r="D295" t="n">
        <v>5</v>
      </c>
      <c r="E295" t="inlineStr">
        <is>
          <t>Calculation</t>
        </is>
      </c>
      <c r="F295" t="inlineStr">
        <is>
          <t>'=+SUM(C71:D71)</t>
        </is>
      </c>
      <c r="G295" t="n">
        <v>21200</v>
      </c>
      <c r="H295" t="inlineStr"/>
      <c r="I295" t="inlineStr">
        <is>
          <t>_(\$* #,##0_);_(\$* \(#,##0\);_(\$* \-??_);_(@_)</t>
        </is>
      </c>
      <c r="J295" t="b">
        <v>0</v>
      </c>
      <c r="K295" t="b">
        <v>0</v>
      </c>
      <c r="L295" t="n">
        <v>10</v>
      </c>
      <c r="N295" t="inlineStr">
        <is>
          <t>00000000</t>
        </is>
      </c>
      <c r="O295" t="inlineStr">
        <is>
          <t>general</t>
        </is>
      </c>
      <c r="P295" t="inlineStr">
        <is>
          <t>bottom</t>
        </is>
      </c>
      <c r="Q295" t="b">
        <v>0</v>
      </c>
      <c r="R295" t="b">
        <v>1</v>
      </c>
      <c r="S295" t="inlineStr">
        <is>
          <t>G000001</t>
        </is>
      </c>
      <c r="T295" t="inlineStr">
        <is>
          <t>Vertical</t>
        </is>
      </c>
      <c r="U295" t="n">
        <v>37</v>
      </c>
      <c r="V295" t="b">
        <v>1</v>
      </c>
      <c r="W295" t="inlineStr">
        <is>
          <t>Sheet1!E35:E71</t>
        </is>
      </c>
      <c r="X295">
        <f>+SUM(R[0]C[-2]:R[0]C[-1])</f>
        <v/>
      </c>
    </row>
    <row r="296">
      <c r="A296" t="inlineStr">
        <is>
          <t>Sheet1</t>
        </is>
      </c>
      <c r="B296" t="inlineStr">
        <is>
          <t>F71</t>
        </is>
      </c>
      <c r="C296" t="n">
        <v>71</v>
      </c>
      <c r="D296" t="n">
        <v>6</v>
      </c>
      <c r="E296" t="inlineStr">
        <is>
          <t>Calculation</t>
        </is>
      </c>
      <c r="F296" t="inlineStr">
        <is>
          <t>'=+F70/(1+$D$15/12)</t>
        </is>
      </c>
      <c r="G296" t="n">
        <v>0.76414896061538</v>
      </c>
      <c r="H296" t="inlineStr"/>
      <c r="I296" t="inlineStr">
        <is>
          <t>0.0%</t>
        </is>
      </c>
      <c r="J296" t="b">
        <v>0</v>
      </c>
      <c r="K296" t="b">
        <v>0</v>
      </c>
      <c r="L296" t="n">
        <v>10</v>
      </c>
      <c r="N296" t="inlineStr">
        <is>
          <t>00000000</t>
        </is>
      </c>
      <c r="O296" t="inlineStr">
        <is>
          <t>general</t>
        </is>
      </c>
      <c r="P296" t="inlineStr">
        <is>
          <t>bottom</t>
        </is>
      </c>
      <c r="Q296" t="b">
        <v>0</v>
      </c>
      <c r="R296" t="b">
        <v>1</v>
      </c>
      <c r="S296" t="inlineStr">
        <is>
          <t>G000004</t>
        </is>
      </c>
      <c r="T296" t="inlineStr">
        <is>
          <t>Vertical</t>
        </is>
      </c>
      <c r="U296" t="n">
        <v>36</v>
      </c>
      <c r="V296" t="b">
        <v>1</v>
      </c>
      <c r="W296" t="inlineStr">
        <is>
          <t>Sheet1!F36:F71</t>
        </is>
      </c>
      <c r="X296">
        <f>+R[-1]C[0]/(1+R15C4/12)</f>
        <v/>
      </c>
    </row>
    <row r="297">
      <c r="A297" t="inlineStr">
        <is>
          <t>Sheet1</t>
        </is>
      </c>
      <c r="B297" t="inlineStr">
        <is>
          <t>G71</t>
        </is>
      </c>
      <c r="C297" t="n">
        <v>71</v>
      </c>
      <c r="D297" t="n">
        <v>7</v>
      </c>
      <c r="E297" t="inlineStr">
        <is>
          <t>Calculation</t>
        </is>
      </c>
      <c r="F297" t="inlineStr">
        <is>
          <t>'=+E71*F71</t>
        </is>
      </c>
      <c r="G297" t="n">
        <v>16199.9579650461</v>
      </c>
      <c r="H297" t="inlineStr"/>
      <c r="I297" t="inlineStr">
        <is>
          <t>0.00</t>
        </is>
      </c>
      <c r="J297" t="b">
        <v>0</v>
      </c>
      <c r="K297" t="b">
        <v>0</v>
      </c>
      <c r="L297" t="n">
        <v>10</v>
      </c>
      <c r="N297" t="inlineStr">
        <is>
          <t>00000000</t>
        </is>
      </c>
      <c r="O297" t="inlineStr">
        <is>
          <t>general</t>
        </is>
      </c>
      <c r="P297" t="inlineStr">
        <is>
          <t>bottom</t>
        </is>
      </c>
      <c r="Q297" t="b">
        <v>0</v>
      </c>
      <c r="R297" t="b">
        <v>1</v>
      </c>
      <c r="S297" t="inlineStr">
        <is>
          <t>G000002</t>
        </is>
      </c>
      <c r="T297" t="inlineStr">
        <is>
          <t>Vertical</t>
        </is>
      </c>
      <c r="U297" t="n">
        <v>37</v>
      </c>
      <c r="V297" t="b">
        <v>1</v>
      </c>
      <c r="W297" t="inlineStr">
        <is>
          <t>Sheet1!G35:G71</t>
        </is>
      </c>
      <c r="X297">
        <f>+R[0]C[-2]*R[0]C[-1]</f>
        <v/>
      </c>
    </row>
    <row r="298">
      <c r="A298" t="inlineStr">
        <is>
          <t>Sheet1</t>
        </is>
      </c>
      <c r="B298" t="inlineStr">
        <is>
          <t>H71</t>
        </is>
      </c>
      <c r="C298" t="n">
        <v>71</v>
      </c>
      <c r="D298" t="n">
        <v>8</v>
      </c>
      <c r="E298" t="inlineStr">
        <is>
          <t>Output</t>
        </is>
      </c>
      <c r="F298" t="inlineStr">
        <is>
          <t>'=+H70+G71</t>
        </is>
      </c>
      <c r="G298" t="n">
        <v>25431.1017264328</v>
      </c>
      <c r="H298" t="inlineStr"/>
      <c r="I298" t="inlineStr">
        <is>
          <t>0.00</t>
        </is>
      </c>
      <c r="J298" t="b">
        <v>0</v>
      </c>
      <c r="K298" t="b">
        <v>0</v>
      </c>
      <c r="L298" t="n">
        <v>10</v>
      </c>
      <c r="N298" t="inlineStr">
        <is>
          <t>00000000</t>
        </is>
      </c>
      <c r="O298" t="inlineStr">
        <is>
          <t>general</t>
        </is>
      </c>
      <c r="P298" t="inlineStr">
        <is>
          <t>bottom</t>
        </is>
      </c>
      <c r="Q298" t="b">
        <v>0</v>
      </c>
      <c r="R298" t="b">
        <v>1</v>
      </c>
      <c r="S298" t="inlineStr">
        <is>
          <t>G000005</t>
        </is>
      </c>
      <c r="T298" t="inlineStr">
        <is>
          <t>Vertical</t>
        </is>
      </c>
      <c r="U298" t="n">
        <v>36</v>
      </c>
      <c r="V298" t="b">
        <v>1</v>
      </c>
      <c r="W298" t="inlineStr">
        <is>
          <t>Sheet1!H36:H71</t>
        </is>
      </c>
      <c r="X298">
        <f>+R[-1]C[0]+R[0]C[-1]</f>
        <v/>
      </c>
    </row>
    <row r="299">
      <c r="A299" t="inlineStr">
        <is>
          <t>Sheet1</t>
        </is>
      </c>
      <c r="B299" t="inlineStr">
        <is>
          <t>D74</t>
        </is>
      </c>
      <c r="C299" t="n">
        <v>74</v>
      </c>
      <c r="D299" t="n">
        <v>4</v>
      </c>
      <c r="E299" t="inlineStr">
        <is>
          <t>Input</t>
        </is>
      </c>
      <c r="F299" t="n">
        <v/>
      </c>
      <c r="H299" t="inlineStr"/>
      <c r="I299" t="inlineStr">
        <is>
          <t>_(\$* #,##0_);_(\$* \(#,##0\);_(\$* \-??_);_(@_)</t>
        </is>
      </c>
      <c r="J299" t="b">
        <v>0</v>
      </c>
      <c r="K299" t="b">
        <v>0</v>
      </c>
      <c r="L299" t="n">
        <v>10</v>
      </c>
      <c r="N299" t="inlineStr">
        <is>
          <t>00000000</t>
        </is>
      </c>
      <c r="O299" t="inlineStr">
        <is>
          <t>general</t>
        </is>
      </c>
      <c r="P299" t="inlineStr">
        <is>
          <t>bottom</t>
        </is>
      </c>
      <c r="Q299" t="b">
        <v>0</v>
      </c>
      <c r="R299" t="b">
        <v>0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</row>
    <row r="300">
      <c r="A300" t="inlineStr">
        <is>
          <t>Sheet1</t>
        </is>
      </c>
      <c r="B300" t="inlineStr">
        <is>
          <t>E74</t>
        </is>
      </c>
      <c r="C300" t="n">
        <v>74</v>
      </c>
      <c r="D300" t="n">
        <v>5</v>
      </c>
      <c r="E300" t="inlineStr">
        <is>
          <t>Input</t>
        </is>
      </c>
      <c r="F300" t="n">
        <v/>
      </c>
      <c r="H300" t="inlineStr"/>
      <c r="I300" t="inlineStr">
        <is>
          <t>_(\$* #,##0_);_(\$* \(#,##0\);_(\$* \-??_);_(@_)</t>
        </is>
      </c>
      <c r="J300" t="b">
        <v>0</v>
      </c>
      <c r="K300" t="b">
        <v>0</v>
      </c>
      <c r="L300" t="n">
        <v>10</v>
      </c>
      <c r="N300" t="inlineStr">
        <is>
          <t>00000000</t>
        </is>
      </c>
      <c r="O300" t="inlineStr">
        <is>
          <t>general</t>
        </is>
      </c>
      <c r="P300" t="inlineStr">
        <is>
          <t>bottom</t>
        </is>
      </c>
      <c r="Q300" t="b">
        <v>0</v>
      </c>
      <c r="R300" t="b">
        <v>0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</row>
    <row r="301">
      <c r="A301" t="inlineStr">
        <is>
          <t>Sheet1</t>
        </is>
      </c>
      <c r="B301" t="inlineStr">
        <is>
          <t>D75</t>
        </is>
      </c>
      <c r="C301" t="n">
        <v>75</v>
      </c>
      <c r="D301" t="n">
        <v>4</v>
      </c>
      <c r="E301" t="inlineStr">
        <is>
          <t>Input</t>
        </is>
      </c>
      <c r="F301" t="n">
        <v/>
      </c>
      <c r="H301" t="inlineStr"/>
      <c r="I301" t="inlineStr">
        <is>
          <t>_(\$* #,##0_);_(\$* \(#,##0\);_(\$* \-??_);_(@_)</t>
        </is>
      </c>
      <c r="J301" t="b">
        <v>0</v>
      </c>
      <c r="K301" t="b">
        <v>0</v>
      </c>
      <c r="L301" t="n">
        <v>10</v>
      </c>
      <c r="N301" t="inlineStr">
        <is>
          <t>00000000</t>
        </is>
      </c>
      <c r="O301" t="inlineStr">
        <is>
          <t>general</t>
        </is>
      </c>
      <c r="P301" t="inlineStr">
        <is>
          <t>bottom</t>
        </is>
      </c>
      <c r="Q301" t="b">
        <v>0</v>
      </c>
      <c r="R301" t="b">
        <v>0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</row>
    <row r="302">
      <c r="A302" t="inlineStr">
        <is>
          <t>Sheet1</t>
        </is>
      </c>
      <c r="B302" t="inlineStr">
        <is>
          <t>E75</t>
        </is>
      </c>
      <c r="C302" t="n">
        <v>75</v>
      </c>
      <c r="D302" t="n">
        <v>5</v>
      </c>
      <c r="E302" t="inlineStr">
        <is>
          <t>Input</t>
        </is>
      </c>
      <c r="F302" t="n">
        <v/>
      </c>
      <c r="H302" t="inlineStr"/>
      <c r="I302" t="inlineStr">
        <is>
          <t>_(\$* #,##0_);_(\$* \(#,##0\);_(\$* \-??_);_(@_)</t>
        </is>
      </c>
      <c r="J302" t="b">
        <v>0</v>
      </c>
      <c r="K302" t="b">
        <v>0</v>
      </c>
      <c r="L302" t="n">
        <v>10</v>
      </c>
      <c r="N302" t="inlineStr">
        <is>
          <t>00000000</t>
        </is>
      </c>
      <c r="O302" t="inlineStr">
        <is>
          <t>general</t>
        </is>
      </c>
      <c r="P302" t="inlineStr">
        <is>
          <t>bottom</t>
        </is>
      </c>
      <c r="Q302" t="b">
        <v>0</v>
      </c>
      <c r="R302" t="b">
        <v>0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</row>
    <row r="303">
      <c r="A303" t="inlineStr">
        <is>
          <t>Sheet1</t>
        </is>
      </c>
      <c r="B303" t="inlineStr">
        <is>
          <t>A76</t>
        </is>
      </c>
      <c r="C303" t="n">
        <v>76</v>
      </c>
      <c r="D303" t="n">
        <v>1</v>
      </c>
      <c r="E303" t="inlineStr">
        <is>
          <t>Input</t>
        </is>
      </c>
      <c r="F303" t="n">
        <v/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10</v>
      </c>
      <c r="N303" t="inlineStr">
        <is>
          <t>00000000</t>
        </is>
      </c>
      <c r="O303" t="inlineStr">
        <is>
          <t>center</t>
        </is>
      </c>
      <c r="P303" t="inlineStr">
        <is>
          <t>bottom</t>
        </is>
      </c>
      <c r="Q303" t="b">
        <v>0</v>
      </c>
      <c r="R303" t="b">
        <v>0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</row>
    <row r="304">
      <c r="A304" t="inlineStr">
        <is>
          <t>Sheet1</t>
        </is>
      </c>
      <c r="B304" t="inlineStr">
        <is>
          <t>B76</t>
        </is>
      </c>
      <c r="C304" t="n">
        <v>76</v>
      </c>
      <c r="D304" t="n">
        <v>2</v>
      </c>
      <c r="E304" t="inlineStr">
        <is>
          <t>Input</t>
        </is>
      </c>
      <c r="F304" t="n">
        <v/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10</v>
      </c>
      <c r="N304" t="inlineStr">
        <is>
          <t>00000000</t>
        </is>
      </c>
      <c r="O304" t="inlineStr">
        <is>
          <t>center</t>
        </is>
      </c>
      <c r="P304" t="inlineStr">
        <is>
          <t>bottom</t>
        </is>
      </c>
      <c r="Q304" t="b">
        <v>0</v>
      </c>
      <c r="R304" t="b">
        <v>0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</row>
    <row r="305">
      <c r="A305" t="inlineStr">
        <is>
          <t>Sheet1</t>
        </is>
      </c>
      <c r="B305" t="inlineStr">
        <is>
          <t>C76</t>
        </is>
      </c>
      <c r="C305" t="n">
        <v>76</v>
      </c>
      <c r="D305" t="n">
        <v>3</v>
      </c>
      <c r="E305" t="inlineStr">
        <is>
          <t>Input</t>
        </is>
      </c>
      <c r="F305" t="n">
        <v/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10</v>
      </c>
      <c r="N305" t="inlineStr">
        <is>
          <t>00000000</t>
        </is>
      </c>
      <c r="O305" t="inlineStr">
        <is>
          <t>center</t>
        </is>
      </c>
      <c r="P305" t="inlineStr">
        <is>
          <t>bottom</t>
        </is>
      </c>
      <c r="Q305" t="b">
        <v>0</v>
      </c>
      <c r="R305" t="b">
        <v>0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</row>
    <row r="306">
      <c r="A306" t="inlineStr">
        <is>
          <t>Sheet1</t>
        </is>
      </c>
      <c r="B306" t="inlineStr">
        <is>
          <t>D76</t>
        </is>
      </c>
      <c r="C306" t="n">
        <v>76</v>
      </c>
      <c r="D306" t="n">
        <v>4</v>
      </c>
      <c r="E306" t="inlineStr">
        <is>
          <t>Input</t>
        </is>
      </c>
      <c r="F306" t="n">
        <v/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10</v>
      </c>
      <c r="N306" t="inlineStr">
        <is>
          <t>00000000</t>
        </is>
      </c>
      <c r="O306" t="inlineStr">
        <is>
          <t>center</t>
        </is>
      </c>
      <c r="P306" t="inlineStr">
        <is>
          <t>bottom</t>
        </is>
      </c>
      <c r="Q306" t="b">
        <v>0</v>
      </c>
      <c r="R306" t="b">
        <v>0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</row>
    <row r="307">
      <c r="A307" t="inlineStr">
        <is>
          <t>Sheet1</t>
        </is>
      </c>
      <c r="B307" t="inlineStr">
        <is>
          <t>E76</t>
        </is>
      </c>
      <c r="C307" t="n">
        <v>76</v>
      </c>
      <c r="D307" t="n">
        <v>5</v>
      </c>
      <c r="E307" t="inlineStr">
        <is>
          <t>Input</t>
        </is>
      </c>
      <c r="F307" t="n">
        <v/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10</v>
      </c>
      <c r="N307" t="inlineStr">
        <is>
          <t>00000000</t>
        </is>
      </c>
      <c r="O307" t="inlineStr">
        <is>
          <t>center</t>
        </is>
      </c>
      <c r="P307" t="inlineStr">
        <is>
          <t>bottom</t>
        </is>
      </c>
      <c r="Q307" t="b">
        <v>0</v>
      </c>
      <c r="R307" t="b">
        <v>0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</row>
    <row r="308">
      <c r="A308" t="inlineStr">
        <is>
          <t>Sheet1</t>
        </is>
      </c>
      <c r="B308" t="inlineStr">
        <is>
          <t>F76</t>
        </is>
      </c>
      <c r="C308" t="n">
        <v>76</v>
      </c>
      <c r="D308" t="n">
        <v>6</v>
      </c>
      <c r="E308" t="inlineStr">
        <is>
          <t>Input</t>
        </is>
      </c>
      <c r="F308" t="n">
        <v/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10</v>
      </c>
      <c r="N308" t="inlineStr">
        <is>
          <t>00000000</t>
        </is>
      </c>
      <c r="O308" t="inlineStr">
        <is>
          <t>center</t>
        </is>
      </c>
      <c r="P308" t="inlineStr">
        <is>
          <t>bottom</t>
        </is>
      </c>
      <c r="Q308" t="b">
        <v>0</v>
      </c>
      <c r="R308" t="b">
        <v>0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</row>
    <row r="309">
      <c r="A309" t="inlineStr">
        <is>
          <t>Sheet1</t>
        </is>
      </c>
      <c r="B309" t="inlineStr">
        <is>
          <t>G76</t>
        </is>
      </c>
      <c r="C309" t="n">
        <v>76</v>
      </c>
      <c r="D309" t="n">
        <v>7</v>
      </c>
      <c r="E309" t="inlineStr">
        <is>
          <t>Input</t>
        </is>
      </c>
      <c r="F309" t="n">
        <v/>
      </c>
      <c r="H309" t="inlineStr"/>
      <c r="I309" t="inlineStr">
        <is>
          <t>General</t>
        </is>
      </c>
      <c r="J309" t="b">
        <v>0</v>
      </c>
      <c r="K309" t="b">
        <v>0</v>
      </c>
      <c r="L309" t="n">
        <v>10</v>
      </c>
      <c r="N309" t="inlineStr">
        <is>
          <t>00000000</t>
        </is>
      </c>
      <c r="O309" t="inlineStr">
        <is>
          <t>center</t>
        </is>
      </c>
      <c r="P309" t="inlineStr">
        <is>
          <t>bottom</t>
        </is>
      </c>
      <c r="Q309" t="b">
        <v>0</v>
      </c>
      <c r="R309" t="b">
        <v>0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</row>
    <row r="310">
      <c r="A310" t="inlineStr">
        <is>
          <t>Sheet1</t>
        </is>
      </c>
      <c r="B310" t="inlineStr">
        <is>
          <t>H76</t>
        </is>
      </c>
      <c r="C310" t="n">
        <v>76</v>
      </c>
      <c r="D310" t="n">
        <v>8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10</v>
      </c>
      <c r="N310" t="inlineStr">
        <is>
          <t>00000000</t>
        </is>
      </c>
      <c r="O310" t="inlineStr">
        <is>
          <t>center</t>
        </is>
      </c>
      <c r="P310" t="inlineStr">
        <is>
          <t>bottom</t>
        </is>
      </c>
      <c r="Q310" t="b">
        <v>0</v>
      </c>
      <c r="R310" t="b">
        <v>0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</row>
    <row r="311">
      <c r="A311" t="inlineStr">
        <is>
          <t>Sheet1</t>
        </is>
      </c>
      <c r="B311" t="inlineStr">
        <is>
          <t>A77</t>
        </is>
      </c>
      <c r="C311" t="n">
        <v>77</v>
      </c>
      <c r="D311" t="n">
        <v>1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10</v>
      </c>
      <c r="N311" t="inlineStr">
        <is>
          <t>00000000</t>
        </is>
      </c>
      <c r="O311" t="inlineStr">
        <is>
          <t>center</t>
        </is>
      </c>
      <c r="P311" t="inlineStr">
        <is>
          <t>bottom</t>
        </is>
      </c>
      <c r="Q311" t="b">
        <v>0</v>
      </c>
      <c r="R311" t="b">
        <v>0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</row>
    <row r="312">
      <c r="A312" t="inlineStr">
        <is>
          <t>Sheet1</t>
        </is>
      </c>
      <c r="B312" t="inlineStr">
        <is>
          <t>B77</t>
        </is>
      </c>
      <c r="C312" t="n">
        <v>77</v>
      </c>
      <c r="D312" t="n">
        <v>2</v>
      </c>
      <c r="E312" t="inlineStr">
        <is>
          <t>Input</t>
        </is>
      </c>
      <c r="F312" t="n">
        <v/>
      </c>
      <c r="H312" t="inlineStr"/>
      <c r="I312" t="inlineStr">
        <is>
          <t>General</t>
        </is>
      </c>
      <c r="J312" t="b">
        <v>0</v>
      </c>
      <c r="K312" t="b">
        <v>0</v>
      </c>
      <c r="L312" t="n">
        <v>10</v>
      </c>
      <c r="N312" t="inlineStr">
        <is>
          <t>00000000</t>
        </is>
      </c>
      <c r="O312" t="inlineStr">
        <is>
          <t>center</t>
        </is>
      </c>
      <c r="P312" t="inlineStr">
        <is>
          <t>bottom</t>
        </is>
      </c>
      <c r="Q312" t="b">
        <v>0</v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</row>
    <row r="313">
      <c r="A313" t="inlineStr">
        <is>
          <t>Sheet1</t>
        </is>
      </c>
      <c r="B313" t="inlineStr">
        <is>
          <t>C77</t>
        </is>
      </c>
      <c r="C313" t="n">
        <v>77</v>
      </c>
      <c r="D313" t="n">
        <v>3</v>
      </c>
      <c r="E313" t="inlineStr">
        <is>
          <t>Input</t>
        </is>
      </c>
      <c r="F313" t="n">
        <v/>
      </c>
      <c r="H313" t="inlineStr"/>
      <c r="I313" t="inlineStr">
        <is>
          <t>General</t>
        </is>
      </c>
      <c r="J313" t="b">
        <v>0</v>
      </c>
      <c r="K313" t="b">
        <v>0</v>
      </c>
      <c r="L313" t="n">
        <v>10</v>
      </c>
      <c r="N313" t="inlineStr">
        <is>
          <t>00000000</t>
        </is>
      </c>
      <c r="O313" t="inlineStr">
        <is>
          <t>center</t>
        </is>
      </c>
      <c r="P313" t="inlineStr">
        <is>
          <t>bottom</t>
        </is>
      </c>
      <c r="Q313" t="b">
        <v>0</v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</row>
    <row r="314">
      <c r="A314" t="inlineStr">
        <is>
          <t>Sheet1</t>
        </is>
      </c>
      <c r="B314" t="inlineStr">
        <is>
          <t>D77</t>
        </is>
      </c>
      <c r="C314" t="n">
        <v>77</v>
      </c>
      <c r="D314" t="n">
        <v>4</v>
      </c>
      <c r="E314" t="inlineStr">
        <is>
          <t>Input</t>
        </is>
      </c>
      <c r="F314" t="n">
        <v/>
      </c>
      <c r="H314" t="inlineStr"/>
      <c r="I314" t="inlineStr">
        <is>
          <t>General</t>
        </is>
      </c>
      <c r="J314" t="b">
        <v>0</v>
      </c>
      <c r="K314" t="b">
        <v>0</v>
      </c>
      <c r="L314" t="n">
        <v>10</v>
      </c>
      <c r="N314" t="inlineStr">
        <is>
          <t>00000000</t>
        </is>
      </c>
      <c r="O314" t="inlineStr">
        <is>
          <t>center</t>
        </is>
      </c>
      <c r="P314" t="inlineStr">
        <is>
          <t>bottom</t>
        </is>
      </c>
      <c r="Q314" t="b">
        <v>0</v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</row>
    <row r="315">
      <c r="A315" t="inlineStr">
        <is>
          <t>Sheet1</t>
        </is>
      </c>
      <c r="B315" t="inlineStr">
        <is>
          <t>E77</t>
        </is>
      </c>
      <c r="C315" t="n">
        <v>77</v>
      </c>
      <c r="D315" t="n">
        <v>5</v>
      </c>
      <c r="E315" t="inlineStr">
        <is>
          <t>Input</t>
        </is>
      </c>
      <c r="F315" t="n">
        <v/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10</v>
      </c>
      <c r="N315" t="inlineStr">
        <is>
          <t>00000000</t>
        </is>
      </c>
      <c r="O315" t="inlineStr">
        <is>
          <t>center</t>
        </is>
      </c>
      <c r="P315" t="inlineStr">
        <is>
          <t>bottom</t>
        </is>
      </c>
      <c r="Q315" t="b">
        <v>0</v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</row>
    <row r="316">
      <c r="A316" t="inlineStr">
        <is>
          <t>Sheet1</t>
        </is>
      </c>
      <c r="B316" t="inlineStr">
        <is>
          <t>F77</t>
        </is>
      </c>
      <c r="C316" t="n">
        <v>77</v>
      </c>
      <c r="D316" t="n">
        <v>6</v>
      </c>
      <c r="E316" t="inlineStr">
        <is>
          <t>Input</t>
        </is>
      </c>
      <c r="F316" t="n">
        <v/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10</v>
      </c>
      <c r="N316" t="inlineStr">
        <is>
          <t>00000000</t>
        </is>
      </c>
      <c r="O316" t="inlineStr">
        <is>
          <t>center</t>
        </is>
      </c>
      <c r="P316" t="inlineStr">
        <is>
          <t>bottom</t>
        </is>
      </c>
      <c r="Q316" t="b">
        <v>0</v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</row>
    <row r="317">
      <c r="A317" t="inlineStr">
        <is>
          <t>Sheet1</t>
        </is>
      </c>
      <c r="B317" t="inlineStr">
        <is>
          <t>G77</t>
        </is>
      </c>
      <c r="C317" t="n">
        <v>77</v>
      </c>
      <c r="D317" t="n">
        <v>7</v>
      </c>
      <c r="E317" t="inlineStr">
        <is>
          <t>Input</t>
        </is>
      </c>
      <c r="F317" t="n">
        <v/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10</v>
      </c>
      <c r="N317" t="inlineStr">
        <is>
          <t>00000000</t>
        </is>
      </c>
      <c r="O317" t="inlineStr">
        <is>
          <t>center</t>
        </is>
      </c>
      <c r="P317" t="inlineStr">
        <is>
          <t>bottom</t>
        </is>
      </c>
      <c r="Q317" t="b">
        <v>0</v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</row>
    <row r="318">
      <c r="A318" t="inlineStr">
        <is>
          <t>Sheet1</t>
        </is>
      </c>
      <c r="B318" t="inlineStr">
        <is>
          <t>H77</t>
        </is>
      </c>
      <c r="C318" t="n">
        <v>77</v>
      </c>
      <c r="D318" t="n">
        <v>8</v>
      </c>
      <c r="E318" t="inlineStr">
        <is>
          <t>Input</t>
        </is>
      </c>
      <c r="F318" t="n">
        <v/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10</v>
      </c>
      <c r="N318" t="inlineStr">
        <is>
          <t>00000000</t>
        </is>
      </c>
      <c r="O318" t="inlineStr">
        <is>
          <t>center</t>
        </is>
      </c>
      <c r="P318" t="inlineStr">
        <is>
          <t>bottom</t>
        </is>
      </c>
      <c r="Q318" t="b">
        <v>0</v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</row>
    <row r="319">
      <c r="A319" t="inlineStr">
        <is>
          <t>Sheet1</t>
        </is>
      </c>
      <c r="B319" t="inlineStr">
        <is>
          <t>A78</t>
        </is>
      </c>
      <c r="C319" t="n">
        <v>78</v>
      </c>
      <c r="D319" t="n">
        <v>1</v>
      </c>
      <c r="E319" t="inlineStr">
        <is>
          <t>Input</t>
        </is>
      </c>
      <c r="F319" t="n">
        <v/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10</v>
      </c>
      <c r="N319" t="inlineStr">
        <is>
          <t>00000000</t>
        </is>
      </c>
      <c r="O319" t="inlineStr">
        <is>
          <t>right</t>
        </is>
      </c>
      <c r="P319" t="inlineStr">
        <is>
          <t>bottom</t>
        </is>
      </c>
      <c r="Q319" t="b">
        <v>0</v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</row>
    <row r="320">
      <c r="A320" t="inlineStr">
        <is>
          <t>Sheet1</t>
        </is>
      </c>
      <c r="B320" t="inlineStr">
        <is>
          <t>C79</t>
        </is>
      </c>
      <c r="C320" t="n">
        <v>79</v>
      </c>
      <c r="D320" t="n">
        <v>3</v>
      </c>
      <c r="E320" t="inlineStr">
        <is>
          <t>Input</t>
        </is>
      </c>
      <c r="F320" t="n">
        <v/>
      </c>
      <c r="H320" t="inlineStr"/>
      <c r="I320" t="inlineStr">
        <is>
          <t>_(\$* #,##0_);_(\$* \(#,##0\);_(\$* \-??_);_(@_)</t>
        </is>
      </c>
      <c r="J320" t="b">
        <v>0</v>
      </c>
      <c r="K320" t="b">
        <v>0</v>
      </c>
      <c r="L320" t="n">
        <v>10</v>
      </c>
      <c r="N320" t="inlineStr">
        <is>
          <t>00000000</t>
        </is>
      </c>
      <c r="O320" t="inlineStr">
        <is>
          <t>general</t>
        </is>
      </c>
      <c r="P320" t="inlineStr">
        <is>
          <t>bottom</t>
        </is>
      </c>
      <c r="Q320" t="b">
        <v>0</v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</row>
    <row r="321">
      <c r="A321" t="inlineStr">
        <is>
          <t>Sheet1</t>
        </is>
      </c>
      <c r="B321" t="inlineStr">
        <is>
          <t>E79</t>
        </is>
      </c>
      <c r="C321" t="n">
        <v>79</v>
      </c>
      <c r="D321" t="n">
        <v>5</v>
      </c>
      <c r="E321" t="inlineStr">
        <is>
          <t>Input</t>
        </is>
      </c>
      <c r="F321" t="n">
        <v/>
      </c>
      <c r="H321" t="inlineStr"/>
      <c r="I321" t="inlineStr">
        <is>
          <t>_(\$* #,##0_);_(\$* \(#,##0\);_(\$* \-??_);_(@_)</t>
        </is>
      </c>
      <c r="J321" t="b">
        <v>0</v>
      </c>
      <c r="K321" t="b">
        <v>0</v>
      </c>
      <c r="L321" t="n">
        <v>10</v>
      </c>
      <c r="N321" t="inlineStr">
        <is>
          <t>00000000</t>
        </is>
      </c>
      <c r="O321" t="inlineStr">
        <is>
          <t>general</t>
        </is>
      </c>
      <c r="P321" t="inlineStr">
        <is>
          <t>bottom</t>
        </is>
      </c>
      <c r="Q321" t="b">
        <v>0</v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</row>
    <row r="322">
      <c r="A322" t="inlineStr">
        <is>
          <t>Sheet1</t>
        </is>
      </c>
      <c r="B322" t="inlineStr">
        <is>
          <t>F79</t>
        </is>
      </c>
      <c r="C322" t="n">
        <v>79</v>
      </c>
      <c r="D322" t="n">
        <v>6</v>
      </c>
      <c r="E322" t="inlineStr">
        <is>
          <t>Input</t>
        </is>
      </c>
      <c r="F322" t="n">
        <v/>
      </c>
      <c r="H322" t="inlineStr"/>
      <c r="I322" t="inlineStr">
        <is>
          <t>0.0%</t>
        </is>
      </c>
      <c r="J322" t="b">
        <v>0</v>
      </c>
      <c r="K322" t="b">
        <v>0</v>
      </c>
      <c r="L322" t="n">
        <v>10</v>
      </c>
      <c r="N322" t="inlineStr">
        <is>
          <t>00000000</t>
        </is>
      </c>
      <c r="O322" t="inlineStr">
        <is>
          <t>general</t>
        </is>
      </c>
      <c r="P322" t="inlineStr">
        <is>
          <t>bottom</t>
        </is>
      </c>
      <c r="Q322" t="b">
        <v>0</v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</row>
    <row r="323">
      <c r="A323" t="inlineStr">
        <is>
          <t>Sheet1</t>
        </is>
      </c>
      <c r="B323" t="inlineStr">
        <is>
          <t>G79</t>
        </is>
      </c>
      <c r="C323" t="n">
        <v>79</v>
      </c>
      <c r="D323" t="n">
        <v>7</v>
      </c>
      <c r="E323" t="inlineStr">
        <is>
          <t>Input</t>
        </is>
      </c>
      <c r="F323" t="n">
        <v/>
      </c>
      <c r="H323" t="inlineStr"/>
      <c r="I323" t="inlineStr">
        <is>
          <t>0.00</t>
        </is>
      </c>
      <c r="J323" t="b">
        <v>0</v>
      </c>
      <c r="K323" t="b">
        <v>0</v>
      </c>
      <c r="L323" t="n">
        <v>10</v>
      </c>
      <c r="N323" t="inlineStr">
        <is>
          <t>00000000</t>
        </is>
      </c>
      <c r="O323" t="inlineStr">
        <is>
          <t>general</t>
        </is>
      </c>
      <c r="P323" t="inlineStr">
        <is>
          <t>bottom</t>
        </is>
      </c>
      <c r="Q323" t="b">
        <v>0</v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</row>
    <row r="324">
      <c r="A324" t="inlineStr">
        <is>
          <t>Sheet1</t>
        </is>
      </c>
      <c r="B324" t="inlineStr">
        <is>
          <t>H79</t>
        </is>
      </c>
      <c r="C324" t="n">
        <v>79</v>
      </c>
      <c r="D324" t="n">
        <v>8</v>
      </c>
      <c r="E324" t="inlineStr">
        <is>
          <t>Input</t>
        </is>
      </c>
      <c r="F324" t="n">
        <v/>
      </c>
      <c r="H324" t="inlineStr"/>
      <c r="I324" t="inlineStr">
        <is>
          <t>0.00</t>
        </is>
      </c>
      <c r="J324" t="b">
        <v>0</v>
      </c>
      <c r="K324" t="b">
        <v>0</v>
      </c>
      <c r="L324" t="n">
        <v>10</v>
      </c>
      <c r="N324" t="inlineStr">
        <is>
          <t>00000000</t>
        </is>
      </c>
      <c r="O324" t="inlineStr">
        <is>
          <t>general</t>
        </is>
      </c>
      <c r="P324" t="inlineStr">
        <is>
          <t>bottom</t>
        </is>
      </c>
      <c r="Q324" t="b">
        <v>0</v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</row>
    <row r="325">
      <c r="A325" t="inlineStr">
        <is>
          <t>Sheet1</t>
        </is>
      </c>
      <c r="B325" t="inlineStr">
        <is>
          <t>C80</t>
        </is>
      </c>
      <c r="C325" t="n">
        <v>80</v>
      </c>
      <c r="D325" t="n">
        <v>3</v>
      </c>
      <c r="E325" t="inlineStr">
        <is>
          <t>Input</t>
        </is>
      </c>
      <c r="F325" t="n">
        <v/>
      </c>
      <c r="H325" t="inlineStr"/>
      <c r="I325" t="inlineStr">
        <is>
          <t>_(\$* #,##0_);_(\$* \(#,##0\);_(\$* \-??_);_(@_)</t>
        </is>
      </c>
      <c r="J325" t="b">
        <v>0</v>
      </c>
      <c r="K325" t="b">
        <v>0</v>
      </c>
      <c r="L325" t="n">
        <v>10</v>
      </c>
      <c r="N325" t="inlineStr">
        <is>
          <t>00000000</t>
        </is>
      </c>
      <c r="O325" t="inlineStr">
        <is>
          <t>general</t>
        </is>
      </c>
      <c r="P325" t="inlineStr">
        <is>
          <t>bottom</t>
        </is>
      </c>
      <c r="Q325" t="b">
        <v>0</v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</row>
    <row r="326">
      <c r="A326" t="inlineStr">
        <is>
          <t>Sheet1</t>
        </is>
      </c>
      <c r="B326" t="inlineStr">
        <is>
          <t>E80</t>
        </is>
      </c>
      <c r="C326" t="n">
        <v>80</v>
      </c>
      <c r="D326" t="n">
        <v>5</v>
      </c>
      <c r="E326" t="inlineStr">
        <is>
          <t>Input</t>
        </is>
      </c>
      <c r="F326" t="n">
        <v/>
      </c>
      <c r="H326" t="inlineStr"/>
      <c r="I326" t="inlineStr">
        <is>
          <t>_(\$* #,##0_);_(\$* \(#,##0\);_(\$* \-??_);_(@_)</t>
        </is>
      </c>
      <c r="J326" t="b">
        <v>0</v>
      </c>
      <c r="K326" t="b">
        <v>0</v>
      </c>
      <c r="L326" t="n">
        <v>10</v>
      </c>
      <c r="N326" t="inlineStr">
        <is>
          <t>00000000</t>
        </is>
      </c>
      <c r="O326" t="inlineStr">
        <is>
          <t>general</t>
        </is>
      </c>
      <c r="P326" t="inlineStr">
        <is>
          <t>bottom</t>
        </is>
      </c>
      <c r="Q326" t="b">
        <v>0</v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</row>
    <row r="327">
      <c r="A327" t="inlineStr">
        <is>
          <t>Sheet1</t>
        </is>
      </c>
      <c r="B327" t="inlineStr">
        <is>
          <t>F80</t>
        </is>
      </c>
      <c r="C327" t="n">
        <v>80</v>
      </c>
      <c r="D327" t="n">
        <v>6</v>
      </c>
      <c r="E327" t="inlineStr">
        <is>
          <t>Input</t>
        </is>
      </c>
      <c r="F327" t="n">
        <v/>
      </c>
      <c r="H327" t="inlineStr"/>
      <c r="I327" t="inlineStr">
        <is>
          <t>0.0%</t>
        </is>
      </c>
      <c r="J327" t="b">
        <v>0</v>
      </c>
      <c r="K327" t="b">
        <v>0</v>
      </c>
      <c r="L327" t="n">
        <v>10</v>
      </c>
      <c r="N327" t="inlineStr">
        <is>
          <t>00000000</t>
        </is>
      </c>
      <c r="O327" t="inlineStr">
        <is>
          <t>general</t>
        </is>
      </c>
      <c r="P327" t="inlineStr">
        <is>
          <t>bottom</t>
        </is>
      </c>
      <c r="Q327" t="b">
        <v>0</v>
      </c>
      <c r="R327" t="b">
        <v>0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</row>
    <row r="328">
      <c r="A328" t="inlineStr">
        <is>
          <t>Sheet1</t>
        </is>
      </c>
      <c r="B328" t="inlineStr">
        <is>
          <t>G80</t>
        </is>
      </c>
      <c r="C328" t="n">
        <v>80</v>
      </c>
      <c r="D328" t="n">
        <v>7</v>
      </c>
      <c r="E328" t="inlineStr">
        <is>
          <t>Input</t>
        </is>
      </c>
      <c r="F328" t="n">
        <v/>
      </c>
      <c r="H328" t="inlineStr"/>
      <c r="I328" t="inlineStr">
        <is>
          <t>0.00</t>
        </is>
      </c>
      <c r="J328" t="b">
        <v>0</v>
      </c>
      <c r="K328" t="b">
        <v>0</v>
      </c>
      <c r="L328" t="n">
        <v>10</v>
      </c>
      <c r="N328" t="inlineStr">
        <is>
          <t>00000000</t>
        </is>
      </c>
      <c r="O328" t="inlineStr">
        <is>
          <t>general</t>
        </is>
      </c>
      <c r="P328" t="inlineStr">
        <is>
          <t>bottom</t>
        </is>
      </c>
      <c r="Q328" t="b">
        <v>0</v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</row>
    <row r="329">
      <c r="A329" t="inlineStr">
        <is>
          <t>Sheet1</t>
        </is>
      </c>
      <c r="B329" t="inlineStr">
        <is>
          <t>H80</t>
        </is>
      </c>
      <c r="C329" t="n">
        <v>80</v>
      </c>
      <c r="D329" t="n">
        <v>8</v>
      </c>
      <c r="E329" t="inlineStr">
        <is>
          <t>Input</t>
        </is>
      </c>
      <c r="F329" t="n">
        <v/>
      </c>
      <c r="H329" t="inlineStr"/>
      <c r="I329" t="inlineStr">
        <is>
          <t>0.00</t>
        </is>
      </c>
      <c r="J329" t="b">
        <v>0</v>
      </c>
      <c r="K329" t="b">
        <v>0</v>
      </c>
      <c r="L329" t="n">
        <v>10</v>
      </c>
      <c r="N329" t="inlineStr">
        <is>
          <t>00000000</t>
        </is>
      </c>
      <c r="O329" t="inlineStr">
        <is>
          <t>general</t>
        </is>
      </c>
      <c r="P329" t="inlineStr">
        <is>
          <t>bottom</t>
        </is>
      </c>
      <c r="Q329" t="b">
        <v>0</v>
      </c>
      <c r="R329" t="b">
        <v>0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</row>
    <row r="330">
      <c r="A330" t="inlineStr">
        <is>
          <t>Sheet1</t>
        </is>
      </c>
      <c r="B330" t="inlineStr">
        <is>
          <t>C81</t>
        </is>
      </c>
      <c r="C330" t="n">
        <v>81</v>
      </c>
      <c r="D330" t="n">
        <v>3</v>
      </c>
      <c r="E330" t="inlineStr">
        <is>
          <t>Input</t>
        </is>
      </c>
      <c r="F330" t="n">
        <v/>
      </c>
      <c r="H330" t="inlineStr"/>
      <c r="I330" t="inlineStr">
        <is>
          <t>_(\$* #,##0_);_(\$* \(#,##0\);_(\$* \-??_);_(@_)</t>
        </is>
      </c>
      <c r="J330" t="b">
        <v>0</v>
      </c>
      <c r="K330" t="b">
        <v>0</v>
      </c>
      <c r="L330" t="n">
        <v>10</v>
      </c>
      <c r="N330" t="inlineStr">
        <is>
          <t>00000000</t>
        </is>
      </c>
      <c r="O330" t="inlineStr">
        <is>
          <t>general</t>
        </is>
      </c>
      <c r="P330" t="inlineStr">
        <is>
          <t>bottom</t>
        </is>
      </c>
      <c r="Q330" t="b">
        <v>0</v>
      </c>
      <c r="R330" t="b">
        <v>0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</row>
    <row r="331">
      <c r="A331" t="inlineStr">
        <is>
          <t>Sheet1</t>
        </is>
      </c>
      <c r="B331" t="inlineStr">
        <is>
          <t>E81</t>
        </is>
      </c>
      <c r="C331" t="n">
        <v>81</v>
      </c>
      <c r="D331" t="n">
        <v>5</v>
      </c>
      <c r="E331" t="inlineStr">
        <is>
          <t>Input</t>
        </is>
      </c>
      <c r="F331" t="n">
        <v/>
      </c>
      <c r="H331" t="inlineStr"/>
      <c r="I331" t="inlineStr">
        <is>
          <t>_(\$* #,##0_);_(\$* \(#,##0\);_(\$* \-??_);_(@_)</t>
        </is>
      </c>
      <c r="J331" t="b">
        <v>0</v>
      </c>
      <c r="K331" t="b">
        <v>0</v>
      </c>
      <c r="L331" t="n">
        <v>10</v>
      </c>
      <c r="N331" t="inlineStr">
        <is>
          <t>00000000</t>
        </is>
      </c>
      <c r="O331" t="inlineStr">
        <is>
          <t>general</t>
        </is>
      </c>
      <c r="P331" t="inlineStr">
        <is>
          <t>bottom</t>
        </is>
      </c>
      <c r="Q331" t="b">
        <v>0</v>
      </c>
      <c r="R331" t="b">
        <v>0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</row>
    <row r="332">
      <c r="A332" t="inlineStr">
        <is>
          <t>Sheet1</t>
        </is>
      </c>
      <c r="B332" t="inlineStr">
        <is>
          <t>F81</t>
        </is>
      </c>
      <c r="C332" t="n">
        <v>81</v>
      </c>
      <c r="D332" t="n">
        <v>6</v>
      </c>
      <c r="E332" t="inlineStr">
        <is>
          <t>Input</t>
        </is>
      </c>
      <c r="F332" t="n">
        <v/>
      </c>
      <c r="H332" t="inlineStr"/>
      <c r="I332" t="inlineStr">
        <is>
          <t>0.0%</t>
        </is>
      </c>
      <c r="J332" t="b">
        <v>0</v>
      </c>
      <c r="K332" t="b">
        <v>0</v>
      </c>
      <c r="L332" t="n">
        <v>10</v>
      </c>
      <c r="N332" t="inlineStr">
        <is>
          <t>00000000</t>
        </is>
      </c>
      <c r="O332" t="inlineStr">
        <is>
          <t>general</t>
        </is>
      </c>
      <c r="P332" t="inlineStr">
        <is>
          <t>bottom</t>
        </is>
      </c>
      <c r="Q332" t="b">
        <v>0</v>
      </c>
      <c r="R332" t="b">
        <v>0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</row>
    <row r="333">
      <c r="A333" t="inlineStr">
        <is>
          <t>Sheet1</t>
        </is>
      </c>
      <c r="B333" t="inlineStr">
        <is>
          <t>G81</t>
        </is>
      </c>
      <c r="C333" t="n">
        <v>81</v>
      </c>
      <c r="D333" t="n">
        <v>7</v>
      </c>
      <c r="E333" t="inlineStr">
        <is>
          <t>Input</t>
        </is>
      </c>
      <c r="F333" t="n">
        <v/>
      </c>
      <c r="H333" t="inlineStr"/>
      <c r="I333" t="inlineStr">
        <is>
          <t>0.00</t>
        </is>
      </c>
      <c r="J333" t="b">
        <v>0</v>
      </c>
      <c r="K333" t="b">
        <v>0</v>
      </c>
      <c r="L333" t="n">
        <v>10</v>
      </c>
      <c r="N333" t="inlineStr">
        <is>
          <t>00000000</t>
        </is>
      </c>
      <c r="O333" t="inlineStr">
        <is>
          <t>general</t>
        </is>
      </c>
      <c r="P333" t="inlineStr">
        <is>
          <t>bottom</t>
        </is>
      </c>
      <c r="Q333" t="b">
        <v>0</v>
      </c>
      <c r="R333" t="b">
        <v>0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</row>
    <row r="334">
      <c r="A334" t="inlineStr">
        <is>
          <t>Sheet1</t>
        </is>
      </c>
      <c r="B334" t="inlineStr">
        <is>
          <t>H81</t>
        </is>
      </c>
      <c r="C334" t="n">
        <v>81</v>
      </c>
      <c r="D334" t="n">
        <v>8</v>
      </c>
      <c r="E334" t="inlineStr">
        <is>
          <t>Input</t>
        </is>
      </c>
      <c r="F334" t="n">
        <v/>
      </c>
      <c r="H334" t="inlineStr"/>
      <c r="I334" t="inlineStr">
        <is>
          <t>0.00</t>
        </is>
      </c>
      <c r="J334" t="b">
        <v>0</v>
      </c>
      <c r="K334" t="b">
        <v>0</v>
      </c>
      <c r="L334" t="n">
        <v>10</v>
      </c>
      <c r="N334" t="inlineStr">
        <is>
          <t>00000000</t>
        </is>
      </c>
      <c r="O334" t="inlineStr">
        <is>
          <t>general</t>
        </is>
      </c>
      <c r="P334" t="inlineStr">
        <is>
          <t>bottom</t>
        </is>
      </c>
      <c r="Q334" t="b">
        <v>0</v>
      </c>
      <c r="R334" t="b">
        <v>0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</row>
    <row r="335">
      <c r="A335" t="inlineStr">
        <is>
          <t>Sheet1</t>
        </is>
      </c>
      <c r="B335" t="inlineStr">
        <is>
          <t>C82</t>
        </is>
      </c>
      <c r="C335" t="n">
        <v>82</v>
      </c>
      <c r="D335" t="n">
        <v>3</v>
      </c>
      <c r="E335" t="inlineStr">
        <is>
          <t>Input</t>
        </is>
      </c>
      <c r="F335" t="n">
        <v/>
      </c>
      <c r="H335" t="inlineStr"/>
      <c r="I335" t="inlineStr">
        <is>
          <t>_(\$* #,##0_);_(\$* \(#,##0\);_(\$* \-??_);_(@_)</t>
        </is>
      </c>
      <c r="J335" t="b">
        <v>0</v>
      </c>
      <c r="K335" t="b">
        <v>0</v>
      </c>
      <c r="L335" t="n">
        <v>10</v>
      </c>
      <c r="N335" t="inlineStr">
        <is>
          <t>00000000</t>
        </is>
      </c>
      <c r="O335" t="inlineStr">
        <is>
          <t>general</t>
        </is>
      </c>
      <c r="P335" t="inlineStr">
        <is>
          <t>bottom</t>
        </is>
      </c>
      <c r="Q335" t="b">
        <v>0</v>
      </c>
      <c r="R335" t="b">
        <v>0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</row>
    <row r="336">
      <c r="A336" t="inlineStr">
        <is>
          <t>Sheet1</t>
        </is>
      </c>
      <c r="B336" t="inlineStr">
        <is>
          <t>E82</t>
        </is>
      </c>
      <c r="C336" t="n">
        <v>82</v>
      </c>
      <c r="D336" t="n">
        <v>5</v>
      </c>
      <c r="E336" t="inlineStr">
        <is>
          <t>Input</t>
        </is>
      </c>
      <c r="F336" t="n">
        <v/>
      </c>
      <c r="H336" t="inlineStr"/>
      <c r="I336" t="inlineStr">
        <is>
          <t>_(\$* #,##0_);_(\$* \(#,##0\);_(\$* \-??_);_(@_)</t>
        </is>
      </c>
      <c r="J336" t="b">
        <v>0</v>
      </c>
      <c r="K336" t="b">
        <v>0</v>
      </c>
      <c r="L336" t="n">
        <v>10</v>
      </c>
      <c r="N336" t="inlineStr">
        <is>
          <t>00000000</t>
        </is>
      </c>
      <c r="O336" t="inlineStr">
        <is>
          <t>general</t>
        </is>
      </c>
      <c r="P336" t="inlineStr">
        <is>
          <t>bottom</t>
        </is>
      </c>
      <c r="Q336" t="b">
        <v>0</v>
      </c>
      <c r="R336" t="b">
        <v>0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</row>
    <row r="337">
      <c r="A337" t="inlineStr">
        <is>
          <t>Sheet1</t>
        </is>
      </c>
      <c r="B337" t="inlineStr">
        <is>
          <t>F82</t>
        </is>
      </c>
      <c r="C337" t="n">
        <v>82</v>
      </c>
      <c r="D337" t="n">
        <v>6</v>
      </c>
      <c r="E337" t="inlineStr">
        <is>
          <t>Input</t>
        </is>
      </c>
      <c r="F337" t="n">
        <v/>
      </c>
      <c r="H337" t="inlineStr"/>
      <c r="I337" t="inlineStr">
        <is>
          <t>0.0%</t>
        </is>
      </c>
      <c r="J337" t="b">
        <v>0</v>
      </c>
      <c r="K337" t="b">
        <v>0</v>
      </c>
      <c r="L337" t="n">
        <v>10</v>
      </c>
      <c r="N337" t="inlineStr">
        <is>
          <t>00000000</t>
        </is>
      </c>
      <c r="O337" t="inlineStr">
        <is>
          <t>general</t>
        </is>
      </c>
      <c r="P337" t="inlineStr">
        <is>
          <t>bottom</t>
        </is>
      </c>
      <c r="Q337" t="b">
        <v>0</v>
      </c>
      <c r="R337" t="b">
        <v>0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</row>
    <row r="338">
      <c r="A338" t="inlineStr">
        <is>
          <t>Sheet1</t>
        </is>
      </c>
      <c r="B338" t="inlineStr">
        <is>
          <t>G82</t>
        </is>
      </c>
      <c r="C338" t="n">
        <v>82</v>
      </c>
      <c r="D338" t="n">
        <v>7</v>
      </c>
      <c r="E338" t="inlineStr">
        <is>
          <t>Input</t>
        </is>
      </c>
      <c r="F338" t="n">
        <v/>
      </c>
      <c r="H338" t="inlineStr"/>
      <c r="I338" t="inlineStr">
        <is>
          <t>0.00</t>
        </is>
      </c>
      <c r="J338" t="b">
        <v>0</v>
      </c>
      <c r="K338" t="b">
        <v>0</v>
      </c>
      <c r="L338" t="n">
        <v>10</v>
      </c>
      <c r="N338" t="inlineStr">
        <is>
          <t>00000000</t>
        </is>
      </c>
      <c r="O338" t="inlineStr">
        <is>
          <t>general</t>
        </is>
      </c>
      <c r="P338" t="inlineStr">
        <is>
          <t>bottom</t>
        </is>
      </c>
      <c r="Q338" t="b">
        <v>0</v>
      </c>
      <c r="R338" t="b">
        <v>0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</row>
    <row r="339">
      <c r="A339" t="inlineStr">
        <is>
          <t>Sheet1</t>
        </is>
      </c>
      <c r="B339" t="inlineStr">
        <is>
          <t>H82</t>
        </is>
      </c>
      <c r="C339" t="n">
        <v>82</v>
      </c>
      <c r="D339" t="n">
        <v>8</v>
      </c>
      <c r="E339" t="inlineStr">
        <is>
          <t>Input</t>
        </is>
      </c>
      <c r="F339" t="n">
        <v/>
      </c>
      <c r="H339" t="inlineStr"/>
      <c r="I339" t="inlineStr">
        <is>
          <t>0.00</t>
        </is>
      </c>
      <c r="J339" t="b">
        <v>0</v>
      </c>
      <c r="K339" t="b">
        <v>0</v>
      </c>
      <c r="L339" t="n">
        <v>10</v>
      </c>
      <c r="N339" t="inlineStr">
        <is>
          <t>00000000</t>
        </is>
      </c>
      <c r="O339" t="inlineStr">
        <is>
          <t>general</t>
        </is>
      </c>
      <c r="P339" t="inlineStr">
        <is>
          <t>bottom</t>
        </is>
      </c>
      <c r="Q339" t="b">
        <v>0</v>
      </c>
      <c r="R339" t="b">
        <v>0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</row>
    <row r="340">
      <c r="A340" t="inlineStr">
        <is>
          <t>Sheet1</t>
        </is>
      </c>
      <c r="B340" t="inlineStr">
        <is>
          <t>C83</t>
        </is>
      </c>
      <c r="C340" t="n">
        <v>83</v>
      </c>
      <c r="D340" t="n">
        <v>3</v>
      </c>
      <c r="E340" t="inlineStr">
        <is>
          <t>Input</t>
        </is>
      </c>
      <c r="F340" t="n">
        <v/>
      </c>
      <c r="H340" t="inlineStr"/>
      <c r="I340" t="inlineStr">
        <is>
          <t>_(\$* #,##0_);_(\$* \(#,##0\);_(\$* \-??_);_(@_)</t>
        </is>
      </c>
      <c r="J340" t="b">
        <v>0</v>
      </c>
      <c r="K340" t="b">
        <v>0</v>
      </c>
      <c r="L340" t="n">
        <v>10</v>
      </c>
      <c r="N340" t="inlineStr">
        <is>
          <t>00000000</t>
        </is>
      </c>
      <c r="O340" t="inlineStr">
        <is>
          <t>general</t>
        </is>
      </c>
      <c r="P340" t="inlineStr">
        <is>
          <t>bottom</t>
        </is>
      </c>
      <c r="Q340" t="b">
        <v>0</v>
      </c>
      <c r="R340" t="b">
        <v>0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</row>
    <row r="341">
      <c r="A341" t="inlineStr">
        <is>
          <t>Sheet1</t>
        </is>
      </c>
      <c r="B341" t="inlineStr">
        <is>
          <t>E83</t>
        </is>
      </c>
      <c r="C341" t="n">
        <v>83</v>
      </c>
      <c r="D341" t="n">
        <v>5</v>
      </c>
      <c r="E341" t="inlineStr">
        <is>
          <t>Input</t>
        </is>
      </c>
      <c r="F341" t="n">
        <v/>
      </c>
      <c r="H341" t="inlineStr"/>
      <c r="I341" t="inlineStr">
        <is>
          <t>_(\$* #,##0_);_(\$* \(#,##0\);_(\$* \-??_);_(@_)</t>
        </is>
      </c>
      <c r="J341" t="b">
        <v>0</v>
      </c>
      <c r="K341" t="b">
        <v>0</v>
      </c>
      <c r="L341" t="n">
        <v>10</v>
      </c>
      <c r="N341" t="inlineStr">
        <is>
          <t>00000000</t>
        </is>
      </c>
      <c r="O341" t="inlineStr">
        <is>
          <t>general</t>
        </is>
      </c>
      <c r="P341" t="inlineStr">
        <is>
          <t>bottom</t>
        </is>
      </c>
      <c r="Q341" t="b">
        <v>0</v>
      </c>
      <c r="R341" t="b">
        <v>0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</row>
    <row r="342">
      <c r="A342" t="inlineStr">
        <is>
          <t>Sheet1</t>
        </is>
      </c>
      <c r="B342" t="inlineStr">
        <is>
          <t>F83</t>
        </is>
      </c>
      <c r="C342" t="n">
        <v>83</v>
      </c>
      <c r="D342" t="n">
        <v>6</v>
      </c>
      <c r="E342" t="inlineStr">
        <is>
          <t>Input</t>
        </is>
      </c>
      <c r="F342" t="n">
        <v/>
      </c>
      <c r="H342" t="inlineStr"/>
      <c r="I342" t="inlineStr">
        <is>
          <t>0.0%</t>
        </is>
      </c>
      <c r="J342" t="b">
        <v>0</v>
      </c>
      <c r="K342" t="b">
        <v>0</v>
      </c>
      <c r="L342" t="n">
        <v>10</v>
      </c>
      <c r="N342" t="inlineStr">
        <is>
          <t>00000000</t>
        </is>
      </c>
      <c r="O342" t="inlineStr">
        <is>
          <t>general</t>
        </is>
      </c>
      <c r="P342" t="inlineStr">
        <is>
          <t>bottom</t>
        </is>
      </c>
      <c r="Q342" t="b">
        <v>0</v>
      </c>
      <c r="R342" t="b">
        <v>0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</row>
    <row r="343">
      <c r="A343" t="inlineStr">
        <is>
          <t>Sheet1</t>
        </is>
      </c>
      <c r="B343" t="inlineStr">
        <is>
          <t>G83</t>
        </is>
      </c>
      <c r="C343" t="n">
        <v>83</v>
      </c>
      <c r="D343" t="n">
        <v>7</v>
      </c>
      <c r="E343" t="inlineStr">
        <is>
          <t>Input</t>
        </is>
      </c>
      <c r="F343" t="n">
        <v/>
      </c>
      <c r="H343" t="inlineStr"/>
      <c r="I343" t="inlineStr">
        <is>
          <t>0.00</t>
        </is>
      </c>
      <c r="J343" t="b">
        <v>0</v>
      </c>
      <c r="K343" t="b">
        <v>0</v>
      </c>
      <c r="L343" t="n">
        <v>10</v>
      </c>
      <c r="N343" t="inlineStr">
        <is>
          <t>00000000</t>
        </is>
      </c>
      <c r="O343" t="inlineStr">
        <is>
          <t>general</t>
        </is>
      </c>
      <c r="P343" t="inlineStr">
        <is>
          <t>bottom</t>
        </is>
      </c>
      <c r="Q343" t="b">
        <v>0</v>
      </c>
      <c r="R343" t="b">
        <v>0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</row>
    <row r="344">
      <c r="A344" t="inlineStr">
        <is>
          <t>Sheet1</t>
        </is>
      </c>
      <c r="B344" t="inlineStr">
        <is>
          <t>H83</t>
        </is>
      </c>
      <c r="C344" t="n">
        <v>83</v>
      </c>
      <c r="D344" t="n">
        <v>8</v>
      </c>
      <c r="E344" t="inlineStr">
        <is>
          <t>Input</t>
        </is>
      </c>
      <c r="F344" t="n">
        <v/>
      </c>
      <c r="H344" t="inlineStr"/>
      <c r="I344" t="inlineStr">
        <is>
          <t>0.00</t>
        </is>
      </c>
      <c r="J344" t="b">
        <v>0</v>
      </c>
      <c r="K344" t="b">
        <v>0</v>
      </c>
      <c r="L344" t="n">
        <v>10</v>
      </c>
      <c r="N344" t="inlineStr">
        <is>
          <t>00000000</t>
        </is>
      </c>
      <c r="O344" t="inlineStr">
        <is>
          <t>general</t>
        </is>
      </c>
      <c r="P344" t="inlineStr">
        <is>
          <t>bottom</t>
        </is>
      </c>
      <c r="Q344" t="b">
        <v>0</v>
      </c>
      <c r="R344" t="b">
        <v>0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</row>
    <row r="345">
      <c r="A345" t="inlineStr">
        <is>
          <t>Sheet1</t>
        </is>
      </c>
      <c r="B345" t="inlineStr">
        <is>
          <t>C84</t>
        </is>
      </c>
      <c r="C345" t="n">
        <v>84</v>
      </c>
      <c r="D345" t="n">
        <v>3</v>
      </c>
      <c r="E345" t="inlineStr">
        <is>
          <t>Input</t>
        </is>
      </c>
      <c r="F345" t="n">
        <v/>
      </c>
      <c r="H345" t="inlineStr"/>
      <c r="I345" t="inlineStr">
        <is>
          <t>_(\$* #,##0_);_(\$* \(#,##0\);_(\$* \-??_);_(@_)</t>
        </is>
      </c>
      <c r="J345" t="b">
        <v>0</v>
      </c>
      <c r="K345" t="b">
        <v>0</v>
      </c>
      <c r="L345" t="n">
        <v>10</v>
      </c>
      <c r="N345" t="inlineStr">
        <is>
          <t>00000000</t>
        </is>
      </c>
      <c r="O345" t="inlineStr">
        <is>
          <t>general</t>
        </is>
      </c>
      <c r="P345" t="inlineStr">
        <is>
          <t>bottom</t>
        </is>
      </c>
      <c r="Q345" t="b">
        <v>0</v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</row>
    <row r="346">
      <c r="A346" t="inlineStr">
        <is>
          <t>Sheet1</t>
        </is>
      </c>
      <c r="B346" t="inlineStr">
        <is>
          <t>E84</t>
        </is>
      </c>
      <c r="C346" t="n">
        <v>84</v>
      </c>
      <c r="D346" t="n">
        <v>5</v>
      </c>
      <c r="E346" t="inlineStr">
        <is>
          <t>Input</t>
        </is>
      </c>
      <c r="F346" t="n">
        <v/>
      </c>
      <c r="H346" t="inlineStr"/>
      <c r="I346" t="inlineStr">
        <is>
          <t>_(\$* #,##0_);_(\$* \(#,##0\);_(\$* \-??_);_(@_)</t>
        </is>
      </c>
      <c r="J346" t="b">
        <v>0</v>
      </c>
      <c r="K346" t="b">
        <v>0</v>
      </c>
      <c r="L346" t="n">
        <v>10</v>
      </c>
      <c r="N346" t="inlineStr">
        <is>
          <t>00000000</t>
        </is>
      </c>
      <c r="O346" t="inlineStr">
        <is>
          <t>general</t>
        </is>
      </c>
      <c r="P346" t="inlineStr">
        <is>
          <t>bottom</t>
        </is>
      </c>
      <c r="Q346" t="b">
        <v>0</v>
      </c>
      <c r="R346" t="b">
        <v>0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</row>
    <row r="347">
      <c r="A347" t="inlineStr">
        <is>
          <t>Sheet1</t>
        </is>
      </c>
      <c r="B347" t="inlineStr">
        <is>
          <t>F84</t>
        </is>
      </c>
      <c r="C347" t="n">
        <v>84</v>
      </c>
      <c r="D347" t="n">
        <v>6</v>
      </c>
      <c r="E347" t="inlineStr">
        <is>
          <t>Input</t>
        </is>
      </c>
      <c r="F347" t="n">
        <v/>
      </c>
      <c r="H347" t="inlineStr"/>
      <c r="I347" t="inlineStr">
        <is>
          <t>0.0%</t>
        </is>
      </c>
      <c r="J347" t="b">
        <v>0</v>
      </c>
      <c r="K347" t="b">
        <v>0</v>
      </c>
      <c r="L347" t="n">
        <v>10</v>
      </c>
      <c r="N347" t="inlineStr">
        <is>
          <t>00000000</t>
        </is>
      </c>
      <c r="O347" t="inlineStr">
        <is>
          <t>general</t>
        </is>
      </c>
      <c r="P347" t="inlineStr">
        <is>
          <t>bottom</t>
        </is>
      </c>
      <c r="Q347" t="b">
        <v>0</v>
      </c>
      <c r="R347" t="b">
        <v>0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</row>
    <row r="348">
      <c r="A348" t="inlineStr">
        <is>
          <t>Sheet1</t>
        </is>
      </c>
      <c r="B348" t="inlineStr">
        <is>
          <t>G84</t>
        </is>
      </c>
      <c r="C348" t="n">
        <v>84</v>
      </c>
      <c r="D348" t="n">
        <v>7</v>
      </c>
      <c r="E348" t="inlineStr">
        <is>
          <t>Input</t>
        </is>
      </c>
      <c r="F348" t="n">
        <v/>
      </c>
      <c r="H348" t="inlineStr"/>
      <c r="I348" t="inlineStr">
        <is>
          <t>0.00</t>
        </is>
      </c>
      <c r="J348" t="b">
        <v>0</v>
      </c>
      <c r="K348" t="b">
        <v>0</v>
      </c>
      <c r="L348" t="n">
        <v>10</v>
      </c>
      <c r="N348" t="inlineStr">
        <is>
          <t>00000000</t>
        </is>
      </c>
      <c r="O348" t="inlineStr">
        <is>
          <t>general</t>
        </is>
      </c>
      <c r="P348" t="inlineStr">
        <is>
          <t>bottom</t>
        </is>
      </c>
      <c r="Q348" t="b">
        <v>0</v>
      </c>
      <c r="R348" t="b">
        <v>0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</row>
    <row r="349">
      <c r="A349" t="inlineStr">
        <is>
          <t>Sheet1</t>
        </is>
      </c>
      <c r="B349" t="inlineStr">
        <is>
          <t>H84</t>
        </is>
      </c>
      <c r="C349" t="n">
        <v>84</v>
      </c>
      <c r="D349" t="n">
        <v>8</v>
      </c>
      <c r="E349" t="inlineStr">
        <is>
          <t>Input</t>
        </is>
      </c>
      <c r="F349" t="n">
        <v/>
      </c>
      <c r="H349" t="inlineStr"/>
      <c r="I349" t="inlineStr">
        <is>
          <t>0.00</t>
        </is>
      </c>
      <c r="J349" t="b">
        <v>0</v>
      </c>
      <c r="K349" t="b">
        <v>0</v>
      </c>
      <c r="L349" t="n">
        <v>10</v>
      </c>
      <c r="N349" t="inlineStr">
        <is>
          <t>00000000</t>
        </is>
      </c>
      <c r="O349" t="inlineStr">
        <is>
          <t>general</t>
        </is>
      </c>
      <c r="P349" t="inlineStr">
        <is>
          <t>bottom</t>
        </is>
      </c>
      <c r="Q349" t="b">
        <v>0</v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</row>
    <row r="350">
      <c r="A350" t="inlineStr">
        <is>
          <t>Sheet1</t>
        </is>
      </c>
      <c r="B350" t="inlineStr">
        <is>
          <t>C85</t>
        </is>
      </c>
      <c r="C350" t="n">
        <v>85</v>
      </c>
      <c r="D350" t="n">
        <v>3</v>
      </c>
      <c r="E350" t="inlineStr">
        <is>
          <t>Input</t>
        </is>
      </c>
      <c r="F350" t="n">
        <v/>
      </c>
      <c r="H350" t="inlineStr"/>
      <c r="I350" t="inlineStr">
        <is>
          <t>_(\$* #,##0_);_(\$* \(#,##0\);_(\$* \-??_);_(@_)</t>
        </is>
      </c>
      <c r="J350" t="b">
        <v>0</v>
      </c>
      <c r="K350" t="b">
        <v>0</v>
      </c>
      <c r="L350" t="n">
        <v>10</v>
      </c>
      <c r="N350" t="inlineStr">
        <is>
          <t>00000000</t>
        </is>
      </c>
      <c r="O350" t="inlineStr">
        <is>
          <t>general</t>
        </is>
      </c>
      <c r="P350" t="inlineStr">
        <is>
          <t>bottom</t>
        </is>
      </c>
      <c r="Q350" t="b">
        <v>0</v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</row>
    <row r="351">
      <c r="A351" t="inlineStr">
        <is>
          <t>Sheet1</t>
        </is>
      </c>
      <c r="B351" t="inlineStr">
        <is>
          <t>E85</t>
        </is>
      </c>
      <c r="C351" t="n">
        <v>85</v>
      </c>
      <c r="D351" t="n">
        <v>5</v>
      </c>
      <c r="E351" t="inlineStr">
        <is>
          <t>Input</t>
        </is>
      </c>
      <c r="F351" t="n">
        <v/>
      </c>
      <c r="H351" t="inlineStr"/>
      <c r="I351" t="inlineStr">
        <is>
          <t>_(\$* #,##0_);_(\$* \(#,##0\);_(\$* \-??_);_(@_)</t>
        </is>
      </c>
      <c r="J351" t="b">
        <v>0</v>
      </c>
      <c r="K351" t="b">
        <v>0</v>
      </c>
      <c r="L351" t="n">
        <v>10</v>
      </c>
      <c r="N351" t="inlineStr">
        <is>
          <t>00000000</t>
        </is>
      </c>
      <c r="O351" t="inlineStr">
        <is>
          <t>general</t>
        </is>
      </c>
      <c r="P351" t="inlineStr">
        <is>
          <t>bottom</t>
        </is>
      </c>
      <c r="Q351" t="b">
        <v>0</v>
      </c>
      <c r="R351" t="b">
        <v>0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</row>
    <row r="352">
      <c r="A352" t="inlineStr">
        <is>
          <t>Sheet1</t>
        </is>
      </c>
      <c r="B352" t="inlineStr">
        <is>
          <t>F85</t>
        </is>
      </c>
      <c r="C352" t="n">
        <v>85</v>
      </c>
      <c r="D352" t="n">
        <v>6</v>
      </c>
      <c r="E352" t="inlineStr">
        <is>
          <t>Input</t>
        </is>
      </c>
      <c r="F352" t="n">
        <v/>
      </c>
      <c r="H352" t="inlineStr"/>
      <c r="I352" t="inlineStr">
        <is>
          <t>0.0%</t>
        </is>
      </c>
      <c r="J352" t="b">
        <v>0</v>
      </c>
      <c r="K352" t="b">
        <v>0</v>
      </c>
      <c r="L352" t="n">
        <v>10</v>
      </c>
      <c r="N352" t="inlineStr">
        <is>
          <t>00000000</t>
        </is>
      </c>
      <c r="O352" t="inlineStr">
        <is>
          <t>general</t>
        </is>
      </c>
      <c r="P352" t="inlineStr">
        <is>
          <t>bottom</t>
        </is>
      </c>
      <c r="Q352" t="b">
        <v>0</v>
      </c>
      <c r="R352" t="b">
        <v>0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</row>
    <row r="353">
      <c r="A353" t="inlineStr">
        <is>
          <t>Sheet1</t>
        </is>
      </c>
      <c r="B353" t="inlineStr">
        <is>
          <t>G85</t>
        </is>
      </c>
      <c r="C353" t="n">
        <v>85</v>
      </c>
      <c r="D353" t="n">
        <v>7</v>
      </c>
      <c r="E353" t="inlineStr">
        <is>
          <t>Input</t>
        </is>
      </c>
      <c r="F353" t="n">
        <v/>
      </c>
      <c r="H353" t="inlineStr"/>
      <c r="I353" t="inlineStr">
        <is>
          <t>0.00</t>
        </is>
      </c>
      <c r="J353" t="b">
        <v>0</v>
      </c>
      <c r="K353" t="b">
        <v>0</v>
      </c>
      <c r="L353" t="n">
        <v>10</v>
      </c>
      <c r="N353" t="inlineStr">
        <is>
          <t>00000000</t>
        </is>
      </c>
      <c r="O353" t="inlineStr">
        <is>
          <t>general</t>
        </is>
      </c>
      <c r="P353" t="inlineStr">
        <is>
          <t>bottom</t>
        </is>
      </c>
      <c r="Q353" t="b">
        <v>0</v>
      </c>
      <c r="R353" t="b">
        <v>0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</row>
    <row r="354">
      <c r="A354" t="inlineStr">
        <is>
          <t>Sheet1</t>
        </is>
      </c>
      <c r="B354" t="inlineStr">
        <is>
          <t>H85</t>
        </is>
      </c>
      <c r="C354" t="n">
        <v>85</v>
      </c>
      <c r="D354" t="n">
        <v>8</v>
      </c>
      <c r="E354" t="inlineStr">
        <is>
          <t>Input</t>
        </is>
      </c>
      <c r="F354" t="n">
        <v/>
      </c>
      <c r="H354" t="inlineStr"/>
      <c r="I354" t="inlineStr">
        <is>
          <t>0.00</t>
        </is>
      </c>
      <c r="J354" t="b">
        <v>0</v>
      </c>
      <c r="K354" t="b">
        <v>0</v>
      </c>
      <c r="L354" t="n">
        <v>10</v>
      </c>
      <c r="N354" t="inlineStr">
        <is>
          <t>00000000</t>
        </is>
      </c>
      <c r="O354" t="inlineStr">
        <is>
          <t>general</t>
        </is>
      </c>
      <c r="P354" t="inlineStr">
        <is>
          <t>bottom</t>
        </is>
      </c>
      <c r="Q354" t="b">
        <v>0</v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</row>
    <row r="355">
      <c r="A355" t="inlineStr">
        <is>
          <t>Sheet1</t>
        </is>
      </c>
      <c r="B355" t="inlineStr">
        <is>
          <t>C86</t>
        </is>
      </c>
      <c r="C355" t="n">
        <v>86</v>
      </c>
      <c r="D355" t="n">
        <v>3</v>
      </c>
      <c r="E355" t="inlineStr">
        <is>
          <t>Input</t>
        </is>
      </c>
      <c r="F355" t="n">
        <v/>
      </c>
      <c r="H355" t="inlineStr"/>
      <c r="I355" t="inlineStr">
        <is>
          <t>_(\$* #,##0_);_(\$* \(#,##0\);_(\$* \-??_);_(@_)</t>
        </is>
      </c>
      <c r="J355" t="b">
        <v>0</v>
      </c>
      <c r="K355" t="b">
        <v>0</v>
      </c>
      <c r="L355" t="n">
        <v>10</v>
      </c>
      <c r="N355" t="inlineStr">
        <is>
          <t>00000000</t>
        </is>
      </c>
      <c r="O355" t="inlineStr">
        <is>
          <t>general</t>
        </is>
      </c>
      <c r="P355" t="inlineStr">
        <is>
          <t>bottom</t>
        </is>
      </c>
      <c r="Q355" t="b">
        <v>0</v>
      </c>
      <c r="R355" t="b">
        <v>0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</row>
    <row r="356">
      <c r="A356" t="inlineStr">
        <is>
          <t>Sheet1</t>
        </is>
      </c>
      <c r="B356" t="inlineStr">
        <is>
          <t>E86</t>
        </is>
      </c>
      <c r="C356" t="n">
        <v>86</v>
      </c>
      <c r="D356" t="n">
        <v>5</v>
      </c>
      <c r="E356" t="inlineStr">
        <is>
          <t>Input</t>
        </is>
      </c>
      <c r="F356" t="n">
        <v/>
      </c>
      <c r="H356" t="inlineStr"/>
      <c r="I356" t="inlineStr">
        <is>
          <t>_(\$* #,##0_);_(\$* \(#,##0\);_(\$* \-??_);_(@_)</t>
        </is>
      </c>
      <c r="J356" t="b">
        <v>0</v>
      </c>
      <c r="K356" t="b">
        <v>0</v>
      </c>
      <c r="L356" t="n">
        <v>10</v>
      </c>
      <c r="N356" t="inlineStr">
        <is>
          <t>00000000</t>
        </is>
      </c>
      <c r="O356" t="inlineStr">
        <is>
          <t>general</t>
        </is>
      </c>
      <c r="P356" t="inlineStr">
        <is>
          <t>bottom</t>
        </is>
      </c>
      <c r="Q356" t="b">
        <v>0</v>
      </c>
      <c r="R356" t="b">
        <v>0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</row>
    <row r="357">
      <c r="A357" t="inlineStr">
        <is>
          <t>Sheet1</t>
        </is>
      </c>
      <c r="B357" t="inlineStr">
        <is>
          <t>F86</t>
        </is>
      </c>
      <c r="C357" t="n">
        <v>86</v>
      </c>
      <c r="D357" t="n">
        <v>6</v>
      </c>
      <c r="E357" t="inlineStr">
        <is>
          <t>Input</t>
        </is>
      </c>
      <c r="F357" t="n">
        <v/>
      </c>
      <c r="H357" t="inlineStr"/>
      <c r="I357" t="inlineStr">
        <is>
          <t>0.0%</t>
        </is>
      </c>
      <c r="J357" t="b">
        <v>0</v>
      </c>
      <c r="K357" t="b">
        <v>0</v>
      </c>
      <c r="L357" t="n">
        <v>10</v>
      </c>
      <c r="N357" t="inlineStr">
        <is>
          <t>00000000</t>
        </is>
      </c>
      <c r="O357" t="inlineStr">
        <is>
          <t>general</t>
        </is>
      </c>
      <c r="P357" t="inlineStr">
        <is>
          <t>bottom</t>
        </is>
      </c>
      <c r="Q357" t="b">
        <v>0</v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</row>
    <row r="358">
      <c r="A358" t="inlineStr">
        <is>
          <t>Sheet1</t>
        </is>
      </c>
      <c r="B358" t="inlineStr">
        <is>
          <t>G86</t>
        </is>
      </c>
      <c r="C358" t="n">
        <v>86</v>
      </c>
      <c r="D358" t="n">
        <v>7</v>
      </c>
      <c r="E358" t="inlineStr">
        <is>
          <t>Input</t>
        </is>
      </c>
      <c r="F358" t="n">
        <v/>
      </c>
      <c r="H358" t="inlineStr"/>
      <c r="I358" t="inlineStr">
        <is>
          <t>0.00</t>
        </is>
      </c>
      <c r="J358" t="b">
        <v>0</v>
      </c>
      <c r="K358" t="b">
        <v>0</v>
      </c>
      <c r="L358" t="n">
        <v>10</v>
      </c>
      <c r="N358" t="inlineStr">
        <is>
          <t>00000000</t>
        </is>
      </c>
      <c r="O358" t="inlineStr">
        <is>
          <t>general</t>
        </is>
      </c>
      <c r="P358" t="inlineStr">
        <is>
          <t>bottom</t>
        </is>
      </c>
      <c r="Q358" t="b">
        <v>0</v>
      </c>
      <c r="R358" t="b">
        <v>0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</row>
    <row r="359">
      <c r="A359" t="inlineStr">
        <is>
          <t>Sheet1</t>
        </is>
      </c>
      <c r="B359" t="inlineStr">
        <is>
          <t>H86</t>
        </is>
      </c>
      <c r="C359" t="n">
        <v>86</v>
      </c>
      <c r="D359" t="n">
        <v>8</v>
      </c>
      <c r="E359" t="inlineStr">
        <is>
          <t>Input</t>
        </is>
      </c>
      <c r="F359" t="n">
        <v/>
      </c>
      <c r="H359" t="inlineStr"/>
      <c r="I359" t="inlineStr">
        <is>
          <t>0.00</t>
        </is>
      </c>
      <c r="J359" t="b">
        <v>0</v>
      </c>
      <c r="K359" t="b">
        <v>0</v>
      </c>
      <c r="L359" t="n">
        <v>10</v>
      </c>
      <c r="N359" t="inlineStr">
        <is>
          <t>00000000</t>
        </is>
      </c>
      <c r="O359" t="inlineStr">
        <is>
          <t>general</t>
        </is>
      </c>
      <c r="P359" t="inlineStr">
        <is>
          <t>bottom</t>
        </is>
      </c>
      <c r="Q359" t="b">
        <v>0</v>
      </c>
      <c r="R359" t="b">
        <v>0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</row>
    <row r="360">
      <c r="A360" t="inlineStr">
        <is>
          <t>Sheet1</t>
        </is>
      </c>
      <c r="B360" t="inlineStr">
        <is>
          <t>C87</t>
        </is>
      </c>
      <c r="C360" t="n">
        <v>87</v>
      </c>
      <c r="D360" t="n">
        <v>3</v>
      </c>
      <c r="E360" t="inlineStr">
        <is>
          <t>Input</t>
        </is>
      </c>
      <c r="F360" t="n">
        <v/>
      </c>
      <c r="H360" t="inlineStr"/>
      <c r="I360" t="inlineStr">
        <is>
          <t>_(\$* #,##0_);_(\$* \(#,##0\);_(\$* \-??_);_(@_)</t>
        </is>
      </c>
      <c r="J360" t="b">
        <v>0</v>
      </c>
      <c r="K360" t="b">
        <v>0</v>
      </c>
      <c r="L360" t="n">
        <v>10</v>
      </c>
      <c r="N360" t="inlineStr">
        <is>
          <t>00000000</t>
        </is>
      </c>
      <c r="O360" t="inlineStr">
        <is>
          <t>general</t>
        </is>
      </c>
      <c r="P360" t="inlineStr">
        <is>
          <t>bottom</t>
        </is>
      </c>
      <c r="Q360" t="b">
        <v>0</v>
      </c>
      <c r="R360" t="b">
        <v>0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</row>
    <row r="361">
      <c r="A361" t="inlineStr">
        <is>
          <t>Sheet1</t>
        </is>
      </c>
      <c r="B361" t="inlineStr">
        <is>
          <t>E87</t>
        </is>
      </c>
      <c r="C361" t="n">
        <v>87</v>
      </c>
      <c r="D361" t="n">
        <v>5</v>
      </c>
      <c r="E361" t="inlineStr">
        <is>
          <t>Input</t>
        </is>
      </c>
      <c r="F361" t="n">
        <v/>
      </c>
      <c r="H361" t="inlineStr"/>
      <c r="I361" t="inlineStr">
        <is>
          <t>_(\$* #,##0_);_(\$* \(#,##0\);_(\$* \-??_);_(@_)</t>
        </is>
      </c>
      <c r="J361" t="b">
        <v>0</v>
      </c>
      <c r="K361" t="b">
        <v>0</v>
      </c>
      <c r="L361" t="n">
        <v>10</v>
      </c>
      <c r="N361" t="inlineStr">
        <is>
          <t>00000000</t>
        </is>
      </c>
      <c r="O361" t="inlineStr">
        <is>
          <t>general</t>
        </is>
      </c>
      <c r="P361" t="inlineStr">
        <is>
          <t>bottom</t>
        </is>
      </c>
      <c r="Q361" t="b">
        <v>0</v>
      </c>
      <c r="R361" t="b">
        <v>0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</row>
    <row r="362">
      <c r="A362" t="inlineStr">
        <is>
          <t>Sheet1</t>
        </is>
      </c>
      <c r="B362" t="inlineStr">
        <is>
          <t>F87</t>
        </is>
      </c>
      <c r="C362" t="n">
        <v>87</v>
      </c>
      <c r="D362" t="n">
        <v>6</v>
      </c>
      <c r="E362" t="inlineStr">
        <is>
          <t>Input</t>
        </is>
      </c>
      <c r="F362" t="n">
        <v/>
      </c>
      <c r="H362" t="inlineStr"/>
      <c r="I362" t="inlineStr">
        <is>
          <t>0.0%</t>
        </is>
      </c>
      <c r="J362" t="b">
        <v>0</v>
      </c>
      <c r="K362" t="b">
        <v>0</v>
      </c>
      <c r="L362" t="n">
        <v>10</v>
      </c>
      <c r="N362" t="inlineStr">
        <is>
          <t>00000000</t>
        </is>
      </c>
      <c r="O362" t="inlineStr">
        <is>
          <t>general</t>
        </is>
      </c>
      <c r="P362" t="inlineStr">
        <is>
          <t>bottom</t>
        </is>
      </c>
      <c r="Q362" t="b">
        <v>0</v>
      </c>
      <c r="R362" t="b">
        <v>0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</row>
    <row r="363">
      <c r="A363" t="inlineStr">
        <is>
          <t>Sheet1</t>
        </is>
      </c>
      <c r="B363" t="inlineStr">
        <is>
          <t>G87</t>
        </is>
      </c>
      <c r="C363" t="n">
        <v>87</v>
      </c>
      <c r="D363" t="n">
        <v>7</v>
      </c>
      <c r="E363" t="inlineStr">
        <is>
          <t>Input</t>
        </is>
      </c>
      <c r="F363" t="n">
        <v/>
      </c>
      <c r="H363" t="inlineStr"/>
      <c r="I363" t="inlineStr">
        <is>
          <t>0.00</t>
        </is>
      </c>
      <c r="J363" t="b">
        <v>0</v>
      </c>
      <c r="K363" t="b">
        <v>0</v>
      </c>
      <c r="L363" t="n">
        <v>10</v>
      </c>
      <c r="N363" t="inlineStr">
        <is>
          <t>00000000</t>
        </is>
      </c>
      <c r="O363" t="inlineStr">
        <is>
          <t>general</t>
        </is>
      </c>
      <c r="P363" t="inlineStr">
        <is>
          <t>bottom</t>
        </is>
      </c>
      <c r="Q363" t="b">
        <v>0</v>
      </c>
      <c r="R363" t="b">
        <v>0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</row>
    <row r="364">
      <c r="A364" t="inlineStr">
        <is>
          <t>Sheet1</t>
        </is>
      </c>
      <c r="B364" t="inlineStr">
        <is>
          <t>H87</t>
        </is>
      </c>
      <c r="C364" t="n">
        <v>87</v>
      </c>
      <c r="D364" t="n">
        <v>8</v>
      </c>
      <c r="E364" t="inlineStr">
        <is>
          <t>Input</t>
        </is>
      </c>
      <c r="F364" t="n">
        <v/>
      </c>
      <c r="H364" t="inlineStr"/>
      <c r="I364" t="inlineStr">
        <is>
          <t>0.00</t>
        </is>
      </c>
      <c r="J364" t="b">
        <v>0</v>
      </c>
      <c r="K364" t="b">
        <v>0</v>
      </c>
      <c r="L364" t="n">
        <v>10</v>
      </c>
      <c r="N364" t="inlineStr">
        <is>
          <t>00000000</t>
        </is>
      </c>
      <c r="O364" t="inlineStr">
        <is>
          <t>general</t>
        </is>
      </c>
      <c r="P364" t="inlineStr">
        <is>
          <t>bottom</t>
        </is>
      </c>
      <c r="Q364" t="b">
        <v>0</v>
      </c>
      <c r="R364" t="b">
        <v>0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</row>
    <row r="365">
      <c r="A365" t="inlineStr">
        <is>
          <t>Sheet1</t>
        </is>
      </c>
      <c r="B365" t="inlineStr">
        <is>
          <t>C88</t>
        </is>
      </c>
      <c r="C365" t="n">
        <v>88</v>
      </c>
      <c r="D365" t="n">
        <v>3</v>
      </c>
      <c r="E365" t="inlineStr">
        <is>
          <t>Input</t>
        </is>
      </c>
      <c r="F365" t="n">
        <v/>
      </c>
      <c r="H365" t="inlineStr"/>
      <c r="I365" t="inlineStr">
        <is>
          <t>_(\$* #,##0_);_(\$* \(#,##0\);_(\$* \-??_);_(@_)</t>
        </is>
      </c>
      <c r="J365" t="b">
        <v>0</v>
      </c>
      <c r="K365" t="b">
        <v>0</v>
      </c>
      <c r="L365" t="n">
        <v>10</v>
      </c>
      <c r="N365" t="inlineStr">
        <is>
          <t>00000000</t>
        </is>
      </c>
      <c r="O365" t="inlineStr">
        <is>
          <t>general</t>
        </is>
      </c>
      <c r="P365" t="inlineStr">
        <is>
          <t>bottom</t>
        </is>
      </c>
      <c r="Q365" t="b">
        <v>0</v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</row>
    <row r="366">
      <c r="A366" t="inlineStr">
        <is>
          <t>Sheet1</t>
        </is>
      </c>
      <c r="B366" t="inlineStr">
        <is>
          <t>E88</t>
        </is>
      </c>
      <c r="C366" t="n">
        <v>88</v>
      </c>
      <c r="D366" t="n">
        <v>5</v>
      </c>
      <c r="E366" t="inlineStr">
        <is>
          <t>Input</t>
        </is>
      </c>
      <c r="F366" t="n">
        <v/>
      </c>
      <c r="H366" t="inlineStr"/>
      <c r="I366" t="inlineStr">
        <is>
          <t>_(\$* #,##0_);_(\$* \(#,##0\);_(\$* \-??_);_(@_)</t>
        </is>
      </c>
      <c r="J366" t="b">
        <v>0</v>
      </c>
      <c r="K366" t="b">
        <v>0</v>
      </c>
      <c r="L366" t="n">
        <v>10</v>
      </c>
      <c r="N366" t="inlineStr">
        <is>
          <t>00000000</t>
        </is>
      </c>
      <c r="O366" t="inlineStr">
        <is>
          <t>general</t>
        </is>
      </c>
      <c r="P366" t="inlineStr">
        <is>
          <t>bottom</t>
        </is>
      </c>
      <c r="Q366" t="b">
        <v>0</v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</row>
    <row r="367">
      <c r="A367" t="inlineStr">
        <is>
          <t>Sheet1</t>
        </is>
      </c>
      <c r="B367" t="inlineStr">
        <is>
          <t>F88</t>
        </is>
      </c>
      <c r="C367" t="n">
        <v>88</v>
      </c>
      <c r="D367" t="n">
        <v>6</v>
      </c>
      <c r="E367" t="inlineStr">
        <is>
          <t>Input</t>
        </is>
      </c>
      <c r="F367" t="n">
        <v/>
      </c>
      <c r="H367" t="inlineStr"/>
      <c r="I367" t="inlineStr">
        <is>
          <t>0.0%</t>
        </is>
      </c>
      <c r="J367" t="b">
        <v>0</v>
      </c>
      <c r="K367" t="b">
        <v>0</v>
      </c>
      <c r="L367" t="n">
        <v>10</v>
      </c>
      <c r="N367" t="inlineStr">
        <is>
          <t>00000000</t>
        </is>
      </c>
      <c r="O367" t="inlineStr">
        <is>
          <t>general</t>
        </is>
      </c>
      <c r="P367" t="inlineStr">
        <is>
          <t>bottom</t>
        </is>
      </c>
      <c r="Q367" t="b">
        <v>0</v>
      </c>
      <c r="R367" t="b">
        <v>0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</row>
    <row r="368">
      <c r="A368" t="inlineStr">
        <is>
          <t>Sheet1</t>
        </is>
      </c>
      <c r="B368" t="inlineStr">
        <is>
          <t>G88</t>
        </is>
      </c>
      <c r="C368" t="n">
        <v>88</v>
      </c>
      <c r="D368" t="n">
        <v>7</v>
      </c>
      <c r="E368" t="inlineStr">
        <is>
          <t>Input</t>
        </is>
      </c>
      <c r="F368" t="n">
        <v/>
      </c>
      <c r="H368" t="inlineStr"/>
      <c r="I368" t="inlineStr">
        <is>
          <t>0.00</t>
        </is>
      </c>
      <c r="J368" t="b">
        <v>0</v>
      </c>
      <c r="K368" t="b">
        <v>0</v>
      </c>
      <c r="L368" t="n">
        <v>10</v>
      </c>
      <c r="N368" t="inlineStr">
        <is>
          <t>00000000</t>
        </is>
      </c>
      <c r="O368" t="inlineStr">
        <is>
          <t>general</t>
        </is>
      </c>
      <c r="P368" t="inlineStr">
        <is>
          <t>bottom</t>
        </is>
      </c>
      <c r="Q368" t="b">
        <v>0</v>
      </c>
      <c r="R368" t="b">
        <v>0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</row>
    <row r="369">
      <c r="A369" t="inlineStr">
        <is>
          <t>Sheet1</t>
        </is>
      </c>
      <c r="B369" t="inlineStr">
        <is>
          <t>H88</t>
        </is>
      </c>
      <c r="C369" t="n">
        <v>88</v>
      </c>
      <c r="D369" t="n">
        <v>8</v>
      </c>
      <c r="E369" t="inlineStr">
        <is>
          <t>Input</t>
        </is>
      </c>
      <c r="F369" t="n">
        <v/>
      </c>
      <c r="H369" t="inlineStr"/>
      <c r="I369" t="inlineStr">
        <is>
          <t>0.00</t>
        </is>
      </c>
      <c r="J369" t="b">
        <v>0</v>
      </c>
      <c r="K369" t="b">
        <v>0</v>
      </c>
      <c r="L369" t="n">
        <v>10</v>
      </c>
      <c r="N369" t="inlineStr">
        <is>
          <t>00000000</t>
        </is>
      </c>
      <c r="O369" t="inlineStr">
        <is>
          <t>general</t>
        </is>
      </c>
      <c r="P369" t="inlineStr">
        <is>
          <t>bottom</t>
        </is>
      </c>
      <c r="Q369" t="b">
        <v>0</v>
      </c>
      <c r="R369" t="b">
        <v>0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</row>
    <row r="370">
      <c r="A370" t="inlineStr">
        <is>
          <t>Sheet1</t>
        </is>
      </c>
      <c r="B370" t="inlineStr">
        <is>
          <t>C89</t>
        </is>
      </c>
      <c r="C370" t="n">
        <v>89</v>
      </c>
      <c r="D370" t="n">
        <v>3</v>
      </c>
      <c r="E370" t="inlineStr">
        <is>
          <t>Input</t>
        </is>
      </c>
      <c r="F370" t="n">
        <v/>
      </c>
      <c r="H370" t="inlineStr"/>
      <c r="I370" t="inlineStr">
        <is>
          <t>_(\$* #,##0_);_(\$* \(#,##0\);_(\$* \-??_);_(@_)</t>
        </is>
      </c>
      <c r="J370" t="b">
        <v>0</v>
      </c>
      <c r="K370" t="b">
        <v>0</v>
      </c>
      <c r="L370" t="n">
        <v>10</v>
      </c>
      <c r="N370" t="inlineStr">
        <is>
          <t>00000000</t>
        </is>
      </c>
      <c r="O370" t="inlineStr">
        <is>
          <t>general</t>
        </is>
      </c>
      <c r="P370" t="inlineStr">
        <is>
          <t>bottom</t>
        </is>
      </c>
      <c r="Q370" t="b">
        <v>0</v>
      </c>
      <c r="R370" t="b">
        <v>0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</row>
    <row r="371">
      <c r="A371" t="inlineStr">
        <is>
          <t>Sheet1</t>
        </is>
      </c>
      <c r="B371" t="inlineStr">
        <is>
          <t>E89</t>
        </is>
      </c>
      <c r="C371" t="n">
        <v>89</v>
      </c>
      <c r="D371" t="n">
        <v>5</v>
      </c>
      <c r="E371" t="inlineStr">
        <is>
          <t>Input</t>
        </is>
      </c>
      <c r="F371" t="n">
        <v/>
      </c>
      <c r="H371" t="inlineStr"/>
      <c r="I371" t="inlineStr">
        <is>
          <t>_(\$* #,##0_);_(\$* \(#,##0\);_(\$* \-??_);_(@_)</t>
        </is>
      </c>
      <c r="J371" t="b">
        <v>0</v>
      </c>
      <c r="K371" t="b">
        <v>0</v>
      </c>
      <c r="L371" t="n">
        <v>10</v>
      </c>
      <c r="N371" t="inlineStr">
        <is>
          <t>00000000</t>
        </is>
      </c>
      <c r="O371" t="inlineStr">
        <is>
          <t>general</t>
        </is>
      </c>
      <c r="P371" t="inlineStr">
        <is>
          <t>bottom</t>
        </is>
      </c>
      <c r="Q371" t="b">
        <v>0</v>
      </c>
      <c r="R371" t="b">
        <v>0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</row>
    <row r="372">
      <c r="A372" t="inlineStr">
        <is>
          <t>Sheet1</t>
        </is>
      </c>
      <c r="B372" t="inlineStr">
        <is>
          <t>F89</t>
        </is>
      </c>
      <c r="C372" t="n">
        <v>89</v>
      </c>
      <c r="D372" t="n">
        <v>6</v>
      </c>
      <c r="E372" t="inlineStr">
        <is>
          <t>Input</t>
        </is>
      </c>
      <c r="F372" t="n">
        <v/>
      </c>
      <c r="H372" t="inlineStr"/>
      <c r="I372" t="inlineStr">
        <is>
          <t>0.0%</t>
        </is>
      </c>
      <c r="J372" t="b">
        <v>0</v>
      </c>
      <c r="K372" t="b">
        <v>0</v>
      </c>
      <c r="L372" t="n">
        <v>10</v>
      </c>
      <c r="N372" t="inlineStr">
        <is>
          <t>00000000</t>
        </is>
      </c>
      <c r="O372" t="inlineStr">
        <is>
          <t>general</t>
        </is>
      </c>
      <c r="P372" t="inlineStr">
        <is>
          <t>bottom</t>
        </is>
      </c>
      <c r="Q372" t="b">
        <v>0</v>
      </c>
      <c r="R372" t="b">
        <v>0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</row>
    <row r="373">
      <c r="A373" t="inlineStr">
        <is>
          <t>Sheet1</t>
        </is>
      </c>
      <c r="B373" t="inlineStr">
        <is>
          <t>G89</t>
        </is>
      </c>
      <c r="C373" t="n">
        <v>89</v>
      </c>
      <c r="D373" t="n">
        <v>7</v>
      </c>
      <c r="E373" t="inlineStr">
        <is>
          <t>Input</t>
        </is>
      </c>
      <c r="F373" t="n">
        <v/>
      </c>
      <c r="H373" t="inlineStr"/>
      <c r="I373" t="inlineStr">
        <is>
          <t>0.00</t>
        </is>
      </c>
      <c r="J373" t="b">
        <v>0</v>
      </c>
      <c r="K373" t="b">
        <v>0</v>
      </c>
      <c r="L373" t="n">
        <v>10</v>
      </c>
      <c r="N373" t="inlineStr">
        <is>
          <t>00000000</t>
        </is>
      </c>
      <c r="O373" t="inlineStr">
        <is>
          <t>general</t>
        </is>
      </c>
      <c r="P373" t="inlineStr">
        <is>
          <t>bottom</t>
        </is>
      </c>
      <c r="Q373" t="b">
        <v>0</v>
      </c>
      <c r="R373" t="b">
        <v>0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</row>
    <row r="374">
      <c r="A374" t="inlineStr">
        <is>
          <t>Sheet1</t>
        </is>
      </c>
      <c r="B374" t="inlineStr">
        <is>
          <t>H89</t>
        </is>
      </c>
      <c r="C374" t="n">
        <v>89</v>
      </c>
      <c r="D374" t="n">
        <v>8</v>
      </c>
      <c r="E374" t="inlineStr">
        <is>
          <t>Input</t>
        </is>
      </c>
      <c r="F374" t="n">
        <v/>
      </c>
      <c r="H374" t="inlineStr"/>
      <c r="I374" t="inlineStr">
        <is>
          <t>0.00</t>
        </is>
      </c>
      <c r="J374" t="b">
        <v>0</v>
      </c>
      <c r="K374" t="b">
        <v>0</v>
      </c>
      <c r="L374" t="n">
        <v>10</v>
      </c>
      <c r="N374" t="inlineStr">
        <is>
          <t>00000000</t>
        </is>
      </c>
      <c r="O374" t="inlineStr">
        <is>
          <t>general</t>
        </is>
      </c>
      <c r="P374" t="inlineStr">
        <is>
          <t>bottom</t>
        </is>
      </c>
      <c r="Q374" t="b">
        <v>0</v>
      </c>
      <c r="R374" t="b">
        <v>0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</row>
    <row r="375">
      <c r="A375" t="inlineStr">
        <is>
          <t>Sheet1</t>
        </is>
      </c>
      <c r="B375" t="inlineStr">
        <is>
          <t>C90</t>
        </is>
      </c>
      <c r="C375" t="n">
        <v>90</v>
      </c>
      <c r="D375" t="n">
        <v>3</v>
      </c>
      <c r="E375" t="inlineStr">
        <is>
          <t>Input</t>
        </is>
      </c>
      <c r="F375" t="n">
        <v/>
      </c>
      <c r="H375" t="inlineStr"/>
      <c r="I375" t="inlineStr">
        <is>
          <t>_(\$* #,##0_);_(\$* \(#,##0\);_(\$* \-??_);_(@_)</t>
        </is>
      </c>
      <c r="J375" t="b">
        <v>0</v>
      </c>
      <c r="K375" t="b">
        <v>0</v>
      </c>
      <c r="L375" t="n">
        <v>10</v>
      </c>
      <c r="N375" t="inlineStr">
        <is>
          <t>00000000</t>
        </is>
      </c>
      <c r="O375" t="inlineStr">
        <is>
          <t>general</t>
        </is>
      </c>
      <c r="P375" t="inlineStr">
        <is>
          <t>bottom</t>
        </is>
      </c>
      <c r="Q375" t="b">
        <v>0</v>
      </c>
      <c r="R375" t="b">
        <v>0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</row>
    <row r="376">
      <c r="A376" t="inlineStr">
        <is>
          <t>Sheet1</t>
        </is>
      </c>
      <c r="B376" t="inlineStr">
        <is>
          <t>E90</t>
        </is>
      </c>
      <c r="C376" t="n">
        <v>90</v>
      </c>
      <c r="D376" t="n">
        <v>5</v>
      </c>
      <c r="E376" t="inlineStr">
        <is>
          <t>Input</t>
        </is>
      </c>
      <c r="F376" t="n">
        <v/>
      </c>
      <c r="H376" t="inlineStr"/>
      <c r="I376" t="inlineStr">
        <is>
          <t>_(\$* #,##0_);_(\$* \(#,##0\);_(\$* \-??_);_(@_)</t>
        </is>
      </c>
      <c r="J376" t="b">
        <v>0</v>
      </c>
      <c r="K376" t="b">
        <v>0</v>
      </c>
      <c r="L376" t="n">
        <v>10</v>
      </c>
      <c r="N376" t="inlineStr">
        <is>
          <t>00000000</t>
        </is>
      </c>
      <c r="O376" t="inlineStr">
        <is>
          <t>general</t>
        </is>
      </c>
      <c r="P376" t="inlineStr">
        <is>
          <t>bottom</t>
        </is>
      </c>
      <c r="Q376" t="b">
        <v>0</v>
      </c>
      <c r="R376" t="b">
        <v>0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</row>
    <row r="377">
      <c r="A377" t="inlineStr">
        <is>
          <t>Sheet1</t>
        </is>
      </c>
      <c r="B377" t="inlineStr">
        <is>
          <t>F90</t>
        </is>
      </c>
      <c r="C377" t="n">
        <v>90</v>
      </c>
      <c r="D377" t="n">
        <v>6</v>
      </c>
      <c r="E377" t="inlineStr">
        <is>
          <t>Input</t>
        </is>
      </c>
      <c r="F377" t="n">
        <v/>
      </c>
      <c r="H377" t="inlineStr"/>
      <c r="I377" t="inlineStr">
        <is>
          <t>0.0%</t>
        </is>
      </c>
      <c r="J377" t="b">
        <v>0</v>
      </c>
      <c r="K377" t="b">
        <v>0</v>
      </c>
      <c r="L377" t="n">
        <v>10</v>
      </c>
      <c r="N377" t="inlineStr">
        <is>
          <t>00000000</t>
        </is>
      </c>
      <c r="O377" t="inlineStr">
        <is>
          <t>general</t>
        </is>
      </c>
      <c r="P377" t="inlineStr">
        <is>
          <t>bottom</t>
        </is>
      </c>
      <c r="Q377" t="b">
        <v>0</v>
      </c>
      <c r="R377" t="b">
        <v>0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</row>
    <row r="378">
      <c r="A378" t="inlineStr">
        <is>
          <t>Sheet1</t>
        </is>
      </c>
      <c r="B378" t="inlineStr">
        <is>
          <t>G90</t>
        </is>
      </c>
      <c r="C378" t="n">
        <v>90</v>
      </c>
      <c r="D378" t="n">
        <v>7</v>
      </c>
      <c r="E378" t="inlineStr">
        <is>
          <t>Input</t>
        </is>
      </c>
      <c r="F378" t="n">
        <v/>
      </c>
      <c r="H378" t="inlineStr"/>
      <c r="I378" t="inlineStr">
        <is>
          <t>0.00</t>
        </is>
      </c>
      <c r="J378" t="b">
        <v>0</v>
      </c>
      <c r="K378" t="b">
        <v>0</v>
      </c>
      <c r="L378" t="n">
        <v>10</v>
      </c>
      <c r="N378" t="inlineStr">
        <is>
          <t>00000000</t>
        </is>
      </c>
      <c r="O378" t="inlineStr">
        <is>
          <t>general</t>
        </is>
      </c>
      <c r="P378" t="inlineStr">
        <is>
          <t>bottom</t>
        </is>
      </c>
      <c r="Q378" t="b">
        <v>0</v>
      </c>
      <c r="R378" t="b">
        <v>0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</row>
    <row r="379">
      <c r="A379" t="inlineStr">
        <is>
          <t>Sheet1</t>
        </is>
      </c>
      <c r="B379" t="inlineStr">
        <is>
          <t>H90</t>
        </is>
      </c>
      <c r="C379" t="n">
        <v>90</v>
      </c>
      <c r="D379" t="n">
        <v>8</v>
      </c>
      <c r="E379" t="inlineStr">
        <is>
          <t>Input</t>
        </is>
      </c>
      <c r="F379" t="n">
        <v/>
      </c>
      <c r="H379" t="inlineStr"/>
      <c r="I379" t="inlineStr">
        <is>
          <t>0.00</t>
        </is>
      </c>
      <c r="J379" t="b">
        <v>0</v>
      </c>
      <c r="K379" t="b">
        <v>0</v>
      </c>
      <c r="L379" t="n">
        <v>10</v>
      </c>
      <c r="N379" t="inlineStr">
        <is>
          <t>00000000</t>
        </is>
      </c>
      <c r="O379" t="inlineStr">
        <is>
          <t>general</t>
        </is>
      </c>
      <c r="P379" t="inlineStr">
        <is>
          <t>bottom</t>
        </is>
      </c>
      <c r="Q379" t="b">
        <v>0</v>
      </c>
      <c r="R379" t="b">
        <v>0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</row>
    <row r="380">
      <c r="A380" t="inlineStr">
        <is>
          <t>Sheet1</t>
        </is>
      </c>
      <c r="B380" t="inlineStr">
        <is>
          <t>C91</t>
        </is>
      </c>
      <c r="C380" t="n">
        <v>91</v>
      </c>
      <c r="D380" t="n">
        <v>3</v>
      </c>
      <c r="E380" t="inlineStr">
        <is>
          <t>Input</t>
        </is>
      </c>
      <c r="F380" t="n">
        <v/>
      </c>
      <c r="H380" t="inlineStr"/>
      <c r="I380" t="inlineStr">
        <is>
          <t>_(\$* #,##0_);_(\$* \(#,##0\);_(\$* \-??_);_(@_)</t>
        </is>
      </c>
      <c r="J380" t="b">
        <v>0</v>
      </c>
      <c r="K380" t="b">
        <v>0</v>
      </c>
      <c r="L380" t="n">
        <v>10</v>
      </c>
      <c r="N380" t="inlineStr">
        <is>
          <t>00000000</t>
        </is>
      </c>
      <c r="O380" t="inlineStr">
        <is>
          <t>general</t>
        </is>
      </c>
      <c r="P380" t="inlineStr">
        <is>
          <t>bottom</t>
        </is>
      </c>
      <c r="Q380" t="b">
        <v>0</v>
      </c>
      <c r="R380" t="b">
        <v>0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</row>
    <row r="381">
      <c r="A381" t="inlineStr">
        <is>
          <t>Sheet1</t>
        </is>
      </c>
      <c r="B381" t="inlineStr">
        <is>
          <t>E91</t>
        </is>
      </c>
      <c r="C381" t="n">
        <v>91</v>
      </c>
      <c r="D381" t="n">
        <v>5</v>
      </c>
      <c r="E381" t="inlineStr">
        <is>
          <t>Input</t>
        </is>
      </c>
      <c r="F381" t="n">
        <v/>
      </c>
      <c r="H381" t="inlineStr"/>
      <c r="I381" t="inlineStr">
        <is>
          <t>_(\$* #,##0_);_(\$* \(#,##0\);_(\$* \-??_);_(@_)</t>
        </is>
      </c>
      <c r="J381" t="b">
        <v>0</v>
      </c>
      <c r="K381" t="b">
        <v>0</v>
      </c>
      <c r="L381" t="n">
        <v>10</v>
      </c>
      <c r="N381" t="inlineStr">
        <is>
          <t>00000000</t>
        </is>
      </c>
      <c r="O381" t="inlineStr">
        <is>
          <t>general</t>
        </is>
      </c>
      <c r="P381" t="inlineStr">
        <is>
          <t>bottom</t>
        </is>
      </c>
      <c r="Q381" t="b">
        <v>0</v>
      </c>
      <c r="R381" t="b">
        <v>0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</row>
    <row r="382">
      <c r="A382" t="inlineStr">
        <is>
          <t>Sheet1</t>
        </is>
      </c>
      <c r="B382" t="inlineStr">
        <is>
          <t>F91</t>
        </is>
      </c>
      <c r="C382" t="n">
        <v>91</v>
      </c>
      <c r="D382" t="n">
        <v>6</v>
      </c>
      <c r="E382" t="inlineStr">
        <is>
          <t>Input</t>
        </is>
      </c>
      <c r="F382" t="n">
        <v/>
      </c>
      <c r="H382" t="inlineStr"/>
      <c r="I382" t="inlineStr">
        <is>
          <t>0.0%</t>
        </is>
      </c>
      <c r="J382" t="b">
        <v>0</v>
      </c>
      <c r="K382" t="b">
        <v>0</v>
      </c>
      <c r="L382" t="n">
        <v>10</v>
      </c>
      <c r="N382" t="inlineStr">
        <is>
          <t>00000000</t>
        </is>
      </c>
      <c r="O382" t="inlineStr">
        <is>
          <t>general</t>
        </is>
      </c>
      <c r="P382" t="inlineStr">
        <is>
          <t>bottom</t>
        </is>
      </c>
      <c r="Q382" t="b">
        <v>0</v>
      </c>
      <c r="R382" t="b">
        <v>0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</row>
    <row r="383">
      <c r="A383" t="inlineStr">
        <is>
          <t>Sheet1</t>
        </is>
      </c>
      <c r="B383" t="inlineStr">
        <is>
          <t>G91</t>
        </is>
      </c>
      <c r="C383" t="n">
        <v>91</v>
      </c>
      <c r="D383" t="n">
        <v>7</v>
      </c>
      <c r="E383" t="inlineStr">
        <is>
          <t>Input</t>
        </is>
      </c>
      <c r="F383" t="n">
        <v/>
      </c>
      <c r="H383" t="inlineStr"/>
      <c r="I383" t="inlineStr">
        <is>
          <t>0.00</t>
        </is>
      </c>
      <c r="J383" t="b">
        <v>0</v>
      </c>
      <c r="K383" t="b">
        <v>0</v>
      </c>
      <c r="L383" t="n">
        <v>10</v>
      </c>
      <c r="N383" t="inlineStr">
        <is>
          <t>00000000</t>
        </is>
      </c>
      <c r="O383" t="inlineStr">
        <is>
          <t>general</t>
        </is>
      </c>
      <c r="P383" t="inlineStr">
        <is>
          <t>bottom</t>
        </is>
      </c>
      <c r="Q383" t="b">
        <v>0</v>
      </c>
      <c r="R383" t="b">
        <v>0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</row>
    <row r="384">
      <c r="A384" t="inlineStr">
        <is>
          <t>Sheet1</t>
        </is>
      </c>
      <c r="B384" t="inlineStr">
        <is>
          <t>H91</t>
        </is>
      </c>
      <c r="C384" t="n">
        <v>91</v>
      </c>
      <c r="D384" t="n">
        <v>8</v>
      </c>
      <c r="E384" t="inlineStr">
        <is>
          <t>Input</t>
        </is>
      </c>
      <c r="F384" t="n">
        <v/>
      </c>
      <c r="H384" t="inlineStr"/>
      <c r="I384" t="inlineStr">
        <is>
          <t>0.00</t>
        </is>
      </c>
      <c r="J384" t="b">
        <v>0</v>
      </c>
      <c r="K384" t="b">
        <v>0</v>
      </c>
      <c r="L384" t="n">
        <v>10</v>
      </c>
      <c r="N384" t="inlineStr">
        <is>
          <t>00000000</t>
        </is>
      </c>
      <c r="O384" t="inlineStr">
        <is>
          <t>general</t>
        </is>
      </c>
      <c r="P384" t="inlineStr">
        <is>
          <t>bottom</t>
        </is>
      </c>
      <c r="Q384" t="b">
        <v>0</v>
      </c>
      <c r="R384" t="b">
        <v>0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</row>
    <row r="385">
      <c r="A385" t="inlineStr">
        <is>
          <t>Sheet1</t>
        </is>
      </c>
      <c r="B385" t="inlineStr">
        <is>
          <t>C92</t>
        </is>
      </c>
      <c r="C385" t="n">
        <v>92</v>
      </c>
      <c r="D385" t="n">
        <v>3</v>
      </c>
      <c r="E385" t="inlineStr">
        <is>
          <t>Input</t>
        </is>
      </c>
      <c r="F385" t="n">
        <v/>
      </c>
      <c r="H385" t="inlineStr"/>
      <c r="I385" t="inlineStr">
        <is>
          <t>_(\$* #,##0_);_(\$* \(#,##0\);_(\$* \-??_);_(@_)</t>
        </is>
      </c>
      <c r="J385" t="b">
        <v>0</v>
      </c>
      <c r="K385" t="b">
        <v>0</v>
      </c>
      <c r="L385" t="n">
        <v>10</v>
      </c>
      <c r="N385" t="inlineStr">
        <is>
          <t>00000000</t>
        </is>
      </c>
      <c r="O385" t="inlineStr">
        <is>
          <t>general</t>
        </is>
      </c>
      <c r="P385" t="inlineStr">
        <is>
          <t>bottom</t>
        </is>
      </c>
      <c r="Q385" t="b">
        <v>0</v>
      </c>
      <c r="R385" t="b">
        <v>0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</row>
    <row r="386">
      <c r="A386" t="inlineStr">
        <is>
          <t>Sheet1</t>
        </is>
      </c>
      <c r="B386" t="inlineStr">
        <is>
          <t>E92</t>
        </is>
      </c>
      <c r="C386" t="n">
        <v>92</v>
      </c>
      <c r="D386" t="n">
        <v>5</v>
      </c>
      <c r="E386" t="inlineStr">
        <is>
          <t>Input</t>
        </is>
      </c>
      <c r="F386" t="n">
        <v/>
      </c>
      <c r="H386" t="inlineStr"/>
      <c r="I386" t="inlineStr">
        <is>
          <t>_(\$* #,##0_);_(\$* \(#,##0\);_(\$* \-??_);_(@_)</t>
        </is>
      </c>
      <c r="J386" t="b">
        <v>0</v>
      </c>
      <c r="K386" t="b">
        <v>0</v>
      </c>
      <c r="L386" t="n">
        <v>10</v>
      </c>
      <c r="N386" t="inlineStr">
        <is>
          <t>00000000</t>
        </is>
      </c>
      <c r="O386" t="inlineStr">
        <is>
          <t>general</t>
        </is>
      </c>
      <c r="P386" t="inlineStr">
        <is>
          <t>bottom</t>
        </is>
      </c>
      <c r="Q386" t="b">
        <v>0</v>
      </c>
      <c r="R386" t="b">
        <v>0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</row>
    <row r="387">
      <c r="A387" t="inlineStr">
        <is>
          <t>Sheet1</t>
        </is>
      </c>
      <c r="B387" t="inlineStr">
        <is>
          <t>F92</t>
        </is>
      </c>
      <c r="C387" t="n">
        <v>92</v>
      </c>
      <c r="D387" t="n">
        <v>6</v>
      </c>
      <c r="E387" t="inlineStr">
        <is>
          <t>Input</t>
        </is>
      </c>
      <c r="F387" t="n">
        <v/>
      </c>
      <c r="H387" t="inlineStr"/>
      <c r="I387" t="inlineStr">
        <is>
          <t>0.0%</t>
        </is>
      </c>
      <c r="J387" t="b">
        <v>0</v>
      </c>
      <c r="K387" t="b">
        <v>0</v>
      </c>
      <c r="L387" t="n">
        <v>10</v>
      </c>
      <c r="N387" t="inlineStr">
        <is>
          <t>00000000</t>
        </is>
      </c>
      <c r="O387" t="inlineStr">
        <is>
          <t>general</t>
        </is>
      </c>
      <c r="P387" t="inlineStr">
        <is>
          <t>bottom</t>
        </is>
      </c>
      <c r="Q387" t="b">
        <v>0</v>
      </c>
      <c r="R387" t="b">
        <v>0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</row>
    <row r="388">
      <c r="A388" t="inlineStr">
        <is>
          <t>Sheet1</t>
        </is>
      </c>
      <c r="B388" t="inlineStr">
        <is>
          <t>G92</t>
        </is>
      </c>
      <c r="C388" t="n">
        <v>92</v>
      </c>
      <c r="D388" t="n">
        <v>7</v>
      </c>
      <c r="E388" t="inlineStr">
        <is>
          <t>Input</t>
        </is>
      </c>
      <c r="F388" t="n">
        <v/>
      </c>
      <c r="H388" t="inlineStr"/>
      <c r="I388" t="inlineStr">
        <is>
          <t>0.00</t>
        </is>
      </c>
      <c r="J388" t="b">
        <v>0</v>
      </c>
      <c r="K388" t="b">
        <v>0</v>
      </c>
      <c r="L388" t="n">
        <v>10</v>
      </c>
      <c r="N388" t="inlineStr">
        <is>
          <t>00000000</t>
        </is>
      </c>
      <c r="O388" t="inlineStr">
        <is>
          <t>general</t>
        </is>
      </c>
      <c r="P388" t="inlineStr">
        <is>
          <t>bottom</t>
        </is>
      </c>
      <c r="Q388" t="b">
        <v>0</v>
      </c>
      <c r="R388" t="b">
        <v>0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</row>
    <row r="389">
      <c r="A389" t="inlineStr">
        <is>
          <t>Sheet1</t>
        </is>
      </c>
      <c r="B389" t="inlineStr">
        <is>
          <t>H92</t>
        </is>
      </c>
      <c r="C389" t="n">
        <v>92</v>
      </c>
      <c r="D389" t="n">
        <v>8</v>
      </c>
      <c r="E389" t="inlineStr">
        <is>
          <t>Input</t>
        </is>
      </c>
      <c r="F389" t="n">
        <v/>
      </c>
      <c r="H389" t="inlineStr"/>
      <c r="I389" t="inlineStr">
        <is>
          <t>0.00</t>
        </is>
      </c>
      <c r="J389" t="b">
        <v>0</v>
      </c>
      <c r="K389" t="b">
        <v>0</v>
      </c>
      <c r="L389" t="n">
        <v>10</v>
      </c>
      <c r="N389" t="inlineStr">
        <is>
          <t>00000000</t>
        </is>
      </c>
      <c r="O389" t="inlineStr">
        <is>
          <t>general</t>
        </is>
      </c>
      <c r="P389" t="inlineStr">
        <is>
          <t>bottom</t>
        </is>
      </c>
      <c r="Q389" t="b">
        <v>0</v>
      </c>
      <c r="R389" t="b">
        <v>0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</row>
    <row r="390">
      <c r="A390" t="inlineStr">
        <is>
          <t>Sheet1</t>
        </is>
      </c>
      <c r="B390" t="inlineStr">
        <is>
          <t>C93</t>
        </is>
      </c>
      <c r="C390" t="n">
        <v>93</v>
      </c>
      <c r="D390" t="n">
        <v>3</v>
      </c>
      <c r="E390" t="inlineStr">
        <is>
          <t>Input</t>
        </is>
      </c>
      <c r="F390" t="n">
        <v/>
      </c>
      <c r="H390" t="inlineStr"/>
      <c r="I390" t="inlineStr">
        <is>
          <t>_(\$* #,##0_);_(\$* \(#,##0\);_(\$* \-??_);_(@_)</t>
        </is>
      </c>
      <c r="J390" t="b">
        <v>0</v>
      </c>
      <c r="K390" t="b">
        <v>0</v>
      </c>
      <c r="L390" t="n">
        <v>10</v>
      </c>
      <c r="N390" t="inlineStr">
        <is>
          <t>00000000</t>
        </is>
      </c>
      <c r="O390" t="inlineStr">
        <is>
          <t>general</t>
        </is>
      </c>
      <c r="P390" t="inlineStr">
        <is>
          <t>bottom</t>
        </is>
      </c>
      <c r="Q390" t="b">
        <v>0</v>
      </c>
      <c r="R390" t="b">
        <v>0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</row>
    <row r="391">
      <c r="A391" t="inlineStr">
        <is>
          <t>Sheet1</t>
        </is>
      </c>
      <c r="B391" t="inlineStr">
        <is>
          <t>E93</t>
        </is>
      </c>
      <c r="C391" t="n">
        <v>93</v>
      </c>
      <c r="D391" t="n">
        <v>5</v>
      </c>
      <c r="E391" t="inlineStr">
        <is>
          <t>Input</t>
        </is>
      </c>
      <c r="F391" t="n">
        <v/>
      </c>
      <c r="H391" t="inlineStr"/>
      <c r="I391" t="inlineStr">
        <is>
          <t>_(\$* #,##0_);_(\$* \(#,##0\);_(\$* \-??_);_(@_)</t>
        </is>
      </c>
      <c r="J391" t="b">
        <v>0</v>
      </c>
      <c r="K391" t="b">
        <v>0</v>
      </c>
      <c r="L391" t="n">
        <v>10</v>
      </c>
      <c r="N391" t="inlineStr">
        <is>
          <t>00000000</t>
        </is>
      </c>
      <c r="O391" t="inlineStr">
        <is>
          <t>general</t>
        </is>
      </c>
      <c r="P391" t="inlineStr">
        <is>
          <t>bottom</t>
        </is>
      </c>
      <c r="Q391" t="b">
        <v>0</v>
      </c>
      <c r="R391" t="b">
        <v>0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</row>
    <row r="392">
      <c r="A392" t="inlineStr">
        <is>
          <t>Sheet1</t>
        </is>
      </c>
      <c r="B392" t="inlineStr">
        <is>
          <t>F93</t>
        </is>
      </c>
      <c r="C392" t="n">
        <v>93</v>
      </c>
      <c r="D392" t="n">
        <v>6</v>
      </c>
      <c r="E392" t="inlineStr">
        <is>
          <t>Input</t>
        </is>
      </c>
      <c r="F392" t="n">
        <v/>
      </c>
      <c r="H392" t="inlineStr"/>
      <c r="I392" t="inlineStr">
        <is>
          <t>0.0%</t>
        </is>
      </c>
      <c r="J392" t="b">
        <v>0</v>
      </c>
      <c r="K392" t="b">
        <v>0</v>
      </c>
      <c r="L392" t="n">
        <v>10</v>
      </c>
      <c r="N392" t="inlineStr">
        <is>
          <t>00000000</t>
        </is>
      </c>
      <c r="O392" t="inlineStr">
        <is>
          <t>general</t>
        </is>
      </c>
      <c r="P392" t="inlineStr">
        <is>
          <t>bottom</t>
        </is>
      </c>
      <c r="Q392" t="b">
        <v>0</v>
      </c>
      <c r="R392" t="b">
        <v>0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</row>
    <row r="393">
      <c r="A393" t="inlineStr">
        <is>
          <t>Sheet1</t>
        </is>
      </c>
      <c r="B393" t="inlineStr">
        <is>
          <t>G93</t>
        </is>
      </c>
      <c r="C393" t="n">
        <v>93</v>
      </c>
      <c r="D393" t="n">
        <v>7</v>
      </c>
      <c r="E393" t="inlineStr">
        <is>
          <t>Input</t>
        </is>
      </c>
      <c r="F393" t="n">
        <v/>
      </c>
      <c r="H393" t="inlineStr"/>
      <c r="I393" t="inlineStr">
        <is>
          <t>0.00</t>
        </is>
      </c>
      <c r="J393" t="b">
        <v>0</v>
      </c>
      <c r="K393" t="b">
        <v>0</v>
      </c>
      <c r="L393" t="n">
        <v>10</v>
      </c>
      <c r="N393" t="inlineStr">
        <is>
          <t>00000000</t>
        </is>
      </c>
      <c r="O393" t="inlineStr">
        <is>
          <t>general</t>
        </is>
      </c>
      <c r="P393" t="inlineStr">
        <is>
          <t>bottom</t>
        </is>
      </c>
      <c r="Q393" t="b">
        <v>0</v>
      </c>
      <c r="R393" t="b">
        <v>0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</row>
    <row r="394">
      <c r="A394" t="inlineStr">
        <is>
          <t>Sheet1</t>
        </is>
      </c>
      <c r="B394" t="inlineStr">
        <is>
          <t>H93</t>
        </is>
      </c>
      <c r="C394" t="n">
        <v>93</v>
      </c>
      <c r="D394" t="n">
        <v>8</v>
      </c>
      <c r="E394" t="inlineStr">
        <is>
          <t>Input</t>
        </is>
      </c>
      <c r="F394" t="n">
        <v/>
      </c>
      <c r="H394" t="inlineStr"/>
      <c r="I394" t="inlineStr">
        <is>
          <t>0.00</t>
        </is>
      </c>
      <c r="J394" t="b">
        <v>0</v>
      </c>
      <c r="K394" t="b">
        <v>0</v>
      </c>
      <c r="L394" t="n">
        <v>10</v>
      </c>
      <c r="N394" t="inlineStr">
        <is>
          <t>00000000</t>
        </is>
      </c>
      <c r="O394" t="inlineStr">
        <is>
          <t>general</t>
        </is>
      </c>
      <c r="P394" t="inlineStr">
        <is>
          <t>bottom</t>
        </is>
      </c>
      <c r="Q394" t="b">
        <v>0</v>
      </c>
      <c r="R394" t="b">
        <v>0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</row>
    <row r="395">
      <c r="A395" t="inlineStr">
        <is>
          <t>Sheet1</t>
        </is>
      </c>
      <c r="B395" t="inlineStr">
        <is>
          <t>C94</t>
        </is>
      </c>
      <c r="C395" t="n">
        <v>94</v>
      </c>
      <c r="D395" t="n">
        <v>3</v>
      </c>
      <c r="E395" t="inlineStr">
        <is>
          <t>Input</t>
        </is>
      </c>
      <c r="F395" t="n">
        <v/>
      </c>
      <c r="H395" t="inlineStr"/>
      <c r="I395" t="inlineStr">
        <is>
          <t>_(\$* #,##0_);_(\$* \(#,##0\);_(\$* \-??_);_(@_)</t>
        </is>
      </c>
      <c r="J395" t="b">
        <v>0</v>
      </c>
      <c r="K395" t="b">
        <v>0</v>
      </c>
      <c r="L395" t="n">
        <v>10</v>
      </c>
      <c r="N395" t="inlineStr">
        <is>
          <t>00000000</t>
        </is>
      </c>
      <c r="O395" t="inlineStr">
        <is>
          <t>general</t>
        </is>
      </c>
      <c r="P395" t="inlineStr">
        <is>
          <t>bottom</t>
        </is>
      </c>
      <c r="Q395" t="b">
        <v>0</v>
      </c>
      <c r="R395" t="b">
        <v>0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</row>
    <row r="396">
      <c r="A396" t="inlineStr">
        <is>
          <t>Sheet1</t>
        </is>
      </c>
      <c r="B396" t="inlineStr">
        <is>
          <t>E94</t>
        </is>
      </c>
      <c r="C396" t="n">
        <v>94</v>
      </c>
      <c r="D396" t="n">
        <v>5</v>
      </c>
      <c r="E396" t="inlineStr">
        <is>
          <t>Input</t>
        </is>
      </c>
      <c r="F396" t="n">
        <v/>
      </c>
      <c r="H396" t="inlineStr"/>
      <c r="I396" t="inlineStr">
        <is>
          <t>_(\$* #,##0_);_(\$* \(#,##0\);_(\$* \-??_);_(@_)</t>
        </is>
      </c>
      <c r="J396" t="b">
        <v>0</v>
      </c>
      <c r="K396" t="b">
        <v>0</v>
      </c>
      <c r="L396" t="n">
        <v>10</v>
      </c>
      <c r="N396" t="inlineStr">
        <is>
          <t>00000000</t>
        </is>
      </c>
      <c r="O396" t="inlineStr">
        <is>
          <t>general</t>
        </is>
      </c>
      <c r="P396" t="inlineStr">
        <is>
          <t>bottom</t>
        </is>
      </c>
      <c r="Q396" t="b">
        <v>0</v>
      </c>
      <c r="R396" t="b">
        <v>0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</row>
    <row r="397">
      <c r="A397" t="inlineStr">
        <is>
          <t>Sheet1</t>
        </is>
      </c>
      <c r="B397" t="inlineStr">
        <is>
          <t>F94</t>
        </is>
      </c>
      <c r="C397" t="n">
        <v>94</v>
      </c>
      <c r="D397" t="n">
        <v>6</v>
      </c>
      <c r="E397" t="inlineStr">
        <is>
          <t>Input</t>
        </is>
      </c>
      <c r="F397" t="n">
        <v/>
      </c>
      <c r="H397" t="inlineStr"/>
      <c r="I397" t="inlineStr">
        <is>
          <t>0.0%</t>
        </is>
      </c>
      <c r="J397" t="b">
        <v>0</v>
      </c>
      <c r="K397" t="b">
        <v>0</v>
      </c>
      <c r="L397" t="n">
        <v>10</v>
      </c>
      <c r="N397" t="inlineStr">
        <is>
          <t>00000000</t>
        </is>
      </c>
      <c r="O397" t="inlineStr">
        <is>
          <t>general</t>
        </is>
      </c>
      <c r="P397" t="inlineStr">
        <is>
          <t>bottom</t>
        </is>
      </c>
      <c r="Q397" t="b">
        <v>0</v>
      </c>
      <c r="R397" t="b">
        <v>0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</row>
    <row r="398">
      <c r="A398" t="inlineStr">
        <is>
          <t>Sheet1</t>
        </is>
      </c>
      <c r="B398" t="inlineStr">
        <is>
          <t>G94</t>
        </is>
      </c>
      <c r="C398" t="n">
        <v>94</v>
      </c>
      <c r="D398" t="n">
        <v>7</v>
      </c>
      <c r="E398" t="inlineStr">
        <is>
          <t>Input</t>
        </is>
      </c>
      <c r="F398" t="n">
        <v/>
      </c>
      <c r="H398" t="inlineStr"/>
      <c r="I398" t="inlineStr">
        <is>
          <t>0.00</t>
        </is>
      </c>
      <c r="J398" t="b">
        <v>0</v>
      </c>
      <c r="K398" t="b">
        <v>0</v>
      </c>
      <c r="L398" t="n">
        <v>10</v>
      </c>
      <c r="N398" t="inlineStr">
        <is>
          <t>00000000</t>
        </is>
      </c>
      <c r="O398" t="inlineStr">
        <is>
          <t>general</t>
        </is>
      </c>
      <c r="P398" t="inlineStr">
        <is>
          <t>bottom</t>
        </is>
      </c>
      <c r="Q398" t="b">
        <v>0</v>
      </c>
      <c r="R398" t="b">
        <v>0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</row>
    <row r="399">
      <c r="A399" t="inlineStr">
        <is>
          <t>Sheet1</t>
        </is>
      </c>
      <c r="B399" t="inlineStr">
        <is>
          <t>H94</t>
        </is>
      </c>
      <c r="C399" t="n">
        <v>94</v>
      </c>
      <c r="D399" t="n">
        <v>8</v>
      </c>
      <c r="E399" t="inlineStr">
        <is>
          <t>Input</t>
        </is>
      </c>
      <c r="F399" t="n">
        <v/>
      </c>
      <c r="H399" t="inlineStr"/>
      <c r="I399" t="inlineStr">
        <is>
          <t>0.00</t>
        </is>
      </c>
      <c r="J399" t="b">
        <v>0</v>
      </c>
      <c r="K399" t="b">
        <v>0</v>
      </c>
      <c r="L399" t="n">
        <v>10</v>
      </c>
      <c r="N399" t="inlineStr">
        <is>
          <t>00000000</t>
        </is>
      </c>
      <c r="O399" t="inlineStr">
        <is>
          <t>general</t>
        </is>
      </c>
      <c r="P399" t="inlineStr">
        <is>
          <t>bottom</t>
        </is>
      </c>
      <c r="Q399" t="b">
        <v>0</v>
      </c>
      <c r="R399" t="b">
        <v>0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</row>
    <row r="400">
      <c r="A400" t="inlineStr">
        <is>
          <t>Sheet1</t>
        </is>
      </c>
      <c r="B400" t="inlineStr">
        <is>
          <t>C95</t>
        </is>
      </c>
      <c r="C400" t="n">
        <v>95</v>
      </c>
      <c r="D400" t="n">
        <v>3</v>
      </c>
      <c r="E400" t="inlineStr">
        <is>
          <t>Input</t>
        </is>
      </c>
      <c r="F400" t="n">
        <v/>
      </c>
      <c r="H400" t="inlineStr"/>
      <c r="I400" t="inlineStr">
        <is>
          <t>_(\$* #,##0_);_(\$* \(#,##0\);_(\$* \-??_);_(@_)</t>
        </is>
      </c>
      <c r="J400" t="b">
        <v>0</v>
      </c>
      <c r="K400" t="b">
        <v>0</v>
      </c>
      <c r="L400" t="n">
        <v>10</v>
      </c>
      <c r="N400" t="inlineStr">
        <is>
          <t>00000000</t>
        </is>
      </c>
      <c r="O400" t="inlineStr">
        <is>
          <t>general</t>
        </is>
      </c>
      <c r="P400" t="inlineStr">
        <is>
          <t>bottom</t>
        </is>
      </c>
      <c r="Q400" t="b">
        <v>0</v>
      </c>
      <c r="R400" t="b">
        <v>0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</row>
    <row r="401">
      <c r="A401" t="inlineStr">
        <is>
          <t>Sheet1</t>
        </is>
      </c>
      <c r="B401" t="inlineStr">
        <is>
          <t>E95</t>
        </is>
      </c>
      <c r="C401" t="n">
        <v>95</v>
      </c>
      <c r="D401" t="n">
        <v>5</v>
      </c>
      <c r="E401" t="inlineStr">
        <is>
          <t>Input</t>
        </is>
      </c>
      <c r="F401" t="n">
        <v/>
      </c>
      <c r="H401" t="inlineStr"/>
      <c r="I401" t="inlineStr">
        <is>
          <t>_(\$* #,##0_);_(\$* \(#,##0\);_(\$* \-??_);_(@_)</t>
        </is>
      </c>
      <c r="J401" t="b">
        <v>0</v>
      </c>
      <c r="K401" t="b">
        <v>0</v>
      </c>
      <c r="L401" t="n">
        <v>10</v>
      </c>
      <c r="N401" t="inlineStr">
        <is>
          <t>00000000</t>
        </is>
      </c>
      <c r="O401" t="inlineStr">
        <is>
          <t>general</t>
        </is>
      </c>
      <c r="P401" t="inlineStr">
        <is>
          <t>bottom</t>
        </is>
      </c>
      <c r="Q401" t="b">
        <v>0</v>
      </c>
      <c r="R401" t="b">
        <v>0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</row>
    <row r="402">
      <c r="A402" t="inlineStr">
        <is>
          <t>Sheet1</t>
        </is>
      </c>
      <c r="B402" t="inlineStr">
        <is>
          <t>F95</t>
        </is>
      </c>
      <c r="C402" t="n">
        <v>95</v>
      </c>
      <c r="D402" t="n">
        <v>6</v>
      </c>
      <c r="E402" t="inlineStr">
        <is>
          <t>Input</t>
        </is>
      </c>
      <c r="F402" t="n">
        <v/>
      </c>
      <c r="H402" t="inlineStr"/>
      <c r="I402" t="inlineStr">
        <is>
          <t>0.0%</t>
        </is>
      </c>
      <c r="J402" t="b">
        <v>0</v>
      </c>
      <c r="K402" t="b">
        <v>0</v>
      </c>
      <c r="L402" t="n">
        <v>10</v>
      </c>
      <c r="N402" t="inlineStr">
        <is>
          <t>00000000</t>
        </is>
      </c>
      <c r="O402" t="inlineStr">
        <is>
          <t>general</t>
        </is>
      </c>
      <c r="P402" t="inlineStr">
        <is>
          <t>bottom</t>
        </is>
      </c>
      <c r="Q402" t="b">
        <v>0</v>
      </c>
      <c r="R402" t="b">
        <v>0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</row>
    <row r="403">
      <c r="A403" t="inlineStr">
        <is>
          <t>Sheet1</t>
        </is>
      </c>
      <c r="B403" t="inlineStr">
        <is>
          <t>G95</t>
        </is>
      </c>
      <c r="C403" t="n">
        <v>95</v>
      </c>
      <c r="D403" t="n">
        <v>7</v>
      </c>
      <c r="E403" t="inlineStr">
        <is>
          <t>Input</t>
        </is>
      </c>
      <c r="F403" t="n">
        <v/>
      </c>
      <c r="H403" t="inlineStr"/>
      <c r="I403" t="inlineStr">
        <is>
          <t>0.00</t>
        </is>
      </c>
      <c r="J403" t="b">
        <v>0</v>
      </c>
      <c r="K403" t="b">
        <v>0</v>
      </c>
      <c r="L403" t="n">
        <v>10</v>
      </c>
      <c r="N403" t="inlineStr">
        <is>
          <t>00000000</t>
        </is>
      </c>
      <c r="O403" t="inlineStr">
        <is>
          <t>general</t>
        </is>
      </c>
      <c r="P403" t="inlineStr">
        <is>
          <t>bottom</t>
        </is>
      </c>
      <c r="Q403" t="b">
        <v>0</v>
      </c>
      <c r="R403" t="b">
        <v>0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</row>
    <row r="404">
      <c r="A404" t="inlineStr">
        <is>
          <t>Sheet1</t>
        </is>
      </c>
      <c r="B404" t="inlineStr">
        <is>
          <t>H95</t>
        </is>
      </c>
      <c r="C404" t="n">
        <v>95</v>
      </c>
      <c r="D404" t="n">
        <v>8</v>
      </c>
      <c r="E404" t="inlineStr">
        <is>
          <t>Input</t>
        </is>
      </c>
      <c r="F404" t="n">
        <v/>
      </c>
      <c r="H404" t="inlineStr"/>
      <c r="I404" t="inlineStr">
        <is>
          <t>0.00</t>
        </is>
      </c>
      <c r="J404" t="b">
        <v>0</v>
      </c>
      <c r="K404" t="b">
        <v>0</v>
      </c>
      <c r="L404" t="n">
        <v>10</v>
      </c>
      <c r="N404" t="inlineStr">
        <is>
          <t>00000000</t>
        </is>
      </c>
      <c r="O404" t="inlineStr">
        <is>
          <t>general</t>
        </is>
      </c>
      <c r="P404" t="inlineStr">
        <is>
          <t>bottom</t>
        </is>
      </c>
      <c r="Q404" t="b">
        <v>0</v>
      </c>
      <c r="R404" t="b">
        <v>0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</row>
    <row r="405">
      <c r="A405" t="inlineStr">
        <is>
          <t>Sheet1</t>
        </is>
      </c>
      <c r="B405" t="inlineStr">
        <is>
          <t>C96</t>
        </is>
      </c>
      <c r="C405" t="n">
        <v>96</v>
      </c>
      <c r="D405" t="n">
        <v>3</v>
      </c>
      <c r="E405" t="inlineStr">
        <is>
          <t>Input</t>
        </is>
      </c>
      <c r="F405" t="n">
        <v/>
      </c>
      <c r="H405" t="inlineStr"/>
      <c r="I405" t="inlineStr">
        <is>
          <t>_(\$* #,##0_);_(\$* \(#,##0\);_(\$* \-??_);_(@_)</t>
        </is>
      </c>
      <c r="J405" t="b">
        <v>0</v>
      </c>
      <c r="K405" t="b">
        <v>0</v>
      </c>
      <c r="L405" t="n">
        <v>10</v>
      </c>
      <c r="N405" t="inlineStr">
        <is>
          <t>00000000</t>
        </is>
      </c>
      <c r="O405" t="inlineStr">
        <is>
          <t>general</t>
        </is>
      </c>
      <c r="P405" t="inlineStr">
        <is>
          <t>bottom</t>
        </is>
      </c>
      <c r="Q405" t="b">
        <v>0</v>
      </c>
      <c r="R405" t="b">
        <v>0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</row>
    <row r="406">
      <c r="A406" t="inlineStr">
        <is>
          <t>Sheet1</t>
        </is>
      </c>
      <c r="B406" t="inlineStr">
        <is>
          <t>E96</t>
        </is>
      </c>
      <c r="C406" t="n">
        <v>96</v>
      </c>
      <c r="D406" t="n">
        <v>5</v>
      </c>
      <c r="E406" t="inlineStr">
        <is>
          <t>Input</t>
        </is>
      </c>
      <c r="F406" t="n">
        <v/>
      </c>
      <c r="H406" t="inlineStr"/>
      <c r="I406" t="inlineStr">
        <is>
          <t>_(\$* #,##0_);_(\$* \(#,##0\);_(\$* \-??_);_(@_)</t>
        </is>
      </c>
      <c r="J406" t="b">
        <v>0</v>
      </c>
      <c r="K406" t="b">
        <v>0</v>
      </c>
      <c r="L406" t="n">
        <v>10</v>
      </c>
      <c r="N406" t="inlineStr">
        <is>
          <t>00000000</t>
        </is>
      </c>
      <c r="O406" t="inlineStr">
        <is>
          <t>general</t>
        </is>
      </c>
      <c r="P406" t="inlineStr">
        <is>
          <t>bottom</t>
        </is>
      </c>
      <c r="Q406" t="b">
        <v>0</v>
      </c>
      <c r="R406" t="b">
        <v>0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</row>
    <row r="407">
      <c r="A407" t="inlineStr">
        <is>
          <t>Sheet1</t>
        </is>
      </c>
      <c r="B407" t="inlineStr">
        <is>
          <t>F96</t>
        </is>
      </c>
      <c r="C407" t="n">
        <v>96</v>
      </c>
      <c r="D407" t="n">
        <v>6</v>
      </c>
      <c r="E407" t="inlineStr">
        <is>
          <t>Input</t>
        </is>
      </c>
      <c r="F407" t="n">
        <v/>
      </c>
      <c r="H407" t="inlineStr"/>
      <c r="I407" t="inlineStr">
        <is>
          <t>0.0%</t>
        </is>
      </c>
      <c r="J407" t="b">
        <v>0</v>
      </c>
      <c r="K407" t="b">
        <v>0</v>
      </c>
      <c r="L407" t="n">
        <v>10</v>
      </c>
      <c r="N407" t="inlineStr">
        <is>
          <t>00000000</t>
        </is>
      </c>
      <c r="O407" t="inlineStr">
        <is>
          <t>general</t>
        </is>
      </c>
      <c r="P407" t="inlineStr">
        <is>
          <t>bottom</t>
        </is>
      </c>
      <c r="Q407" t="b">
        <v>0</v>
      </c>
      <c r="R407" t="b">
        <v>0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</row>
    <row r="408">
      <c r="A408" t="inlineStr">
        <is>
          <t>Sheet1</t>
        </is>
      </c>
      <c r="B408" t="inlineStr">
        <is>
          <t>G96</t>
        </is>
      </c>
      <c r="C408" t="n">
        <v>96</v>
      </c>
      <c r="D408" t="n">
        <v>7</v>
      </c>
      <c r="E408" t="inlineStr">
        <is>
          <t>Input</t>
        </is>
      </c>
      <c r="F408" t="n">
        <v/>
      </c>
      <c r="H408" t="inlineStr"/>
      <c r="I408" t="inlineStr">
        <is>
          <t>0.00</t>
        </is>
      </c>
      <c r="J408" t="b">
        <v>0</v>
      </c>
      <c r="K408" t="b">
        <v>0</v>
      </c>
      <c r="L408" t="n">
        <v>10</v>
      </c>
      <c r="N408" t="inlineStr">
        <is>
          <t>00000000</t>
        </is>
      </c>
      <c r="O408" t="inlineStr">
        <is>
          <t>general</t>
        </is>
      </c>
      <c r="P408" t="inlineStr">
        <is>
          <t>bottom</t>
        </is>
      </c>
      <c r="Q408" t="b">
        <v>0</v>
      </c>
      <c r="R408" t="b">
        <v>0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</row>
    <row r="409">
      <c r="A409" t="inlineStr">
        <is>
          <t>Sheet1</t>
        </is>
      </c>
      <c r="B409" t="inlineStr">
        <is>
          <t>H96</t>
        </is>
      </c>
      <c r="C409" t="n">
        <v>96</v>
      </c>
      <c r="D409" t="n">
        <v>8</v>
      </c>
      <c r="E409" t="inlineStr">
        <is>
          <t>Input</t>
        </is>
      </c>
      <c r="F409" t="n">
        <v/>
      </c>
      <c r="H409" t="inlineStr"/>
      <c r="I409" t="inlineStr">
        <is>
          <t>0.00</t>
        </is>
      </c>
      <c r="J409" t="b">
        <v>0</v>
      </c>
      <c r="K409" t="b">
        <v>0</v>
      </c>
      <c r="L409" t="n">
        <v>10</v>
      </c>
      <c r="N409" t="inlineStr">
        <is>
          <t>00000000</t>
        </is>
      </c>
      <c r="O409" t="inlineStr">
        <is>
          <t>general</t>
        </is>
      </c>
      <c r="P409" t="inlineStr">
        <is>
          <t>bottom</t>
        </is>
      </c>
      <c r="Q409" t="b">
        <v>0</v>
      </c>
      <c r="R409" t="b">
        <v>0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</row>
    <row r="410">
      <c r="A410" t="inlineStr">
        <is>
          <t>Sheet1</t>
        </is>
      </c>
      <c r="B410" t="inlineStr">
        <is>
          <t>C97</t>
        </is>
      </c>
      <c r="C410" t="n">
        <v>97</v>
      </c>
      <c r="D410" t="n">
        <v>3</v>
      </c>
      <c r="E410" t="inlineStr">
        <is>
          <t>Input</t>
        </is>
      </c>
      <c r="F410" t="n">
        <v/>
      </c>
      <c r="H410" t="inlineStr"/>
      <c r="I410" t="inlineStr">
        <is>
          <t>_(\$* #,##0_);_(\$* \(#,##0\);_(\$* \-??_);_(@_)</t>
        </is>
      </c>
      <c r="J410" t="b">
        <v>0</v>
      </c>
      <c r="K410" t="b">
        <v>0</v>
      </c>
      <c r="L410" t="n">
        <v>10</v>
      </c>
      <c r="N410" t="inlineStr">
        <is>
          <t>00000000</t>
        </is>
      </c>
      <c r="O410" t="inlineStr">
        <is>
          <t>general</t>
        </is>
      </c>
      <c r="P410" t="inlineStr">
        <is>
          <t>bottom</t>
        </is>
      </c>
      <c r="Q410" t="b">
        <v>0</v>
      </c>
      <c r="R410" t="b">
        <v>0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</row>
    <row r="411">
      <c r="A411" t="inlineStr">
        <is>
          <t>Sheet1</t>
        </is>
      </c>
      <c r="B411" t="inlineStr">
        <is>
          <t>E97</t>
        </is>
      </c>
      <c r="C411" t="n">
        <v>97</v>
      </c>
      <c r="D411" t="n">
        <v>5</v>
      </c>
      <c r="E411" t="inlineStr">
        <is>
          <t>Input</t>
        </is>
      </c>
      <c r="F411" t="n">
        <v/>
      </c>
      <c r="H411" t="inlineStr"/>
      <c r="I411" t="inlineStr">
        <is>
          <t>_(\$* #,##0_);_(\$* \(#,##0\);_(\$* \-??_);_(@_)</t>
        </is>
      </c>
      <c r="J411" t="b">
        <v>0</v>
      </c>
      <c r="K411" t="b">
        <v>0</v>
      </c>
      <c r="L411" t="n">
        <v>10</v>
      </c>
      <c r="N411" t="inlineStr">
        <is>
          <t>00000000</t>
        </is>
      </c>
      <c r="O411" t="inlineStr">
        <is>
          <t>general</t>
        </is>
      </c>
      <c r="P411" t="inlineStr">
        <is>
          <t>bottom</t>
        </is>
      </c>
      <c r="Q411" t="b">
        <v>0</v>
      </c>
      <c r="R411" t="b">
        <v>0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</row>
    <row r="412">
      <c r="A412" t="inlineStr">
        <is>
          <t>Sheet1</t>
        </is>
      </c>
      <c r="B412" t="inlineStr">
        <is>
          <t>F97</t>
        </is>
      </c>
      <c r="C412" t="n">
        <v>97</v>
      </c>
      <c r="D412" t="n">
        <v>6</v>
      </c>
      <c r="E412" t="inlineStr">
        <is>
          <t>Input</t>
        </is>
      </c>
      <c r="F412" t="n">
        <v/>
      </c>
      <c r="H412" t="inlineStr"/>
      <c r="I412" t="inlineStr">
        <is>
          <t>0.0%</t>
        </is>
      </c>
      <c r="J412" t="b">
        <v>0</v>
      </c>
      <c r="K412" t="b">
        <v>0</v>
      </c>
      <c r="L412" t="n">
        <v>10</v>
      </c>
      <c r="N412" t="inlineStr">
        <is>
          <t>00000000</t>
        </is>
      </c>
      <c r="O412" t="inlineStr">
        <is>
          <t>general</t>
        </is>
      </c>
      <c r="P412" t="inlineStr">
        <is>
          <t>bottom</t>
        </is>
      </c>
      <c r="Q412" t="b">
        <v>0</v>
      </c>
      <c r="R412" t="b">
        <v>0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</row>
    <row r="413">
      <c r="A413" t="inlineStr">
        <is>
          <t>Sheet1</t>
        </is>
      </c>
      <c r="B413" t="inlineStr">
        <is>
          <t>G97</t>
        </is>
      </c>
      <c r="C413" t="n">
        <v>97</v>
      </c>
      <c r="D413" t="n">
        <v>7</v>
      </c>
      <c r="E413" t="inlineStr">
        <is>
          <t>Input</t>
        </is>
      </c>
      <c r="F413" t="n">
        <v/>
      </c>
      <c r="H413" t="inlineStr"/>
      <c r="I413" t="inlineStr">
        <is>
          <t>0.00</t>
        </is>
      </c>
      <c r="J413" t="b">
        <v>0</v>
      </c>
      <c r="K413" t="b">
        <v>0</v>
      </c>
      <c r="L413" t="n">
        <v>10</v>
      </c>
      <c r="N413" t="inlineStr">
        <is>
          <t>00000000</t>
        </is>
      </c>
      <c r="O413" t="inlineStr">
        <is>
          <t>general</t>
        </is>
      </c>
      <c r="P413" t="inlineStr">
        <is>
          <t>bottom</t>
        </is>
      </c>
      <c r="Q413" t="b">
        <v>0</v>
      </c>
      <c r="R413" t="b">
        <v>0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</row>
    <row r="414">
      <c r="A414" t="inlineStr">
        <is>
          <t>Sheet1</t>
        </is>
      </c>
      <c r="B414" t="inlineStr">
        <is>
          <t>H97</t>
        </is>
      </c>
      <c r="C414" t="n">
        <v>97</v>
      </c>
      <c r="D414" t="n">
        <v>8</v>
      </c>
      <c r="E414" t="inlineStr">
        <is>
          <t>Input</t>
        </is>
      </c>
      <c r="F414" t="n">
        <v/>
      </c>
      <c r="H414" t="inlineStr"/>
      <c r="I414" t="inlineStr">
        <is>
          <t>0.00</t>
        </is>
      </c>
      <c r="J414" t="b">
        <v>0</v>
      </c>
      <c r="K414" t="b">
        <v>0</v>
      </c>
      <c r="L414" t="n">
        <v>10</v>
      </c>
      <c r="N414" t="inlineStr">
        <is>
          <t>00000000</t>
        </is>
      </c>
      <c r="O414" t="inlineStr">
        <is>
          <t>general</t>
        </is>
      </c>
      <c r="P414" t="inlineStr">
        <is>
          <t>bottom</t>
        </is>
      </c>
      <c r="Q414" t="b">
        <v>0</v>
      </c>
      <c r="R414" t="b">
        <v>0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</row>
    <row r="415">
      <c r="A415" t="inlineStr">
        <is>
          <t>Sheet1</t>
        </is>
      </c>
      <c r="B415" t="inlineStr">
        <is>
          <t>C98</t>
        </is>
      </c>
      <c r="C415" t="n">
        <v>98</v>
      </c>
      <c r="D415" t="n">
        <v>3</v>
      </c>
      <c r="E415" t="inlineStr">
        <is>
          <t>Input</t>
        </is>
      </c>
      <c r="F415" t="n">
        <v/>
      </c>
      <c r="H415" t="inlineStr"/>
      <c r="I415" t="inlineStr">
        <is>
          <t>_(\$* #,##0_);_(\$* \(#,##0\);_(\$* \-??_);_(@_)</t>
        </is>
      </c>
      <c r="J415" t="b">
        <v>0</v>
      </c>
      <c r="K415" t="b">
        <v>0</v>
      </c>
      <c r="L415" t="n">
        <v>10</v>
      </c>
      <c r="N415" t="inlineStr">
        <is>
          <t>00000000</t>
        </is>
      </c>
      <c r="O415" t="inlineStr">
        <is>
          <t>general</t>
        </is>
      </c>
      <c r="P415" t="inlineStr">
        <is>
          <t>bottom</t>
        </is>
      </c>
      <c r="Q415" t="b">
        <v>0</v>
      </c>
      <c r="R415" t="b">
        <v>0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</row>
    <row r="416">
      <c r="A416" t="inlineStr">
        <is>
          <t>Sheet1</t>
        </is>
      </c>
      <c r="B416" t="inlineStr">
        <is>
          <t>E98</t>
        </is>
      </c>
      <c r="C416" t="n">
        <v>98</v>
      </c>
      <c r="D416" t="n">
        <v>5</v>
      </c>
      <c r="E416" t="inlineStr">
        <is>
          <t>Input</t>
        </is>
      </c>
      <c r="F416" t="n">
        <v/>
      </c>
      <c r="H416" t="inlineStr"/>
      <c r="I416" t="inlineStr">
        <is>
          <t>_(\$* #,##0_);_(\$* \(#,##0\);_(\$* \-??_);_(@_)</t>
        </is>
      </c>
      <c r="J416" t="b">
        <v>0</v>
      </c>
      <c r="K416" t="b">
        <v>0</v>
      </c>
      <c r="L416" t="n">
        <v>10</v>
      </c>
      <c r="N416" t="inlineStr">
        <is>
          <t>00000000</t>
        </is>
      </c>
      <c r="O416" t="inlineStr">
        <is>
          <t>general</t>
        </is>
      </c>
      <c r="P416" t="inlineStr">
        <is>
          <t>bottom</t>
        </is>
      </c>
      <c r="Q416" t="b">
        <v>0</v>
      </c>
      <c r="R416" t="b">
        <v>0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</row>
    <row r="417">
      <c r="A417" t="inlineStr">
        <is>
          <t>Sheet1</t>
        </is>
      </c>
      <c r="B417" t="inlineStr">
        <is>
          <t>F98</t>
        </is>
      </c>
      <c r="C417" t="n">
        <v>98</v>
      </c>
      <c r="D417" t="n">
        <v>6</v>
      </c>
      <c r="E417" t="inlineStr">
        <is>
          <t>Input</t>
        </is>
      </c>
      <c r="F417" t="n">
        <v/>
      </c>
      <c r="H417" t="inlineStr"/>
      <c r="I417" t="inlineStr">
        <is>
          <t>0.0%</t>
        </is>
      </c>
      <c r="J417" t="b">
        <v>0</v>
      </c>
      <c r="K417" t="b">
        <v>0</v>
      </c>
      <c r="L417" t="n">
        <v>10</v>
      </c>
      <c r="N417" t="inlineStr">
        <is>
          <t>00000000</t>
        </is>
      </c>
      <c r="O417" t="inlineStr">
        <is>
          <t>general</t>
        </is>
      </c>
      <c r="P417" t="inlineStr">
        <is>
          <t>bottom</t>
        </is>
      </c>
      <c r="Q417" t="b">
        <v>0</v>
      </c>
      <c r="R417" t="b">
        <v>0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</row>
    <row r="418">
      <c r="A418" t="inlineStr">
        <is>
          <t>Sheet1</t>
        </is>
      </c>
      <c r="B418" t="inlineStr">
        <is>
          <t>G98</t>
        </is>
      </c>
      <c r="C418" t="n">
        <v>98</v>
      </c>
      <c r="D418" t="n">
        <v>7</v>
      </c>
      <c r="E418" t="inlineStr">
        <is>
          <t>Input</t>
        </is>
      </c>
      <c r="F418" t="n">
        <v/>
      </c>
      <c r="H418" t="inlineStr"/>
      <c r="I418" t="inlineStr">
        <is>
          <t>0.00</t>
        </is>
      </c>
      <c r="J418" t="b">
        <v>0</v>
      </c>
      <c r="K418" t="b">
        <v>0</v>
      </c>
      <c r="L418" t="n">
        <v>10</v>
      </c>
      <c r="N418" t="inlineStr">
        <is>
          <t>00000000</t>
        </is>
      </c>
      <c r="O418" t="inlineStr">
        <is>
          <t>general</t>
        </is>
      </c>
      <c r="P418" t="inlineStr">
        <is>
          <t>bottom</t>
        </is>
      </c>
      <c r="Q418" t="b">
        <v>0</v>
      </c>
      <c r="R418" t="b">
        <v>0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</row>
    <row r="419">
      <c r="A419" t="inlineStr">
        <is>
          <t>Sheet1</t>
        </is>
      </c>
      <c r="B419" t="inlineStr">
        <is>
          <t>H98</t>
        </is>
      </c>
      <c r="C419" t="n">
        <v>98</v>
      </c>
      <c r="D419" t="n">
        <v>8</v>
      </c>
      <c r="E419" t="inlineStr">
        <is>
          <t>Input</t>
        </is>
      </c>
      <c r="F419" t="n">
        <v/>
      </c>
      <c r="H419" t="inlineStr"/>
      <c r="I419" t="inlineStr">
        <is>
          <t>0.00</t>
        </is>
      </c>
      <c r="J419" t="b">
        <v>0</v>
      </c>
      <c r="K419" t="b">
        <v>0</v>
      </c>
      <c r="L419" t="n">
        <v>10</v>
      </c>
      <c r="N419" t="inlineStr">
        <is>
          <t>00000000</t>
        </is>
      </c>
      <c r="O419" t="inlineStr">
        <is>
          <t>general</t>
        </is>
      </c>
      <c r="P419" t="inlineStr">
        <is>
          <t>bottom</t>
        </is>
      </c>
      <c r="Q419" t="b">
        <v>0</v>
      </c>
      <c r="R419" t="b">
        <v>0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</row>
    <row r="420">
      <c r="A420" t="inlineStr">
        <is>
          <t>Sheet1</t>
        </is>
      </c>
      <c r="B420" t="inlineStr">
        <is>
          <t>C99</t>
        </is>
      </c>
      <c r="C420" t="n">
        <v>99</v>
      </c>
      <c r="D420" t="n">
        <v>3</v>
      </c>
      <c r="E420" t="inlineStr">
        <is>
          <t>Input</t>
        </is>
      </c>
      <c r="F420" t="n">
        <v/>
      </c>
      <c r="H420" t="inlineStr"/>
      <c r="I420" t="inlineStr">
        <is>
          <t>_(\$* #,##0_);_(\$* \(#,##0\);_(\$* \-??_);_(@_)</t>
        </is>
      </c>
      <c r="J420" t="b">
        <v>0</v>
      </c>
      <c r="K420" t="b">
        <v>0</v>
      </c>
      <c r="L420" t="n">
        <v>10</v>
      </c>
      <c r="N420" t="inlineStr">
        <is>
          <t>00000000</t>
        </is>
      </c>
      <c r="O420" t="inlineStr">
        <is>
          <t>general</t>
        </is>
      </c>
      <c r="P420" t="inlineStr">
        <is>
          <t>bottom</t>
        </is>
      </c>
      <c r="Q420" t="b">
        <v>0</v>
      </c>
      <c r="R420" t="b">
        <v>0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</row>
    <row r="421">
      <c r="A421" t="inlineStr">
        <is>
          <t>Sheet1</t>
        </is>
      </c>
      <c r="B421" t="inlineStr">
        <is>
          <t>E99</t>
        </is>
      </c>
      <c r="C421" t="n">
        <v>99</v>
      </c>
      <c r="D421" t="n">
        <v>5</v>
      </c>
      <c r="E421" t="inlineStr">
        <is>
          <t>Input</t>
        </is>
      </c>
      <c r="F421" t="n">
        <v/>
      </c>
      <c r="H421" t="inlineStr"/>
      <c r="I421" t="inlineStr">
        <is>
          <t>_(\$* #,##0_);_(\$* \(#,##0\);_(\$* \-??_);_(@_)</t>
        </is>
      </c>
      <c r="J421" t="b">
        <v>0</v>
      </c>
      <c r="K421" t="b">
        <v>0</v>
      </c>
      <c r="L421" t="n">
        <v>10</v>
      </c>
      <c r="N421" t="inlineStr">
        <is>
          <t>00000000</t>
        </is>
      </c>
      <c r="O421" t="inlineStr">
        <is>
          <t>general</t>
        </is>
      </c>
      <c r="P421" t="inlineStr">
        <is>
          <t>bottom</t>
        </is>
      </c>
      <c r="Q421" t="b">
        <v>0</v>
      </c>
      <c r="R421" t="b">
        <v>0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</row>
    <row r="422">
      <c r="A422" t="inlineStr">
        <is>
          <t>Sheet1</t>
        </is>
      </c>
      <c r="B422" t="inlineStr">
        <is>
          <t>F99</t>
        </is>
      </c>
      <c r="C422" t="n">
        <v>99</v>
      </c>
      <c r="D422" t="n">
        <v>6</v>
      </c>
      <c r="E422" t="inlineStr">
        <is>
          <t>Input</t>
        </is>
      </c>
      <c r="F422" t="n">
        <v/>
      </c>
      <c r="H422" t="inlineStr"/>
      <c r="I422" t="inlineStr">
        <is>
          <t>0.0%</t>
        </is>
      </c>
      <c r="J422" t="b">
        <v>0</v>
      </c>
      <c r="K422" t="b">
        <v>0</v>
      </c>
      <c r="L422" t="n">
        <v>10</v>
      </c>
      <c r="N422" t="inlineStr">
        <is>
          <t>00000000</t>
        </is>
      </c>
      <c r="O422" t="inlineStr">
        <is>
          <t>general</t>
        </is>
      </c>
      <c r="P422" t="inlineStr">
        <is>
          <t>bottom</t>
        </is>
      </c>
      <c r="Q422" t="b">
        <v>0</v>
      </c>
      <c r="R422" t="b">
        <v>0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</row>
    <row r="423">
      <c r="A423" t="inlineStr">
        <is>
          <t>Sheet1</t>
        </is>
      </c>
      <c r="B423" t="inlineStr">
        <is>
          <t>G99</t>
        </is>
      </c>
      <c r="C423" t="n">
        <v>99</v>
      </c>
      <c r="D423" t="n">
        <v>7</v>
      </c>
      <c r="E423" t="inlineStr">
        <is>
          <t>Input</t>
        </is>
      </c>
      <c r="F423" t="n">
        <v/>
      </c>
      <c r="H423" t="inlineStr"/>
      <c r="I423" t="inlineStr">
        <is>
          <t>0.00</t>
        </is>
      </c>
      <c r="J423" t="b">
        <v>0</v>
      </c>
      <c r="K423" t="b">
        <v>0</v>
      </c>
      <c r="L423" t="n">
        <v>10</v>
      </c>
      <c r="N423" t="inlineStr">
        <is>
          <t>00000000</t>
        </is>
      </c>
      <c r="O423" t="inlineStr">
        <is>
          <t>general</t>
        </is>
      </c>
      <c r="P423" t="inlineStr">
        <is>
          <t>bottom</t>
        </is>
      </c>
      <c r="Q423" t="b">
        <v>0</v>
      </c>
      <c r="R423" t="b">
        <v>0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</row>
    <row r="424">
      <c r="A424" t="inlineStr">
        <is>
          <t>Sheet1</t>
        </is>
      </c>
      <c r="B424" t="inlineStr">
        <is>
          <t>H99</t>
        </is>
      </c>
      <c r="C424" t="n">
        <v>99</v>
      </c>
      <c r="D424" t="n">
        <v>8</v>
      </c>
      <c r="E424" t="inlineStr">
        <is>
          <t>Input</t>
        </is>
      </c>
      <c r="F424" t="n">
        <v/>
      </c>
      <c r="H424" t="inlineStr"/>
      <c r="I424" t="inlineStr">
        <is>
          <t>0.00</t>
        </is>
      </c>
      <c r="J424" t="b">
        <v>0</v>
      </c>
      <c r="K424" t="b">
        <v>0</v>
      </c>
      <c r="L424" t="n">
        <v>10</v>
      </c>
      <c r="N424" t="inlineStr">
        <is>
          <t>00000000</t>
        </is>
      </c>
      <c r="O424" t="inlineStr">
        <is>
          <t>general</t>
        </is>
      </c>
      <c r="P424" t="inlineStr">
        <is>
          <t>bottom</t>
        </is>
      </c>
      <c r="Q424" t="b">
        <v>0</v>
      </c>
      <c r="R424" t="b">
        <v>0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</row>
    <row r="425">
      <c r="A425" t="inlineStr">
        <is>
          <t>Sheet1</t>
        </is>
      </c>
      <c r="B425" t="inlineStr">
        <is>
          <t>C100</t>
        </is>
      </c>
      <c r="C425" t="n">
        <v>100</v>
      </c>
      <c r="D425" t="n">
        <v>3</v>
      </c>
      <c r="E425" t="inlineStr">
        <is>
          <t>Input</t>
        </is>
      </c>
      <c r="F425" t="n">
        <v/>
      </c>
      <c r="H425" t="inlineStr"/>
      <c r="I425" t="inlineStr">
        <is>
          <t>_(\$* #,##0_);_(\$* \(#,##0\);_(\$* \-??_);_(@_)</t>
        </is>
      </c>
      <c r="J425" t="b">
        <v>0</v>
      </c>
      <c r="K425" t="b">
        <v>0</v>
      </c>
      <c r="L425" t="n">
        <v>10</v>
      </c>
      <c r="N425" t="inlineStr">
        <is>
          <t>00000000</t>
        </is>
      </c>
      <c r="O425" t="inlineStr">
        <is>
          <t>general</t>
        </is>
      </c>
      <c r="P425" t="inlineStr">
        <is>
          <t>bottom</t>
        </is>
      </c>
      <c r="Q425" t="b">
        <v>0</v>
      </c>
      <c r="R425" t="b">
        <v>0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</row>
    <row r="426">
      <c r="A426" t="inlineStr">
        <is>
          <t>Sheet1</t>
        </is>
      </c>
      <c r="B426" t="inlineStr">
        <is>
          <t>E100</t>
        </is>
      </c>
      <c r="C426" t="n">
        <v>100</v>
      </c>
      <c r="D426" t="n">
        <v>5</v>
      </c>
      <c r="E426" t="inlineStr">
        <is>
          <t>Input</t>
        </is>
      </c>
      <c r="F426" t="n">
        <v/>
      </c>
      <c r="H426" t="inlineStr"/>
      <c r="I426" t="inlineStr">
        <is>
          <t>_(\$* #,##0_);_(\$* \(#,##0\);_(\$* \-??_);_(@_)</t>
        </is>
      </c>
      <c r="J426" t="b">
        <v>0</v>
      </c>
      <c r="K426" t="b">
        <v>0</v>
      </c>
      <c r="L426" t="n">
        <v>10</v>
      </c>
      <c r="N426" t="inlineStr">
        <is>
          <t>00000000</t>
        </is>
      </c>
      <c r="O426" t="inlineStr">
        <is>
          <t>general</t>
        </is>
      </c>
      <c r="P426" t="inlineStr">
        <is>
          <t>bottom</t>
        </is>
      </c>
      <c r="Q426" t="b">
        <v>0</v>
      </c>
      <c r="R426" t="b">
        <v>0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</row>
    <row r="427">
      <c r="A427" t="inlineStr">
        <is>
          <t>Sheet1</t>
        </is>
      </c>
      <c r="B427" t="inlineStr">
        <is>
          <t>F100</t>
        </is>
      </c>
      <c r="C427" t="n">
        <v>100</v>
      </c>
      <c r="D427" t="n">
        <v>6</v>
      </c>
      <c r="E427" t="inlineStr">
        <is>
          <t>Input</t>
        </is>
      </c>
      <c r="F427" t="n">
        <v/>
      </c>
      <c r="H427" t="inlineStr"/>
      <c r="I427" t="inlineStr">
        <is>
          <t>0.0%</t>
        </is>
      </c>
      <c r="J427" t="b">
        <v>0</v>
      </c>
      <c r="K427" t="b">
        <v>0</v>
      </c>
      <c r="L427" t="n">
        <v>10</v>
      </c>
      <c r="N427" t="inlineStr">
        <is>
          <t>00000000</t>
        </is>
      </c>
      <c r="O427" t="inlineStr">
        <is>
          <t>general</t>
        </is>
      </c>
      <c r="P427" t="inlineStr">
        <is>
          <t>bottom</t>
        </is>
      </c>
      <c r="Q427" t="b">
        <v>0</v>
      </c>
      <c r="R427" t="b">
        <v>0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</row>
    <row r="428">
      <c r="A428" t="inlineStr">
        <is>
          <t>Sheet1</t>
        </is>
      </c>
      <c r="B428" t="inlineStr">
        <is>
          <t>G100</t>
        </is>
      </c>
      <c r="C428" t="n">
        <v>100</v>
      </c>
      <c r="D428" t="n">
        <v>7</v>
      </c>
      <c r="E428" t="inlineStr">
        <is>
          <t>Input</t>
        </is>
      </c>
      <c r="F428" t="n">
        <v/>
      </c>
      <c r="H428" t="inlineStr"/>
      <c r="I428" t="inlineStr">
        <is>
          <t>0.00</t>
        </is>
      </c>
      <c r="J428" t="b">
        <v>0</v>
      </c>
      <c r="K428" t="b">
        <v>0</v>
      </c>
      <c r="L428" t="n">
        <v>10</v>
      </c>
      <c r="N428" t="inlineStr">
        <is>
          <t>00000000</t>
        </is>
      </c>
      <c r="O428" t="inlineStr">
        <is>
          <t>general</t>
        </is>
      </c>
      <c r="P428" t="inlineStr">
        <is>
          <t>bottom</t>
        </is>
      </c>
      <c r="Q428" t="b">
        <v>0</v>
      </c>
      <c r="R428" t="b">
        <v>0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</row>
    <row r="429">
      <c r="A429" t="inlineStr">
        <is>
          <t>Sheet1</t>
        </is>
      </c>
      <c r="B429" t="inlineStr">
        <is>
          <t>H100</t>
        </is>
      </c>
      <c r="C429" t="n">
        <v>100</v>
      </c>
      <c r="D429" t="n">
        <v>8</v>
      </c>
      <c r="E429" t="inlineStr">
        <is>
          <t>Input</t>
        </is>
      </c>
      <c r="F429" t="n">
        <v/>
      </c>
      <c r="H429" t="inlineStr"/>
      <c r="I429" t="inlineStr">
        <is>
          <t>0.00</t>
        </is>
      </c>
      <c r="J429" t="b">
        <v>0</v>
      </c>
      <c r="K429" t="b">
        <v>0</v>
      </c>
      <c r="L429" t="n">
        <v>10</v>
      </c>
      <c r="N429" t="inlineStr">
        <is>
          <t>00000000</t>
        </is>
      </c>
      <c r="O429" t="inlineStr">
        <is>
          <t>general</t>
        </is>
      </c>
      <c r="P429" t="inlineStr">
        <is>
          <t>bottom</t>
        </is>
      </c>
      <c r="Q429" t="b">
        <v>0</v>
      </c>
      <c r="R429" t="b">
        <v>0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</row>
    <row r="430">
      <c r="A430" t="inlineStr">
        <is>
          <t>Sheet1</t>
        </is>
      </c>
      <c r="B430" t="inlineStr">
        <is>
          <t>C101</t>
        </is>
      </c>
      <c r="C430" t="n">
        <v>101</v>
      </c>
      <c r="D430" t="n">
        <v>3</v>
      </c>
      <c r="E430" t="inlineStr">
        <is>
          <t>Input</t>
        </is>
      </c>
      <c r="F430" t="n">
        <v/>
      </c>
      <c r="H430" t="inlineStr"/>
      <c r="I430" t="inlineStr">
        <is>
          <t>_(\$* #,##0_);_(\$* \(#,##0\);_(\$* \-??_);_(@_)</t>
        </is>
      </c>
      <c r="J430" t="b">
        <v>0</v>
      </c>
      <c r="K430" t="b">
        <v>0</v>
      </c>
      <c r="L430" t="n">
        <v>10</v>
      </c>
      <c r="N430" t="inlineStr">
        <is>
          <t>00000000</t>
        </is>
      </c>
      <c r="O430" t="inlineStr">
        <is>
          <t>general</t>
        </is>
      </c>
      <c r="P430" t="inlineStr">
        <is>
          <t>bottom</t>
        </is>
      </c>
      <c r="Q430" t="b">
        <v>0</v>
      </c>
      <c r="R430" t="b">
        <v>0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</row>
    <row r="431">
      <c r="A431" t="inlineStr">
        <is>
          <t>Sheet1</t>
        </is>
      </c>
      <c r="B431" t="inlineStr">
        <is>
          <t>E101</t>
        </is>
      </c>
      <c r="C431" t="n">
        <v>101</v>
      </c>
      <c r="D431" t="n">
        <v>5</v>
      </c>
      <c r="E431" t="inlineStr">
        <is>
          <t>Input</t>
        </is>
      </c>
      <c r="F431" t="n">
        <v/>
      </c>
      <c r="H431" t="inlineStr"/>
      <c r="I431" t="inlineStr">
        <is>
          <t>_(\$* #,##0_);_(\$* \(#,##0\);_(\$* \-??_);_(@_)</t>
        </is>
      </c>
      <c r="J431" t="b">
        <v>0</v>
      </c>
      <c r="K431" t="b">
        <v>0</v>
      </c>
      <c r="L431" t="n">
        <v>10</v>
      </c>
      <c r="N431" t="inlineStr">
        <is>
          <t>00000000</t>
        </is>
      </c>
      <c r="O431" t="inlineStr">
        <is>
          <t>general</t>
        </is>
      </c>
      <c r="P431" t="inlineStr">
        <is>
          <t>bottom</t>
        </is>
      </c>
      <c r="Q431" t="b">
        <v>0</v>
      </c>
      <c r="R431" t="b">
        <v>0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</row>
    <row r="432">
      <c r="A432" t="inlineStr">
        <is>
          <t>Sheet1</t>
        </is>
      </c>
      <c r="B432" t="inlineStr">
        <is>
          <t>F101</t>
        </is>
      </c>
      <c r="C432" t="n">
        <v>101</v>
      </c>
      <c r="D432" t="n">
        <v>6</v>
      </c>
      <c r="E432" t="inlineStr">
        <is>
          <t>Input</t>
        </is>
      </c>
      <c r="F432" t="n">
        <v/>
      </c>
      <c r="H432" t="inlineStr"/>
      <c r="I432" t="inlineStr">
        <is>
          <t>0.0%</t>
        </is>
      </c>
      <c r="J432" t="b">
        <v>0</v>
      </c>
      <c r="K432" t="b">
        <v>0</v>
      </c>
      <c r="L432" t="n">
        <v>10</v>
      </c>
      <c r="N432" t="inlineStr">
        <is>
          <t>00000000</t>
        </is>
      </c>
      <c r="O432" t="inlineStr">
        <is>
          <t>general</t>
        </is>
      </c>
      <c r="P432" t="inlineStr">
        <is>
          <t>bottom</t>
        </is>
      </c>
      <c r="Q432" t="b">
        <v>0</v>
      </c>
      <c r="R432" t="b">
        <v>0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</row>
    <row r="433">
      <c r="A433" t="inlineStr">
        <is>
          <t>Sheet1</t>
        </is>
      </c>
      <c r="B433" t="inlineStr">
        <is>
          <t>G101</t>
        </is>
      </c>
      <c r="C433" t="n">
        <v>101</v>
      </c>
      <c r="D433" t="n">
        <v>7</v>
      </c>
      <c r="E433" t="inlineStr">
        <is>
          <t>Input</t>
        </is>
      </c>
      <c r="F433" t="n">
        <v/>
      </c>
      <c r="H433" t="inlineStr"/>
      <c r="I433" t="inlineStr">
        <is>
          <t>0.00</t>
        </is>
      </c>
      <c r="J433" t="b">
        <v>0</v>
      </c>
      <c r="K433" t="b">
        <v>0</v>
      </c>
      <c r="L433" t="n">
        <v>10</v>
      </c>
      <c r="N433" t="inlineStr">
        <is>
          <t>00000000</t>
        </is>
      </c>
      <c r="O433" t="inlineStr">
        <is>
          <t>general</t>
        </is>
      </c>
      <c r="P433" t="inlineStr">
        <is>
          <t>bottom</t>
        </is>
      </c>
      <c r="Q433" t="b">
        <v>0</v>
      </c>
      <c r="R433" t="b">
        <v>0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</row>
    <row r="434">
      <c r="A434" t="inlineStr">
        <is>
          <t>Sheet1</t>
        </is>
      </c>
      <c r="B434" t="inlineStr">
        <is>
          <t>H101</t>
        </is>
      </c>
      <c r="C434" t="n">
        <v>101</v>
      </c>
      <c r="D434" t="n">
        <v>8</v>
      </c>
      <c r="E434" t="inlineStr">
        <is>
          <t>Input</t>
        </is>
      </c>
      <c r="F434" t="n">
        <v/>
      </c>
      <c r="H434" t="inlineStr"/>
      <c r="I434" t="inlineStr">
        <is>
          <t>0.00</t>
        </is>
      </c>
      <c r="J434" t="b">
        <v>0</v>
      </c>
      <c r="K434" t="b">
        <v>0</v>
      </c>
      <c r="L434" t="n">
        <v>10</v>
      </c>
      <c r="N434" t="inlineStr">
        <is>
          <t>00000000</t>
        </is>
      </c>
      <c r="O434" t="inlineStr">
        <is>
          <t>general</t>
        </is>
      </c>
      <c r="P434" t="inlineStr">
        <is>
          <t>bottom</t>
        </is>
      </c>
      <c r="Q434" t="b">
        <v>0</v>
      </c>
      <c r="R434" t="b">
        <v>0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</row>
    <row r="435">
      <c r="A435" t="inlineStr">
        <is>
          <t>Sheet1</t>
        </is>
      </c>
      <c r="B435" t="inlineStr">
        <is>
          <t>C102</t>
        </is>
      </c>
      <c r="C435" t="n">
        <v>102</v>
      </c>
      <c r="D435" t="n">
        <v>3</v>
      </c>
      <c r="E435" t="inlineStr">
        <is>
          <t>Input</t>
        </is>
      </c>
      <c r="F435" t="n">
        <v/>
      </c>
      <c r="H435" t="inlineStr"/>
      <c r="I435" t="inlineStr">
        <is>
          <t>_(\$* #,##0_);_(\$* \(#,##0\);_(\$* \-??_);_(@_)</t>
        </is>
      </c>
      <c r="J435" t="b">
        <v>0</v>
      </c>
      <c r="K435" t="b">
        <v>0</v>
      </c>
      <c r="L435" t="n">
        <v>10</v>
      </c>
      <c r="N435" t="inlineStr">
        <is>
          <t>00000000</t>
        </is>
      </c>
      <c r="O435" t="inlineStr">
        <is>
          <t>general</t>
        </is>
      </c>
      <c r="P435" t="inlineStr">
        <is>
          <t>bottom</t>
        </is>
      </c>
      <c r="Q435" t="b">
        <v>0</v>
      </c>
      <c r="R435" t="b">
        <v>0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</row>
    <row r="436">
      <c r="A436" t="inlineStr">
        <is>
          <t>Sheet1</t>
        </is>
      </c>
      <c r="B436" t="inlineStr">
        <is>
          <t>E102</t>
        </is>
      </c>
      <c r="C436" t="n">
        <v>102</v>
      </c>
      <c r="D436" t="n">
        <v>5</v>
      </c>
      <c r="E436" t="inlineStr">
        <is>
          <t>Input</t>
        </is>
      </c>
      <c r="F436" t="n">
        <v/>
      </c>
      <c r="H436" t="inlineStr"/>
      <c r="I436" t="inlineStr">
        <is>
          <t>_(\$* #,##0_);_(\$* \(#,##0\);_(\$* \-??_);_(@_)</t>
        </is>
      </c>
      <c r="J436" t="b">
        <v>0</v>
      </c>
      <c r="K436" t="b">
        <v>0</v>
      </c>
      <c r="L436" t="n">
        <v>10</v>
      </c>
      <c r="N436" t="inlineStr">
        <is>
          <t>00000000</t>
        </is>
      </c>
      <c r="O436" t="inlineStr">
        <is>
          <t>general</t>
        </is>
      </c>
      <c r="P436" t="inlineStr">
        <is>
          <t>bottom</t>
        </is>
      </c>
      <c r="Q436" t="b">
        <v>0</v>
      </c>
      <c r="R436" t="b">
        <v>0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</row>
    <row r="437">
      <c r="A437" t="inlineStr">
        <is>
          <t>Sheet1</t>
        </is>
      </c>
      <c r="B437" t="inlineStr">
        <is>
          <t>F102</t>
        </is>
      </c>
      <c r="C437" t="n">
        <v>102</v>
      </c>
      <c r="D437" t="n">
        <v>6</v>
      </c>
      <c r="E437" t="inlineStr">
        <is>
          <t>Input</t>
        </is>
      </c>
      <c r="F437" t="n">
        <v/>
      </c>
      <c r="H437" t="inlineStr"/>
      <c r="I437" t="inlineStr">
        <is>
          <t>0.0%</t>
        </is>
      </c>
      <c r="J437" t="b">
        <v>0</v>
      </c>
      <c r="K437" t="b">
        <v>0</v>
      </c>
      <c r="L437" t="n">
        <v>10</v>
      </c>
      <c r="N437" t="inlineStr">
        <is>
          <t>00000000</t>
        </is>
      </c>
      <c r="O437" t="inlineStr">
        <is>
          <t>general</t>
        </is>
      </c>
      <c r="P437" t="inlineStr">
        <is>
          <t>bottom</t>
        </is>
      </c>
      <c r="Q437" t="b">
        <v>0</v>
      </c>
      <c r="R437" t="b">
        <v>0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</row>
    <row r="438">
      <c r="A438" t="inlineStr">
        <is>
          <t>Sheet1</t>
        </is>
      </c>
      <c r="B438" t="inlineStr">
        <is>
          <t>G102</t>
        </is>
      </c>
      <c r="C438" t="n">
        <v>102</v>
      </c>
      <c r="D438" t="n">
        <v>7</v>
      </c>
      <c r="E438" t="inlineStr">
        <is>
          <t>Input</t>
        </is>
      </c>
      <c r="F438" t="n">
        <v/>
      </c>
      <c r="H438" t="inlineStr"/>
      <c r="I438" t="inlineStr">
        <is>
          <t>0.00</t>
        </is>
      </c>
      <c r="J438" t="b">
        <v>0</v>
      </c>
      <c r="K438" t="b">
        <v>0</v>
      </c>
      <c r="L438" t="n">
        <v>10</v>
      </c>
      <c r="N438" t="inlineStr">
        <is>
          <t>00000000</t>
        </is>
      </c>
      <c r="O438" t="inlineStr">
        <is>
          <t>general</t>
        </is>
      </c>
      <c r="P438" t="inlineStr">
        <is>
          <t>bottom</t>
        </is>
      </c>
      <c r="Q438" t="b">
        <v>0</v>
      </c>
      <c r="R438" t="b">
        <v>0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</row>
    <row r="439">
      <c r="A439" t="inlineStr">
        <is>
          <t>Sheet1</t>
        </is>
      </c>
      <c r="B439" t="inlineStr">
        <is>
          <t>H102</t>
        </is>
      </c>
      <c r="C439" t="n">
        <v>102</v>
      </c>
      <c r="D439" t="n">
        <v>8</v>
      </c>
      <c r="E439" t="inlineStr">
        <is>
          <t>Input</t>
        </is>
      </c>
      <c r="F439" t="n">
        <v/>
      </c>
      <c r="H439" t="inlineStr"/>
      <c r="I439" t="inlineStr">
        <is>
          <t>0.00</t>
        </is>
      </c>
      <c r="J439" t="b">
        <v>0</v>
      </c>
      <c r="K439" t="b">
        <v>0</v>
      </c>
      <c r="L439" t="n">
        <v>10</v>
      </c>
      <c r="N439" t="inlineStr">
        <is>
          <t>00000000</t>
        </is>
      </c>
      <c r="O439" t="inlineStr">
        <is>
          <t>general</t>
        </is>
      </c>
      <c r="P439" t="inlineStr">
        <is>
          <t>bottom</t>
        </is>
      </c>
      <c r="Q439" t="b">
        <v>0</v>
      </c>
      <c r="R439" t="b">
        <v>0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</row>
    <row r="440">
      <c r="A440" t="inlineStr">
        <is>
          <t>Sheet1</t>
        </is>
      </c>
      <c r="B440" t="inlineStr">
        <is>
          <t>C103</t>
        </is>
      </c>
      <c r="C440" t="n">
        <v>103</v>
      </c>
      <c r="D440" t="n">
        <v>3</v>
      </c>
      <c r="E440" t="inlineStr">
        <is>
          <t>Input</t>
        </is>
      </c>
      <c r="F440" t="n">
        <v/>
      </c>
      <c r="H440" t="inlineStr"/>
      <c r="I440" t="inlineStr">
        <is>
          <t>_(\$* #,##0_);_(\$* \(#,##0\);_(\$* \-??_);_(@_)</t>
        </is>
      </c>
      <c r="J440" t="b">
        <v>0</v>
      </c>
      <c r="K440" t="b">
        <v>0</v>
      </c>
      <c r="L440" t="n">
        <v>10</v>
      </c>
      <c r="N440" t="inlineStr">
        <is>
          <t>00000000</t>
        </is>
      </c>
      <c r="O440" t="inlineStr">
        <is>
          <t>general</t>
        </is>
      </c>
      <c r="P440" t="inlineStr">
        <is>
          <t>bottom</t>
        </is>
      </c>
      <c r="Q440" t="b">
        <v>0</v>
      </c>
      <c r="R440" t="b">
        <v>0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</row>
    <row r="441">
      <c r="A441" t="inlineStr">
        <is>
          <t>Sheet1</t>
        </is>
      </c>
      <c r="B441" t="inlineStr">
        <is>
          <t>E103</t>
        </is>
      </c>
      <c r="C441" t="n">
        <v>103</v>
      </c>
      <c r="D441" t="n">
        <v>5</v>
      </c>
      <c r="E441" t="inlineStr">
        <is>
          <t>Input</t>
        </is>
      </c>
      <c r="F441" t="n">
        <v/>
      </c>
      <c r="H441" t="inlineStr"/>
      <c r="I441" t="inlineStr">
        <is>
          <t>_(\$* #,##0_);_(\$* \(#,##0\);_(\$* \-??_);_(@_)</t>
        </is>
      </c>
      <c r="J441" t="b">
        <v>0</v>
      </c>
      <c r="K441" t="b">
        <v>0</v>
      </c>
      <c r="L441" t="n">
        <v>10</v>
      </c>
      <c r="N441" t="inlineStr">
        <is>
          <t>00000000</t>
        </is>
      </c>
      <c r="O441" t="inlineStr">
        <is>
          <t>general</t>
        </is>
      </c>
      <c r="P441" t="inlineStr">
        <is>
          <t>bottom</t>
        </is>
      </c>
      <c r="Q441" t="b">
        <v>0</v>
      </c>
      <c r="R441" t="b">
        <v>0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</row>
    <row r="442">
      <c r="A442" t="inlineStr">
        <is>
          <t>Sheet1</t>
        </is>
      </c>
      <c r="B442" t="inlineStr">
        <is>
          <t>F103</t>
        </is>
      </c>
      <c r="C442" t="n">
        <v>103</v>
      </c>
      <c r="D442" t="n">
        <v>6</v>
      </c>
      <c r="E442" t="inlineStr">
        <is>
          <t>Input</t>
        </is>
      </c>
      <c r="F442" t="n">
        <v/>
      </c>
      <c r="H442" t="inlineStr"/>
      <c r="I442" t="inlineStr">
        <is>
          <t>0.0%</t>
        </is>
      </c>
      <c r="J442" t="b">
        <v>0</v>
      </c>
      <c r="K442" t="b">
        <v>0</v>
      </c>
      <c r="L442" t="n">
        <v>10</v>
      </c>
      <c r="N442" t="inlineStr">
        <is>
          <t>00000000</t>
        </is>
      </c>
      <c r="O442" t="inlineStr">
        <is>
          <t>general</t>
        </is>
      </c>
      <c r="P442" t="inlineStr">
        <is>
          <t>bottom</t>
        </is>
      </c>
      <c r="Q442" t="b">
        <v>0</v>
      </c>
      <c r="R442" t="b">
        <v>0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</row>
    <row r="443">
      <c r="A443" t="inlineStr">
        <is>
          <t>Sheet1</t>
        </is>
      </c>
      <c r="B443" t="inlineStr">
        <is>
          <t>G103</t>
        </is>
      </c>
      <c r="C443" t="n">
        <v>103</v>
      </c>
      <c r="D443" t="n">
        <v>7</v>
      </c>
      <c r="E443" t="inlineStr">
        <is>
          <t>Input</t>
        </is>
      </c>
      <c r="F443" t="n">
        <v/>
      </c>
      <c r="H443" t="inlineStr"/>
      <c r="I443" t="inlineStr">
        <is>
          <t>0.00</t>
        </is>
      </c>
      <c r="J443" t="b">
        <v>0</v>
      </c>
      <c r="K443" t="b">
        <v>0</v>
      </c>
      <c r="L443" t="n">
        <v>10</v>
      </c>
      <c r="N443" t="inlineStr">
        <is>
          <t>00000000</t>
        </is>
      </c>
      <c r="O443" t="inlineStr">
        <is>
          <t>general</t>
        </is>
      </c>
      <c r="P443" t="inlineStr">
        <is>
          <t>bottom</t>
        </is>
      </c>
      <c r="Q443" t="b">
        <v>0</v>
      </c>
      <c r="R443" t="b">
        <v>0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</row>
    <row r="444">
      <c r="A444" t="inlineStr">
        <is>
          <t>Sheet1</t>
        </is>
      </c>
      <c r="B444" t="inlineStr">
        <is>
          <t>H103</t>
        </is>
      </c>
      <c r="C444" t="n">
        <v>103</v>
      </c>
      <c r="D444" t="n">
        <v>8</v>
      </c>
      <c r="E444" t="inlineStr">
        <is>
          <t>Input</t>
        </is>
      </c>
      <c r="F444" t="n">
        <v/>
      </c>
      <c r="H444" t="inlineStr"/>
      <c r="I444" t="inlineStr">
        <is>
          <t>0.00</t>
        </is>
      </c>
      <c r="J444" t="b">
        <v>0</v>
      </c>
      <c r="K444" t="b">
        <v>0</v>
      </c>
      <c r="L444" t="n">
        <v>10</v>
      </c>
      <c r="N444" t="inlineStr">
        <is>
          <t>00000000</t>
        </is>
      </c>
      <c r="O444" t="inlineStr">
        <is>
          <t>general</t>
        </is>
      </c>
      <c r="P444" t="inlineStr">
        <is>
          <t>bottom</t>
        </is>
      </c>
      <c r="Q444" t="b">
        <v>0</v>
      </c>
      <c r="R444" t="b">
        <v>0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</row>
    <row r="445">
      <c r="A445" t="inlineStr">
        <is>
          <t>Sheet1</t>
        </is>
      </c>
      <c r="B445" t="inlineStr">
        <is>
          <t>C104</t>
        </is>
      </c>
      <c r="C445" t="n">
        <v>104</v>
      </c>
      <c r="D445" t="n">
        <v>3</v>
      </c>
      <c r="E445" t="inlineStr">
        <is>
          <t>Input</t>
        </is>
      </c>
      <c r="F445" t="n">
        <v/>
      </c>
      <c r="H445" t="inlineStr"/>
      <c r="I445" t="inlineStr">
        <is>
          <t>_(\$* #,##0_);_(\$* \(#,##0\);_(\$* \-??_);_(@_)</t>
        </is>
      </c>
      <c r="J445" t="b">
        <v>0</v>
      </c>
      <c r="K445" t="b">
        <v>0</v>
      </c>
      <c r="L445" t="n">
        <v>10</v>
      </c>
      <c r="N445" t="inlineStr">
        <is>
          <t>00000000</t>
        </is>
      </c>
      <c r="O445" t="inlineStr">
        <is>
          <t>general</t>
        </is>
      </c>
      <c r="P445" t="inlineStr">
        <is>
          <t>bottom</t>
        </is>
      </c>
      <c r="Q445" t="b">
        <v>0</v>
      </c>
      <c r="R445" t="b">
        <v>0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</row>
    <row r="446">
      <c r="A446" t="inlineStr">
        <is>
          <t>Sheet1</t>
        </is>
      </c>
      <c r="B446" t="inlineStr">
        <is>
          <t>E104</t>
        </is>
      </c>
      <c r="C446" t="n">
        <v>104</v>
      </c>
      <c r="D446" t="n">
        <v>5</v>
      </c>
      <c r="E446" t="inlineStr">
        <is>
          <t>Input</t>
        </is>
      </c>
      <c r="F446" t="n">
        <v/>
      </c>
      <c r="H446" t="inlineStr"/>
      <c r="I446" t="inlineStr">
        <is>
          <t>_(\$* #,##0_);_(\$* \(#,##0\);_(\$* \-??_);_(@_)</t>
        </is>
      </c>
      <c r="J446" t="b">
        <v>0</v>
      </c>
      <c r="K446" t="b">
        <v>0</v>
      </c>
      <c r="L446" t="n">
        <v>10</v>
      </c>
      <c r="N446" t="inlineStr">
        <is>
          <t>00000000</t>
        </is>
      </c>
      <c r="O446" t="inlineStr">
        <is>
          <t>general</t>
        </is>
      </c>
      <c r="P446" t="inlineStr">
        <is>
          <t>bottom</t>
        </is>
      </c>
      <c r="Q446" t="b">
        <v>0</v>
      </c>
      <c r="R446" t="b">
        <v>0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</row>
    <row r="447">
      <c r="A447" t="inlineStr">
        <is>
          <t>Sheet1</t>
        </is>
      </c>
      <c r="B447" t="inlineStr">
        <is>
          <t>F104</t>
        </is>
      </c>
      <c r="C447" t="n">
        <v>104</v>
      </c>
      <c r="D447" t="n">
        <v>6</v>
      </c>
      <c r="E447" t="inlineStr">
        <is>
          <t>Input</t>
        </is>
      </c>
      <c r="F447" t="n">
        <v/>
      </c>
      <c r="H447" t="inlineStr"/>
      <c r="I447" t="inlineStr">
        <is>
          <t>0.0%</t>
        </is>
      </c>
      <c r="J447" t="b">
        <v>0</v>
      </c>
      <c r="K447" t="b">
        <v>0</v>
      </c>
      <c r="L447" t="n">
        <v>10</v>
      </c>
      <c r="N447" t="inlineStr">
        <is>
          <t>00000000</t>
        </is>
      </c>
      <c r="O447" t="inlineStr">
        <is>
          <t>general</t>
        </is>
      </c>
      <c r="P447" t="inlineStr">
        <is>
          <t>bottom</t>
        </is>
      </c>
      <c r="Q447" t="b">
        <v>0</v>
      </c>
      <c r="R447" t="b">
        <v>0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</row>
    <row r="448">
      <c r="A448" t="inlineStr">
        <is>
          <t>Sheet1</t>
        </is>
      </c>
      <c r="B448" t="inlineStr">
        <is>
          <t>G104</t>
        </is>
      </c>
      <c r="C448" t="n">
        <v>104</v>
      </c>
      <c r="D448" t="n">
        <v>7</v>
      </c>
      <c r="E448" t="inlineStr">
        <is>
          <t>Input</t>
        </is>
      </c>
      <c r="F448" t="n">
        <v/>
      </c>
      <c r="H448" t="inlineStr"/>
      <c r="I448" t="inlineStr">
        <is>
          <t>0.00</t>
        </is>
      </c>
      <c r="J448" t="b">
        <v>0</v>
      </c>
      <c r="K448" t="b">
        <v>0</v>
      </c>
      <c r="L448" t="n">
        <v>10</v>
      </c>
      <c r="N448" t="inlineStr">
        <is>
          <t>00000000</t>
        </is>
      </c>
      <c r="O448" t="inlineStr">
        <is>
          <t>general</t>
        </is>
      </c>
      <c r="P448" t="inlineStr">
        <is>
          <t>bottom</t>
        </is>
      </c>
      <c r="Q448" t="b">
        <v>0</v>
      </c>
      <c r="R448" t="b">
        <v>0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</row>
    <row r="449">
      <c r="A449" t="inlineStr">
        <is>
          <t>Sheet1</t>
        </is>
      </c>
      <c r="B449" t="inlineStr">
        <is>
          <t>H104</t>
        </is>
      </c>
      <c r="C449" t="n">
        <v>104</v>
      </c>
      <c r="D449" t="n">
        <v>8</v>
      </c>
      <c r="E449" t="inlineStr">
        <is>
          <t>Input</t>
        </is>
      </c>
      <c r="F449" t="n">
        <v/>
      </c>
      <c r="H449" t="inlineStr"/>
      <c r="I449" t="inlineStr">
        <is>
          <t>0.00</t>
        </is>
      </c>
      <c r="J449" t="b">
        <v>0</v>
      </c>
      <c r="K449" t="b">
        <v>0</v>
      </c>
      <c r="L449" t="n">
        <v>10</v>
      </c>
      <c r="N449" t="inlineStr">
        <is>
          <t>00000000</t>
        </is>
      </c>
      <c r="O449" t="inlineStr">
        <is>
          <t>general</t>
        </is>
      </c>
      <c r="P449" t="inlineStr">
        <is>
          <t>bottom</t>
        </is>
      </c>
      <c r="Q449" t="b">
        <v>0</v>
      </c>
      <c r="R449" t="b">
        <v>0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</row>
    <row r="450">
      <c r="A450" t="inlineStr">
        <is>
          <t>Sheet1</t>
        </is>
      </c>
      <c r="B450" t="inlineStr">
        <is>
          <t>C105</t>
        </is>
      </c>
      <c r="C450" t="n">
        <v>105</v>
      </c>
      <c r="D450" t="n">
        <v>3</v>
      </c>
      <c r="E450" t="inlineStr">
        <is>
          <t>Input</t>
        </is>
      </c>
      <c r="F450" t="n">
        <v/>
      </c>
      <c r="H450" t="inlineStr"/>
      <c r="I450" t="inlineStr">
        <is>
          <t>_(\$* #,##0_);_(\$* \(#,##0\);_(\$* \-??_);_(@_)</t>
        </is>
      </c>
      <c r="J450" t="b">
        <v>0</v>
      </c>
      <c r="K450" t="b">
        <v>0</v>
      </c>
      <c r="L450" t="n">
        <v>10</v>
      </c>
      <c r="N450" t="inlineStr">
        <is>
          <t>00000000</t>
        </is>
      </c>
      <c r="O450" t="inlineStr">
        <is>
          <t>general</t>
        </is>
      </c>
      <c r="P450" t="inlineStr">
        <is>
          <t>bottom</t>
        </is>
      </c>
      <c r="Q450" t="b">
        <v>0</v>
      </c>
      <c r="R450" t="b">
        <v>0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</row>
    <row r="451">
      <c r="A451" t="inlineStr">
        <is>
          <t>Sheet1</t>
        </is>
      </c>
      <c r="B451" t="inlineStr">
        <is>
          <t>E105</t>
        </is>
      </c>
      <c r="C451" t="n">
        <v>105</v>
      </c>
      <c r="D451" t="n">
        <v>5</v>
      </c>
      <c r="E451" t="inlineStr">
        <is>
          <t>Input</t>
        </is>
      </c>
      <c r="F451" t="n">
        <v/>
      </c>
      <c r="H451" t="inlineStr"/>
      <c r="I451" t="inlineStr">
        <is>
          <t>_(\$* #,##0_);_(\$* \(#,##0\);_(\$* \-??_);_(@_)</t>
        </is>
      </c>
      <c r="J451" t="b">
        <v>0</v>
      </c>
      <c r="K451" t="b">
        <v>0</v>
      </c>
      <c r="L451" t="n">
        <v>10</v>
      </c>
      <c r="N451" t="inlineStr">
        <is>
          <t>00000000</t>
        </is>
      </c>
      <c r="O451" t="inlineStr">
        <is>
          <t>general</t>
        </is>
      </c>
      <c r="P451" t="inlineStr">
        <is>
          <t>bottom</t>
        </is>
      </c>
      <c r="Q451" t="b">
        <v>0</v>
      </c>
      <c r="R451" t="b">
        <v>0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</row>
    <row r="452">
      <c r="A452" t="inlineStr">
        <is>
          <t>Sheet1</t>
        </is>
      </c>
      <c r="B452" t="inlineStr">
        <is>
          <t>F105</t>
        </is>
      </c>
      <c r="C452" t="n">
        <v>105</v>
      </c>
      <c r="D452" t="n">
        <v>6</v>
      </c>
      <c r="E452" t="inlineStr">
        <is>
          <t>Input</t>
        </is>
      </c>
      <c r="F452" t="n">
        <v/>
      </c>
      <c r="H452" t="inlineStr"/>
      <c r="I452" t="inlineStr">
        <is>
          <t>0.0%</t>
        </is>
      </c>
      <c r="J452" t="b">
        <v>0</v>
      </c>
      <c r="K452" t="b">
        <v>0</v>
      </c>
      <c r="L452" t="n">
        <v>10</v>
      </c>
      <c r="N452" t="inlineStr">
        <is>
          <t>00000000</t>
        </is>
      </c>
      <c r="O452" t="inlineStr">
        <is>
          <t>general</t>
        </is>
      </c>
      <c r="P452" t="inlineStr">
        <is>
          <t>bottom</t>
        </is>
      </c>
      <c r="Q452" t="b">
        <v>0</v>
      </c>
      <c r="R452" t="b">
        <v>0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</row>
    <row r="453">
      <c r="A453" t="inlineStr">
        <is>
          <t>Sheet1</t>
        </is>
      </c>
      <c r="B453" t="inlineStr">
        <is>
          <t>G105</t>
        </is>
      </c>
      <c r="C453" t="n">
        <v>105</v>
      </c>
      <c r="D453" t="n">
        <v>7</v>
      </c>
      <c r="E453" t="inlineStr">
        <is>
          <t>Input</t>
        </is>
      </c>
      <c r="F453" t="n">
        <v/>
      </c>
      <c r="H453" t="inlineStr"/>
      <c r="I453" t="inlineStr">
        <is>
          <t>0.00</t>
        </is>
      </c>
      <c r="J453" t="b">
        <v>0</v>
      </c>
      <c r="K453" t="b">
        <v>0</v>
      </c>
      <c r="L453" t="n">
        <v>10</v>
      </c>
      <c r="N453" t="inlineStr">
        <is>
          <t>00000000</t>
        </is>
      </c>
      <c r="O453" t="inlineStr">
        <is>
          <t>general</t>
        </is>
      </c>
      <c r="P453" t="inlineStr">
        <is>
          <t>bottom</t>
        </is>
      </c>
      <c r="Q453" t="b">
        <v>0</v>
      </c>
      <c r="R453" t="b">
        <v>0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</row>
    <row r="454">
      <c r="A454" t="inlineStr">
        <is>
          <t>Sheet1</t>
        </is>
      </c>
      <c r="B454" t="inlineStr">
        <is>
          <t>H105</t>
        </is>
      </c>
      <c r="C454" t="n">
        <v>105</v>
      </c>
      <c r="D454" t="n">
        <v>8</v>
      </c>
      <c r="E454" t="inlineStr">
        <is>
          <t>Input</t>
        </is>
      </c>
      <c r="F454" t="n">
        <v/>
      </c>
      <c r="H454" t="inlineStr"/>
      <c r="I454" t="inlineStr">
        <is>
          <t>0.00</t>
        </is>
      </c>
      <c r="J454" t="b">
        <v>0</v>
      </c>
      <c r="K454" t="b">
        <v>0</v>
      </c>
      <c r="L454" t="n">
        <v>10</v>
      </c>
      <c r="N454" t="inlineStr">
        <is>
          <t>00000000</t>
        </is>
      </c>
      <c r="O454" t="inlineStr">
        <is>
          <t>general</t>
        </is>
      </c>
      <c r="P454" t="inlineStr">
        <is>
          <t>bottom</t>
        </is>
      </c>
      <c r="Q454" t="b">
        <v>0</v>
      </c>
      <c r="R454" t="b">
        <v>0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</row>
    <row r="455">
      <c r="A455" t="inlineStr">
        <is>
          <t>Sheet1</t>
        </is>
      </c>
      <c r="B455" t="inlineStr">
        <is>
          <t>C106</t>
        </is>
      </c>
      <c r="C455" t="n">
        <v>106</v>
      </c>
      <c r="D455" t="n">
        <v>3</v>
      </c>
      <c r="E455" t="inlineStr">
        <is>
          <t>Input</t>
        </is>
      </c>
      <c r="F455" t="n">
        <v/>
      </c>
      <c r="H455" t="inlineStr"/>
      <c r="I455" t="inlineStr">
        <is>
          <t>_(\$* #,##0_);_(\$* \(#,##0\);_(\$* \-??_);_(@_)</t>
        </is>
      </c>
      <c r="J455" t="b">
        <v>0</v>
      </c>
      <c r="K455" t="b">
        <v>0</v>
      </c>
      <c r="L455" t="n">
        <v>10</v>
      </c>
      <c r="N455" t="inlineStr">
        <is>
          <t>00000000</t>
        </is>
      </c>
      <c r="O455" t="inlineStr">
        <is>
          <t>general</t>
        </is>
      </c>
      <c r="P455" t="inlineStr">
        <is>
          <t>bottom</t>
        </is>
      </c>
      <c r="Q455" t="b">
        <v>0</v>
      </c>
      <c r="R455" t="b">
        <v>0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</row>
    <row r="456">
      <c r="A456" t="inlineStr">
        <is>
          <t>Sheet1</t>
        </is>
      </c>
      <c r="B456" t="inlineStr">
        <is>
          <t>E106</t>
        </is>
      </c>
      <c r="C456" t="n">
        <v>106</v>
      </c>
      <c r="D456" t="n">
        <v>5</v>
      </c>
      <c r="E456" t="inlineStr">
        <is>
          <t>Input</t>
        </is>
      </c>
      <c r="F456" t="n">
        <v/>
      </c>
      <c r="H456" t="inlineStr"/>
      <c r="I456" t="inlineStr">
        <is>
          <t>_(\$* #,##0_);_(\$* \(#,##0\);_(\$* \-??_);_(@_)</t>
        </is>
      </c>
      <c r="J456" t="b">
        <v>0</v>
      </c>
      <c r="K456" t="b">
        <v>0</v>
      </c>
      <c r="L456" t="n">
        <v>10</v>
      </c>
      <c r="N456" t="inlineStr">
        <is>
          <t>00000000</t>
        </is>
      </c>
      <c r="O456" t="inlineStr">
        <is>
          <t>general</t>
        </is>
      </c>
      <c r="P456" t="inlineStr">
        <is>
          <t>bottom</t>
        </is>
      </c>
      <c r="Q456" t="b">
        <v>0</v>
      </c>
      <c r="R456" t="b">
        <v>0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</row>
    <row r="457">
      <c r="A457" t="inlineStr">
        <is>
          <t>Sheet1</t>
        </is>
      </c>
      <c r="B457" t="inlineStr">
        <is>
          <t>F106</t>
        </is>
      </c>
      <c r="C457" t="n">
        <v>106</v>
      </c>
      <c r="D457" t="n">
        <v>6</v>
      </c>
      <c r="E457" t="inlineStr">
        <is>
          <t>Input</t>
        </is>
      </c>
      <c r="F457" t="n">
        <v/>
      </c>
      <c r="H457" t="inlineStr"/>
      <c r="I457" t="inlineStr">
        <is>
          <t>0.0%</t>
        </is>
      </c>
      <c r="J457" t="b">
        <v>0</v>
      </c>
      <c r="K457" t="b">
        <v>0</v>
      </c>
      <c r="L457" t="n">
        <v>10</v>
      </c>
      <c r="N457" t="inlineStr">
        <is>
          <t>00000000</t>
        </is>
      </c>
      <c r="O457" t="inlineStr">
        <is>
          <t>general</t>
        </is>
      </c>
      <c r="P457" t="inlineStr">
        <is>
          <t>bottom</t>
        </is>
      </c>
      <c r="Q457" t="b">
        <v>0</v>
      </c>
      <c r="R457" t="b">
        <v>0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</row>
    <row r="458">
      <c r="A458" t="inlineStr">
        <is>
          <t>Sheet1</t>
        </is>
      </c>
      <c r="B458" t="inlineStr">
        <is>
          <t>G106</t>
        </is>
      </c>
      <c r="C458" t="n">
        <v>106</v>
      </c>
      <c r="D458" t="n">
        <v>7</v>
      </c>
      <c r="E458" t="inlineStr">
        <is>
          <t>Input</t>
        </is>
      </c>
      <c r="F458" t="n">
        <v/>
      </c>
      <c r="H458" t="inlineStr"/>
      <c r="I458" t="inlineStr">
        <is>
          <t>0.00</t>
        </is>
      </c>
      <c r="J458" t="b">
        <v>0</v>
      </c>
      <c r="K458" t="b">
        <v>0</v>
      </c>
      <c r="L458" t="n">
        <v>10</v>
      </c>
      <c r="N458" t="inlineStr">
        <is>
          <t>00000000</t>
        </is>
      </c>
      <c r="O458" t="inlineStr">
        <is>
          <t>general</t>
        </is>
      </c>
      <c r="P458" t="inlineStr">
        <is>
          <t>bottom</t>
        </is>
      </c>
      <c r="Q458" t="b">
        <v>0</v>
      </c>
      <c r="R458" t="b">
        <v>0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</row>
    <row r="459">
      <c r="A459" t="inlineStr">
        <is>
          <t>Sheet1</t>
        </is>
      </c>
      <c r="B459" t="inlineStr">
        <is>
          <t>H106</t>
        </is>
      </c>
      <c r="C459" t="n">
        <v>106</v>
      </c>
      <c r="D459" t="n">
        <v>8</v>
      </c>
      <c r="E459" t="inlineStr">
        <is>
          <t>Input</t>
        </is>
      </c>
      <c r="F459" t="n">
        <v/>
      </c>
      <c r="H459" t="inlineStr"/>
      <c r="I459" t="inlineStr">
        <is>
          <t>0.00</t>
        </is>
      </c>
      <c r="J459" t="b">
        <v>0</v>
      </c>
      <c r="K459" t="b">
        <v>0</v>
      </c>
      <c r="L459" t="n">
        <v>10</v>
      </c>
      <c r="N459" t="inlineStr">
        <is>
          <t>00000000</t>
        </is>
      </c>
      <c r="O459" t="inlineStr">
        <is>
          <t>general</t>
        </is>
      </c>
      <c r="P459" t="inlineStr">
        <is>
          <t>bottom</t>
        </is>
      </c>
      <c r="Q459" t="b">
        <v>0</v>
      </c>
      <c r="R459" t="b">
        <v>0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</row>
    <row r="460">
      <c r="A460" t="inlineStr">
        <is>
          <t>Sheet1</t>
        </is>
      </c>
      <c r="B460" t="inlineStr">
        <is>
          <t>C107</t>
        </is>
      </c>
      <c r="C460" t="n">
        <v>107</v>
      </c>
      <c r="D460" t="n">
        <v>3</v>
      </c>
      <c r="E460" t="inlineStr">
        <is>
          <t>Input</t>
        </is>
      </c>
      <c r="F460" t="n">
        <v/>
      </c>
      <c r="H460" t="inlineStr"/>
      <c r="I460" t="inlineStr">
        <is>
          <t>_(\$* #,##0_);_(\$* \(#,##0\);_(\$* \-??_);_(@_)</t>
        </is>
      </c>
      <c r="J460" t="b">
        <v>0</v>
      </c>
      <c r="K460" t="b">
        <v>0</v>
      </c>
      <c r="L460" t="n">
        <v>10</v>
      </c>
      <c r="N460" t="inlineStr">
        <is>
          <t>00000000</t>
        </is>
      </c>
      <c r="O460" t="inlineStr">
        <is>
          <t>general</t>
        </is>
      </c>
      <c r="P460" t="inlineStr">
        <is>
          <t>bottom</t>
        </is>
      </c>
      <c r="Q460" t="b">
        <v>0</v>
      </c>
      <c r="R460" t="b">
        <v>0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</row>
    <row r="461">
      <c r="A461" t="inlineStr">
        <is>
          <t>Sheet1</t>
        </is>
      </c>
      <c r="B461" t="inlineStr">
        <is>
          <t>E107</t>
        </is>
      </c>
      <c r="C461" t="n">
        <v>107</v>
      </c>
      <c r="D461" t="n">
        <v>5</v>
      </c>
      <c r="E461" t="inlineStr">
        <is>
          <t>Input</t>
        </is>
      </c>
      <c r="F461" t="n">
        <v/>
      </c>
      <c r="H461" t="inlineStr"/>
      <c r="I461" t="inlineStr">
        <is>
          <t>_(\$* #,##0_);_(\$* \(#,##0\);_(\$* \-??_);_(@_)</t>
        </is>
      </c>
      <c r="J461" t="b">
        <v>0</v>
      </c>
      <c r="K461" t="b">
        <v>0</v>
      </c>
      <c r="L461" t="n">
        <v>10</v>
      </c>
      <c r="N461" t="inlineStr">
        <is>
          <t>00000000</t>
        </is>
      </c>
      <c r="O461" t="inlineStr">
        <is>
          <t>general</t>
        </is>
      </c>
      <c r="P461" t="inlineStr">
        <is>
          <t>bottom</t>
        </is>
      </c>
      <c r="Q461" t="b">
        <v>0</v>
      </c>
      <c r="R461" t="b">
        <v>0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</row>
    <row r="462">
      <c r="A462" t="inlineStr">
        <is>
          <t>Sheet1</t>
        </is>
      </c>
      <c r="B462" t="inlineStr">
        <is>
          <t>F107</t>
        </is>
      </c>
      <c r="C462" t="n">
        <v>107</v>
      </c>
      <c r="D462" t="n">
        <v>6</v>
      </c>
      <c r="E462" t="inlineStr">
        <is>
          <t>Input</t>
        </is>
      </c>
      <c r="F462" t="n">
        <v/>
      </c>
      <c r="H462" t="inlineStr"/>
      <c r="I462" t="inlineStr">
        <is>
          <t>0.0%</t>
        </is>
      </c>
      <c r="J462" t="b">
        <v>0</v>
      </c>
      <c r="K462" t="b">
        <v>0</v>
      </c>
      <c r="L462" t="n">
        <v>10</v>
      </c>
      <c r="N462" t="inlineStr">
        <is>
          <t>00000000</t>
        </is>
      </c>
      <c r="O462" t="inlineStr">
        <is>
          <t>general</t>
        </is>
      </c>
      <c r="P462" t="inlineStr">
        <is>
          <t>bottom</t>
        </is>
      </c>
      <c r="Q462" t="b">
        <v>0</v>
      </c>
      <c r="R462" t="b">
        <v>0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</row>
    <row r="463">
      <c r="A463" t="inlineStr">
        <is>
          <t>Sheet1</t>
        </is>
      </c>
      <c r="B463" t="inlineStr">
        <is>
          <t>G107</t>
        </is>
      </c>
      <c r="C463" t="n">
        <v>107</v>
      </c>
      <c r="D463" t="n">
        <v>7</v>
      </c>
      <c r="E463" t="inlineStr">
        <is>
          <t>Input</t>
        </is>
      </c>
      <c r="F463" t="n">
        <v/>
      </c>
      <c r="H463" t="inlineStr"/>
      <c r="I463" t="inlineStr">
        <is>
          <t>0.00</t>
        </is>
      </c>
      <c r="J463" t="b">
        <v>0</v>
      </c>
      <c r="K463" t="b">
        <v>0</v>
      </c>
      <c r="L463" t="n">
        <v>10</v>
      </c>
      <c r="N463" t="inlineStr">
        <is>
          <t>00000000</t>
        </is>
      </c>
      <c r="O463" t="inlineStr">
        <is>
          <t>general</t>
        </is>
      </c>
      <c r="P463" t="inlineStr">
        <is>
          <t>bottom</t>
        </is>
      </c>
      <c r="Q463" t="b">
        <v>0</v>
      </c>
      <c r="R463" t="b">
        <v>0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</row>
    <row r="464">
      <c r="A464" t="inlineStr">
        <is>
          <t>Sheet1</t>
        </is>
      </c>
      <c r="B464" t="inlineStr">
        <is>
          <t>H107</t>
        </is>
      </c>
      <c r="C464" t="n">
        <v>107</v>
      </c>
      <c r="D464" t="n">
        <v>8</v>
      </c>
      <c r="E464" t="inlineStr">
        <is>
          <t>Input</t>
        </is>
      </c>
      <c r="F464" t="n">
        <v/>
      </c>
      <c r="H464" t="inlineStr"/>
      <c r="I464" t="inlineStr">
        <is>
          <t>0.00</t>
        </is>
      </c>
      <c r="J464" t="b">
        <v>0</v>
      </c>
      <c r="K464" t="b">
        <v>0</v>
      </c>
      <c r="L464" t="n">
        <v>10</v>
      </c>
      <c r="N464" t="inlineStr">
        <is>
          <t>00000000</t>
        </is>
      </c>
      <c r="O464" t="inlineStr">
        <is>
          <t>general</t>
        </is>
      </c>
      <c r="P464" t="inlineStr">
        <is>
          <t>bottom</t>
        </is>
      </c>
      <c r="Q464" t="b">
        <v>0</v>
      </c>
      <c r="R464" t="b">
        <v>0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</row>
    <row r="465">
      <c r="A465" t="inlineStr">
        <is>
          <t>Sheet1</t>
        </is>
      </c>
      <c r="B465" t="inlineStr">
        <is>
          <t>C108</t>
        </is>
      </c>
      <c r="C465" t="n">
        <v>108</v>
      </c>
      <c r="D465" t="n">
        <v>3</v>
      </c>
      <c r="E465" t="inlineStr">
        <is>
          <t>Input</t>
        </is>
      </c>
      <c r="F465" t="n">
        <v/>
      </c>
      <c r="H465" t="inlineStr"/>
      <c r="I465" t="inlineStr">
        <is>
          <t>_(\$* #,##0_);_(\$* \(#,##0\);_(\$* \-??_);_(@_)</t>
        </is>
      </c>
      <c r="J465" t="b">
        <v>0</v>
      </c>
      <c r="K465" t="b">
        <v>0</v>
      </c>
      <c r="L465" t="n">
        <v>10</v>
      </c>
      <c r="N465" t="inlineStr">
        <is>
          <t>00000000</t>
        </is>
      </c>
      <c r="O465" t="inlineStr">
        <is>
          <t>general</t>
        </is>
      </c>
      <c r="P465" t="inlineStr">
        <is>
          <t>bottom</t>
        </is>
      </c>
      <c r="Q465" t="b">
        <v>0</v>
      </c>
      <c r="R465" t="b">
        <v>0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</row>
    <row r="466">
      <c r="A466" t="inlineStr">
        <is>
          <t>Sheet1</t>
        </is>
      </c>
      <c r="B466" t="inlineStr">
        <is>
          <t>E108</t>
        </is>
      </c>
      <c r="C466" t="n">
        <v>108</v>
      </c>
      <c r="D466" t="n">
        <v>5</v>
      </c>
      <c r="E466" t="inlineStr">
        <is>
          <t>Input</t>
        </is>
      </c>
      <c r="F466" t="n">
        <v/>
      </c>
      <c r="H466" t="inlineStr"/>
      <c r="I466" t="inlineStr">
        <is>
          <t>_(\$* #,##0_);_(\$* \(#,##0\);_(\$* \-??_);_(@_)</t>
        </is>
      </c>
      <c r="J466" t="b">
        <v>0</v>
      </c>
      <c r="K466" t="b">
        <v>0</v>
      </c>
      <c r="L466" t="n">
        <v>10</v>
      </c>
      <c r="N466" t="inlineStr">
        <is>
          <t>00000000</t>
        </is>
      </c>
      <c r="O466" t="inlineStr">
        <is>
          <t>general</t>
        </is>
      </c>
      <c r="P466" t="inlineStr">
        <is>
          <t>bottom</t>
        </is>
      </c>
      <c r="Q466" t="b">
        <v>0</v>
      </c>
      <c r="R466" t="b">
        <v>0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</row>
    <row r="467">
      <c r="A467" t="inlineStr">
        <is>
          <t>Sheet1</t>
        </is>
      </c>
      <c r="B467" t="inlineStr">
        <is>
          <t>F108</t>
        </is>
      </c>
      <c r="C467" t="n">
        <v>108</v>
      </c>
      <c r="D467" t="n">
        <v>6</v>
      </c>
      <c r="E467" t="inlineStr">
        <is>
          <t>Input</t>
        </is>
      </c>
      <c r="F467" t="n">
        <v/>
      </c>
      <c r="H467" t="inlineStr"/>
      <c r="I467" t="inlineStr">
        <is>
          <t>0.0%</t>
        </is>
      </c>
      <c r="J467" t="b">
        <v>0</v>
      </c>
      <c r="K467" t="b">
        <v>0</v>
      </c>
      <c r="L467" t="n">
        <v>10</v>
      </c>
      <c r="N467" t="inlineStr">
        <is>
          <t>00000000</t>
        </is>
      </c>
      <c r="O467" t="inlineStr">
        <is>
          <t>general</t>
        </is>
      </c>
      <c r="P467" t="inlineStr">
        <is>
          <t>bottom</t>
        </is>
      </c>
      <c r="Q467" t="b">
        <v>0</v>
      </c>
      <c r="R467" t="b">
        <v>0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</row>
    <row r="468">
      <c r="A468" t="inlineStr">
        <is>
          <t>Sheet1</t>
        </is>
      </c>
      <c r="B468" t="inlineStr">
        <is>
          <t>G108</t>
        </is>
      </c>
      <c r="C468" t="n">
        <v>108</v>
      </c>
      <c r="D468" t="n">
        <v>7</v>
      </c>
      <c r="E468" t="inlineStr">
        <is>
          <t>Input</t>
        </is>
      </c>
      <c r="F468" t="n">
        <v/>
      </c>
      <c r="H468" t="inlineStr"/>
      <c r="I468" t="inlineStr">
        <is>
          <t>0.00</t>
        </is>
      </c>
      <c r="J468" t="b">
        <v>0</v>
      </c>
      <c r="K468" t="b">
        <v>0</v>
      </c>
      <c r="L468" t="n">
        <v>10</v>
      </c>
      <c r="N468" t="inlineStr">
        <is>
          <t>00000000</t>
        </is>
      </c>
      <c r="O468" t="inlineStr">
        <is>
          <t>general</t>
        </is>
      </c>
      <c r="P468" t="inlineStr">
        <is>
          <t>bottom</t>
        </is>
      </c>
      <c r="Q468" t="b">
        <v>0</v>
      </c>
      <c r="R468" t="b">
        <v>0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</row>
    <row r="469">
      <c r="A469" t="inlineStr">
        <is>
          <t>Sheet1</t>
        </is>
      </c>
      <c r="B469" t="inlineStr">
        <is>
          <t>H108</t>
        </is>
      </c>
      <c r="C469" t="n">
        <v>108</v>
      </c>
      <c r="D469" t="n">
        <v>8</v>
      </c>
      <c r="E469" t="inlineStr">
        <is>
          <t>Input</t>
        </is>
      </c>
      <c r="F469" t="n">
        <v/>
      </c>
      <c r="H469" t="inlineStr"/>
      <c r="I469" t="inlineStr">
        <is>
          <t>0.00</t>
        </is>
      </c>
      <c r="J469" t="b">
        <v>0</v>
      </c>
      <c r="K469" t="b">
        <v>0</v>
      </c>
      <c r="L469" t="n">
        <v>10</v>
      </c>
      <c r="N469" t="inlineStr">
        <is>
          <t>00000000</t>
        </is>
      </c>
      <c r="O469" t="inlineStr">
        <is>
          <t>general</t>
        </is>
      </c>
      <c r="P469" t="inlineStr">
        <is>
          <t>bottom</t>
        </is>
      </c>
      <c r="Q469" t="b">
        <v>0</v>
      </c>
      <c r="R469" t="b">
        <v>0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</row>
    <row r="470">
      <c r="A470" t="inlineStr">
        <is>
          <t>Sheet1</t>
        </is>
      </c>
      <c r="B470" t="inlineStr">
        <is>
          <t>C109</t>
        </is>
      </c>
      <c r="C470" t="n">
        <v>109</v>
      </c>
      <c r="D470" t="n">
        <v>3</v>
      </c>
      <c r="E470" t="inlineStr">
        <is>
          <t>Input</t>
        </is>
      </c>
      <c r="F470" t="n">
        <v/>
      </c>
      <c r="H470" t="inlineStr"/>
      <c r="I470" t="inlineStr">
        <is>
          <t>_(\$* #,##0_);_(\$* \(#,##0\);_(\$* \-??_);_(@_)</t>
        </is>
      </c>
      <c r="J470" t="b">
        <v>0</v>
      </c>
      <c r="K470" t="b">
        <v>0</v>
      </c>
      <c r="L470" t="n">
        <v>10</v>
      </c>
      <c r="N470" t="inlineStr">
        <is>
          <t>00000000</t>
        </is>
      </c>
      <c r="O470" t="inlineStr">
        <is>
          <t>general</t>
        </is>
      </c>
      <c r="P470" t="inlineStr">
        <is>
          <t>bottom</t>
        </is>
      </c>
      <c r="Q470" t="b">
        <v>0</v>
      </c>
      <c r="R470" t="b">
        <v>0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</row>
    <row r="471">
      <c r="A471" t="inlineStr">
        <is>
          <t>Sheet1</t>
        </is>
      </c>
      <c r="B471" t="inlineStr">
        <is>
          <t>E109</t>
        </is>
      </c>
      <c r="C471" t="n">
        <v>109</v>
      </c>
      <c r="D471" t="n">
        <v>5</v>
      </c>
      <c r="E471" t="inlineStr">
        <is>
          <t>Input</t>
        </is>
      </c>
      <c r="F471" t="n">
        <v/>
      </c>
      <c r="H471" t="inlineStr"/>
      <c r="I471" t="inlineStr">
        <is>
          <t>_(\$* #,##0_);_(\$* \(#,##0\);_(\$* \-??_);_(@_)</t>
        </is>
      </c>
      <c r="J471" t="b">
        <v>0</v>
      </c>
      <c r="K471" t="b">
        <v>0</v>
      </c>
      <c r="L471" t="n">
        <v>10</v>
      </c>
      <c r="N471" t="inlineStr">
        <is>
          <t>00000000</t>
        </is>
      </c>
      <c r="O471" t="inlineStr">
        <is>
          <t>general</t>
        </is>
      </c>
      <c r="P471" t="inlineStr">
        <is>
          <t>bottom</t>
        </is>
      </c>
      <c r="Q471" t="b">
        <v>0</v>
      </c>
      <c r="R471" t="b">
        <v>0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</row>
    <row r="472">
      <c r="A472" t="inlineStr">
        <is>
          <t>Sheet1</t>
        </is>
      </c>
      <c r="B472" t="inlineStr">
        <is>
          <t>F109</t>
        </is>
      </c>
      <c r="C472" t="n">
        <v>109</v>
      </c>
      <c r="D472" t="n">
        <v>6</v>
      </c>
      <c r="E472" t="inlineStr">
        <is>
          <t>Input</t>
        </is>
      </c>
      <c r="F472" t="n">
        <v/>
      </c>
      <c r="H472" t="inlineStr"/>
      <c r="I472" t="inlineStr">
        <is>
          <t>0.0%</t>
        </is>
      </c>
      <c r="J472" t="b">
        <v>0</v>
      </c>
      <c r="K472" t="b">
        <v>0</v>
      </c>
      <c r="L472" t="n">
        <v>10</v>
      </c>
      <c r="N472" t="inlineStr">
        <is>
          <t>00000000</t>
        </is>
      </c>
      <c r="O472" t="inlineStr">
        <is>
          <t>general</t>
        </is>
      </c>
      <c r="P472" t="inlineStr">
        <is>
          <t>bottom</t>
        </is>
      </c>
      <c r="Q472" t="b">
        <v>0</v>
      </c>
      <c r="R472" t="b">
        <v>0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</row>
    <row r="473">
      <c r="A473" t="inlineStr">
        <is>
          <t>Sheet1</t>
        </is>
      </c>
      <c r="B473" t="inlineStr">
        <is>
          <t>G109</t>
        </is>
      </c>
      <c r="C473" t="n">
        <v>109</v>
      </c>
      <c r="D473" t="n">
        <v>7</v>
      </c>
      <c r="E473" t="inlineStr">
        <is>
          <t>Input</t>
        </is>
      </c>
      <c r="F473" t="n">
        <v/>
      </c>
      <c r="H473" t="inlineStr"/>
      <c r="I473" t="inlineStr">
        <is>
          <t>0.00</t>
        </is>
      </c>
      <c r="J473" t="b">
        <v>0</v>
      </c>
      <c r="K473" t="b">
        <v>0</v>
      </c>
      <c r="L473" t="n">
        <v>10</v>
      </c>
      <c r="N473" t="inlineStr">
        <is>
          <t>00000000</t>
        </is>
      </c>
      <c r="O473" t="inlineStr">
        <is>
          <t>general</t>
        </is>
      </c>
      <c r="P473" t="inlineStr">
        <is>
          <t>bottom</t>
        </is>
      </c>
      <c r="Q473" t="b">
        <v>0</v>
      </c>
      <c r="R473" t="b">
        <v>0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</row>
    <row r="474">
      <c r="A474" t="inlineStr">
        <is>
          <t>Sheet1</t>
        </is>
      </c>
      <c r="B474" t="inlineStr">
        <is>
          <t>H109</t>
        </is>
      </c>
      <c r="C474" t="n">
        <v>109</v>
      </c>
      <c r="D474" t="n">
        <v>8</v>
      </c>
      <c r="E474" t="inlineStr">
        <is>
          <t>Input</t>
        </is>
      </c>
      <c r="F474" t="n">
        <v/>
      </c>
      <c r="H474" t="inlineStr"/>
      <c r="I474" t="inlineStr">
        <is>
          <t>0.00</t>
        </is>
      </c>
      <c r="J474" t="b">
        <v>0</v>
      </c>
      <c r="K474" t="b">
        <v>0</v>
      </c>
      <c r="L474" t="n">
        <v>10</v>
      </c>
      <c r="N474" t="inlineStr">
        <is>
          <t>00000000</t>
        </is>
      </c>
      <c r="O474" t="inlineStr">
        <is>
          <t>general</t>
        </is>
      </c>
      <c r="P474" t="inlineStr">
        <is>
          <t>bottom</t>
        </is>
      </c>
      <c r="Q474" t="b">
        <v>0</v>
      </c>
      <c r="R474" t="b">
        <v>0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</row>
    <row r="475">
      <c r="A475" t="inlineStr">
        <is>
          <t>Sheet1</t>
        </is>
      </c>
      <c r="B475" t="inlineStr">
        <is>
          <t>C110</t>
        </is>
      </c>
      <c r="C475" t="n">
        <v>110</v>
      </c>
      <c r="D475" t="n">
        <v>3</v>
      </c>
      <c r="E475" t="inlineStr">
        <is>
          <t>Input</t>
        </is>
      </c>
      <c r="F475" t="n">
        <v/>
      </c>
      <c r="H475" t="inlineStr"/>
      <c r="I475" t="inlineStr">
        <is>
          <t>_(\$* #,##0_);_(\$* \(#,##0\);_(\$* \-??_);_(@_)</t>
        </is>
      </c>
      <c r="J475" t="b">
        <v>0</v>
      </c>
      <c r="K475" t="b">
        <v>0</v>
      </c>
      <c r="L475" t="n">
        <v>10</v>
      </c>
      <c r="N475" t="inlineStr">
        <is>
          <t>00000000</t>
        </is>
      </c>
      <c r="O475" t="inlineStr">
        <is>
          <t>general</t>
        </is>
      </c>
      <c r="P475" t="inlineStr">
        <is>
          <t>bottom</t>
        </is>
      </c>
      <c r="Q475" t="b">
        <v>0</v>
      </c>
      <c r="R475" t="b">
        <v>0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</row>
    <row r="476">
      <c r="A476" t="inlineStr">
        <is>
          <t>Sheet1</t>
        </is>
      </c>
      <c r="B476" t="inlineStr">
        <is>
          <t>E110</t>
        </is>
      </c>
      <c r="C476" t="n">
        <v>110</v>
      </c>
      <c r="D476" t="n">
        <v>5</v>
      </c>
      <c r="E476" t="inlineStr">
        <is>
          <t>Input</t>
        </is>
      </c>
      <c r="F476" t="n">
        <v/>
      </c>
      <c r="H476" t="inlineStr"/>
      <c r="I476" t="inlineStr">
        <is>
          <t>_(\$* #,##0_);_(\$* \(#,##0\);_(\$* \-??_);_(@_)</t>
        </is>
      </c>
      <c r="J476" t="b">
        <v>0</v>
      </c>
      <c r="K476" t="b">
        <v>0</v>
      </c>
      <c r="L476" t="n">
        <v>10</v>
      </c>
      <c r="N476" t="inlineStr">
        <is>
          <t>00000000</t>
        </is>
      </c>
      <c r="O476" t="inlineStr">
        <is>
          <t>general</t>
        </is>
      </c>
      <c r="P476" t="inlineStr">
        <is>
          <t>bottom</t>
        </is>
      </c>
      <c r="Q476" t="b">
        <v>0</v>
      </c>
      <c r="R476" t="b">
        <v>0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</row>
    <row r="477">
      <c r="A477" t="inlineStr">
        <is>
          <t>Sheet1</t>
        </is>
      </c>
      <c r="B477" t="inlineStr">
        <is>
          <t>F110</t>
        </is>
      </c>
      <c r="C477" t="n">
        <v>110</v>
      </c>
      <c r="D477" t="n">
        <v>6</v>
      </c>
      <c r="E477" t="inlineStr">
        <is>
          <t>Input</t>
        </is>
      </c>
      <c r="F477" t="n">
        <v/>
      </c>
      <c r="H477" t="inlineStr"/>
      <c r="I477" t="inlineStr">
        <is>
          <t>0.0%</t>
        </is>
      </c>
      <c r="J477" t="b">
        <v>0</v>
      </c>
      <c r="K477" t="b">
        <v>0</v>
      </c>
      <c r="L477" t="n">
        <v>10</v>
      </c>
      <c r="N477" t="inlineStr">
        <is>
          <t>00000000</t>
        </is>
      </c>
      <c r="O477" t="inlineStr">
        <is>
          <t>general</t>
        </is>
      </c>
      <c r="P477" t="inlineStr">
        <is>
          <t>bottom</t>
        </is>
      </c>
      <c r="Q477" t="b">
        <v>0</v>
      </c>
      <c r="R477" t="b">
        <v>0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</row>
    <row r="478">
      <c r="A478" t="inlineStr">
        <is>
          <t>Sheet1</t>
        </is>
      </c>
      <c r="B478" t="inlineStr">
        <is>
          <t>G110</t>
        </is>
      </c>
      <c r="C478" t="n">
        <v>110</v>
      </c>
      <c r="D478" t="n">
        <v>7</v>
      </c>
      <c r="E478" t="inlineStr">
        <is>
          <t>Input</t>
        </is>
      </c>
      <c r="F478" t="n">
        <v/>
      </c>
      <c r="H478" t="inlineStr"/>
      <c r="I478" t="inlineStr">
        <is>
          <t>0.00</t>
        </is>
      </c>
      <c r="J478" t="b">
        <v>0</v>
      </c>
      <c r="K478" t="b">
        <v>0</v>
      </c>
      <c r="L478" t="n">
        <v>10</v>
      </c>
      <c r="N478" t="inlineStr">
        <is>
          <t>00000000</t>
        </is>
      </c>
      <c r="O478" t="inlineStr">
        <is>
          <t>general</t>
        </is>
      </c>
      <c r="P478" t="inlineStr">
        <is>
          <t>bottom</t>
        </is>
      </c>
      <c r="Q478" t="b">
        <v>0</v>
      </c>
      <c r="R478" t="b">
        <v>0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</row>
    <row r="479">
      <c r="A479" t="inlineStr">
        <is>
          <t>Sheet1</t>
        </is>
      </c>
      <c r="B479" t="inlineStr">
        <is>
          <t>H110</t>
        </is>
      </c>
      <c r="C479" t="n">
        <v>110</v>
      </c>
      <c r="D479" t="n">
        <v>8</v>
      </c>
      <c r="E479" t="inlineStr">
        <is>
          <t>Input</t>
        </is>
      </c>
      <c r="F479" t="n">
        <v/>
      </c>
      <c r="H479" t="inlineStr"/>
      <c r="I479" t="inlineStr">
        <is>
          <t>0.00</t>
        </is>
      </c>
      <c r="J479" t="b">
        <v>0</v>
      </c>
      <c r="K479" t="b">
        <v>0</v>
      </c>
      <c r="L479" t="n">
        <v>10</v>
      </c>
      <c r="N479" t="inlineStr">
        <is>
          <t>00000000</t>
        </is>
      </c>
      <c r="O479" t="inlineStr">
        <is>
          <t>general</t>
        </is>
      </c>
      <c r="P479" t="inlineStr">
        <is>
          <t>bottom</t>
        </is>
      </c>
      <c r="Q479" t="b">
        <v>0</v>
      </c>
      <c r="R479" t="b">
        <v>0</v>
      </c>
      <c r="S479" t="n">
        <v/>
      </c>
      <c r="T479" t="n">
        <v/>
      </c>
      <c r="U479" t="n">
        <v/>
      </c>
      <c r="V479" t="b">
        <v>0</v>
      </c>
      <c r="W479" t="inlineStr"/>
      <c r="X479" t="n">
        <v/>
      </c>
    </row>
    <row r="480">
      <c r="A480" t="inlineStr">
        <is>
          <t>Sheet1</t>
        </is>
      </c>
      <c r="B480" t="inlineStr">
        <is>
          <t>C111</t>
        </is>
      </c>
      <c r="C480" t="n">
        <v>111</v>
      </c>
      <c r="D480" t="n">
        <v>3</v>
      </c>
      <c r="E480" t="inlineStr">
        <is>
          <t>Input</t>
        </is>
      </c>
      <c r="F480" t="n">
        <v/>
      </c>
      <c r="H480" t="inlineStr"/>
      <c r="I480" t="inlineStr">
        <is>
          <t>_(\$* #,##0_);_(\$* \(#,##0\);_(\$* \-??_);_(@_)</t>
        </is>
      </c>
      <c r="J480" t="b">
        <v>0</v>
      </c>
      <c r="K480" t="b">
        <v>0</v>
      </c>
      <c r="L480" t="n">
        <v>10</v>
      </c>
      <c r="N480" t="inlineStr">
        <is>
          <t>00000000</t>
        </is>
      </c>
      <c r="O480" t="inlineStr">
        <is>
          <t>general</t>
        </is>
      </c>
      <c r="P480" t="inlineStr">
        <is>
          <t>bottom</t>
        </is>
      </c>
      <c r="Q480" t="b">
        <v>0</v>
      </c>
      <c r="R480" t="b">
        <v>0</v>
      </c>
      <c r="S480" t="n">
        <v/>
      </c>
      <c r="T480" t="n">
        <v/>
      </c>
      <c r="U480" t="n">
        <v/>
      </c>
      <c r="V480" t="b">
        <v>0</v>
      </c>
      <c r="W480" t="inlineStr"/>
      <c r="X480" t="n">
        <v/>
      </c>
    </row>
    <row r="481">
      <c r="A481" t="inlineStr">
        <is>
          <t>Sheet1</t>
        </is>
      </c>
      <c r="B481" t="inlineStr">
        <is>
          <t>E111</t>
        </is>
      </c>
      <c r="C481" t="n">
        <v>111</v>
      </c>
      <c r="D481" t="n">
        <v>5</v>
      </c>
      <c r="E481" t="inlineStr">
        <is>
          <t>Input</t>
        </is>
      </c>
      <c r="F481" t="n">
        <v/>
      </c>
      <c r="H481" t="inlineStr"/>
      <c r="I481" t="inlineStr">
        <is>
          <t>_(\$* #,##0_);_(\$* \(#,##0\);_(\$* \-??_);_(@_)</t>
        </is>
      </c>
      <c r="J481" t="b">
        <v>0</v>
      </c>
      <c r="K481" t="b">
        <v>0</v>
      </c>
      <c r="L481" t="n">
        <v>10</v>
      </c>
      <c r="N481" t="inlineStr">
        <is>
          <t>00000000</t>
        </is>
      </c>
      <c r="O481" t="inlineStr">
        <is>
          <t>general</t>
        </is>
      </c>
      <c r="P481" t="inlineStr">
        <is>
          <t>bottom</t>
        </is>
      </c>
      <c r="Q481" t="b">
        <v>0</v>
      </c>
      <c r="R481" t="b">
        <v>0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</row>
    <row r="482">
      <c r="A482" t="inlineStr">
        <is>
          <t>Sheet1</t>
        </is>
      </c>
      <c r="B482" t="inlineStr">
        <is>
          <t>F111</t>
        </is>
      </c>
      <c r="C482" t="n">
        <v>111</v>
      </c>
      <c r="D482" t="n">
        <v>6</v>
      </c>
      <c r="E482" t="inlineStr">
        <is>
          <t>Input</t>
        </is>
      </c>
      <c r="F482" t="n">
        <v/>
      </c>
      <c r="H482" t="inlineStr"/>
      <c r="I482" t="inlineStr">
        <is>
          <t>0.0%</t>
        </is>
      </c>
      <c r="J482" t="b">
        <v>0</v>
      </c>
      <c r="K482" t="b">
        <v>0</v>
      </c>
      <c r="L482" t="n">
        <v>10</v>
      </c>
      <c r="N482" t="inlineStr">
        <is>
          <t>00000000</t>
        </is>
      </c>
      <c r="O482" t="inlineStr">
        <is>
          <t>general</t>
        </is>
      </c>
      <c r="P482" t="inlineStr">
        <is>
          <t>bottom</t>
        </is>
      </c>
      <c r="Q482" t="b">
        <v>0</v>
      </c>
      <c r="R482" t="b">
        <v>0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</row>
    <row r="483">
      <c r="A483" t="inlineStr">
        <is>
          <t>Sheet1</t>
        </is>
      </c>
      <c r="B483" t="inlineStr">
        <is>
          <t>G111</t>
        </is>
      </c>
      <c r="C483" t="n">
        <v>111</v>
      </c>
      <c r="D483" t="n">
        <v>7</v>
      </c>
      <c r="E483" t="inlineStr">
        <is>
          <t>Input</t>
        </is>
      </c>
      <c r="F483" t="n">
        <v/>
      </c>
      <c r="H483" t="inlineStr"/>
      <c r="I483" t="inlineStr">
        <is>
          <t>0.00</t>
        </is>
      </c>
      <c r="J483" t="b">
        <v>0</v>
      </c>
      <c r="K483" t="b">
        <v>0</v>
      </c>
      <c r="L483" t="n">
        <v>10</v>
      </c>
      <c r="N483" t="inlineStr">
        <is>
          <t>00000000</t>
        </is>
      </c>
      <c r="O483" t="inlineStr">
        <is>
          <t>general</t>
        </is>
      </c>
      <c r="P483" t="inlineStr">
        <is>
          <t>bottom</t>
        </is>
      </c>
      <c r="Q483" t="b">
        <v>0</v>
      </c>
      <c r="R483" t="b">
        <v>0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</row>
    <row r="484">
      <c r="A484" t="inlineStr">
        <is>
          <t>Sheet1</t>
        </is>
      </c>
      <c r="B484" t="inlineStr">
        <is>
          <t>H111</t>
        </is>
      </c>
      <c r="C484" t="n">
        <v>111</v>
      </c>
      <c r="D484" t="n">
        <v>8</v>
      </c>
      <c r="E484" t="inlineStr">
        <is>
          <t>Input</t>
        </is>
      </c>
      <c r="F484" t="n">
        <v/>
      </c>
      <c r="H484" t="inlineStr"/>
      <c r="I484" t="inlineStr">
        <is>
          <t>0.00</t>
        </is>
      </c>
      <c r="J484" t="b">
        <v>0</v>
      </c>
      <c r="K484" t="b">
        <v>0</v>
      </c>
      <c r="L484" t="n">
        <v>10</v>
      </c>
      <c r="N484" t="inlineStr">
        <is>
          <t>00000000</t>
        </is>
      </c>
      <c r="O484" t="inlineStr">
        <is>
          <t>general</t>
        </is>
      </c>
      <c r="P484" t="inlineStr">
        <is>
          <t>bottom</t>
        </is>
      </c>
      <c r="Q484" t="b">
        <v>0</v>
      </c>
      <c r="R484" t="b">
        <v>0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</row>
    <row r="485">
      <c r="A485" t="inlineStr">
        <is>
          <t>Sheet1</t>
        </is>
      </c>
      <c r="B485" t="inlineStr">
        <is>
          <t>C112</t>
        </is>
      </c>
      <c r="C485" t="n">
        <v>112</v>
      </c>
      <c r="D485" t="n">
        <v>3</v>
      </c>
      <c r="E485" t="inlineStr">
        <is>
          <t>Input</t>
        </is>
      </c>
      <c r="F485" t="n">
        <v/>
      </c>
      <c r="H485" t="inlineStr"/>
      <c r="I485" t="inlineStr">
        <is>
          <t>_(\$* #,##0_);_(\$* \(#,##0\);_(\$* \-??_);_(@_)</t>
        </is>
      </c>
      <c r="J485" t="b">
        <v>0</v>
      </c>
      <c r="K485" t="b">
        <v>0</v>
      </c>
      <c r="L485" t="n">
        <v>10</v>
      </c>
      <c r="N485" t="inlineStr">
        <is>
          <t>00000000</t>
        </is>
      </c>
      <c r="O485" t="inlineStr">
        <is>
          <t>general</t>
        </is>
      </c>
      <c r="P485" t="inlineStr">
        <is>
          <t>bottom</t>
        </is>
      </c>
      <c r="Q485" t="b">
        <v>0</v>
      </c>
      <c r="R485" t="b">
        <v>0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</row>
    <row r="486">
      <c r="A486" t="inlineStr">
        <is>
          <t>Sheet1</t>
        </is>
      </c>
      <c r="B486" t="inlineStr">
        <is>
          <t>E112</t>
        </is>
      </c>
      <c r="C486" t="n">
        <v>112</v>
      </c>
      <c r="D486" t="n">
        <v>5</v>
      </c>
      <c r="E486" t="inlineStr">
        <is>
          <t>Input</t>
        </is>
      </c>
      <c r="F486" t="n">
        <v/>
      </c>
      <c r="H486" t="inlineStr"/>
      <c r="I486" t="inlineStr">
        <is>
          <t>_(\$* #,##0_);_(\$* \(#,##0\);_(\$* \-??_);_(@_)</t>
        </is>
      </c>
      <c r="J486" t="b">
        <v>0</v>
      </c>
      <c r="K486" t="b">
        <v>0</v>
      </c>
      <c r="L486" t="n">
        <v>10</v>
      </c>
      <c r="N486" t="inlineStr">
        <is>
          <t>00000000</t>
        </is>
      </c>
      <c r="O486" t="inlineStr">
        <is>
          <t>general</t>
        </is>
      </c>
      <c r="P486" t="inlineStr">
        <is>
          <t>bottom</t>
        </is>
      </c>
      <c r="Q486" t="b">
        <v>0</v>
      </c>
      <c r="R486" t="b">
        <v>0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</row>
    <row r="487">
      <c r="A487" t="inlineStr">
        <is>
          <t>Sheet1</t>
        </is>
      </c>
      <c r="B487" t="inlineStr">
        <is>
          <t>F112</t>
        </is>
      </c>
      <c r="C487" t="n">
        <v>112</v>
      </c>
      <c r="D487" t="n">
        <v>6</v>
      </c>
      <c r="E487" t="inlineStr">
        <is>
          <t>Input</t>
        </is>
      </c>
      <c r="F487" t="n">
        <v/>
      </c>
      <c r="H487" t="inlineStr"/>
      <c r="I487" t="inlineStr">
        <is>
          <t>0.0%</t>
        </is>
      </c>
      <c r="J487" t="b">
        <v>0</v>
      </c>
      <c r="K487" t="b">
        <v>0</v>
      </c>
      <c r="L487" t="n">
        <v>10</v>
      </c>
      <c r="N487" t="inlineStr">
        <is>
          <t>00000000</t>
        </is>
      </c>
      <c r="O487" t="inlineStr">
        <is>
          <t>general</t>
        </is>
      </c>
      <c r="P487" t="inlineStr">
        <is>
          <t>bottom</t>
        </is>
      </c>
      <c r="Q487" t="b">
        <v>0</v>
      </c>
      <c r="R487" t="b">
        <v>0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</row>
    <row r="488">
      <c r="A488" t="inlineStr">
        <is>
          <t>Sheet1</t>
        </is>
      </c>
      <c r="B488" t="inlineStr">
        <is>
          <t>G112</t>
        </is>
      </c>
      <c r="C488" t="n">
        <v>112</v>
      </c>
      <c r="D488" t="n">
        <v>7</v>
      </c>
      <c r="E488" t="inlineStr">
        <is>
          <t>Input</t>
        </is>
      </c>
      <c r="F488" t="n">
        <v/>
      </c>
      <c r="H488" t="inlineStr"/>
      <c r="I488" t="inlineStr">
        <is>
          <t>0.00</t>
        </is>
      </c>
      <c r="J488" t="b">
        <v>0</v>
      </c>
      <c r="K488" t="b">
        <v>0</v>
      </c>
      <c r="L488" t="n">
        <v>10</v>
      </c>
      <c r="N488" t="inlineStr">
        <is>
          <t>00000000</t>
        </is>
      </c>
      <c r="O488" t="inlineStr">
        <is>
          <t>general</t>
        </is>
      </c>
      <c r="P488" t="inlineStr">
        <is>
          <t>bottom</t>
        </is>
      </c>
      <c r="Q488" t="b">
        <v>0</v>
      </c>
      <c r="R488" t="b">
        <v>0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</row>
    <row r="489">
      <c r="A489" t="inlineStr">
        <is>
          <t>Sheet1</t>
        </is>
      </c>
      <c r="B489" t="inlineStr">
        <is>
          <t>H112</t>
        </is>
      </c>
      <c r="C489" t="n">
        <v>112</v>
      </c>
      <c r="D489" t="n">
        <v>8</v>
      </c>
      <c r="E489" t="inlineStr">
        <is>
          <t>Input</t>
        </is>
      </c>
      <c r="F489" t="n">
        <v/>
      </c>
      <c r="H489" t="inlineStr"/>
      <c r="I489" t="inlineStr">
        <is>
          <t>0.00</t>
        </is>
      </c>
      <c r="J489" t="b">
        <v>0</v>
      </c>
      <c r="K489" t="b">
        <v>0</v>
      </c>
      <c r="L489" t="n">
        <v>10</v>
      </c>
      <c r="N489" t="inlineStr">
        <is>
          <t>00000000</t>
        </is>
      </c>
      <c r="O489" t="inlineStr">
        <is>
          <t>general</t>
        </is>
      </c>
      <c r="P489" t="inlineStr">
        <is>
          <t>bottom</t>
        </is>
      </c>
      <c r="Q489" t="b">
        <v>0</v>
      </c>
      <c r="R489" t="b">
        <v>0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</row>
    <row r="490">
      <c r="A490" t="inlineStr">
        <is>
          <t>Sheet1</t>
        </is>
      </c>
      <c r="B490" t="inlineStr">
        <is>
          <t>C113</t>
        </is>
      </c>
      <c r="C490" t="n">
        <v>113</v>
      </c>
      <c r="D490" t="n">
        <v>3</v>
      </c>
      <c r="E490" t="inlineStr">
        <is>
          <t>Input</t>
        </is>
      </c>
      <c r="F490" t="n">
        <v/>
      </c>
      <c r="H490" t="inlineStr"/>
      <c r="I490" t="inlineStr">
        <is>
          <t>_(\$* #,##0_);_(\$* \(#,##0\);_(\$* \-??_);_(@_)</t>
        </is>
      </c>
      <c r="J490" t="b">
        <v>0</v>
      </c>
      <c r="K490" t="b">
        <v>0</v>
      </c>
      <c r="L490" t="n">
        <v>10</v>
      </c>
      <c r="N490" t="inlineStr">
        <is>
          <t>00000000</t>
        </is>
      </c>
      <c r="O490" t="inlineStr">
        <is>
          <t>general</t>
        </is>
      </c>
      <c r="P490" t="inlineStr">
        <is>
          <t>bottom</t>
        </is>
      </c>
      <c r="Q490" t="b">
        <v>0</v>
      </c>
      <c r="R490" t="b">
        <v>0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</row>
    <row r="491">
      <c r="A491" t="inlineStr">
        <is>
          <t>Sheet1</t>
        </is>
      </c>
      <c r="B491" t="inlineStr">
        <is>
          <t>E113</t>
        </is>
      </c>
      <c r="C491" t="n">
        <v>113</v>
      </c>
      <c r="D491" t="n">
        <v>5</v>
      </c>
      <c r="E491" t="inlineStr">
        <is>
          <t>Input</t>
        </is>
      </c>
      <c r="F491" t="n">
        <v/>
      </c>
      <c r="H491" t="inlineStr"/>
      <c r="I491" t="inlineStr">
        <is>
          <t>_(\$* #,##0_);_(\$* \(#,##0\);_(\$* \-??_);_(@_)</t>
        </is>
      </c>
      <c r="J491" t="b">
        <v>0</v>
      </c>
      <c r="K491" t="b">
        <v>0</v>
      </c>
      <c r="L491" t="n">
        <v>10</v>
      </c>
      <c r="N491" t="inlineStr">
        <is>
          <t>00000000</t>
        </is>
      </c>
      <c r="O491" t="inlineStr">
        <is>
          <t>general</t>
        </is>
      </c>
      <c r="P491" t="inlineStr">
        <is>
          <t>bottom</t>
        </is>
      </c>
      <c r="Q491" t="b">
        <v>0</v>
      </c>
      <c r="R491" t="b">
        <v>0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</row>
    <row r="492">
      <c r="A492" t="inlineStr">
        <is>
          <t>Sheet1</t>
        </is>
      </c>
      <c r="B492" t="inlineStr">
        <is>
          <t>F113</t>
        </is>
      </c>
      <c r="C492" t="n">
        <v>113</v>
      </c>
      <c r="D492" t="n">
        <v>6</v>
      </c>
      <c r="E492" t="inlineStr">
        <is>
          <t>Input</t>
        </is>
      </c>
      <c r="F492" t="n">
        <v/>
      </c>
      <c r="H492" t="inlineStr"/>
      <c r="I492" t="inlineStr">
        <is>
          <t>0.0%</t>
        </is>
      </c>
      <c r="J492" t="b">
        <v>0</v>
      </c>
      <c r="K492" t="b">
        <v>0</v>
      </c>
      <c r="L492" t="n">
        <v>10</v>
      </c>
      <c r="N492" t="inlineStr">
        <is>
          <t>00000000</t>
        </is>
      </c>
      <c r="O492" t="inlineStr">
        <is>
          <t>general</t>
        </is>
      </c>
      <c r="P492" t="inlineStr">
        <is>
          <t>bottom</t>
        </is>
      </c>
      <c r="Q492" t="b">
        <v>0</v>
      </c>
      <c r="R492" t="b">
        <v>0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</row>
    <row r="493">
      <c r="A493" t="inlineStr">
        <is>
          <t>Sheet1</t>
        </is>
      </c>
      <c r="B493" t="inlineStr">
        <is>
          <t>G113</t>
        </is>
      </c>
      <c r="C493" t="n">
        <v>113</v>
      </c>
      <c r="D493" t="n">
        <v>7</v>
      </c>
      <c r="E493" t="inlineStr">
        <is>
          <t>Input</t>
        </is>
      </c>
      <c r="F493" t="n">
        <v/>
      </c>
      <c r="H493" t="inlineStr"/>
      <c r="I493" t="inlineStr">
        <is>
          <t>0.00</t>
        </is>
      </c>
      <c r="J493" t="b">
        <v>0</v>
      </c>
      <c r="K493" t="b">
        <v>0</v>
      </c>
      <c r="L493" t="n">
        <v>10</v>
      </c>
      <c r="N493" t="inlineStr">
        <is>
          <t>00000000</t>
        </is>
      </c>
      <c r="O493" t="inlineStr">
        <is>
          <t>general</t>
        </is>
      </c>
      <c r="P493" t="inlineStr">
        <is>
          <t>bottom</t>
        </is>
      </c>
      <c r="Q493" t="b">
        <v>0</v>
      </c>
      <c r="R493" t="b">
        <v>0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</row>
    <row r="494">
      <c r="A494" t="inlineStr">
        <is>
          <t>Sheet1</t>
        </is>
      </c>
      <c r="B494" t="inlineStr">
        <is>
          <t>H113</t>
        </is>
      </c>
      <c r="C494" t="n">
        <v>113</v>
      </c>
      <c r="D494" t="n">
        <v>8</v>
      </c>
      <c r="E494" t="inlineStr">
        <is>
          <t>Input</t>
        </is>
      </c>
      <c r="F494" t="n">
        <v/>
      </c>
      <c r="H494" t="inlineStr"/>
      <c r="I494" t="inlineStr">
        <is>
          <t>0.00</t>
        </is>
      </c>
      <c r="J494" t="b">
        <v>0</v>
      </c>
      <c r="K494" t="b">
        <v>0</v>
      </c>
      <c r="L494" t="n">
        <v>10</v>
      </c>
      <c r="N494" t="inlineStr">
        <is>
          <t>00000000</t>
        </is>
      </c>
      <c r="O494" t="inlineStr">
        <is>
          <t>general</t>
        </is>
      </c>
      <c r="P494" t="inlineStr">
        <is>
          <t>bottom</t>
        </is>
      </c>
      <c r="Q494" t="b">
        <v>0</v>
      </c>
      <c r="R494" t="b">
        <v>0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</row>
    <row r="495">
      <c r="A495" t="inlineStr">
        <is>
          <t>Sheet1</t>
        </is>
      </c>
      <c r="B495" t="inlineStr">
        <is>
          <t>C114</t>
        </is>
      </c>
      <c r="C495" t="n">
        <v>114</v>
      </c>
      <c r="D495" t="n">
        <v>3</v>
      </c>
      <c r="E495" t="inlineStr">
        <is>
          <t>Input</t>
        </is>
      </c>
      <c r="F495" t="n">
        <v/>
      </c>
      <c r="H495" t="inlineStr"/>
      <c r="I495" t="inlineStr">
        <is>
          <t>_(\$* #,##0_);_(\$* \(#,##0\);_(\$* \-??_);_(@_)</t>
        </is>
      </c>
      <c r="J495" t="b">
        <v>0</v>
      </c>
      <c r="K495" t="b">
        <v>0</v>
      </c>
      <c r="L495" t="n">
        <v>10</v>
      </c>
      <c r="N495" t="inlineStr">
        <is>
          <t>00000000</t>
        </is>
      </c>
      <c r="O495" t="inlineStr">
        <is>
          <t>general</t>
        </is>
      </c>
      <c r="P495" t="inlineStr">
        <is>
          <t>bottom</t>
        </is>
      </c>
      <c r="Q495" t="b">
        <v>0</v>
      </c>
      <c r="R495" t="b">
        <v>0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</row>
    <row r="496">
      <c r="A496" t="inlineStr">
        <is>
          <t>Sheet1</t>
        </is>
      </c>
      <c r="B496" t="inlineStr">
        <is>
          <t>E114</t>
        </is>
      </c>
      <c r="C496" t="n">
        <v>114</v>
      </c>
      <c r="D496" t="n">
        <v>5</v>
      </c>
      <c r="E496" t="inlineStr">
        <is>
          <t>Input</t>
        </is>
      </c>
      <c r="F496" t="n">
        <v/>
      </c>
      <c r="H496" t="inlineStr"/>
      <c r="I496" t="inlineStr">
        <is>
          <t>_(\$* #,##0_);_(\$* \(#,##0\);_(\$* \-??_);_(@_)</t>
        </is>
      </c>
      <c r="J496" t="b">
        <v>0</v>
      </c>
      <c r="K496" t="b">
        <v>0</v>
      </c>
      <c r="L496" t="n">
        <v>10</v>
      </c>
      <c r="N496" t="inlineStr">
        <is>
          <t>00000000</t>
        </is>
      </c>
      <c r="O496" t="inlineStr">
        <is>
          <t>general</t>
        </is>
      </c>
      <c r="P496" t="inlineStr">
        <is>
          <t>bottom</t>
        </is>
      </c>
      <c r="Q496" t="b">
        <v>0</v>
      </c>
      <c r="R496" t="b">
        <v>0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</row>
    <row r="497">
      <c r="A497" t="inlineStr">
        <is>
          <t>Sheet1</t>
        </is>
      </c>
      <c r="B497" t="inlineStr">
        <is>
          <t>F114</t>
        </is>
      </c>
      <c r="C497" t="n">
        <v>114</v>
      </c>
      <c r="D497" t="n">
        <v>6</v>
      </c>
      <c r="E497" t="inlineStr">
        <is>
          <t>Input</t>
        </is>
      </c>
      <c r="F497" t="n">
        <v/>
      </c>
      <c r="H497" t="inlineStr"/>
      <c r="I497" t="inlineStr">
        <is>
          <t>0.0%</t>
        </is>
      </c>
      <c r="J497" t="b">
        <v>0</v>
      </c>
      <c r="K497" t="b">
        <v>0</v>
      </c>
      <c r="L497" t="n">
        <v>10</v>
      </c>
      <c r="N497" t="inlineStr">
        <is>
          <t>00000000</t>
        </is>
      </c>
      <c r="O497" t="inlineStr">
        <is>
          <t>general</t>
        </is>
      </c>
      <c r="P497" t="inlineStr">
        <is>
          <t>bottom</t>
        </is>
      </c>
      <c r="Q497" t="b">
        <v>0</v>
      </c>
      <c r="R497" t="b">
        <v>0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</row>
    <row r="498">
      <c r="A498" t="inlineStr">
        <is>
          <t>Sheet1</t>
        </is>
      </c>
      <c r="B498" t="inlineStr">
        <is>
          <t>G114</t>
        </is>
      </c>
      <c r="C498" t="n">
        <v>114</v>
      </c>
      <c r="D498" t="n">
        <v>7</v>
      </c>
      <c r="E498" t="inlineStr">
        <is>
          <t>Input</t>
        </is>
      </c>
      <c r="F498" t="n">
        <v/>
      </c>
      <c r="H498" t="inlineStr"/>
      <c r="I498" t="inlineStr">
        <is>
          <t>0.00</t>
        </is>
      </c>
      <c r="J498" t="b">
        <v>0</v>
      </c>
      <c r="K498" t="b">
        <v>0</v>
      </c>
      <c r="L498" t="n">
        <v>10</v>
      </c>
      <c r="N498" t="inlineStr">
        <is>
          <t>00000000</t>
        </is>
      </c>
      <c r="O498" t="inlineStr">
        <is>
          <t>general</t>
        </is>
      </c>
      <c r="P498" t="inlineStr">
        <is>
          <t>bottom</t>
        </is>
      </c>
      <c r="Q498" t="b">
        <v>0</v>
      </c>
      <c r="R498" t="b">
        <v>0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</row>
    <row r="499">
      <c r="A499" t="inlineStr">
        <is>
          <t>Sheet1</t>
        </is>
      </c>
      <c r="B499" t="inlineStr">
        <is>
          <t>H114</t>
        </is>
      </c>
      <c r="C499" t="n">
        <v>114</v>
      </c>
      <c r="D499" t="n">
        <v>8</v>
      </c>
      <c r="E499" t="inlineStr">
        <is>
          <t>Input</t>
        </is>
      </c>
      <c r="F499" t="n">
        <v/>
      </c>
      <c r="H499" t="inlineStr"/>
      <c r="I499" t="inlineStr">
        <is>
          <t>0.00</t>
        </is>
      </c>
      <c r="J499" t="b">
        <v>0</v>
      </c>
      <c r="K499" t="b">
        <v>0</v>
      </c>
      <c r="L499" t="n">
        <v>10</v>
      </c>
      <c r="N499" t="inlineStr">
        <is>
          <t>00000000</t>
        </is>
      </c>
      <c r="O499" t="inlineStr">
        <is>
          <t>general</t>
        </is>
      </c>
      <c r="P499" t="inlineStr">
        <is>
          <t>bottom</t>
        </is>
      </c>
      <c r="Q499" t="b">
        <v>0</v>
      </c>
      <c r="R499" t="b">
        <v>0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</row>
    <row r="500">
      <c r="A500" t="inlineStr">
        <is>
          <t>Sheet1</t>
        </is>
      </c>
      <c r="B500" t="inlineStr">
        <is>
          <t>C115</t>
        </is>
      </c>
      <c r="C500" t="n">
        <v>115</v>
      </c>
      <c r="D500" t="n">
        <v>3</v>
      </c>
      <c r="E500" t="inlineStr">
        <is>
          <t>Input</t>
        </is>
      </c>
      <c r="F500" t="n">
        <v/>
      </c>
      <c r="H500" t="inlineStr"/>
      <c r="I500" t="inlineStr">
        <is>
          <t>_(\$* #,##0_);_(\$* \(#,##0\);_(\$* \-??_);_(@_)</t>
        </is>
      </c>
      <c r="J500" t="b">
        <v>0</v>
      </c>
      <c r="K500" t="b">
        <v>0</v>
      </c>
      <c r="L500" t="n">
        <v>10</v>
      </c>
      <c r="N500" t="inlineStr">
        <is>
          <t>00000000</t>
        </is>
      </c>
      <c r="O500" t="inlineStr">
        <is>
          <t>general</t>
        </is>
      </c>
      <c r="P500" t="inlineStr">
        <is>
          <t>bottom</t>
        </is>
      </c>
      <c r="Q500" t="b">
        <v>0</v>
      </c>
      <c r="R500" t="b">
        <v>0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</row>
    <row r="501">
      <c r="A501" t="inlineStr">
        <is>
          <t>Sheet1</t>
        </is>
      </c>
      <c r="B501" t="inlineStr">
        <is>
          <t>D115</t>
        </is>
      </c>
      <c r="C501" t="n">
        <v>115</v>
      </c>
      <c r="D501" t="n">
        <v>4</v>
      </c>
      <c r="E501" t="inlineStr">
        <is>
          <t>Input</t>
        </is>
      </c>
      <c r="F501" t="n">
        <v/>
      </c>
      <c r="H501" t="inlineStr"/>
      <c r="I501" t="inlineStr">
        <is>
          <t>_(\$* #,##0_);_(\$* \(#,##0\);_(\$* \-??_);_(@_)</t>
        </is>
      </c>
      <c r="J501" t="b">
        <v>0</v>
      </c>
      <c r="K501" t="b">
        <v>0</v>
      </c>
      <c r="L501" t="n">
        <v>10</v>
      </c>
      <c r="N501" t="inlineStr">
        <is>
          <t>00000000</t>
        </is>
      </c>
      <c r="O501" t="inlineStr">
        <is>
          <t>general</t>
        </is>
      </c>
      <c r="P501" t="inlineStr">
        <is>
          <t>bottom</t>
        </is>
      </c>
      <c r="Q501" t="b">
        <v>0</v>
      </c>
      <c r="R501" t="b">
        <v>0</v>
      </c>
      <c r="S501" t="n">
        <v/>
      </c>
      <c r="T501" t="n">
        <v/>
      </c>
      <c r="U501" t="n">
        <v/>
      </c>
      <c r="V501" t="b">
        <v>0</v>
      </c>
      <c r="W501" t="inlineStr"/>
      <c r="X501" t="n">
        <v/>
      </c>
    </row>
    <row r="502">
      <c r="A502" t="inlineStr">
        <is>
          <t>Sheet1</t>
        </is>
      </c>
      <c r="B502" t="inlineStr">
        <is>
          <t>E115</t>
        </is>
      </c>
      <c r="C502" t="n">
        <v>115</v>
      </c>
      <c r="D502" t="n">
        <v>5</v>
      </c>
      <c r="E502" t="inlineStr">
        <is>
          <t>Input</t>
        </is>
      </c>
      <c r="F502" t="n">
        <v/>
      </c>
      <c r="H502" t="inlineStr"/>
      <c r="I502" t="inlineStr">
        <is>
          <t>_(\$* #,##0_);_(\$* \(#,##0\);_(\$* \-??_);_(@_)</t>
        </is>
      </c>
      <c r="J502" t="b">
        <v>0</v>
      </c>
      <c r="K502" t="b">
        <v>0</v>
      </c>
      <c r="L502" t="n">
        <v>10</v>
      </c>
      <c r="N502" t="inlineStr">
        <is>
          <t>00000000</t>
        </is>
      </c>
      <c r="O502" t="inlineStr">
        <is>
          <t>general</t>
        </is>
      </c>
      <c r="P502" t="inlineStr">
        <is>
          <t>bottom</t>
        </is>
      </c>
      <c r="Q502" t="b">
        <v>0</v>
      </c>
      <c r="R502" t="b">
        <v>0</v>
      </c>
      <c r="S502" t="n">
        <v/>
      </c>
      <c r="T502" t="n">
        <v/>
      </c>
      <c r="U502" t="n">
        <v/>
      </c>
      <c r="V502" t="b">
        <v>0</v>
      </c>
      <c r="W502" t="inlineStr"/>
      <c r="X502" t="n">
        <v/>
      </c>
    </row>
    <row r="503">
      <c r="A503" t="inlineStr">
        <is>
          <t>Sheet1</t>
        </is>
      </c>
      <c r="B503" t="inlineStr">
        <is>
          <t>F115</t>
        </is>
      </c>
      <c r="C503" t="n">
        <v>115</v>
      </c>
      <c r="D503" t="n">
        <v>6</v>
      </c>
      <c r="E503" t="inlineStr">
        <is>
          <t>Input</t>
        </is>
      </c>
      <c r="F503" t="n">
        <v/>
      </c>
      <c r="H503" t="inlineStr"/>
      <c r="I503" t="inlineStr">
        <is>
          <t>0.0%</t>
        </is>
      </c>
      <c r="J503" t="b">
        <v>0</v>
      </c>
      <c r="K503" t="b">
        <v>0</v>
      </c>
      <c r="L503" t="n">
        <v>10</v>
      </c>
      <c r="N503" t="inlineStr">
        <is>
          <t>00000000</t>
        </is>
      </c>
      <c r="O503" t="inlineStr">
        <is>
          <t>general</t>
        </is>
      </c>
      <c r="P503" t="inlineStr">
        <is>
          <t>bottom</t>
        </is>
      </c>
      <c r="Q503" t="b">
        <v>0</v>
      </c>
      <c r="R503" t="b">
        <v>0</v>
      </c>
      <c r="S503" t="n">
        <v/>
      </c>
      <c r="T503" t="n">
        <v/>
      </c>
      <c r="U503" t="n">
        <v/>
      </c>
      <c r="V503" t="b">
        <v>0</v>
      </c>
      <c r="W503" t="inlineStr"/>
      <c r="X503" t="n">
        <v/>
      </c>
    </row>
    <row r="504">
      <c r="A504" t="inlineStr">
        <is>
          <t>Sheet1</t>
        </is>
      </c>
      <c r="B504" t="inlineStr">
        <is>
          <t>G115</t>
        </is>
      </c>
      <c r="C504" t="n">
        <v>115</v>
      </c>
      <c r="D504" t="n">
        <v>7</v>
      </c>
      <c r="E504" t="inlineStr">
        <is>
          <t>Input</t>
        </is>
      </c>
      <c r="F504" t="n">
        <v/>
      </c>
      <c r="H504" t="inlineStr"/>
      <c r="I504" t="inlineStr">
        <is>
          <t>0.00</t>
        </is>
      </c>
      <c r="J504" t="b">
        <v>0</v>
      </c>
      <c r="K504" t="b">
        <v>0</v>
      </c>
      <c r="L504" t="n">
        <v>10</v>
      </c>
      <c r="N504" t="inlineStr">
        <is>
          <t>00000000</t>
        </is>
      </c>
      <c r="O504" t="inlineStr">
        <is>
          <t>general</t>
        </is>
      </c>
      <c r="P504" t="inlineStr">
        <is>
          <t>bottom</t>
        </is>
      </c>
      <c r="Q504" t="b">
        <v>0</v>
      </c>
      <c r="R504" t="b">
        <v>0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</row>
    <row r="505">
      <c r="A505" t="inlineStr">
        <is>
          <t>Sheet1</t>
        </is>
      </c>
      <c r="B505" t="inlineStr">
        <is>
          <t>H115</t>
        </is>
      </c>
      <c r="C505" t="n">
        <v>115</v>
      </c>
      <c r="D505" t="n">
        <v>8</v>
      </c>
      <c r="E505" t="inlineStr">
        <is>
          <t>Input</t>
        </is>
      </c>
      <c r="F505" t="n">
        <v/>
      </c>
      <c r="H505" t="inlineStr"/>
      <c r="I505" t="inlineStr">
        <is>
          <t>0.00</t>
        </is>
      </c>
      <c r="J505" t="b">
        <v>0</v>
      </c>
      <c r="K505" t="b">
        <v>0</v>
      </c>
      <c r="L505" t="n">
        <v>10</v>
      </c>
      <c r="N505" t="inlineStr">
        <is>
          <t>00000000</t>
        </is>
      </c>
      <c r="O505" t="inlineStr">
        <is>
          <t>general</t>
        </is>
      </c>
      <c r="P505" t="inlineStr">
        <is>
          <t>bottom</t>
        </is>
      </c>
      <c r="Q505" t="b">
        <v>0</v>
      </c>
      <c r="R505" t="b">
        <v>0</v>
      </c>
      <c r="S505" t="n">
        <v/>
      </c>
      <c r="T505" t="n">
        <v/>
      </c>
      <c r="U505" t="n">
        <v/>
      </c>
      <c r="V505" t="b">
        <v>0</v>
      </c>
      <c r="W505" t="inlineStr"/>
      <c r="X505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/home/nitish/Documents/github/Excel-To-Python/Codex/ExcelFiles/carlease.xls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/home/nitish/Documents/github/Excel-To-Python/Codex/.cache/normalized/carlease.xlsx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["Sheet1"]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"2026-03-05T04:05:36.435707+00:00"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".xls"</t>
        </is>
      </c>
    </row>
    <row r="7">
      <c r="A7" t="inlineStr">
        <is>
          <t>SheetLayout</t>
        </is>
      </c>
      <c r="B7" t="inlineStr">
        <is>
          <t>Sheet1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Sheet1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Sheet1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Sheet1</t>
        </is>
      </c>
      <c r="C10" t="inlineStr">
        <is>
          <t>MergedRanges</t>
        </is>
      </c>
      <c r="D10" t="inlineStr">
        <is>
          <t>[]</t>
        </is>
      </c>
    </row>
    <row r="11">
      <c r="A11" t="inlineStr">
        <is>
          <t>SheetLayout</t>
        </is>
      </c>
      <c r="B11" t="inlineStr">
        <is>
          <t>Sheet1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Sheet1</t>
        </is>
      </c>
      <c r="C12" t="inlineStr">
        <is>
          <t>ColumnDimensions</t>
        </is>
      </c>
      <c r="D12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CellRange</t>
        </is>
      </c>
      <c r="F1" t="inlineStr">
        <is>
          <t>PatternFormula</t>
        </is>
      </c>
      <c r="G1" t="inlineStr">
        <is>
          <t>VectorizationHint</t>
        </is>
      </c>
    </row>
    <row r="2">
      <c r="A2" t="inlineStr">
        <is>
          <t>G000001</t>
        </is>
      </c>
      <c r="B2" t="inlineStr">
        <is>
          <t>Sheet1</t>
        </is>
      </c>
      <c r="C2" t="inlineStr">
        <is>
          <t>Vertical</t>
        </is>
      </c>
      <c r="D2" t="n">
        <v>37</v>
      </c>
      <c r="E2" t="inlineStr">
        <is>
          <t>Sheet1!E35:E71</t>
        </is>
      </c>
      <c r="F2" t="inlineStr">
        <is>
          <t>'=+SUM(R[0]C[-2]:R[0]C[-1])</t>
        </is>
      </c>
      <c r="G2" t="inlineStr">
        <is>
          <t>Vectorizable</t>
        </is>
      </c>
    </row>
    <row r="3">
      <c r="A3" t="inlineStr">
        <is>
          <t>G000002</t>
        </is>
      </c>
      <c r="B3" t="inlineStr">
        <is>
          <t>Sheet1</t>
        </is>
      </c>
      <c r="C3" t="inlineStr">
        <is>
          <t>Vertical</t>
        </is>
      </c>
      <c r="D3" t="n">
        <v>37</v>
      </c>
      <c r="E3" t="inlineStr">
        <is>
          <t>Sheet1!G35:G71</t>
        </is>
      </c>
      <c r="F3" t="inlineStr">
        <is>
          <t>'=+R[0]C[-2]*R[0]C[-1]</t>
        </is>
      </c>
      <c r="G3" t="inlineStr">
        <is>
          <t>Vectorizable</t>
        </is>
      </c>
    </row>
    <row r="4">
      <c r="A4" t="inlineStr">
        <is>
          <t>G000003</t>
        </is>
      </c>
      <c r="B4" t="inlineStr">
        <is>
          <t>Sheet1</t>
        </is>
      </c>
      <c r="C4" t="inlineStr">
        <is>
          <t>Vertical</t>
        </is>
      </c>
      <c r="D4" t="n">
        <v>35</v>
      </c>
      <c r="E4" t="inlineStr">
        <is>
          <t>Sheet1!C36:C70</t>
        </is>
      </c>
      <c r="F4" t="inlineStr">
        <is>
          <t>'=+R[-1]C[0]</t>
        </is>
      </c>
      <c r="G4" t="inlineStr">
        <is>
          <t>Vectorizable</t>
        </is>
      </c>
    </row>
    <row r="5">
      <c r="A5" t="inlineStr">
        <is>
          <t>G000004</t>
        </is>
      </c>
      <c r="B5" t="inlineStr">
        <is>
          <t>Sheet1</t>
        </is>
      </c>
      <c r="C5" t="inlineStr">
        <is>
          <t>Vertical</t>
        </is>
      </c>
      <c r="D5" t="n">
        <v>36</v>
      </c>
      <c r="E5" t="inlineStr">
        <is>
          <t>Sheet1!F36:F71</t>
        </is>
      </c>
      <c r="F5" t="inlineStr">
        <is>
          <t>'=+R[-1]C[0]/(1+R15C4/12)</t>
        </is>
      </c>
      <c r="G5" t="inlineStr">
        <is>
          <t>Vectorizable</t>
        </is>
      </c>
    </row>
    <row r="6">
      <c r="A6" t="inlineStr">
        <is>
          <t>G000005</t>
        </is>
      </c>
      <c r="B6" t="inlineStr">
        <is>
          <t>Sheet1</t>
        </is>
      </c>
      <c r="C6" t="inlineStr">
        <is>
          <t>Vertical</t>
        </is>
      </c>
      <c r="D6" t="n">
        <v>36</v>
      </c>
      <c r="E6" t="inlineStr">
        <is>
          <t>Sheet1!H36:H71</t>
        </is>
      </c>
      <c r="F6" t="inlineStr">
        <is>
          <t>'=+R[-1]C[0]+R[0]C[-1]</t>
        </is>
      </c>
      <c r="G6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2026-03-05T04:05:36Z</dcterms:created>
  <dcterms:modified xsi:type="dcterms:W3CDTF">2026-03-05T04:05:36Z</dcterms:modified>
</cp:coreProperties>
</file>