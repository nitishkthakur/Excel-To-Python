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(\$* #,##0_);_(\$* \(#,##0\);_(\$* \-??_);_(@_)"/>
    <numFmt numFmtId="165" formatCode="_(* #,##0_);_(* \(#,##0\);_(* \-??_);_(@_)"/>
    <numFmt numFmtId="166" formatCode="0.0%"/>
    <numFmt numFmtId="167" formatCode="_(* #,##0.00_);_(* \(#,##0.00\);_(* \-??_);_(@_)"/>
    <numFmt numFmtId="168" formatCode="_(\$* #,##0.00_);_(\$* \(#,##0.00\);_(\$* \-??_);_(@_)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  <u val="single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168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19">
      <c r="A1" s="20" t="inlineStr">
        <is>
          <t xml:space="preserve">This spreadsheet analyzes the lease/purchase decision.  In the case of a purchase, it is assumed </t>
        </is>
      </c>
    </row>
    <row r="2" ht="14.65" customHeight="1" s="19">
      <c r="A2" s="20" t="inlineStr">
        <is>
          <t>sales tax is paid on the negotiated price at the time of purchase, and property taxes are paid annually.</t>
        </is>
      </c>
    </row>
    <row r="3" ht="14.65" customHeight="1" s="19">
      <c r="A3" s="20" t="inlineStr">
        <is>
          <t xml:space="preserve">In the case of a lease, it is assumed sales tax is paid on the difference between the list price and the </t>
        </is>
      </c>
    </row>
    <row r="4" ht="14.65" customHeight="1" s="19">
      <c r="A4" s="21" t="inlineStr">
        <is>
          <t>payoff at the time of purchase, sales tax is paid on the payoff when the lease expires, and property taxes</t>
        </is>
      </c>
    </row>
    <row r="5" ht="14.65" customHeight="1" s="19">
      <c r="A5" s="20" t="inlineStr">
        <is>
          <t>are paid by the lessor.  This spreadsheet assumes the item is purchased at the payoff price at the time</t>
        </is>
      </c>
    </row>
    <row r="6" ht="14.65" customHeight="1" s="19">
      <c r="A6" s="20" t="inlineStr">
        <is>
          <t>the lease expires.  The lease has additional value to the lessee because of the option not to purchase.</t>
        </is>
      </c>
    </row>
    <row r="7" ht="14.65" customHeight="1" s="19">
      <c r="A7" s="20" t="inlineStr">
        <is>
          <t xml:space="preserve">The features of your lease may be different than assumed here. </t>
        </is>
      </c>
    </row>
    <row r="10" ht="14.65" customHeight="1" s="19">
      <c r="A10" s="22" t="inlineStr">
        <is>
          <t>Assumptions</t>
        </is>
      </c>
    </row>
    <row r="11" ht="14.65" customHeight="1" s="19">
      <c r="A11" s="20" t="inlineStr">
        <is>
          <t>List price</t>
        </is>
      </c>
      <c r="D11" s="23" t="n">
        <v>26000</v>
      </c>
    </row>
    <row r="12" ht="14.65" customHeight="1" s="19">
      <c r="A12" s="20" t="inlineStr">
        <is>
          <t>Negotiated price</t>
        </is>
      </c>
      <c r="D12" s="23" t="n">
        <v>24000</v>
      </c>
    </row>
    <row r="13" ht="14.65" customHeight="1" s="19">
      <c r="A13" s="20" t="inlineStr">
        <is>
          <t>Lease period (months)</t>
        </is>
      </c>
      <c r="D13" s="24" t="n">
        <v>36</v>
      </c>
    </row>
    <row r="14" ht="14.65" customHeight="1" s="19">
      <c r="A14" s="20" t="inlineStr">
        <is>
          <t>Payoff</t>
        </is>
      </c>
      <c r="D14" s="23" t="n">
        <v>20000</v>
      </c>
    </row>
    <row r="15" ht="14.65" customHeight="1" s="19">
      <c r="A15" s="20" t="inlineStr">
        <is>
          <t>Interest rate (APR)</t>
        </is>
      </c>
      <c r="D15" s="25" t="n">
        <v>0.09</v>
      </c>
    </row>
    <row r="16" ht="14.65" customHeight="1" s="19">
      <c r="A16" s="20" t="inlineStr">
        <is>
          <t>Effective annual rate</t>
        </is>
      </c>
      <c r="D16" s="26">
        <f>+(1+D15/12)^12-1</f>
        <v/>
      </c>
    </row>
    <row r="17" ht="14.65" customHeight="1" s="19">
      <c r="A17" s="21" t="inlineStr">
        <is>
          <t>Sales tax rate</t>
        </is>
      </c>
      <c r="D17" s="27" t="n">
        <v>0.06</v>
      </c>
    </row>
    <row r="18" ht="14.65" customHeight="1" s="19">
      <c r="A18" s="21" t="inlineStr">
        <is>
          <t>Property tax (annual)</t>
        </is>
      </c>
      <c r="D18" s="23" t="n">
        <v>300</v>
      </c>
    </row>
    <row r="19" ht="14.65" customHeight="1" s="19">
      <c r="A19" s="20" t="inlineStr">
        <is>
          <t>Lease payment</t>
        </is>
      </c>
      <c r="D19" s="23" t="n">
        <v>280</v>
      </c>
    </row>
    <row r="20" ht="14.65" customHeight="1" s="19">
      <c r="D20" s="23" t="n"/>
    </row>
    <row r="21" ht="14.65" customHeight="1" s="19">
      <c r="A21" s="22" t="inlineStr">
        <is>
          <t>Results</t>
        </is>
      </c>
    </row>
    <row r="22" ht="14.65" customHeight="1" s="19">
      <c r="A22" s="28" t="n"/>
      <c r="B22" s="28" t="n"/>
      <c r="C22" s="28" t="n"/>
      <c r="D22" s="29" t="inlineStr">
        <is>
          <t>Purchase</t>
        </is>
      </c>
      <c r="E22" s="28" t="n"/>
      <c r="F22" s="29" t="inlineStr">
        <is>
          <t>Lease</t>
        </is>
      </c>
      <c r="G22" s="20" t="n"/>
      <c r="H22" s="20" t="n"/>
    </row>
    <row r="24" ht="14.65" customHeight="1" s="19">
      <c r="A24" s="20" t="inlineStr">
        <is>
          <t>Present value of payments</t>
        </is>
      </c>
      <c r="D24" s="30">
        <f>+D12</f>
        <v/>
      </c>
      <c r="F24" s="23">
        <f>+D19-PV(D15/12,D13-1,D19)+D14/(1+D15/12)^D13</f>
        <v/>
      </c>
    </row>
    <row r="25" ht="14.65" customHeight="1" s="19">
      <c r="A25" s="20" t="inlineStr">
        <is>
          <t>Present value of sales tax</t>
        </is>
      </c>
      <c r="D25" s="23">
        <f>+D17*D12</f>
        <v/>
      </c>
      <c r="F25" s="23">
        <f>0.06*(D11-D14)+D17*D14/(1+D15/12)^D13</f>
        <v/>
      </c>
    </row>
    <row r="26" ht="14.65" customHeight="1" s="19">
      <c r="A26" s="20" t="inlineStr">
        <is>
          <t>Present value of property tax</t>
        </is>
      </c>
      <c r="D26" s="23">
        <f>-PV(D16,D13/12,D18)</f>
        <v/>
      </c>
    </row>
    <row r="27" ht="14.65" customHeight="1" s="19">
      <c r="A27" s="20" t="inlineStr">
        <is>
          <t>Total</t>
        </is>
      </c>
      <c r="D27" s="30">
        <f>+SUM(D24:D26)</f>
        <v/>
      </c>
      <c r="F27" s="30">
        <f>+F24+F25</f>
        <v/>
      </c>
    </row>
    <row r="28" ht="14.65" customHeight="1" s="19">
      <c r="D28" s="30" t="n"/>
      <c r="E28" s="30" t="n"/>
    </row>
    <row r="29" ht="14.65" customHeight="1" s="19">
      <c r="D29" s="30" t="n"/>
      <c r="E29" s="30" t="n"/>
    </row>
    <row r="30" ht="14.65" customHeight="1" s="19">
      <c r="A30" s="20" t="inlineStr">
        <is>
          <t>The following table provides a check on the lease calculations above.</t>
        </is>
      </c>
      <c r="D30" s="30" t="n"/>
      <c r="E30" s="30" t="n"/>
    </row>
    <row r="31" ht="14.65" customHeight="1" s="19">
      <c r="D31" s="30" t="n"/>
      <c r="E31" s="30" t="n"/>
    </row>
    <row r="32" ht="14.65" customHeight="1" s="19">
      <c r="A32" s="31" t="n"/>
      <c r="B32" s="31" t="n"/>
      <c r="C32" s="31" t="n"/>
      <c r="D32" s="31" t="inlineStr">
        <is>
          <t>Sales</t>
        </is>
      </c>
      <c r="E32" s="31" t="n"/>
      <c r="F32" s="31" t="inlineStr">
        <is>
          <t>PV</t>
        </is>
      </c>
      <c r="G32" s="31" t="n"/>
      <c r="H32" s="31" t="inlineStr">
        <is>
          <t>Cumul</t>
        </is>
      </c>
    </row>
    <row r="33" ht="14.65" customHeight="1" s="19">
      <c r="A33" s="32" t="inlineStr">
        <is>
          <t>Month</t>
        </is>
      </c>
      <c r="B33" s="32" t="n"/>
      <c r="C33" s="32" t="inlineStr">
        <is>
          <t>Payment</t>
        </is>
      </c>
      <c r="D33" s="32" t="inlineStr">
        <is>
          <t>Tax</t>
        </is>
      </c>
      <c r="E33" s="32" t="inlineStr">
        <is>
          <t>Total</t>
        </is>
      </c>
      <c r="F33" s="32" t="inlineStr">
        <is>
          <t>Factor</t>
        </is>
      </c>
      <c r="G33" s="32" t="inlineStr">
        <is>
          <t>PV</t>
        </is>
      </c>
      <c r="H33" s="32" t="inlineStr">
        <is>
          <t>PV</t>
        </is>
      </c>
    </row>
    <row r="34" ht="14.65" customHeight="1" s="19">
      <c r="A34" s="33" t="n"/>
    </row>
    <row r="35" ht="14.65" customHeight="1" s="19">
      <c r="A35" s="20" t="n">
        <v>0</v>
      </c>
      <c r="C35" s="30">
        <f>+D19</f>
        <v/>
      </c>
      <c r="D35" s="20">
        <f>+D17*(D11-D14)</f>
        <v/>
      </c>
      <c r="E35" s="30">
        <f>+SUM(C35:D35)</f>
        <v/>
      </c>
      <c r="F35" s="34" t="n">
        <v>1</v>
      </c>
      <c r="G35" s="35">
        <f>+E35*F35</f>
        <v/>
      </c>
      <c r="H35" s="35">
        <f>+G35</f>
        <v/>
      </c>
    </row>
    <row r="36" ht="14.65" customHeight="1" s="19">
      <c r="A36" s="20" t="n">
        <v>1</v>
      </c>
      <c r="C36" s="30">
        <f>+C35</f>
        <v/>
      </c>
      <c r="E36" s="30">
        <f>+SUM(C36:D36)</f>
        <v/>
      </c>
      <c r="F36" s="34">
        <f>+F35/(1+$D$15/12)</f>
        <v/>
      </c>
      <c r="G36" s="35">
        <f>+E36*F36</f>
        <v/>
      </c>
      <c r="H36" s="35">
        <f>+H35+G36</f>
        <v/>
      </c>
    </row>
    <row r="37" ht="14.65" customHeight="1" s="19">
      <c r="A37" s="20" t="n">
        <v>2</v>
      </c>
      <c r="C37" s="30">
        <f>+C36</f>
        <v/>
      </c>
      <c r="E37" s="30">
        <f>+SUM(C37:D37)</f>
        <v/>
      </c>
      <c r="F37" s="34">
        <f>+F36/(1+$D$15/12)</f>
        <v/>
      </c>
      <c r="G37" s="35">
        <f>+E37*F37</f>
        <v/>
      </c>
      <c r="H37" s="35">
        <f>+H36+G37</f>
        <v/>
      </c>
    </row>
    <row r="38" ht="14.65" customHeight="1" s="19">
      <c r="A38" s="20" t="n">
        <v>3</v>
      </c>
      <c r="C38" s="30">
        <f>+C37</f>
        <v/>
      </c>
      <c r="E38" s="30">
        <f>+SUM(C38:D38)</f>
        <v/>
      </c>
      <c r="F38" s="34">
        <f>+F37/(1+$D$15/12)</f>
        <v/>
      </c>
      <c r="G38" s="35">
        <f>+E38*F38</f>
        <v/>
      </c>
      <c r="H38" s="35">
        <f>+H37+G38</f>
        <v/>
      </c>
    </row>
    <row r="39" ht="14.65" customHeight="1" s="19">
      <c r="A39" s="20" t="n">
        <v>4</v>
      </c>
      <c r="C39" s="30">
        <f>+C38</f>
        <v/>
      </c>
      <c r="E39" s="30">
        <f>+SUM(C39:D39)</f>
        <v/>
      </c>
      <c r="F39" s="34">
        <f>+F38/(1+$D$15/12)</f>
        <v/>
      </c>
      <c r="G39" s="35">
        <f>+E39*F39</f>
        <v/>
      </c>
      <c r="H39" s="35">
        <f>+H38+G39</f>
        <v/>
      </c>
    </row>
    <row r="40" ht="14.65" customHeight="1" s="19">
      <c r="A40" s="20" t="n">
        <v>5</v>
      </c>
      <c r="C40" s="30">
        <f>+C39</f>
        <v/>
      </c>
      <c r="E40" s="30">
        <f>+SUM(C40:D40)</f>
        <v/>
      </c>
      <c r="F40" s="34">
        <f>+F39/(1+$D$15/12)</f>
        <v/>
      </c>
      <c r="G40" s="35">
        <f>+E40*F40</f>
        <v/>
      </c>
      <c r="H40" s="35">
        <f>+H39+G40</f>
        <v/>
      </c>
    </row>
    <row r="41" ht="14.65" customHeight="1" s="19">
      <c r="A41" s="20" t="n">
        <v>6</v>
      </c>
      <c r="C41" s="30">
        <f>+C40</f>
        <v/>
      </c>
      <c r="E41" s="30">
        <f>+SUM(C41:D41)</f>
        <v/>
      </c>
      <c r="F41" s="34">
        <f>+F40/(1+$D$15/12)</f>
        <v/>
      </c>
      <c r="G41" s="35">
        <f>+E41*F41</f>
        <v/>
      </c>
      <c r="H41" s="35">
        <f>+H40+G41</f>
        <v/>
      </c>
    </row>
    <row r="42" ht="14.65" customHeight="1" s="19">
      <c r="A42" s="20" t="n">
        <v>7</v>
      </c>
      <c r="C42" s="30">
        <f>+C41</f>
        <v/>
      </c>
      <c r="E42" s="30">
        <f>+SUM(C42:D42)</f>
        <v/>
      </c>
      <c r="F42" s="34">
        <f>+F41/(1+$D$15/12)</f>
        <v/>
      </c>
      <c r="G42" s="35">
        <f>+E42*F42</f>
        <v/>
      </c>
      <c r="H42" s="35">
        <f>+H41+G42</f>
        <v/>
      </c>
    </row>
    <row r="43" ht="14.65" customHeight="1" s="19">
      <c r="A43" s="20" t="n">
        <v>8</v>
      </c>
      <c r="C43" s="30">
        <f>+C42</f>
        <v/>
      </c>
      <c r="E43" s="30">
        <f>+SUM(C43:D43)</f>
        <v/>
      </c>
      <c r="F43" s="34">
        <f>+F42/(1+$D$15/12)</f>
        <v/>
      </c>
      <c r="G43" s="35">
        <f>+E43*F43</f>
        <v/>
      </c>
      <c r="H43" s="35">
        <f>+H42+G43</f>
        <v/>
      </c>
    </row>
    <row r="44" ht="14.65" customHeight="1" s="19">
      <c r="A44" s="20" t="n">
        <v>9</v>
      </c>
      <c r="C44" s="30">
        <f>+C43</f>
        <v/>
      </c>
      <c r="E44" s="30">
        <f>+SUM(C44:D44)</f>
        <v/>
      </c>
      <c r="F44" s="34">
        <f>+F43/(1+$D$15/12)</f>
        <v/>
      </c>
      <c r="G44" s="35">
        <f>+E44*F44</f>
        <v/>
      </c>
      <c r="H44" s="35">
        <f>+H43+G44</f>
        <v/>
      </c>
    </row>
    <row r="45" ht="14.65" customHeight="1" s="19">
      <c r="A45" s="20" t="n">
        <v>10</v>
      </c>
      <c r="C45" s="30">
        <f>+C44</f>
        <v/>
      </c>
      <c r="E45" s="30">
        <f>+SUM(C45:D45)</f>
        <v/>
      </c>
      <c r="F45" s="34">
        <f>+F44/(1+$D$15/12)</f>
        <v/>
      </c>
      <c r="G45" s="35">
        <f>+E45*F45</f>
        <v/>
      </c>
      <c r="H45" s="35">
        <f>+H44+G45</f>
        <v/>
      </c>
    </row>
    <row r="46" ht="14.65" customHeight="1" s="19">
      <c r="A46" s="20" t="n">
        <v>11</v>
      </c>
      <c r="C46" s="30">
        <f>+C45</f>
        <v/>
      </c>
      <c r="E46" s="30">
        <f>+SUM(C46:D46)</f>
        <v/>
      </c>
      <c r="F46" s="34">
        <f>+F45/(1+$D$15/12)</f>
        <v/>
      </c>
      <c r="G46" s="35">
        <f>+E46*F46</f>
        <v/>
      </c>
      <c r="H46" s="35">
        <f>+H45+G46</f>
        <v/>
      </c>
    </row>
    <row r="47" ht="14.65" customHeight="1" s="19">
      <c r="A47" s="20" t="n">
        <v>12</v>
      </c>
      <c r="C47" s="30">
        <f>+C46</f>
        <v/>
      </c>
      <c r="E47" s="30">
        <f>+SUM(C47:D47)</f>
        <v/>
      </c>
      <c r="F47" s="34">
        <f>+F46/(1+$D$15/12)</f>
        <v/>
      </c>
      <c r="G47" s="35">
        <f>+E47*F47</f>
        <v/>
      </c>
      <c r="H47" s="35">
        <f>+H46+G47</f>
        <v/>
      </c>
    </row>
    <row r="48" ht="14.65" customHeight="1" s="19">
      <c r="A48" s="20" t="n">
        <v>13</v>
      </c>
      <c r="C48" s="30">
        <f>+C47</f>
        <v/>
      </c>
      <c r="E48" s="30">
        <f>+SUM(C48:D48)</f>
        <v/>
      </c>
      <c r="F48" s="34">
        <f>+F47/(1+$D$15/12)</f>
        <v/>
      </c>
      <c r="G48" s="35">
        <f>+E48*F48</f>
        <v/>
      </c>
      <c r="H48" s="35">
        <f>+H47+G48</f>
        <v/>
      </c>
    </row>
    <row r="49" ht="14.65" customHeight="1" s="19">
      <c r="A49" s="20" t="n">
        <v>14</v>
      </c>
      <c r="C49" s="30">
        <f>+C48</f>
        <v/>
      </c>
      <c r="E49" s="30">
        <f>+SUM(C49:D49)</f>
        <v/>
      </c>
      <c r="F49" s="34">
        <f>+F48/(1+$D$15/12)</f>
        <v/>
      </c>
      <c r="G49" s="35">
        <f>+E49*F49</f>
        <v/>
      </c>
      <c r="H49" s="35">
        <f>+H48+G49</f>
        <v/>
      </c>
    </row>
    <row r="50" ht="14.65" customHeight="1" s="19">
      <c r="A50" s="20" t="n">
        <v>15</v>
      </c>
      <c r="C50" s="30">
        <f>+C49</f>
        <v/>
      </c>
      <c r="E50" s="30">
        <f>+SUM(C50:D50)</f>
        <v/>
      </c>
      <c r="F50" s="34">
        <f>+F49/(1+$D$15/12)</f>
        <v/>
      </c>
      <c r="G50" s="35">
        <f>+E50*F50</f>
        <v/>
      </c>
      <c r="H50" s="35">
        <f>+H49+G50</f>
        <v/>
      </c>
    </row>
    <row r="51" ht="14.65" customHeight="1" s="19">
      <c r="A51" s="20" t="n">
        <v>16</v>
      </c>
      <c r="C51" s="30">
        <f>+C50</f>
        <v/>
      </c>
      <c r="E51" s="30">
        <f>+SUM(C51:D51)</f>
        <v/>
      </c>
      <c r="F51" s="34">
        <f>+F50/(1+$D$15/12)</f>
        <v/>
      </c>
      <c r="G51" s="35">
        <f>+E51*F51</f>
        <v/>
      </c>
      <c r="H51" s="35">
        <f>+H50+G51</f>
        <v/>
      </c>
    </row>
    <row r="52" ht="14.65" customHeight="1" s="19">
      <c r="A52" s="20" t="n">
        <v>17</v>
      </c>
      <c r="C52" s="30">
        <f>+C51</f>
        <v/>
      </c>
      <c r="E52" s="30">
        <f>+SUM(C52:D52)</f>
        <v/>
      </c>
      <c r="F52" s="34">
        <f>+F51/(1+$D$15/12)</f>
        <v/>
      </c>
      <c r="G52" s="35">
        <f>+E52*F52</f>
        <v/>
      </c>
      <c r="H52" s="35">
        <f>+H51+G52</f>
        <v/>
      </c>
    </row>
    <row r="53" ht="14.65" customHeight="1" s="19">
      <c r="A53" s="20" t="n">
        <v>18</v>
      </c>
      <c r="C53" s="30">
        <f>+C52</f>
        <v/>
      </c>
      <c r="E53" s="30">
        <f>+SUM(C53:D53)</f>
        <v/>
      </c>
      <c r="F53" s="34">
        <f>+F52/(1+$D$15/12)</f>
        <v/>
      </c>
      <c r="G53" s="35">
        <f>+E53*F53</f>
        <v/>
      </c>
      <c r="H53" s="35">
        <f>+H52+G53</f>
        <v/>
      </c>
    </row>
    <row r="54" ht="14.65" customHeight="1" s="19">
      <c r="A54" s="20" t="n">
        <v>19</v>
      </c>
      <c r="C54" s="30">
        <f>+C53</f>
        <v/>
      </c>
      <c r="E54" s="30">
        <f>+SUM(C54:D54)</f>
        <v/>
      </c>
      <c r="F54" s="34">
        <f>+F53/(1+$D$15/12)</f>
        <v/>
      </c>
      <c r="G54" s="35">
        <f>+E54*F54</f>
        <v/>
      </c>
      <c r="H54" s="35">
        <f>+H53+G54</f>
        <v/>
      </c>
    </row>
    <row r="55" ht="14.65" customHeight="1" s="19">
      <c r="A55" s="20" t="n">
        <v>20</v>
      </c>
      <c r="C55" s="30">
        <f>+C54</f>
        <v/>
      </c>
      <c r="E55" s="30">
        <f>+SUM(C55:D55)</f>
        <v/>
      </c>
      <c r="F55" s="34">
        <f>+F54/(1+$D$15/12)</f>
        <v/>
      </c>
      <c r="G55" s="35">
        <f>+E55*F55</f>
        <v/>
      </c>
      <c r="H55" s="35">
        <f>+H54+G55</f>
        <v/>
      </c>
    </row>
    <row r="56" ht="14.65" customHeight="1" s="19">
      <c r="A56" s="20" t="n">
        <v>21</v>
      </c>
      <c r="C56" s="30">
        <f>+C55</f>
        <v/>
      </c>
      <c r="E56" s="30">
        <f>+SUM(C56:D56)</f>
        <v/>
      </c>
      <c r="F56" s="34">
        <f>+F55/(1+$D$15/12)</f>
        <v/>
      </c>
      <c r="G56" s="35">
        <f>+E56*F56</f>
        <v/>
      </c>
      <c r="H56" s="35">
        <f>+H55+G56</f>
        <v/>
      </c>
    </row>
    <row r="57" ht="14.65" customHeight="1" s="19">
      <c r="A57" s="20" t="n">
        <v>22</v>
      </c>
      <c r="C57" s="30">
        <f>+C56</f>
        <v/>
      </c>
      <c r="E57" s="30">
        <f>+SUM(C57:D57)</f>
        <v/>
      </c>
      <c r="F57" s="34">
        <f>+F56/(1+$D$15/12)</f>
        <v/>
      </c>
      <c r="G57" s="35">
        <f>+E57*F57</f>
        <v/>
      </c>
      <c r="H57" s="35">
        <f>+H56+G57</f>
        <v/>
      </c>
    </row>
    <row r="58" ht="14.65" customHeight="1" s="19">
      <c r="A58" s="20" t="n">
        <v>23</v>
      </c>
      <c r="C58" s="30">
        <f>+C57</f>
        <v/>
      </c>
      <c r="E58" s="30">
        <f>+SUM(C58:D58)</f>
        <v/>
      </c>
      <c r="F58" s="34">
        <f>+F57/(1+$D$15/12)</f>
        <v/>
      </c>
      <c r="G58" s="35">
        <f>+E58*F58</f>
        <v/>
      </c>
      <c r="H58" s="35">
        <f>+H57+G58</f>
        <v/>
      </c>
    </row>
    <row r="59" ht="14.65" customHeight="1" s="19">
      <c r="A59" s="20" t="n">
        <v>24</v>
      </c>
      <c r="C59" s="30">
        <f>+C58</f>
        <v/>
      </c>
      <c r="E59" s="30">
        <f>+SUM(C59:D59)</f>
        <v/>
      </c>
      <c r="F59" s="34">
        <f>+F58/(1+$D$15/12)</f>
        <v/>
      </c>
      <c r="G59" s="35">
        <f>+E59*F59</f>
        <v/>
      </c>
      <c r="H59" s="35">
        <f>+H58+G59</f>
        <v/>
      </c>
    </row>
    <row r="60" ht="14.65" customHeight="1" s="19">
      <c r="A60" s="20" t="n">
        <v>25</v>
      </c>
      <c r="C60" s="30">
        <f>+C59</f>
        <v/>
      </c>
      <c r="E60" s="30">
        <f>+SUM(C60:D60)</f>
        <v/>
      </c>
      <c r="F60" s="34">
        <f>+F59/(1+$D$15/12)</f>
        <v/>
      </c>
      <c r="G60" s="35">
        <f>+E60*F60</f>
        <v/>
      </c>
      <c r="H60" s="35">
        <f>+H59+G60</f>
        <v/>
      </c>
    </row>
    <row r="61" ht="14.65" customHeight="1" s="19">
      <c r="A61" s="20" t="n">
        <v>26</v>
      </c>
      <c r="C61" s="30">
        <f>+C60</f>
        <v/>
      </c>
      <c r="E61" s="30">
        <f>+SUM(C61:D61)</f>
        <v/>
      </c>
      <c r="F61" s="34">
        <f>+F60/(1+$D$15/12)</f>
        <v/>
      </c>
      <c r="G61" s="35">
        <f>+E61*F61</f>
        <v/>
      </c>
      <c r="H61" s="35">
        <f>+H60+G61</f>
        <v/>
      </c>
    </row>
    <row r="62" ht="14.65" customHeight="1" s="19">
      <c r="A62" s="20" t="n">
        <v>27</v>
      </c>
      <c r="C62" s="30">
        <f>+C61</f>
        <v/>
      </c>
      <c r="E62" s="30">
        <f>+SUM(C62:D62)</f>
        <v/>
      </c>
      <c r="F62" s="34">
        <f>+F61/(1+$D$15/12)</f>
        <v/>
      </c>
      <c r="G62" s="35">
        <f>+E62*F62</f>
        <v/>
      </c>
      <c r="H62" s="35">
        <f>+H61+G62</f>
        <v/>
      </c>
    </row>
    <row r="63" ht="14.65" customHeight="1" s="19">
      <c r="A63" s="20" t="n">
        <v>28</v>
      </c>
      <c r="C63" s="30">
        <f>+C62</f>
        <v/>
      </c>
      <c r="E63" s="30">
        <f>+SUM(C63:D63)</f>
        <v/>
      </c>
      <c r="F63" s="34">
        <f>+F62/(1+$D$15/12)</f>
        <v/>
      </c>
      <c r="G63" s="35">
        <f>+E63*F63</f>
        <v/>
      </c>
      <c r="H63" s="35">
        <f>+H62+G63</f>
        <v/>
      </c>
    </row>
    <row r="64" ht="14.65" customHeight="1" s="19">
      <c r="A64" s="20" t="n">
        <v>29</v>
      </c>
      <c r="C64" s="30">
        <f>+C63</f>
        <v/>
      </c>
      <c r="E64" s="30">
        <f>+SUM(C64:D64)</f>
        <v/>
      </c>
      <c r="F64" s="34">
        <f>+F63/(1+$D$15/12)</f>
        <v/>
      </c>
      <c r="G64" s="35">
        <f>+E64*F64</f>
        <v/>
      </c>
      <c r="H64" s="35">
        <f>+H63+G64</f>
        <v/>
      </c>
    </row>
    <row r="65" ht="14.65" customHeight="1" s="19">
      <c r="A65" s="20" t="n">
        <v>30</v>
      </c>
      <c r="C65" s="30">
        <f>+C64</f>
        <v/>
      </c>
      <c r="E65" s="30">
        <f>+SUM(C65:D65)</f>
        <v/>
      </c>
      <c r="F65" s="34">
        <f>+F64/(1+$D$15/12)</f>
        <v/>
      </c>
      <c r="G65" s="35">
        <f>+E65*F65</f>
        <v/>
      </c>
      <c r="H65" s="35">
        <f>+H64+G65</f>
        <v/>
      </c>
    </row>
    <row r="66" ht="14.65" customHeight="1" s="19">
      <c r="A66" s="20" t="n">
        <v>31</v>
      </c>
      <c r="C66" s="30">
        <f>+C65</f>
        <v/>
      </c>
      <c r="E66" s="30">
        <f>+SUM(C66:D66)</f>
        <v/>
      </c>
      <c r="F66" s="34">
        <f>+F65/(1+$D$15/12)</f>
        <v/>
      </c>
      <c r="G66" s="35">
        <f>+E66*F66</f>
        <v/>
      </c>
      <c r="H66" s="35">
        <f>+H65+G66</f>
        <v/>
      </c>
    </row>
    <row r="67" ht="14.65" customHeight="1" s="19">
      <c r="A67" s="20" t="n">
        <v>32</v>
      </c>
      <c r="C67" s="30">
        <f>+C66</f>
        <v/>
      </c>
      <c r="E67" s="30">
        <f>+SUM(C67:D67)</f>
        <v/>
      </c>
      <c r="F67" s="34">
        <f>+F66/(1+$D$15/12)</f>
        <v/>
      </c>
      <c r="G67" s="35">
        <f>+E67*F67</f>
        <v/>
      </c>
      <c r="H67" s="35">
        <f>+H66+G67</f>
        <v/>
      </c>
    </row>
    <row r="68" ht="14.65" customHeight="1" s="19">
      <c r="A68" s="20" t="n">
        <v>33</v>
      </c>
      <c r="C68" s="30">
        <f>+C67</f>
        <v/>
      </c>
      <c r="E68" s="30">
        <f>+SUM(C68:D68)</f>
        <v/>
      </c>
      <c r="F68" s="34">
        <f>+F67/(1+$D$15/12)</f>
        <v/>
      </c>
      <c r="G68" s="35">
        <f>+E68*F68</f>
        <v/>
      </c>
      <c r="H68" s="35">
        <f>+H67+G68</f>
        <v/>
      </c>
    </row>
    <row r="69" ht="14.65" customHeight="1" s="19">
      <c r="A69" s="20" t="n">
        <v>34</v>
      </c>
      <c r="C69" s="30">
        <f>+C68</f>
        <v/>
      </c>
      <c r="E69" s="30">
        <f>+SUM(C69:D69)</f>
        <v/>
      </c>
      <c r="F69" s="34">
        <f>+F68/(1+$D$15/12)</f>
        <v/>
      </c>
      <c r="G69" s="35">
        <f>+E69*F69</f>
        <v/>
      </c>
      <c r="H69" s="35">
        <f>+H68+G69</f>
        <v/>
      </c>
    </row>
    <row r="70" ht="14.65" customHeight="1" s="19">
      <c r="A70" s="20" t="n">
        <v>35</v>
      </c>
      <c r="C70" s="30">
        <f>+C69</f>
        <v/>
      </c>
      <c r="E70" s="30">
        <f>+SUM(C70:D70)</f>
        <v/>
      </c>
      <c r="F70" s="34">
        <f>+F69/(1+$D$15/12)</f>
        <v/>
      </c>
      <c r="G70" s="35">
        <f>+E70*F70</f>
        <v/>
      </c>
      <c r="H70" s="35">
        <f>+H69+G70</f>
        <v/>
      </c>
    </row>
    <row r="71" ht="14.65" customHeight="1" s="19">
      <c r="A71" s="20" t="n">
        <v>36</v>
      </c>
      <c r="C71" s="30">
        <f>+D14</f>
        <v/>
      </c>
      <c r="D71" s="23">
        <f>+D17*D14</f>
        <v/>
      </c>
      <c r="E71" s="30">
        <f>+SUM(C71:D71)</f>
        <v/>
      </c>
      <c r="F71" s="34">
        <f>+F70/(1+$D$15/12)</f>
        <v/>
      </c>
      <c r="G71" s="35">
        <f>+E71*F71</f>
        <v/>
      </c>
      <c r="H71" s="35">
        <f>+H70+G71</f>
        <v/>
      </c>
    </row>
    <row r="74" ht="14.65" customHeight="1" s="19">
      <c r="D74" s="30" t="n"/>
      <c r="E74" s="30" t="n"/>
    </row>
    <row r="75" ht="14.65" customHeight="1" s="19">
      <c r="D75" s="30" t="n"/>
      <c r="E75" s="30" t="n"/>
    </row>
    <row r="76" ht="14.65" customHeight="1" s="19">
      <c r="A76" s="31" t="n"/>
      <c r="B76" s="31" t="n"/>
      <c r="C76" s="31" t="n"/>
      <c r="D76" s="31" t="n"/>
      <c r="E76" s="31" t="n"/>
      <c r="F76" s="31" t="n"/>
      <c r="G76" s="31" t="n"/>
      <c r="H76" s="31" t="n"/>
    </row>
    <row r="77" ht="14.65" customHeight="1" s="19">
      <c r="A77" s="32" t="n"/>
      <c r="B77" s="32" t="n"/>
      <c r="C77" s="32" t="n"/>
      <c r="D77" s="32" t="n"/>
      <c r="E77" s="32" t="n"/>
      <c r="F77" s="32" t="n"/>
      <c r="G77" s="32" t="n"/>
      <c r="H77" s="32" t="n"/>
    </row>
    <row r="78" ht="14.65" customHeight="1" s="19">
      <c r="A78" s="33" t="n"/>
    </row>
    <row r="79" ht="14.65" customHeight="1" s="19">
      <c r="C79" s="30" t="n"/>
      <c r="E79" s="30" t="n"/>
      <c r="F79" s="34" t="n"/>
      <c r="G79" s="35" t="n"/>
      <c r="H79" s="35" t="n"/>
    </row>
    <row r="80" ht="14.65" customHeight="1" s="19">
      <c r="C80" s="30" t="n"/>
      <c r="E80" s="30" t="n"/>
      <c r="F80" s="34" t="n"/>
      <c r="G80" s="35" t="n"/>
      <c r="H80" s="35" t="n"/>
    </row>
    <row r="81" ht="14.65" customHeight="1" s="19">
      <c r="C81" s="30" t="n"/>
      <c r="E81" s="30" t="n"/>
      <c r="F81" s="34" t="n"/>
      <c r="G81" s="35" t="n"/>
      <c r="H81" s="35" t="n"/>
    </row>
    <row r="82" ht="14.65" customHeight="1" s="19">
      <c r="C82" s="30" t="n"/>
      <c r="E82" s="30" t="n"/>
      <c r="F82" s="34" t="n"/>
      <c r="G82" s="35" t="n"/>
      <c r="H82" s="35" t="n"/>
    </row>
    <row r="83" ht="14.65" customHeight="1" s="19">
      <c r="C83" s="30" t="n"/>
      <c r="E83" s="30" t="n"/>
      <c r="F83" s="34" t="n"/>
      <c r="G83" s="35" t="n"/>
      <c r="H83" s="35" t="n"/>
    </row>
    <row r="84" ht="14.65" customHeight="1" s="19">
      <c r="C84" s="30" t="n"/>
      <c r="E84" s="30" t="n"/>
      <c r="F84" s="34" t="n"/>
      <c r="G84" s="35" t="n"/>
      <c r="H84" s="35" t="n"/>
    </row>
    <row r="85" ht="14.65" customHeight="1" s="19">
      <c r="C85" s="30" t="n"/>
      <c r="E85" s="30" t="n"/>
      <c r="F85" s="34" t="n"/>
      <c r="G85" s="35" t="n"/>
      <c r="H85" s="35" t="n"/>
    </row>
    <row r="86" ht="14.65" customHeight="1" s="19">
      <c r="C86" s="30" t="n"/>
      <c r="E86" s="30" t="n"/>
      <c r="F86" s="34" t="n"/>
      <c r="G86" s="35" t="n"/>
      <c r="H86" s="35" t="n"/>
    </row>
    <row r="87" ht="14.65" customHeight="1" s="19">
      <c r="C87" s="30" t="n"/>
      <c r="E87" s="30" t="n"/>
      <c r="F87" s="34" t="n"/>
      <c r="G87" s="35" t="n"/>
      <c r="H87" s="35" t="n"/>
    </row>
    <row r="88" ht="14.65" customHeight="1" s="19">
      <c r="C88" s="30" t="n"/>
      <c r="E88" s="30" t="n"/>
      <c r="F88" s="34" t="n"/>
      <c r="G88" s="35" t="n"/>
      <c r="H88" s="35" t="n"/>
    </row>
    <row r="89" ht="14.65" customHeight="1" s="19">
      <c r="C89" s="30" t="n"/>
      <c r="E89" s="30" t="n"/>
      <c r="F89" s="34" t="n"/>
      <c r="G89" s="35" t="n"/>
      <c r="H89" s="35" t="n"/>
    </row>
    <row r="90" ht="14.65" customHeight="1" s="19">
      <c r="C90" s="30" t="n"/>
      <c r="E90" s="30" t="n"/>
      <c r="F90" s="34" t="n"/>
      <c r="G90" s="35" t="n"/>
      <c r="H90" s="35" t="n"/>
    </row>
    <row r="91" ht="14.65" customHeight="1" s="19">
      <c r="C91" s="30" t="n"/>
      <c r="E91" s="30" t="n"/>
      <c r="F91" s="34" t="n"/>
      <c r="G91" s="35" t="n"/>
      <c r="H91" s="35" t="n"/>
    </row>
    <row r="92" ht="14.65" customHeight="1" s="19">
      <c r="C92" s="30" t="n"/>
      <c r="E92" s="30" t="n"/>
      <c r="F92" s="34" t="n"/>
      <c r="G92" s="35" t="n"/>
      <c r="H92" s="35" t="n"/>
    </row>
    <row r="93" ht="14.65" customHeight="1" s="19">
      <c r="C93" s="30" t="n"/>
      <c r="E93" s="30" t="n"/>
      <c r="F93" s="34" t="n"/>
      <c r="G93" s="35" t="n"/>
      <c r="H93" s="35" t="n"/>
    </row>
    <row r="94" ht="14.65" customHeight="1" s="19">
      <c r="C94" s="30" t="n"/>
      <c r="E94" s="30" t="n"/>
      <c r="F94" s="34" t="n"/>
      <c r="G94" s="35" t="n"/>
      <c r="H94" s="35" t="n"/>
    </row>
    <row r="95" ht="14.65" customHeight="1" s="19">
      <c r="C95" s="30" t="n"/>
      <c r="E95" s="30" t="n"/>
      <c r="F95" s="34" t="n"/>
      <c r="G95" s="35" t="n"/>
      <c r="H95" s="35" t="n"/>
    </row>
    <row r="96" ht="14.65" customHeight="1" s="19">
      <c r="C96" s="30" t="n"/>
      <c r="E96" s="30" t="n"/>
      <c r="F96" s="34" t="n"/>
      <c r="G96" s="35" t="n"/>
      <c r="H96" s="35" t="n"/>
    </row>
    <row r="97" ht="14.65" customHeight="1" s="19">
      <c r="C97" s="30" t="n"/>
      <c r="E97" s="30" t="n"/>
      <c r="F97" s="34" t="n"/>
      <c r="G97" s="35" t="n"/>
      <c r="H97" s="35" t="n"/>
    </row>
    <row r="98" ht="14.65" customHeight="1" s="19">
      <c r="C98" s="30" t="n"/>
      <c r="E98" s="30" t="n"/>
      <c r="F98" s="34" t="n"/>
      <c r="G98" s="35" t="n"/>
      <c r="H98" s="35" t="n"/>
    </row>
    <row r="99" ht="14.65" customHeight="1" s="19">
      <c r="C99" s="30" t="n"/>
      <c r="E99" s="30" t="n"/>
      <c r="F99" s="34" t="n"/>
      <c r="G99" s="35" t="n"/>
      <c r="H99" s="35" t="n"/>
    </row>
    <row r="100" ht="14.65" customHeight="1" s="19">
      <c r="C100" s="30" t="n"/>
      <c r="E100" s="30" t="n"/>
      <c r="F100" s="34" t="n"/>
      <c r="G100" s="35" t="n"/>
      <c r="H100" s="35" t="n"/>
    </row>
    <row r="101" ht="14.65" customHeight="1" s="19">
      <c r="C101" s="30" t="n"/>
      <c r="E101" s="30" t="n"/>
      <c r="F101" s="34" t="n"/>
      <c r="G101" s="35" t="n"/>
      <c r="H101" s="35" t="n"/>
    </row>
    <row r="102" ht="14.65" customHeight="1" s="19">
      <c r="C102" s="30" t="n"/>
      <c r="E102" s="30" t="n"/>
      <c r="F102" s="34" t="n"/>
      <c r="G102" s="35" t="n"/>
      <c r="H102" s="35" t="n"/>
    </row>
    <row r="103" ht="14.65" customHeight="1" s="19">
      <c r="C103" s="30" t="n"/>
      <c r="E103" s="30" t="n"/>
      <c r="F103" s="34" t="n"/>
      <c r="G103" s="35" t="n"/>
      <c r="H103" s="35" t="n"/>
    </row>
    <row r="104" ht="14.65" customHeight="1" s="19">
      <c r="C104" s="30" t="n"/>
      <c r="E104" s="30" t="n"/>
      <c r="F104" s="34" t="n"/>
      <c r="G104" s="35" t="n"/>
      <c r="H104" s="35" t="n"/>
    </row>
    <row r="105" ht="14.65" customHeight="1" s="19">
      <c r="C105" s="30" t="n"/>
      <c r="E105" s="30" t="n"/>
      <c r="F105" s="34" t="n"/>
      <c r="G105" s="35" t="n"/>
      <c r="H105" s="35" t="n"/>
    </row>
    <row r="106" ht="14.65" customHeight="1" s="19">
      <c r="C106" s="30" t="n"/>
      <c r="E106" s="30" t="n"/>
      <c r="F106" s="34" t="n"/>
      <c r="G106" s="35" t="n"/>
      <c r="H106" s="35" t="n"/>
    </row>
    <row r="107" ht="14.65" customHeight="1" s="19">
      <c r="C107" s="30" t="n"/>
      <c r="E107" s="30" t="n"/>
      <c r="F107" s="34" t="n"/>
      <c r="G107" s="35" t="n"/>
      <c r="H107" s="35" t="n"/>
    </row>
    <row r="108" ht="14.65" customHeight="1" s="19">
      <c r="C108" s="30" t="n"/>
      <c r="E108" s="30" t="n"/>
      <c r="F108" s="34" t="n"/>
      <c r="G108" s="35" t="n"/>
      <c r="H108" s="35" t="n"/>
    </row>
    <row r="109" ht="14.65" customHeight="1" s="19">
      <c r="C109" s="30" t="n"/>
      <c r="E109" s="30" t="n"/>
      <c r="F109" s="34" t="n"/>
      <c r="G109" s="35" t="n"/>
      <c r="H109" s="35" t="n"/>
    </row>
    <row r="110" ht="14.65" customHeight="1" s="19">
      <c r="C110" s="30" t="n"/>
      <c r="E110" s="30" t="n"/>
      <c r="F110" s="34" t="n"/>
      <c r="G110" s="35" t="n"/>
      <c r="H110" s="35" t="n"/>
    </row>
    <row r="111" ht="14.65" customHeight="1" s="19">
      <c r="C111" s="30" t="n"/>
      <c r="E111" s="30" t="n"/>
      <c r="F111" s="34" t="n"/>
      <c r="G111" s="35" t="n"/>
      <c r="H111" s="35" t="n"/>
    </row>
    <row r="112" ht="14.65" customHeight="1" s="19">
      <c r="C112" s="30" t="n"/>
      <c r="E112" s="30" t="n"/>
      <c r="F112" s="34" t="n"/>
      <c r="G112" s="35" t="n"/>
      <c r="H112" s="35" t="n"/>
    </row>
    <row r="113" ht="14.65" customHeight="1" s="19">
      <c r="C113" s="30" t="n"/>
      <c r="E113" s="30" t="n"/>
      <c r="F113" s="34" t="n"/>
      <c r="G113" s="35" t="n"/>
      <c r="H113" s="35" t="n"/>
    </row>
    <row r="114" ht="14.65" customHeight="1" s="19">
      <c r="C114" s="30" t="n"/>
      <c r="E114" s="30" t="n"/>
      <c r="F114" s="34" t="n"/>
      <c r="G114" s="35" t="n"/>
      <c r="H114" s="35" t="n"/>
    </row>
    <row r="115" ht="14.65" customHeight="1" s="19">
      <c r="C115" s="30" t="n"/>
      <c r="D115" s="23" t="n"/>
      <c r="E115" s="30" t="n"/>
      <c r="F115" s="34" t="n"/>
      <c r="G115" s="35" t="n"/>
      <c r="H115" s="35" t="n"/>
    </row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2026-03-05T04:05:38Z</dcterms:created>
  <dcterms:modified xsi:type="dcterms:W3CDTF">2026-03-05T04:05:38Z</dcterms:modified>
  <cp:revision>0</cp:revision>
</cp:coreProperties>
</file>