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date1904="1"/>
  <workbookProtection/>
  <bookViews>
    <workbookView visibility="visible" minimized="0" showHorizontalScroll="1" showVerticalScroll="1" showSheetTabs="1" xWindow="0" yWindow="0" windowWidth="16384" windowHeight="8192" tabRatio="500" firstSheet="0" activeTab="0" autoFilterDateGrouping="1"/>
  </bookViews>
  <sheets>
    <sheet name="model.xls" sheetId="1" state="visible" r:id="rId1"/>
  </sheets>
  <definedNames/>
  <calcPr calcId="124519" fullCalcOnLoad="1" refMode="A1" iterate="0" iterateCount="100" iterateDelta="0.001"/>
</workbook>
</file>

<file path=xl/styles.xml><?xml version="1.0" encoding="utf-8"?>
<styleSheet xmlns="http://schemas.openxmlformats.org/spreadsheetml/2006/main">
  <numFmts count="2">
    <numFmt numFmtId="164" formatCode="\$#,##0.00_);[RED]&quot;($&quot;#,##0.00\)"/>
    <numFmt numFmtId="165" formatCode="\$#,##0.00_);&quot;($&quot;#,##0.00\)"/>
  </numFmts>
  <fonts count="13">
    <font>
      <name val="Geneva"/>
      <family val="0"/>
      <sz val="10"/>
    </font>
    <font>
      <name val="Arial"/>
      <family val="0"/>
      <sz val="10"/>
    </font>
    <font>
      <name val="Arial"/>
      <family val="0"/>
      <sz val="10"/>
    </font>
    <font>
      <name val="Arial"/>
      <family val="0"/>
      <sz val="10"/>
    </font>
    <font>
      <name val="Times New Roman"/>
      <family val="0"/>
      <sz val="18"/>
    </font>
    <font>
      <name val="Times New Roman"/>
      <family val="0"/>
      <sz val="14"/>
    </font>
    <font>
      <name val="Times New Roman"/>
      <family val="0"/>
      <sz val="10"/>
    </font>
    <font>
      <name val="Times New Roman"/>
      <family val="0"/>
      <b val="1"/>
      <sz val="10"/>
    </font>
    <font>
      <name val="Times New Roman"/>
      <family val="0"/>
      <i val="1"/>
      <sz val="10"/>
    </font>
    <font>
      <name val="Times New Roman"/>
      <family val="0"/>
      <b val="1"/>
      <color rgb="FFFF0000"/>
      <sz val="10"/>
    </font>
    <font>
      <name val="Times New Roman"/>
      <family val="0"/>
      <sz val="12"/>
    </font>
    <font>
      <name val="Geneva"/>
      <family val="0"/>
      <b val="1"/>
      <color rgb="FF000000"/>
      <sz val="9"/>
    </font>
    <font>
      <name val="Geneva"/>
      <family val="0"/>
      <color rgb="FF000000"/>
      <sz val="9"/>
    </font>
  </fonts>
  <fills count="3">
    <fill>
      <patternFill/>
    </fill>
    <fill>
      <patternFill patternType="gray125"/>
    </fill>
    <fill>
      <patternFill patternType="solid">
        <fgColor rgb="FFFFFF00"/>
        <bgColor rgb="FFFFFF00"/>
      </patternFill>
    </fill>
  </fills>
  <borders count="14">
    <border>
      <left/>
      <right/>
      <top/>
      <bottom/>
      <diagonal/>
    </border>
    <border>
      <left style="thin"/>
      <right style="thin"/>
      <top style="thin"/>
      <bottom style="thin"/>
      <diagonal/>
    </border>
    <border>
      <left style="thin"/>
      <right style="thin"/>
      <top/>
      <bottom style="thin"/>
      <diagonal/>
    </border>
    <border>
      <left style="thin"/>
      <right style="thin"/>
      <top/>
      <bottom/>
      <diagonal/>
    </border>
    <border>
      <left/>
      <right/>
      <top style="thin"/>
      <bottom/>
      <diagonal/>
    </border>
    <border>
      <left/>
      <right/>
      <top/>
      <bottom style="double"/>
      <diagonal/>
    </border>
    <border>
      <left style="medium"/>
      <right/>
      <top style="medium"/>
      <bottom/>
      <diagonal/>
    </border>
    <border>
      <left/>
      <right/>
      <top style="medium"/>
      <bottom/>
      <diagonal/>
    </border>
    <border>
      <left/>
      <right style="medium"/>
      <top style="medium"/>
      <bottom/>
      <diagonal/>
    </border>
    <border>
      <left style="medium"/>
      <right/>
      <top/>
      <bottom/>
      <diagonal/>
    </border>
    <border>
      <left/>
      <right style="medium"/>
      <top/>
      <bottom/>
      <diagonal/>
    </border>
    <border>
      <left style="medium"/>
      <right/>
      <top/>
      <bottom style="medium"/>
      <diagonal/>
    </border>
    <border>
      <left/>
      <right/>
      <top/>
      <bottom style="medium"/>
      <diagonal/>
    </border>
    <border>
      <left/>
      <right style="medium"/>
      <top/>
      <bottom style="medium"/>
      <diagonal/>
    </border>
  </borders>
  <cellStyleXfs count="6">
    <xf numFmtId="0" fontId="0" fillId="0" borderId="0" applyAlignment="1">
      <alignment horizontal="general" vertical="bottom"/>
    </xf>
    <xf numFmtId="43" fontId="3" fillId="0" borderId="0"/>
    <xf numFmtId="41" fontId="3" fillId="0" borderId="0"/>
    <xf numFmtId="164" fontId="0" fillId="0" borderId="0"/>
    <xf numFmtId="42" fontId="3" fillId="0" borderId="0"/>
    <xf numFmtId="9" fontId="3" fillId="0" borderId="0"/>
  </cellStyleXfs>
  <cellXfs count="72">
    <xf numFmtId="0" fontId="0" fillId="0" borderId="0" applyAlignment="1" pivotButton="0" quotePrefix="0" xfId="0">
      <alignment horizontal="general" vertical="bottom"/>
    </xf>
    <xf numFmtId="0" fontId="4" fillId="0" borderId="0" applyAlignment="1" pivotButton="0" quotePrefix="0" xfId="0">
      <alignment horizontal="center" vertical="bottom"/>
    </xf>
    <xf numFmtId="0" fontId="4" fillId="0" borderId="0" applyAlignment="1" pivotButton="0" quotePrefix="0" xfId="0">
      <alignment horizontal="center" vertical="bottom"/>
    </xf>
    <xf numFmtId="0" fontId="0" fillId="0" borderId="0" applyAlignment="1" pivotButton="0" quotePrefix="0" xfId="0">
      <alignment horizontal="center" vertical="bottom"/>
    </xf>
    <xf numFmtId="0" fontId="5" fillId="0" borderId="0" applyAlignment="1" pivotButton="0" quotePrefix="0" xfId="0">
      <alignment horizontal="center" vertical="bottom"/>
    </xf>
    <xf numFmtId="0" fontId="6" fillId="0" borderId="0" applyAlignment="1" pivotButton="0" quotePrefix="0" xfId="0">
      <alignment horizontal="general" vertical="bottom"/>
    </xf>
    <xf numFmtId="0" fontId="7" fillId="0" borderId="0" applyAlignment="1" pivotButton="0" quotePrefix="0" xfId="0">
      <alignment horizontal="center" vertical="bottom"/>
    </xf>
    <xf numFmtId="0" fontId="7" fillId="0" borderId="0" applyAlignment="1" pivotButton="0" quotePrefix="0" xfId="0">
      <alignment horizontal="general" vertical="bottom"/>
    </xf>
    <xf numFmtId="164" fontId="6" fillId="0" borderId="0" applyAlignment="1" pivotButton="0" quotePrefix="0" xfId="17">
      <alignment horizontal="center" vertical="bottom"/>
    </xf>
    <xf numFmtId="0" fontId="6" fillId="0" borderId="0" applyAlignment="1" pivotButton="0" quotePrefix="0" xfId="0">
      <alignment horizontal="center" vertical="bottom"/>
    </xf>
    <xf numFmtId="164" fontId="6" fillId="2" borderId="1" applyAlignment="1" pivotButton="0" quotePrefix="0" xfId="17">
      <alignment horizontal="center" vertical="bottom"/>
    </xf>
    <xf numFmtId="0" fontId="8" fillId="0" borderId="0" applyAlignment="1" pivotButton="0" quotePrefix="0" xfId="0">
      <alignment horizontal="general" vertical="bottom"/>
    </xf>
    <xf numFmtId="10" fontId="6" fillId="2" borderId="1" applyAlignment="1" pivotButton="0" quotePrefix="0" xfId="0">
      <alignment horizontal="center" vertical="bottom"/>
    </xf>
    <xf numFmtId="10" fontId="6" fillId="2" borderId="2" applyAlignment="1" pivotButton="0" quotePrefix="0" xfId="0">
      <alignment horizontal="center" vertical="bottom"/>
    </xf>
    <xf numFmtId="0" fontId="6" fillId="2" borderId="3" applyAlignment="1" pivotButton="0" quotePrefix="0" xfId="0">
      <alignment horizontal="center" vertical="bottom"/>
    </xf>
    <xf numFmtId="0" fontId="6" fillId="0" borderId="4" applyAlignment="1" pivotButton="0" quotePrefix="0" xfId="0">
      <alignment horizontal="general" vertical="bottom"/>
    </xf>
    <xf numFmtId="0" fontId="7" fillId="0" borderId="4" applyAlignment="1" pivotButton="0" quotePrefix="0" xfId="0">
      <alignment horizontal="general" vertical="bottom"/>
    </xf>
    <xf numFmtId="0" fontId="6" fillId="0" borderId="4" applyAlignment="1" pivotButton="0" quotePrefix="0" xfId="0">
      <alignment horizontal="center" vertical="bottom"/>
    </xf>
    <xf numFmtId="0" fontId="6" fillId="0" borderId="0" applyAlignment="1" pivotButton="0" quotePrefix="0" xfId="0">
      <alignment horizontal="general" vertical="bottom"/>
    </xf>
    <xf numFmtId="0" fontId="6" fillId="0" borderId="0" applyAlignment="1" pivotButton="0" quotePrefix="0" xfId="0">
      <alignment horizontal="center" vertical="bottom"/>
    </xf>
    <xf numFmtId="0" fontId="6" fillId="0" borderId="5" applyAlignment="1" pivotButton="0" quotePrefix="0" xfId="0">
      <alignment horizontal="general" vertical="bottom"/>
    </xf>
    <xf numFmtId="0" fontId="6" fillId="0" borderId="5" applyAlignment="1" pivotButton="0" quotePrefix="0" xfId="0">
      <alignment horizontal="center" vertical="bottom"/>
    </xf>
    <xf numFmtId="0" fontId="6" fillId="2" borderId="1" applyAlignment="1" pivotButton="0" quotePrefix="0" xfId="0">
      <alignment horizontal="center" vertical="bottom"/>
    </xf>
    <xf numFmtId="0" fontId="6" fillId="2" borderId="2" applyAlignment="1" pivotButton="0" quotePrefix="0" xfId="0">
      <alignment horizontal="center" vertical="bottom"/>
    </xf>
    <xf numFmtId="165" fontId="6" fillId="2" borderId="1" applyAlignment="1" pivotButton="0" quotePrefix="0" xfId="0">
      <alignment horizontal="center" vertical="bottom"/>
    </xf>
    <xf numFmtId="165" fontId="6" fillId="2" borderId="2" applyAlignment="1" pivotButton="0" quotePrefix="0" xfId="0">
      <alignment horizontal="center" vertical="bottom"/>
    </xf>
    <xf numFmtId="165" fontId="6" fillId="0" borderId="1" applyAlignment="1" pivotButton="0" quotePrefix="0" xfId="0">
      <alignment horizontal="center" vertical="bottom"/>
    </xf>
    <xf numFmtId="165" fontId="6" fillId="0" borderId="0" applyAlignment="1" pivotButton="0" quotePrefix="0" xfId="0">
      <alignment horizontal="general" vertical="bottom"/>
    </xf>
    <xf numFmtId="0" fontId="6" fillId="0" borderId="6" applyAlignment="1" pivotButton="0" quotePrefix="0" xfId="0">
      <alignment horizontal="general" vertical="bottom"/>
    </xf>
    <xf numFmtId="0" fontId="6" fillId="0" borderId="7" applyAlignment="1" pivotButton="0" quotePrefix="0" xfId="0">
      <alignment horizontal="general" vertical="bottom"/>
    </xf>
    <xf numFmtId="0" fontId="9" fillId="0" borderId="8" applyAlignment="1" pivotButton="0" quotePrefix="0" xfId="0">
      <alignment horizontal="general" vertical="bottom"/>
    </xf>
    <xf numFmtId="0" fontId="6" fillId="0" borderId="9" applyAlignment="1" pivotButton="0" quotePrefix="0" xfId="0">
      <alignment horizontal="general" vertical="bottom"/>
    </xf>
    <xf numFmtId="0" fontId="9" fillId="0" borderId="10" applyAlignment="1" pivotButton="0" quotePrefix="0" xfId="0">
      <alignment horizontal="general" vertical="bottom"/>
    </xf>
    <xf numFmtId="0" fontId="6" fillId="0" borderId="11" applyAlignment="1" pivotButton="0" quotePrefix="0" xfId="0">
      <alignment horizontal="general" vertical="bottom"/>
    </xf>
    <xf numFmtId="0" fontId="6" fillId="0" borderId="12" applyAlignment="1" pivotButton="0" quotePrefix="0" xfId="0">
      <alignment horizontal="general" vertical="bottom"/>
    </xf>
    <xf numFmtId="0" fontId="9" fillId="0" borderId="13" applyAlignment="1" pivotButton="0" quotePrefix="0" xfId="0">
      <alignment horizontal="general" vertical="bottom"/>
    </xf>
    <xf numFmtId="0" fontId="1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center" vertical="bottom"/>
    </xf>
    <xf numFmtId="0" fontId="0" fillId="0" borderId="0" applyAlignment="1" pivotButton="0" quotePrefix="0" xfId="0">
      <alignment horizontal="center" vertical="bottom"/>
    </xf>
    <xf numFmtId="0" fontId="5" fillId="0" borderId="0" applyAlignment="1" pivotButton="0" quotePrefix="0" xfId="0">
      <alignment horizontal="center" vertical="bottom"/>
    </xf>
    <xf numFmtId="0" fontId="6" fillId="0" borderId="0" applyAlignment="1" pivotButton="0" quotePrefix="0" xfId="0">
      <alignment horizontal="general" vertical="bottom"/>
    </xf>
    <xf numFmtId="0" fontId="7" fillId="0" borderId="0" applyAlignment="1" pivotButton="0" quotePrefix="0" xfId="0">
      <alignment horizontal="center" vertical="bottom"/>
    </xf>
    <xf numFmtId="0" fontId="7" fillId="0" borderId="0" applyAlignment="1" pivotButton="0" quotePrefix="0" xfId="0">
      <alignment horizontal="general" vertical="bottom"/>
    </xf>
    <xf numFmtId="164" fontId="6" fillId="0" borderId="0" applyAlignment="1" pivotButton="0" quotePrefix="0" xfId="17">
      <alignment horizontal="center" vertical="bottom"/>
    </xf>
    <xf numFmtId="0" fontId="6" fillId="0" borderId="0" applyAlignment="1" pivotButton="0" quotePrefix="0" xfId="0">
      <alignment horizontal="center" vertical="bottom"/>
    </xf>
    <xf numFmtId="164" fontId="6" fillId="2" borderId="1" applyAlignment="1" pivotButton="0" quotePrefix="0" xfId="17">
      <alignment horizontal="center" vertical="bottom"/>
    </xf>
    <xf numFmtId="0" fontId="8" fillId="0" borderId="0" applyAlignment="1" pivotButton="0" quotePrefix="0" xfId="0">
      <alignment horizontal="general" vertical="bottom"/>
    </xf>
    <xf numFmtId="10" fontId="6" fillId="2" borderId="1" applyAlignment="1" pivotButton="0" quotePrefix="0" xfId="0">
      <alignment horizontal="center" vertical="bottom"/>
    </xf>
    <xf numFmtId="10" fontId="6" fillId="2" borderId="2" applyAlignment="1" pivotButton="0" quotePrefix="0" xfId="0">
      <alignment horizontal="center" vertical="bottom"/>
    </xf>
    <xf numFmtId="0" fontId="6" fillId="2" borderId="3" applyAlignment="1" pivotButton="0" quotePrefix="0" xfId="0">
      <alignment horizontal="center" vertical="bottom"/>
    </xf>
    <xf numFmtId="0" fontId="6" fillId="0" borderId="4" applyAlignment="1" pivotButton="0" quotePrefix="0" xfId="0">
      <alignment horizontal="general" vertical="bottom"/>
    </xf>
    <xf numFmtId="0" fontId="7" fillId="0" borderId="4" applyAlignment="1" pivotButton="0" quotePrefix="0" xfId="0">
      <alignment horizontal="general" vertical="bottom"/>
    </xf>
    <xf numFmtId="0" fontId="6" fillId="0" borderId="4" applyAlignment="1" pivotButton="0" quotePrefix="0" xfId="0">
      <alignment horizontal="center" vertical="bottom"/>
    </xf>
    <xf numFmtId="0" fontId="6" fillId="0" borderId="5" applyAlignment="1" pivotButton="0" quotePrefix="0" xfId="0">
      <alignment horizontal="general" vertical="bottom"/>
    </xf>
    <xf numFmtId="0" fontId="6" fillId="0" borderId="5" applyAlignment="1" pivotButton="0" quotePrefix="0" xfId="0">
      <alignment horizontal="center" vertical="bottom"/>
    </xf>
    <xf numFmtId="0" fontId="6" fillId="2" borderId="1" applyAlignment="1" pivotButton="0" quotePrefix="0" xfId="0">
      <alignment horizontal="center" vertical="bottom"/>
    </xf>
    <xf numFmtId="0" fontId="6" fillId="2" borderId="2" applyAlignment="1" pivotButton="0" quotePrefix="0" xfId="0">
      <alignment horizontal="center" vertical="bottom"/>
    </xf>
    <xf numFmtId="165" fontId="6" fillId="2" borderId="1" applyAlignment="1" pivotButton="0" quotePrefix="0" xfId="0">
      <alignment horizontal="center" vertical="bottom"/>
    </xf>
    <xf numFmtId="165" fontId="6" fillId="2" borderId="2" applyAlignment="1" pivotButton="0" quotePrefix="0" xfId="0">
      <alignment horizontal="center" vertical="bottom"/>
    </xf>
    <xf numFmtId="165" fontId="6" fillId="0" borderId="1" applyAlignment="1" pivotButton="0" quotePrefix="0" xfId="0">
      <alignment horizontal="center" vertical="bottom"/>
    </xf>
    <xf numFmtId="165" fontId="6" fillId="0" borderId="0" applyAlignment="1" pivotButton="0" quotePrefix="0" xfId="0">
      <alignment horizontal="general" vertical="bottom"/>
    </xf>
    <xf numFmtId="0" fontId="6" fillId="0" borderId="6" applyAlignment="1" pivotButton="0" quotePrefix="0" xfId="0">
      <alignment horizontal="general" vertical="bottom"/>
    </xf>
    <xf numFmtId="0" fontId="6" fillId="0" borderId="7" applyAlignment="1" pivotButton="0" quotePrefix="0" xfId="0">
      <alignment horizontal="general" vertical="bottom"/>
    </xf>
    <xf numFmtId="0" fontId="9" fillId="0" borderId="8" applyAlignment="1" pivotButton="0" quotePrefix="0" xfId="0">
      <alignment horizontal="general" vertical="bottom"/>
    </xf>
    <xf numFmtId="0" fontId="6" fillId="0" borderId="9" applyAlignment="1" pivotButton="0" quotePrefix="0" xfId="0">
      <alignment horizontal="general" vertical="bottom"/>
    </xf>
    <xf numFmtId="0" fontId="9" fillId="0" borderId="10" applyAlignment="1" pivotButton="0" quotePrefix="0" xfId="0">
      <alignment horizontal="general" vertical="bottom"/>
    </xf>
    <xf numFmtId="0" fontId="6" fillId="0" borderId="11" applyAlignment="1" pivotButton="0" quotePrefix="0" xfId="0">
      <alignment horizontal="general" vertical="bottom"/>
    </xf>
    <xf numFmtId="0" fontId="6" fillId="0" borderId="12" applyAlignment="1" pivotButton="0" quotePrefix="0" xfId="0">
      <alignment horizontal="general" vertical="bottom"/>
    </xf>
    <xf numFmtId="0" fontId="9" fillId="0" borderId="13" applyAlignment="1" pivotButton="0" quotePrefix="0" xfId="0">
      <alignment horizontal="general" vertical="bottom"/>
    </xf>
    <xf numFmtId="0" fontId="10"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comments/comment1.xml><?xml version="1.0" encoding="utf-8"?>
<comments xmlns="http://schemas.openxmlformats.org/spreadsheetml/2006/main">
  <authors>
    <author>Unknown Author</author>
  </authors>
  <commentList>
    <comment ref="D8" authorId="0" shapeId="0">
      <text>
        <t>Aswath Damodaran:
If your net income positive, enter yes.</t>
      </text>
    </comment>
    <comment ref="E11" authorId="0" shapeId="0">
      <text>
        <t>Aswath Damodaran:
The expected inflation rate can be estimated from economists' forecasts.</t>
      </text>
    </comment>
    <comment ref="E12" authorId="0" shapeId="0">
      <text>
        <t>Aswath Damodaran:
If an inflation-indexed bond trades in this market, you can use the interest rate on that bond.</t>
      </text>
    </comment>
    <comment ref="F14" authorId="0" shapeId="0">
      <text>
        <t>Aswath Damodaran:
This growth rate is the expected growth rate in earnings, if your firm has positive earnings or the expected growth rate in revenues, if it has negative earnings. (If you can get a forecast, use it. If not, enter last year's growth)</t>
      </text>
    </comment>
    <comment ref="F15" authorId="0" shapeId="0">
      <text>
        <t>Aswath Damodaran:
This is a subjective judgment but it is a critical one.</t>
      </text>
    </comment>
    <comment ref="F22" authorId="0" shapeId="0">
      <text>
        <t>Aswath Damodaran:
If your firm is a cyclical firm and the economy is in a recession, enter yes. If not, enter no.</t>
      </text>
    </comment>
    <comment ref="F23" authorId="0" shapeId="0">
      <text>
        <t>Aswath Damodaran:
If the earnings are negative because of a one-time occurrence or temporary phenomenon, answer yes.</t>
      </text>
    </comment>
    <comment ref="F24" authorId="0" shapeId="0">
      <text>
        <t>Aswath Damodaran:
If your firm has similar operating margins as other firms in the business, but far more debt than similar firms, enter yes</t>
      </text>
    </comment>
    <comment ref="F25" authorId="0" shapeId="0">
      <text>
        <t>Aswath Damodaran:
If you have a firm that is losing money because of where it is in the life cycle or because of infra-structure costs, enter yes.</t>
      </text>
    </comment>
    <comment ref="F26" authorId="0" shapeId="0">
      <text>
        <t xml:space="preserve">Aswath Damodaran:
If earnings are negative because of where the firm is in its life cycle, answer yes. </t>
      </text>
    </comment>
    <comment ref="F28" authorId="0" shapeId="0">
      <text>
        <t>Aswath Damodaran:
Debt Ratio = Market value of debt/(Market value of debt + Market value of equity)</t>
      </text>
    </comment>
    <comment ref="F29" authorId="0" shapeId="0">
      <text>
        <t>Aswath Damodaran:
This is a subjective judgment based upon the firm's history and how similar (or different) its leverage is to the rest of the industry.</t>
      </text>
    </comment>
    <comment ref="F32" authorId="0" shapeId="0">
      <text>
        <t>Aswath Damodaran:
This is the cumulative dividends paid by the firm on its common stock.</t>
      </text>
    </comment>
    <comment ref="F33" authorId="0" shapeId="0">
      <text>
        <t>Aswath Damodaran:
For some financial service firms, you might be unable to estimate cap ex or working capital.</t>
      </text>
    </comment>
    <comment ref="E35" authorId="0" shapeId="0">
      <text>
        <t>Aswath Damodaran:
Enter the net income before extraordinary items from last year.</t>
      </text>
    </comment>
    <comment ref="E36" authorId="0" shapeId="0">
      <text>
        <t>Aswath Damodaran:
Enter the depreciation and amortization from the most recent year.</t>
      </text>
    </comment>
    <comment ref="E37" authorId="0" shapeId="0">
      <text>
        <t>Aswath Damodaran:
Enter the total capital spending, including acquisitions, from the most recent year.</t>
      </text>
    </comment>
    <comment ref="E38" authorId="0" shapeId="0">
      <text>
        <t>Aswath Damodaran:
Enter the change in non-cash working capital: an increase as a positive number and a decrease as a negative number.</t>
      </text>
    </comment>
  </commentList>
</comment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filterMode="0">
    <outlinePr summaryBelow="1" summaryRight="1"/>
    <pageSetUpPr fitToPage="0"/>
  </sheetPr>
  <dimension ref="B1:I49"/>
  <sheetViews>
    <sheetView showFormulas="0" showGridLines="1" showRowColHeaders="1" showZeros="0"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2.421875" defaultRowHeight="13" zeroHeight="0" outlineLevelRow="0"/>
  <cols>
    <col width="2.7" customWidth="1" style="37" min="1" max="1"/>
    <col width="12.7" customWidth="1" style="37" min="2" max="5"/>
    <col width="16.28" customWidth="1" style="37" min="6" max="6"/>
    <col width="12.7" customWidth="1" style="37" min="7" max="8"/>
    <col width="12.7" customWidth="1" style="37" min="13" max="13"/>
  </cols>
  <sheetData>
    <row r="1" ht="20" customHeight="1" s="38">
      <c r="B1" s="39" t="inlineStr">
        <is>
          <t>CHOOSING THE RIGHT VALUATION MODEL</t>
        </is>
      </c>
    </row>
    <row r="2" ht="20" customHeight="1" s="38">
      <c r="B2" s="39" t="n"/>
      <c r="C2" s="40" t="n"/>
      <c r="D2" s="40" t="n"/>
      <c r="E2" s="40" t="n"/>
      <c r="F2" s="40" t="n"/>
      <c r="G2" s="40" t="n"/>
      <c r="H2" s="40" t="n"/>
      <c r="I2" s="40" t="n"/>
    </row>
    <row r="3" ht="20" customHeight="1" s="38">
      <c r="B3" s="41" t="inlineStr">
        <is>
          <t>This program is designed to help in choosing the right model to</t>
        </is>
      </c>
    </row>
    <row r="4" ht="20" customHeight="1" s="38">
      <c r="B4" s="41" t="inlineStr">
        <is>
          <t>use for any occassion.</t>
        </is>
      </c>
    </row>
    <row r="5" ht="20" customFormat="1" customHeight="1" s="42"/>
    <row r="6" ht="20" customFormat="1" customHeight="1" s="42">
      <c r="B6" s="43" t="inlineStr">
        <is>
          <t>Inputs to the model</t>
        </is>
      </c>
    </row>
    <row r="7" ht="20" customFormat="1" customHeight="1" s="42">
      <c r="B7" s="44" t="inlineStr">
        <is>
          <t xml:space="preserve"> Level of Earnings</t>
        </is>
      </c>
      <c r="D7" s="45" t="n"/>
      <c r="E7" s="46" t="inlineStr">
        <is>
          <t>(in currency)</t>
        </is>
      </c>
    </row>
    <row r="8" ht="20" customFormat="1" customHeight="1" s="42">
      <c r="B8" s="42" t="inlineStr">
        <is>
          <t>Are your earnings positive ?</t>
        </is>
      </c>
      <c r="D8" s="47" t="inlineStr">
        <is>
          <t>Yes</t>
        </is>
      </c>
      <c r="E8" s="46" t="inlineStr">
        <is>
          <t>(Yes or No)</t>
        </is>
      </c>
    </row>
    <row r="9" ht="20" customFormat="1" customHeight="1" s="42"/>
    <row r="10" ht="20" customFormat="1" customHeight="1" s="42">
      <c r="B10" s="48" t="inlineStr">
        <is>
          <t>If the earnings are positive and normal, please enter the following:</t>
        </is>
      </c>
    </row>
    <row r="11" ht="20" customFormat="1" customHeight="1" s="42">
      <c r="B11" s="42" t="inlineStr">
        <is>
          <t>What is the expected inflation rate in the economy?</t>
        </is>
      </c>
      <c r="E11" s="49" t="n">
        <v>0.03</v>
      </c>
      <c r="F11" s="46" t="inlineStr">
        <is>
          <t>(in percent)</t>
        </is>
      </c>
    </row>
    <row r="12" ht="20" customFormat="1" customHeight="1" s="42">
      <c r="B12" s="42" t="inlineStr">
        <is>
          <t>What is the expected real growth rate in the economy?</t>
        </is>
      </c>
      <c r="E12" s="50" t="n">
        <v>0.02</v>
      </c>
      <c r="F12" s="46" t="inlineStr">
        <is>
          <t>(in percent)</t>
        </is>
      </c>
    </row>
    <row r="13" ht="20" customFormat="1" customHeight="1" s="42"/>
    <row r="14" ht="20" customFormat="1" customHeight="1" s="42">
      <c r="B14" s="42" t="inlineStr">
        <is>
          <t>What is the expected growth rate in earnings (revenues) for this firm in the near future?</t>
        </is>
      </c>
      <c r="F14" s="49" t="n">
        <v>0.15</v>
      </c>
      <c r="G14" s="46" t="inlineStr">
        <is>
          <t>(in percent)</t>
        </is>
      </c>
    </row>
    <row r="15" ht="20" customFormat="1" customHeight="1" s="42">
      <c r="B15" s="42" t="inlineStr">
        <is>
          <t>Does this firm have a significant and sustainable advantage over competitors?</t>
        </is>
      </c>
      <c r="F15" s="51" t="inlineStr">
        <is>
          <t>Yes</t>
        </is>
      </c>
      <c r="G15" s="46" t="inlineStr">
        <is>
          <t>(Yes or No)</t>
        </is>
      </c>
    </row>
    <row r="16" ht="20" customFormat="1" customHeight="1" s="52">
      <c r="B16" s="53" t="inlineStr">
        <is>
          <t>Differential Advantages: High growth comes from a firm earning excess returns on its projects, which in turn comes from some differential advantage</t>
        </is>
      </c>
      <c r="F16" s="54" t="n"/>
      <c r="G16" s="54" t="n"/>
    </row>
    <row r="17" ht="20" customFormat="1" customHeight="1" s="42">
      <c r="B17" s="42" t="inlineStr">
        <is>
          <t>possessed by the firm over its competitors. This differential advantage can be legal (as is the case with legal monopolies like telecom), or technological,</t>
        </is>
      </c>
      <c r="F17" s="46" t="n"/>
      <c r="G17" s="46" t="n"/>
    </row>
    <row r="18" ht="20" customFormat="1" customHeight="1" s="42">
      <c r="B18" s="42" t="inlineStr">
        <is>
          <t>or a strong brand name (as is the case with many consumer product firms) or economies of scale. The question that is being asked relates not just to</t>
        </is>
      </c>
      <c r="F18" s="46" t="n"/>
      <c r="G18" s="46" t="n"/>
    </row>
    <row r="19" ht="20" customFormat="1" customHeight="1" s="55">
      <c r="B19" s="55" t="inlineStr">
        <is>
          <t>the existing differential advantage but also to the future.</t>
        </is>
      </c>
      <c r="F19" s="56" t="n"/>
      <c r="G19" s="56" t="n"/>
    </row>
    <row r="20" ht="20" customFormat="1" customHeight="1" s="42"/>
    <row r="21" ht="20" customFormat="1" customHeight="1" s="42">
      <c r="B21" s="48" t="inlineStr">
        <is>
          <t>If the earnings are negative, please enter the following:</t>
        </is>
      </c>
    </row>
    <row r="22" ht="20" customFormat="1" customHeight="1" s="42">
      <c r="B22" s="42" t="inlineStr">
        <is>
          <t>Are the earnings negative because the firm is in a cyclical business ?</t>
        </is>
      </c>
      <c r="F22" s="57" t="n"/>
      <c r="G22" s="46" t="inlineStr">
        <is>
          <t>(Yes or No)</t>
        </is>
      </c>
    </row>
    <row r="23" ht="20" customFormat="1" customHeight="1" s="42">
      <c r="B23" s="42" t="inlineStr">
        <is>
          <t>Are the earnings negative because of a one-time or temporary occurrence?</t>
        </is>
      </c>
      <c r="F23" s="57" t="n"/>
      <c r="G23" s="46" t="inlineStr">
        <is>
          <t>(Yes or No)</t>
        </is>
      </c>
    </row>
    <row r="24" ht="20" customFormat="1" customHeight="1" s="42">
      <c r="B24" s="42" t="inlineStr">
        <is>
          <t>Are the earnings negative because the firm has too much debt?</t>
        </is>
      </c>
      <c r="F24" s="57" t="n"/>
      <c r="G24" s="46" t="inlineStr">
        <is>
          <t>(Yes or No)</t>
        </is>
      </c>
    </row>
    <row r="25" ht="20" customFormat="1" customHeight="1" s="42">
      <c r="C25" s="42" t="inlineStr">
        <is>
          <t>If yes, is there a strong likelihood of bankruptcy?</t>
        </is>
      </c>
      <c r="F25" s="57" t="n"/>
      <c r="G25" s="46" t="inlineStr">
        <is>
          <t>(Yes or No)</t>
        </is>
      </c>
    </row>
    <row r="26" ht="20" customFormat="1" customHeight="1" s="42">
      <c r="B26" s="42" t="inlineStr">
        <is>
          <t>Are the earnings negative because the firm is just starting up?</t>
        </is>
      </c>
      <c r="F26" s="57" t="n"/>
      <c r="G26" s="46" t="inlineStr">
        <is>
          <t>(Yes or No)</t>
        </is>
      </c>
    </row>
    <row r="27" ht="20" customFormat="1" customHeight="1" s="42">
      <c r="B27" s="44" t="inlineStr">
        <is>
          <t>Financial Leverage</t>
        </is>
      </c>
    </row>
    <row r="28" ht="20" customFormat="1" customHeight="1" s="42">
      <c r="B28" s="42" t="inlineStr">
        <is>
          <t>What is the current debt ratio (in market value terms) ?</t>
        </is>
      </c>
      <c r="F28" s="49" t="n">
        <v>0.04</v>
      </c>
      <c r="G28" s="46" t="inlineStr">
        <is>
          <t>(in percent)</t>
        </is>
      </c>
    </row>
    <row r="29" ht="20" customFormat="1" customHeight="1" s="42">
      <c r="B29" s="42" t="inlineStr">
        <is>
          <t>Is this debt ratio expected to change significantly ?</t>
        </is>
      </c>
      <c r="F29" s="58" t="inlineStr">
        <is>
          <t>Yes</t>
        </is>
      </c>
      <c r="G29" s="46" t="inlineStr">
        <is>
          <t>(Yes or No)</t>
        </is>
      </c>
    </row>
    <row r="30" ht="20" customFormat="1" customHeight="1" s="42"/>
    <row r="31" ht="20" customFormat="1" customHeight="1" s="42">
      <c r="B31" s="44" t="inlineStr">
        <is>
          <t>Dividend Policy</t>
        </is>
      </c>
    </row>
    <row r="32" ht="20" customFormat="1" customHeight="1" s="42">
      <c r="B32" s="42" t="inlineStr">
        <is>
          <t>What did the firm pay out as dividends in the current year?</t>
        </is>
      </c>
      <c r="F32" s="59" t="n">
        <v>100</v>
      </c>
      <c r="G32" s="46" t="inlineStr">
        <is>
          <t>(in currency)</t>
        </is>
      </c>
    </row>
    <row r="33" ht="20" customFormat="1" customHeight="1" s="42">
      <c r="B33" s="42" t="inlineStr">
        <is>
          <t>Can you estimate capital expenditures and working capital requirements?</t>
        </is>
      </c>
      <c r="F33" s="59" t="inlineStr">
        <is>
          <t>Yes</t>
        </is>
      </c>
      <c r="G33" s="46" t="inlineStr">
        <is>
          <t>(Yes or No)</t>
        </is>
      </c>
    </row>
    <row r="34" ht="20" customFormat="1" customHeight="1" s="42">
      <c r="B34" s="48" t="inlineStr">
        <is>
          <t>Enter the following inputs (from the current year) for computing FCFE</t>
        </is>
      </c>
    </row>
    <row r="35" ht="20" customFormat="1" customHeight="1" s="42">
      <c r="B35" s="42" t="inlineStr">
        <is>
          <t>Net Income (NI)</t>
        </is>
      </c>
      <c r="E35" s="59" t="n">
        <v>200</v>
      </c>
    </row>
    <row r="36" ht="20" customFormat="1" customHeight="1" s="42">
      <c r="B36" s="42" t="inlineStr">
        <is>
          <t>Depreciation and Amortization</t>
        </is>
      </c>
      <c r="E36" s="59" t="n">
        <v>50</v>
      </c>
    </row>
    <row r="37" ht="20" customFormat="1" customHeight="1" s="42">
      <c r="B37" s="42" t="inlineStr">
        <is>
          <t>Capital Spending (Including acquisitions)</t>
        </is>
      </c>
      <c r="E37" s="59" t="n">
        <v>100</v>
      </c>
    </row>
    <row r="38" ht="20" customFormat="1" customHeight="1" s="42">
      <c r="B38" s="42" t="inlineStr">
        <is>
          <t>∆ Non-cash Working Capital (∆WC)</t>
        </is>
      </c>
      <c r="E38" s="60" t="n">
        <v>25</v>
      </c>
    </row>
    <row r="39" ht="20" customFormat="1" customHeight="1" s="42"/>
    <row r="40" ht="20" customFormat="1" customHeight="1" s="42">
      <c r="B40" s="42" t="inlineStr">
        <is>
          <t>FCFE = NI - (Capital Spending - Depreciation) *(1- Debt Ratio) - ∆ WC (1-Debt Ratio) =</t>
        </is>
      </c>
      <c r="G40" s="61">
        <f>IF(F33="Yes",E35-(E37-E36)*(1-F28)-E38*(1-F28),F32)</f>
        <v/>
      </c>
    </row>
    <row r="41" ht="20" customFormat="1" customHeight="1" s="42">
      <c r="G41" s="62" t="n"/>
    </row>
    <row r="42" ht="20" customFormat="1" customHeight="1" s="42">
      <c r="B42" s="43" t="inlineStr">
        <is>
          <t>OUTPUT FROM THE MODEL</t>
        </is>
      </c>
    </row>
    <row r="43" ht="20" customFormat="1" customHeight="1" s="42">
      <c r="B43" s="48" t="inlineStr">
        <is>
          <t>Based upon the inputs you have entered, the right valuation model for this firm is:</t>
        </is>
      </c>
    </row>
    <row r="44" ht="20" customFormat="1" customHeight="1" s="42">
      <c r="B44" s="63" t="inlineStr">
        <is>
          <t>Type of Model (DCF Model, Option Pricing Model):</t>
        </is>
      </c>
      <c r="C44" s="64" t="n"/>
      <c r="D44" s="64" t="n"/>
      <c r="E44" s="64" t="n"/>
      <c r="F44" s="65">
        <f>IF(F25="Yes","Option Pricing Model","Discounted CF Model")</f>
        <v/>
      </c>
      <c r="G44" s="42" t="inlineStr">
        <is>
          <t>! If option pricing model, first do a DCF valuation</t>
        </is>
      </c>
    </row>
    <row r="45" ht="20" customFormat="1" customHeight="1" s="42">
      <c r="B45" s="66" t="inlineStr">
        <is>
          <t>Level of Earnings to use in model (Current, Normalized):</t>
        </is>
      </c>
      <c r="C45" s="42" t="n"/>
      <c r="D45" s="42" t="n"/>
      <c r="E45" s="42" t="n"/>
      <c r="F45" s="67">
        <f>IF(D8="No",IF(F22="Yes","Normalized Earnings",IF(F23="Yes","Normalized Earnings","Current Earnings")),"Current Earnings")</f>
        <v/>
      </c>
    </row>
    <row r="46" ht="20" customFormat="1" customHeight="1" s="42">
      <c r="B46" s="66" t="inlineStr">
        <is>
          <t>Cashflows that should be discounted (Dividends, FCFE, FCFF) :</t>
        </is>
      </c>
      <c r="C46" s="42" t="n"/>
      <c r="D46" s="42" t="n"/>
      <c r="E46" s="42" t="n"/>
      <c r="F46" s="67">
        <f>IF(F29="Yes",IF(F33="Yes","FCFF (Value firm)","Dividends (Value equity)"),IF(D8="No","FCFF(Value firm)",(IF(F32&gt;1.25*G40,"FCFE (Value equity)",(IF(F32&lt;0.9*G40,"FCFE (Value equity)","Dividends (Value equity)"))))))</f>
        <v/>
      </c>
    </row>
    <row r="47" ht="20" customFormat="1" customHeight="1" s="42">
      <c r="B47" s="66" t="inlineStr">
        <is>
          <t>Length of Growth Period (10 or more, 5 to 10, less than 5)</t>
        </is>
      </c>
      <c r="C47" s="42" t="n"/>
      <c r="D47" s="42" t="n"/>
      <c r="E47" s="42" t="n"/>
      <c r="F47" s="67">
        <f>IF(F48="Stable Growth","No high growth period",IF(F15="Yes",IF(F14&gt;(E11+E12+0.06),"10 or more years","5 to 10 years"),IF(F14&gt;(E11+E12+0.06),"5 to 10 years","5 years of less")))</f>
        <v/>
      </c>
    </row>
    <row r="48" ht="20" customFormat="1" customHeight="1" s="42">
      <c r="B48" s="68" t="inlineStr">
        <is>
          <t>Appropriate Growth Pattern (Stable, 2 stage,  3 stage):</t>
        </is>
      </c>
      <c r="C48" s="69" t="n"/>
      <c r="D48" s="69" t="n"/>
      <c r="E48" s="69" t="n"/>
      <c r="F48" s="70">
        <f>IF(D8="No",IF(F45="Normalized Earnings",IF(F14&lt;(E11+E12+0.0101),"Stable Growth",IF(F14&lt;(E11+E12+0.06),"Two-stage Growth","Three-stage Growth")),"n-stage model"),IF(F14&lt;(E11+E12+0.0101),"Stable Growth",IF(F14&lt;(E11+E12+0.06),"Two-stage Growth","Three-stage Growth")))</f>
        <v/>
      </c>
      <c r="G48" s="42" t="inlineStr">
        <is>
          <t>! In an n-stage model, you will estimate target operating margins (if valuing the firm)</t>
        </is>
      </c>
    </row>
    <row r="49" ht="20" customFormat="1" customHeight="1" s="71">
      <c r="G49" s="42" t="inlineStr">
        <is>
          <t>or net margins (if valuing equity) and revenue growth each year.</t>
        </is>
      </c>
    </row>
    <row r="50" ht="20" customFormat="1" customHeight="1" s="71"/>
    <row r="51" ht="20" customFormat="1" customHeight="1" s="71"/>
    <row r="52" ht="20" customFormat="1" customHeight="1" s="71"/>
    <row r="53" ht="20" customFormat="1" customHeight="1" s="71"/>
    <row r="54" ht="20" customFormat="1" customHeight="1" s="71"/>
    <row r="55" ht="20" customFormat="1" customHeight="1" s="71"/>
    <row r="56" ht="20" customFormat="1" customHeight="1" s="71"/>
    <row r="57" ht="20" customFormat="1" customHeight="1" s="71"/>
    <row r="58" ht="20" customFormat="1" customHeight="1" s="71"/>
    <row r="59" ht="20" customHeight="1" s="38"/>
    <row r="60" ht="20" customHeight="1" s="38"/>
    <row r="61" ht="20" customHeight="1" s="38"/>
    <row r="62" ht="20" customHeight="1" s="38"/>
  </sheetData>
  <mergeCells count="5">
    <mergeCell ref="B42:G42"/>
    <mergeCell ref="B6:I6"/>
    <mergeCell ref="B3:I3"/>
    <mergeCell ref="B1:I1"/>
    <mergeCell ref="B4:I4"/>
  </mergeCells>
  <printOptions horizontalCentered="0" verticalCentered="0" headings="0" gridLines="0" gridLinesSet="1"/>
  <pageMargins left="0.747916666666667" right="0.747916666666667" top="0.9840277777777779" bottom="0.9840277777777779" header="0.5" footer="0.5"/>
  <pageSetup orientation="portrait" paperSize="1" scale="100" fitToHeight="1" fitToWidth="1" pageOrder="downThenOver" blackAndWhite="0" draft="0" horizontalDpi="300" verticalDpi="300" copies="1"/>
  <headerFooter differentOddEven="0" differentFirst="0">
    <oddHeader>&amp;C Model Choice</oddHeader>
    <oddFooter>&amp;CPage </oddFooter>
    <evenHeader/>
    <evenFooter/>
    <firstHeader/>
    <firstFooter/>
  </headerFooter>
  <rowBreaks count="2" manualBreakCount="2">
    <brk id="5" min="0" max="16383" man="1"/>
    <brk id="38" min="0" max="16383" man="1"/>
  </rowBreaks>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language>en-US</dc:language>
  <dcterms:created xsi:type="dcterms:W3CDTF">2000-10-03T07:58:33Z</dcterms:created>
  <dcterms:modified xsi:type="dcterms:W3CDTF">2026-03-05T04:05:44Z</dcterms:modified>
  <cp:lastModifiedBy>Aswath Damodaran</cp:lastModifiedBy>
  <cp:revision>0</cp:revision>
</cp:coreProperties>
</file>