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.xls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model.xls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CHOOSING THE RIGHT VALUATION MODEL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18</v>
      </c>
      <c r="M2" t="n">
        <v/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X2" t="n">
        <v/>
      </c>
    </row>
    <row r="3">
      <c r="A3" t="inlineStr">
        <is>
          <t>model.xls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18</v>
      </c>
      <c r="M3" t="n">
        <v/>
      </c>
      <c r="N3" t="inlineStr">
        <is>
          <t>00000000</t>
        </is>
      </c>
      <c r="O3" t="inlineStr">
        <is>
          <t>center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  <c r="X3" t="n">
        <v/>
      </c>
    </row>
    <row r="4">
      <c r="A4" t="inlineStr">
        <is>
          <t>model.xls</t>
        </is>
      </c>
      <c r="B4" t="inlineStr">
        <is>
          <t>C2</t>
        </is>
      </c>
      <c r="C4" t="n">
        <v>2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X4" t="n">
        <v/>
      </c>
    </row>
    <row r="5">
      <c r="A5" t="inlineStr">
        <is>
          <t>model.xls</t>
        </is>
      </c>
      <c r="B5" t="inlineStr">
        <is>
          <t>D2</t>
        </is>
      </c>
      <c r="C5" t="n">
        <v>2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center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  <c r="X5" t="n">
        <v/>
      </c>
    </row>
    <row r="6">
      <c r="A6" t="inlineStr">
        <is>
          <t>model.xls</t>
        </is>
      </c>
      <c r="B6" t="inlineStr">
        <is>
          <t>E2</t>
        </is>
      </c>
      <c r="C6" t="n">
        <v>2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center</t>
        </is>
      </c>
      <c r="P6" t="inlineStr">
        <is>
          <t>bottom</t>
        </is>
      </c>
      <c r="Q6" t="b">
        <v>0</v>
      </c>
      <c r="R6" t="b">
        <v>0</v>
      </c>
      <c r="V6" t="b">
        <v>0</v>
      </c>
      <c r="W6" t="inlineStr"/>
      <c r="X6" t="n">
        <v/>
      </c>
    </row>
    <row r="7">
      <c r="A7" t="inlineStr">
        <is>
          <t>model.xls</t>
        </is>
      </c>
      <c r="B7" t="inlineStr">
        <is>
          <t>F2</t>
        </is>
      </c>
      <c r="C7" t="n">
        <v>2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center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X7" t="n">
        <v/>
      </c>
    </row>
    <row r="8">
      <c r="A8" t="inlineStr">
        <is>
          <t>model.xls</t>
        </is>
      </c>
      <c r="B8" t="inlineStr">
        <is>
          <t>G2</t>
        </is>
      </c>
      <c r="C8" t="n">
        <v>2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center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X8" t="n">
        <v/>
      </c>
    </row>
    <row r="9">
      <c r="A9" t="inlineStr">
        <is>
          <t>model.xls</t>
        </is>
      </c>
      <c r="B9" t="inlineStr">
        <is>
          <t>H2</t>
        </is>
      </c>
      <c r="C9" t="n">
        <v>2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center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X9" t="n">
        <v/>
      </c>
    </row>
    <row r="10">
      <c r="A10" t="inlineStr">
        <is>
          <t>model.xls</t>
        </is>
      </c>
      <c r="B10" t="inlineStr">
        <is>
          <t>I2</t>
        </is>
      </c>
      <c r="C10" t="n">
        <v>2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center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X10" t="n">
        <v/>
      </c>
    </row>
    <row r="11">
      <c r="A11" t="inlineStr">
        <is>
          <t>model.xls</t>
        </is>
      </c>
      <c r="B11" t="inlineStr">
        <is>
          <t>B3</t>
        </is>
      </c>
      <c r="C11" t="n">
        <v>3</v>
      </c>
      <c r="D11" t="n">
        <v>2</v>
      </c>
      <c r="E11" t="inlineStr">
        <is>
          <t>Input</t>
        </is>
      </c>
      <c r="F11" t="n">
        <v/>
      </c>
      <c r="G11" t="inlineStr">
        <is>
          <t>This program is designed to help in choosing the right model to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n">
        <v/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V11" t="b">
        <v>0</v>
      </c>
      <c r="W11" t="inlineStr"/>
      <c r="X11" t="n">
        <v/>
      </c>
    </row>
    <row r="12">
      <c r="A12" t="inlineStr">
        <is>
          <t>model.xls</t>
        </is>
      </c>
      <c r="B12" t="inlineStr">
        <is>
          <t>B4</t>
        </is>
      </c>
      <c r="C12" t="n">
        <v>4</v>
      </c>
      <c r="D12" t="n">
        <v>2</v>
      </c>
      <c r="E12" t="inlineStr">
        <is>
          <t>Input</t>
        </is>
      </c>
      <c r="F12" t="n">
        <v/>
      </c>
      <c r="G12" t="inlineStr">
        <is>
          <t>use for any occassion.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n">
        <v/>
      </c>
      <c r="N12" t="inlineStr">
        <is>
          <t>00000000</t>
        </is>
      </c>
      <c r="O12" t="inlineStr">
        <is>
          <t>center</t>
        </is>
      </c>
      <c r="P12" t="inlineStr">
        <is>
          <t>bottom</t>
        </is>
      </c>
      <c r="Q12" t="b">
        <v>0</v>
      </c>
      <c r="R12" t="b">
        <v>1</v>
      </c>
      <c r="V12" t="b">
        <v>0</v>
      </c>
      <c r="W12" t="inlineStr"/>
      <c r="X12" t="n">
        <v/>
      </c>
    </row>
    <row r="13">
      <c r="A13" t="inlineStr">
        <is>
          <t>model.xls</t>
        </is>
      </c>
      <c r="B13" t="inlineStr">
        <is>
          <t>B6</t>
        </is>
      </c>
      <c r="C13" t="n">
        <v>6</v>
      </c>
      <c r="D13" t="n">
        <v>2</v>
      </c>
      <c r="E13" t="inlineStr">
        <is>
          <t>Input</t>
        </is>
      </c>
      <c r="F13" t="n">
        <v/>
      </c>
      <c r="G13" t="inlineStr">
        <is>
          <t>Inputs to the model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1</v>
      </c>
      <c r="V13" t="b">
        <v>0</v>
      </c>
      <c r="W13" t="inlineStr"/>
      <c r="X13" t="n">
        <v/>
      </c>
    </row>
    <row r="14">
      <c r="A14" t="inlineStr">
        <is>
          <t>model.xls</t>
        </is>
      </c>
      <c r="B14" t="inlineStr">
        <is>
          <t>B7</t>
        </is>
      </c>
      <c r="C14" t="n">
        <v>7</v>
      </c>
      <c r="D14" t="n">
        <v>2</v>
      </c>
      <c r="E14" t="inlineStr">
        <is>
          <t>Input</t>
        </is>
      </c>
      <c r="F14" t="n">
        <v/>
      </c>
      <c r="G14" t="inlineStr">
        <is>
          <t xml:space="preserve"> Level of Earnings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V14" t="b">
        <v>0</v>
      </c>
      <c r="W14" t="inlineStr"/>
      <c r="X14" t="n">
        <v/>
      </c>
    </row>
    <row r="15">
      <c r="A15" t="inlineStr">
        <is>
          <t>model.xls</t>
        </is>
      </c>
      <c r="B15" t="inlineStr">
        <is>
          <t>D7</t>
        </is>
      </c>
      <c r="C15" t="n">
        <v>7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\$#,##0.00_);[RED]"($"#,##0.00\)</t>
        </is>
      </c>
      <c r="J15" t="b">
        <v>0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center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X15" t="n">
        <v/>
      </c>
    </row>
    <row r="16">
      <c r="A16" t="inlineStr">
        <is>
          <t>model.xls</t>
        </is>
      </c>
      <c r="B16" t="inlineStr">
        <is>
          <t>E7</t>
        </is>
      </c>
      <c r="C16" t="n">
        <v>7</v>
      </c>
      <c r="D16" t="n">
        <v>5</v>
      </c>
      <c r="E16" t="inlineStr">
        <is>
          <t>Input</t>
        </is>
      </c>
      <c r="F16" t="n">
        <v/>
      </c>
      <c r="G16" t="inlineStr">
        <is>
          <t>(in currency)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center</t>
        </is>
      </c>
      <c r="P16" t="inlineStr">
        <is>
          <t>bottom</t>
        </is>
      </c>
      <c r="Q16" t="b">
        <v>0</v>
      </c>
      <c r="R16" t="b">
        <v>1</v>
      </c>
      <c r="V16" t="b">
        <v>0</v>
      </c>
      <c r="W16" t="inlineStr"/>
      <c r="X16" t="n">
        <v/>
      </c>
    </row>
    <row r="17">
      <c r="A17" t="inlineStr">
        <is>
          <t>model.xls</t>
        </is>
      </c>
      <c r="B17" t="inlineStr">
        <is>
          <t>B8</t>
        </is>
      </c>
      <c r="C17" t="n">
        <v>8</v>
      </c>
      <c r="D17" t="n">
        <v>2</v>
      </c>
      <c r="E17" t="inlineStr">
        <is>
          <t>Input</t>
        </is>
      </c>
      <c r="F17" t="n">
        <v/>
      </c>
      <c r="G17" t="inlineStr">
        <is>
          <t>Are your earnings positive ?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V17" t="b">
        <v>0</v>
      </c>
      <c r="W17" t="inlineStr"/>
      <c r="X17" t="n">
        <v/>
      </c>
    </row>
    <row r="18">
      <c r="A18" t="inlineStr">
        <is>
          <t>model.xls</t>
        </is>
      </c>
      <c r="B18" t="inlineStr">
        <is>
          <t>D8</t>
        </is>
      </c>
      <c r="C18" t="n">
        <v>8</v>
      </c>
      <c r="D18" t="n">
        <v>4</v>
      </c>
      <c r="E18" t="inlineStr">
        <is>
          <t>Input</t>
        </is>
      </c>
      <c r="F18" t="n">
        <v/>
      </c>
      <c r="G18" t="inlineStr">
        <is>
          <t>Yes</t>
        </is>
      </c>
      <c r="H18" t="inlineStr"/>
      <c r="I18" t="inlineStr">
        <is>
          <t>\$#,##0.00_);[RED]"($"#,##0.00\)</t>
        </is>
      </c>
      <c r="J18" t="b">
        <v>0</v>
      </c>
      <c r="K18" t="b">
        <v>0</v>
      </c>
      <c r="L18" t="n">
        <v>10</v>
      </c>
      <c r="M18" t="n">
        <v/>
      </c>
      <c r="N18" t="inlineStr">
        <is>
          <t>FFFFFF00</t>
        </is>
      </c>
      <c r="O18" t="inlineStr">
        <is>
          <t>center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X18" t="n">
        <v/>
      </c>
    </row>
    <row r="19">
      <c r="A19" t="inlineStr">
        <is>
          <t>model.xls</t>
        </is>
      </c>
      <c r="B19" t="inlineStr">
        <is>
          <t>E8</t>
        </is>
      </c>
      <c r="C19" t="n">
        <v>8</v>
      </c>
      <c r="D19" t="n">
        <v>5</v>
      </c>
      <c r="E19" t="inlineStr">
        <is>
          <t>Input</t>
        </is>
      </c>
      <c r="F19" t="n">
        <v/>
      </c>
      <c r="G19" t="inlineStr">
        <is>
          <t>(Yes or No)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center</t>
        </is>
      </c>
      <c r="P19" t="inlineStr">
        <is>
          <t>bottom</t>
        </is>
      </c>
      <c r="Q19" t="b">
        <v>0</v>
      </c>
      <c r="R19" t="b">
        <v>1</v>
      </c>
      <c r="V19" t="b">
        <v>0</v>
      </c>
      <c r="W19" t="inlineStr"/>
      <c r="X19" t="n">
        <v/>
      </c>
    </row>
    <row r="20">
      <c r="A20" t="inlineStr">
        <is>
          <t>model.xls</t>
        </is>
      </c>
      <c r="B20" t="inlineStr">
        <is>
          <t>B10</t>
        </is>
      </c>
      <c r="C20" t="n">
        <v>10</v>
      </c>
      <c r="D20" t="n">
        <v>2</v>
      </c>
      <c r="E20" t="inlineStr">
        <is>
          <t>Input</t>
        </is>
      </c>
      <c r="F20" t="n">
        <v/>
      </c>
      <c r="G20" t="inlineStr">
        <is>
          <t>If the earnings are positive and normal, please enter the following:</t>
        </is>
      </c>
      <c r="H20" t="inlineStr"/>
      <c r="I20" t="inlineStr">
        <is>
          <t>General</t>
        </is>
      </c>
      <c r="J20" t="b">
        <v>0</v>
      </c>
      <c r="K20" t="b">
        <v>1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V20" t="b">
        <v>0</v>
      </c>
      <c r="W20" t="inlineStr"/>
      <c r="X20" t="n">
        <v/>
      </c>
    </row>
    <row r="21">
      <c r="A21" t="inlineStr">
        <is>
          <t>model.xls</t>
        </is>
      </c>
      <c r="B21" t="inlineStr">
        <is>
          <t>B11</t>
        </is>
      </c>
      <c r="C21" t="n">
        <v>11</v>
      </c>
      <c r="D21" t="n">
        <v>2</v>
      </c>
      <c r="E21" t="inlineStr">
        <is>
          <t>Input</t>
        </is>
      </c>
      <c r="F21" t="n">
        <v/>
      </c>
      <c r="G21" t="inlineStr">
        <is>
          <t>What is the expected inflation rate in the economy?</t>
        </is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V21" t="b">
        <v>0</v>
      </c>
      <c r="W21" t="inlineStr"/>
      <c r="X21" t="n">
        <v/>
      </c>
    </row>
    <row r="22">
      <c r="A22" t="inlineStr">
        <is>
          <t>model.xls</t>
        </is>
      </c>
      <c r="B22" t="inlineStr">
        <is>
          <t>E11</t>
        </is>
      </c>
      <c r="C22" t="n">
        <v>11</v>
      </c>
      <c r="D22" t="n">
        <v>5</v>
      </c>
      <c r="E22" t="inlineStr">
        <is>
          <t>Input</t>
        </is>
      </c>
      <c r="F22" t="n">
        <v/>
      </c>
      <c r="G22" t="n">
        <v>0.03</v>
      </c>
      <c r="H22" t="inlineStr"/>
      <c r="I22" t="inlineStr">
        <is>
          <t>0.00%</t>
        </is>
      </c>
      <c r="J22" t="b">
        <v>0</v>
      </c>
      <c r="K22" t="b">
        <v>0</v>
      </c>
      <c r="L22" t="n">
        <v>10</v>
      </c>
      <c r="M22" t="n">
        <v/>
      </c>
      <c r="N22" t="inlineStr">
        <is>
          <t>FFFFFF00</t>
        </is>
      </c>
      <c r="O22" t="inlineStr">
        <is>
          <t>center</t>
        </is>
      </c>
      <c r="P22" t="inlineStr">
        <is>
          <t>bottom</t>
        </is>
      </c>
      <c r="Q22" t="b">
        <v>0</v>
      </c>
      <c r="R22" t="b">
        <v>1</v>
      </c>
      <c r="V22" t="b">
        <v>0</v>
      </c>
      <c r="W22" t="inlineStr"/>
      <c r="X22" t="n">
        <v/>
      </c>
    </row>
    <row r="23">
      <c r="A23" t="inlineStr">
        <is>
          <t>model.xls</t>
        </is>
      </c>
      <c r="B23" t="inlineStr">
        <is>
          <t>F11</t>
        </is>
      </c>
      <c r="C23" t="n">
        <v>11</v>
      </c>
      <c r="D23" t="n">
        <v>6</v>
      </c>
      <c r="E23" t="inlineStr">
        <is>
          <t>Input</t>
        </is>
      </c>
      <c r="F23" t="n">
        <v/>
      </c>
      <c r="G23" t="inlineStr">
        <is>
          <t>(in percent)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center</t>
        </is>
      </c>
      <c r="P23" t="inlineStr">
        <is>
          <t>bottom</t>
        </is>
      </c>
      <c r="Q23" t="b">
        <v>0</v>
      </c>
      <c r="R23" t="b">
        <v>1</v>
      </c>
      <c r="V23" t="b">
        <v>0</v>
      </c>
      <c r="W23" t="inlineStr"/>
      <c r="X23" t="n">
        <v/>
      </c>
    </row>
    <row r="24">
      <c r="A24" t="inlineStr">
        <is>
          <t>model.xls</t>
        </is>
      </c>
      <c r="B24" t="inlineStr">
        <is>
          <t>B12</t>
        </is>
      </c>
      <c r="C24" t="n">
        <v>12</v>
      </c>
      <c r="D24" t="n">
        <v>2</v>
      </c>
      <c r="E24" t="inlineStr">
        <is>
          <t>Input</t>
        </is>
      </c>
      <c r="F24" t="n">
        <v/>
      </c>
      <c r="G24" t="inlineStr">
        <is>
          <t>What is the expected real growth rate in the economy?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V24" t="b">
        <v>0</v>
      </c>
      <c r="W24" t="inlineStr"/>
      <c r="X24" t="n">
        <v/>
      </c>
    </row>
    <row r="25">
      <c r="A25" t="inlineStr">
        <is>
          <t>model.xls</t>
        </is>
      </c>
      <c r="B25" t="inlineStr">
        <is>
          <t>E12</t>
        </is>
      </c>
      <c r="C25" t="n">
        <v>12</v>
      </c>
      <c r="D25" t="n">
        <v>5</v>
      </c>
      <c r="E25" t="inlineStr">
        <is>
          <t>Input</t>
        </is>
      </c>
      <c r="F25" t="n">
        <v/>
      </c>
      <c r="G25" t="n">
        <v>0.02</v>
      </c>
      <c r="H25" t="inlineStr"/>
      <c r="I25" t="inlineStr">
        <is>
          <t>0.00%</t>
        </is>
      </c>
      <c r="J25" t="b">
        <v>0</v>
      </c>
      <c r="K25" t="b">
        <v>0</v>
      </c>
      <c r="L25" t="n">
        <v>10</v>
      </c>
      <c r="M25" t="n">
        <v/>
      </c>
      <c r="N25" t="inlineStr">
        <is>
          <t>FFFFFF00</t>
        </is>
      </c>
      <c r="O25" t="inlineStr">
        <is>
          <t>center</t>
        </is>
      </c>
      <c r="P25" t="inlineStr">
        <is>
          <t>bottom</t>
        </is>
      </c>
      <c r="Q25" t="b">
        <v>0</v>
      </c>
      <c r="R25" t="b">
        <v>1</v>
      </c>
      <c r="V25" t="b">
        <v>0</v>
      </c>
      <c r="W25" t="inlineStr"/>
      <c r="X25" t="n">
        <v/>
      </c>
    </row>
    <row r="26">
      <c r="A26" t="inlineStr">
        <is>
          <t>model.xls</t>
        </is>
      </c>
      <c r="B26" t="inlineStr">
        <is>
          <t>F12</t>
        </is>
      </c>
      <c r="C26" t="n">
        <v>12</v>
      </c>
      <c r="D26" t="n">
        <v>6</v>
      </c>
      <c r="E26" t="inlineStr">
        <is>
          <t>Input</t>
        </is>
      </c>
      <c r="F26" t="n">
        <v/>
      </c>
      <c r="G26" t="inlineStr">
        <is>
          <t>(in percent)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center</t>
        </is>
      </c>
      <c r="P26" t="inlineStr">
        <is>
          <t>bottom</t>
        </is>
      </c>
      <c r="Q26" t="b">
        <v>0</v>
      </c>
      <c r="R26" t="b">
        <v>1</v>
      </c>
      <c r="V26" t="b">
        <v>0</v>
      </c>
      <c r="W26" t="inlineStr"/>
      <c r="X26" t="n">
        <v/>
      </c>
    </row>
    <row r="27">
      <c r="A27" t="inlineStr">
        <is>
          <t>model.xls</t>
        </is>
      </c>
      <c r="B27" t="inlineStr">
        <is>
          <t>B14</t>
        </is>
      </c>
      <c r="C27" t="n">
        <v>14</v>
      </c>
      <c r="D27" t="n">
        <v>2</v>
      </c>
      <c r="E27" t="inlineStr">
        <is>
          <t>Input</t>
        </is>
      </c>
      <c r="F27" t="n">
        <v/>
      </c>
      <c r="G27" t="inlineStr">
        <is>
          <t>What is the expected growth rate in earnings (revenues) for this firm in the near future?</t>
        </is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V27" t="b">
        <v>0</v>
      </c>
      <c r="W27" t="inlineStr"/>
      <c r="X27" t="n">
        <v/>
      </c>
    </row>
    <row r="28">
      <c r="A28" t="inlineStr">
        <is>
          <t>model.xls</t>
        </is>
      </c>
      <c r="B28" t="inlineStr">
        <is>
          <t>F14</t>
        </is>
      </c>
      <c r="C28" t="n">
        <v>14</v>
      </c>
      <c r="D28" t="n">
        <v>6</v>
      </c>
      <c r="E28" t="inlineStr">
        <is>
          <t>Input</t>
        </is>
      </c>
      <c r="F28" t="n">
        <v/>
      </c>
      <c r="G28" t="n">
        <v>0.15</v>
      </c>
      <c r="H28" t="inlineStr"/>
      <c r="I28" t="inlineStr">
        <is>
          <t>0.00%</t>
        </is>
      </c>
      <c r="J28" t="b">
        <v>0</v>
      </c>
      <c r="K28" t="b">
        <v>0</v>
      </c>
      <c r="L28" t="n">
        <v>10</v>
      </c>
      <c r="M28" t="n">
        <v/>
      </c>
      <c r="N28" t="inlineStr">
        <is>
          <t>FFFFFF00</t>
        </is>
      </c>
      <c r="O28" t="inlineStr">
        <is>
          <t>center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X28" t="n">
        <v/>
      </c>
    </row>
    <row r="29">
      <c r="A29" t="inlineStr">
        <is>
          <t>model.xls</t>
        </is>
      </c>
      <c r="B29" t="inlineStr">
        <is>
          <t>G14</t>
        </is>
      </c>
      <c r="C29" t="n">
        <v>14</v>
      </c>
      <c r="D29" t="n">
        <v>7</v>
      </c>
      <c r="E29" t="inlineStr">
        <is>
          <t>Input</t>
        </is>
      </c>
      <c r="F29" t="n">
        <v/>
      </c>
      <c r="G29" t="inlineStr">
        <is>
          <t>(in percent)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center</t>
        </is>
      </c>
      <c r="P29" t="inlineStr">
        <is>
          <t>bottom</t>
        </is>
      </c>
      <c r="Q29" t="b">
        <v>0</v>
      </c>
      <c r="R29" t="b">
        <v>1</v>
      </c>
      <c r="V29" t="b">
        <v>0</v>
      </c>
      <c r="W29" t="inlineStr"/>
      <c r="X29" t="n">
        <v/>
      </c>
    </row>
    <row r="30">
      <c r="A30" t="inlineStr">
        <is>
          <t>model.xls</t>
        </is>
      </c>
      <c r="B30" t="inlineStr">
        <is>
          <t>B15</t>
        </is>
      </c>
      <c r="C30" t="n">
        <v>15</v>
      </c>
      <c r="D30" t="n">
        <v>2</v>
      </c>
      <c r="E30" t="inlineStr">
        <is>
          <t>Input</t>
        </is>
      </c>
      <c r="F30" t="n">
        <v/>
      </c>
      <c r="G30" t="inlineStr">
        <is>
          <t>Does this firm have a significant and sustainable advantage over competitors?</t>
        </is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V30" t="b">
        <v>0</v>
      </c>
      <c r="W30" t="inlineStr"/>
      <c r="X30" t="n">
        <v/>
      </c>
    </row>
    <row r="31">
      <c r="A31" t="inlineStr">
        <is>
          <t>model.xls</t>
        </is>
      </c>
      <c r="B31" t="inlineStr">
        <is>
          <t>F15</t>
        </is>
      </c>
      <c r="C31" t="n">
        <v>15</v>
      </c>
      <c r="D31" t="n">
        <v>6</v>
      </c>
      <c r="E31" t="inlineStr">
        <is>
          <t>Input</t>
        </is>
      </c>
      <c r="F31" t="n">
        <v/>
      </c>
      <c r="G31" t="inlineStr">
        <is>
          <t>Yes</t>
        </is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M31" t="n">
        <v/>
      </c>
      <c r="N31" t="inlineStr">
        <is>
          <t>FFFFFF00</t>
        </is>
      </c>
      <c r="O31" t="inlineStr">
        <is>
          <t>center</t>
        </is>
      </c>
      <c r="P31" t="inlineStr">
        <is>
          <t>bottom</t>
        </is>
      </c>
      <c r="Q31" t="b">
        <v>0</v>
      </c>
      <c r="R31" t="b">
        <v>1</v>
      </c>
      <c r="V31" t="b">
        <v>0</v>
      </c>
      <c r="W31" t="inlineStr"/>
      <c r="X31" t="n">
        <v/>
      </c>
    </row>
    <row r="32">
      <c r="A32" t="inlineStr">
        <is>
          <t>model.xls</t>
        </is>
      </c>
      <c r="B32" t="inlineStr">
        <is>
          <t>G15</t>
        </is>
      </c>
      <c r="C32" t="n">
        <v>15</v>
      </c>
      <c r="D32" t="n">
        <v>7</v>
      </c>
      <c r="E32" t="inlineStr">
        <is>
          <t>Input</t>
        </is>
      </c>
      <c r="F32" t="n">
        <v/>
      </c>
      <c r="G32" t="inlineStr">
        <is>
          <t>(Yes or No)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center</t>
        </is>
      </c>
      <c r="P32" t="inlineStr">
        <is>
          <t>bottom</t>
        </is>
      </c>
      <c r="Q32" t="b">
        <v>0</v>
      </c>
      <c r="R32" t="b">
        <v>1</v>
      </c>
      <c r="V32" t="b">
        <v>0</v>
      </c>
      <c r="W32" t="inlineStr"/>
      <c r="X32" t="n">
        <v/>
      </c>
    </row>
    <row r="33">
      <c r="A33" t="inlineStr">
        <is>
          <t>model.xls</t>
        </is>
      </c>
      <c r="B33" t="inlineStr">
        <is>
          <t>B16</t>
        </is>
      </c>
      <c r="C33" t="n">
        <v>16</v>
      </c>
      <c r="D33" t="n">
        <v>2</v>
      </c>
      <c r="E33" t="inlineStr">
        <is>
          <t>Input</t>
        </is>
      </c>
      <c r="F33" t="n">
        <v/>
      </c>
      <c r="G33" t="inlineStr">
        <is>
          <t>Differential Advantages: High growth comes from a firm earning excess returns on its projects, which in turn comes from some differential advantage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V33" t="b">
        <v>0</v>
      </c>
      <c r="W33" t="inlineStr"/>
      <c r="X33" t="n">
        <v/>
      </c>
    </row>
    <row r="34">
      <c r="A34" t="inlineStr">
        <is>
          <t>model.xls</t>
        </is>
      </c>
      <c r="B34" t="inlineStr">
        <is>
          <t>F16</t>
        </is>
      </c>
      <c r="C34" t="n">
        <v>16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center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X34" t="n">
        <v/>
      </c>
    </row>
    <row r="35">
      <c r="A35" t="inlineStr">
        <is>
          <t>model.xls</t>
        </is>
      </c>
      <c r="B35" t="inlineStr">
        <is>
          <t>G16</t>
        </is>
      </c>
      <c r="C35" t="n">
        <v>16</v>
      </c>
      <c r="D35" t="n">
        <v>7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X35" t="n">
        <v/>
      </c>
    </row>
    <row r="36">
      <c r="A36" t="inlineStr">
        <is>
          <t>model.xls</t>
        </is>
      </c>
      <c r="B36" t="inlineStr">
        <is>
          <t>B17</t>
        </is>
      </c>
      <c r="C36" t="n">
        <v>17</v>
      </c>
      <c r="D36" t="n">
        <v>2</v>
      </c>
      <c r="E36" t="inlineStr">
        <is>
          <t>Input</t>
        </is>
      </c>
      <c r="F36" t="n">
        <v/>
      </c>
      <c r="G36" t="inlineStr">
        <is>
          <t>possessed by the firm over its competitors. This differential advantage can be legal (as is the case with legal monopolies like telecom), or technological,</t>
        </is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V36" t="b">
        <v>0</v>
      </c>
      <c r="W36" t="inlineStr"/>
      <c r="X36" t="n">
        <v/>
      </c>
    </row>
    <row r="37">
      <c r="A37" t="inlineStr">
        <is>
          <t>model.xls</t>
        </is>
      </c>
      <c r="B37" t="inlineStr">
        <is>
          <t>F17</t>
        </is>
      </c>
      <c r="C37" t="n">
        <v>17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center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X37" t="n">
        <v/>
      </c>
    </row>
    <row r="38">
      <c r="A38" t="inlineStr">
        <is>
          <t>model.xls</t>
        </is>
      </c>
      <c r="B38" t="inlineStr">
        <is>
          <t>G17</t>
        </is>
      </c>
      <c r="C38" t="n">
        <v>17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center</t>
        </is>
      </c>
      <c r="P38" t="inlineStr">
        <is>
          <t>bottom</t>
        </is>
      </c>
      <c r="Q38" t="b">
        <v>0</v>
      </c>
      <c r="R38" t="b">
        <v>0</v>
      </c>
      <c r="V38" t="b">
        <v>0</v>
      </c>
      <c r="W38" t="inlineStr"/>
      <c r="X38" t="n">
        <v/>
      </c>
    </row>
    <row r="39">
      <c r="A39" t="inlineStr">
        <is>
          <t>model.xls</t>
        </is>
      </c>
      <c r="B39" t="inlineStr">
        <is>
          <t>B18</t>
        </is>
      </c>
      <c r="C39" t="n">
        <v>18</v>
      </c>
      <c r="D39" t="n">
        <v>2</v>
      </c>
      <c r="E39" t="inlineStr">
        <is>
          <t>Input</t>
        </is>
      </c>
      <c r="F39" t="n">
        <v/>
      </c>
      <c r="G39" t="inlineStr">
        <is>
          <t>or a strong brand name (as is the case with many consumer product firms) or economies of scale. The question that is being asked relates not just to</t>
        </is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V39" t="b">
        <v>0</v>
      </c>
      <c r="W39" t="inlineStr"/>
      <c r="X39" t="n">
        <v/>
      </c>
    </row>
    <row r="40">
      <c r="A40" t="inlineStr">
        <is>
          <t>model.xls</t>
        </is>
      </c>
      <c r="B40" t="inlineStr">
        <is>
          <t>F18</t>
        </is>
      </c>
      <c r="C40" t="n">
        <v>18</v>
      </c>
      <c r="D40" t="n">
        <v>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center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X40" t="n">
        <v/>
      </c>
    </row>
    <row r="41">
      <c r="A41" t="inlineStr">
        <is>
          <t>model.xls</t>
        </is>
      </c>
      <c r="B41" t="inlineStr">
        <is>
          <t>G18</t>
        </is>
      </c>
      <c r="C41" t="n">
        <v>18</v>
      </c>
      <c r="D41" t="n">
        <v>7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center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X41" t="n">
        <v/>
      </c>
    </row>
    <row r="42">
      <c r="A42" t="inlineStr">
        <is>
          <t>model.xls</t>
        </is>
      </c>
      <c r="B42" t="inlineStr">
        <is>
          <t>B19</t>
        </is>
      </c>
      <c r="C42" t="n">
        <v>19</v>
      </c>
      <c r="D42" t="n">
        <v>2</v>
      </c>
      <c r="E42" t="inlineStr">
        <is>
          <t>Input</t>
        </is>
      </c>
      <c r="F42" t="n">
        <v/>
      </c>
      <c r="G42" t="inlineStr">
        <is>
          <t>the existing differential advantage but also to the future.</t>
        </is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V42" t="b">
        <v>0</v>
      </c>
      <c r="W42" t="inlineStr"/>
      <c r="X42" t="n">
        <v/>
      </c>
    </row>
    <row r="43">
      <c r="A43" t="inlineStr">
        <is>
          <t>model.xls</t>
        </is>
      </c>
      <c r="B43" t="inlineStr">
        <is>
          <t>F19</t>
        </is>
      </c>
      <c r="C43" t="n">
        <v>19</v>
      </c>
      <c r="D43" t="n">
        <v>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center</t>
        </is>
      </c>
      <c r="P43" t="inlineStr">
        <is>
          <t>bottom</t>
        </is>
      </c>
      <c r="Q43" t="b">
        <v>0</v>
      </c>
      <c r="R43" t="b">
        <v>0</v>
      </c>
      <c r="V43" t="b">
        <v>0</v>
      </c>
      <c r="W43" t="inlineStr"/>
      <c r="X43" t="n">
        <v/>
      </c>
    </row>
    <row r="44">
      <c r="A44" t="inlineStr">
        <is>
          <t>model.xls</t>
        </is>
      </c>
      <c r="B44" t="inlineStr">
        <is>
          <t>G19</t>
        </is>
      </c>
      <c r="C44" t="n">
        <v>19</v>
      </c>
      <c r="D44" t="n">
        <v>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center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X44" t="n">
        <v/>
      </c>
    </row>
    <row r="45">
      <c r="A45" t="inlineStr">
        <is>
          <t>model.xls</t>
        </is>
      </c>
      <c r="B45" t="inlineStr">
        <is>
          <t>B21</t>
        </is>
      </c>
      <c r="C45" t="n">
        <v>21</v>
      </c>
      <c r="D45" t="n">
        <v>2</v>
      </c>
      <c r="E45" t="inlineStr">
        <is>
          <t>Input</t>
        </is>
      </c>
      <c r="F45" t="n">
        <v/>
      </c>
      <c r="G45" t="inlineStr">
        <is>
          <t>If the earnings are negative, please enter the following:</t>
        </is>
      </c>
      <c r="H45" t="inlineStr"/>
      <c r="I45" t="inlineStr">
        <is>
          <t>General</t>
        </is>
      </c>
      <c r="J45" t="b">
        <v>0</v>
      </c>
      <c r="K45" t="b">
        <v>1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V45" t="b">
        <v>0</v>
      </c>
      <c r="W45" t="inlineStr"/>
      <c r="X45" t="n">
        <v/>
      </c>
    </row>
    <row r="46">
      <c r="A46" t="inlineStr">
        <is>
          <t>model.xls</t>
        </is>
      </c>
      <c r="B46" t="inlineStr">
        <is>
          <t>B22</t>
        </is>
      </c>
      <c r="C46" t="n">
        <v>22</v>
      </c>
      <c r="D46" t="n">
        <v>2</v>
      </c>
      <c r="E46" t="inlineStr">
        <is>
          <t>Input</t>
        </is>
      </c>
      <c r="F46" t="n">
        <v/>
      </c>
      <c r="G46" t="inlineStr">
        <is>
          <t>Are the earnings negative because the firm is in a cyclical business ?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V46" t="b">
        <v>0</v>
      </c>
      <c r="W46" t="inlineStr"/>
      <c r="X46" t="n">
        <v/>
      </c>
    </row>
    <row r="47">
      <c r="A47" t="inlineStr">
        <is>
          <t>model.xls</t>
        </is>
      </c>
      <c r="B47" t="inlineStr">
        <is>
          <t>F22</t>
        </is>
      </c>
      <c r="C47" t="n">
        <v>22</v>
      </c>
      <c r="D47" t="n">
        <v>6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M47" t="n">
        <v/>
      </c>
      <c r="N47" t="inlineStr">
        <is>
          <t>FFFFFF00</t>
        </is>
      </c>
      <c r="O47" t="inlineStr">
        <is>
          <t>center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X47" t="n">
        <v/>
      </c>
    </row>
    <row r="48">
      <c r="A48" t="inlineStr">
        <is>
          <t>model.xls</t>
        </is>
      </c>
      <c r="B48" t="inlineStr">
        <is>
          <t>G22</t>
        </is>
      </c>
      <c r="C48" t="n">
        <v>22</v>
      </c>
      <c r="D48" t="n">
        <v>7</v>
      </c>
      <c r="E48" t="inlineStr">
        <is>
          <t>Input</t>
        </is>
      </c>
      <c r="F48" t="n">
        <v/>
      </c>
      <c r="G48" t="inlineStr">
        <is>
          <t>(Yes or No)</t>
        </is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center</t>
        </is>
      </c>
      <c r="P48" t="inlineStr">
        <is>
          <t>bottom</t>
        </is>
      </c>
      <c r="Q48" t="b">
        <v>0</v>
      </c>
      <c r="R48" t="b">
        <v>1</v>
      </c>
      <c r="V48" t="b">
        <v>0</v>
      </c>
      <c r="W48" t="inlineStr"/>
      <c r="X48" t="n">
        <v/>
      </c>
    </row>
    <row r="49">
      <c r="A49" t="inlineStr">
        <is>
          <t>model.xls</t>
        </is>
      </c>
      <c r="B49" t="inlineStr">
        <is>
          <t>B23</t>
        </is>
      </c>
      <c r="C49" t="n">
        <v>23</v>
      </c>
      <c r="D49" t="n">
        <v>2</v>
      </c>
      <c r="E49" t="inlineStr">
        <is>
          <t>Input</t>
        </is>
      </c>
      <c r="F49" t="n">
        <v/>
      </c>
      <c r="G49" t="inlineStr">
        <is>
          <t>Are the earnings negative because of a one-time or temporary occurrence?</t>
        </is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V49" t="b">
        <v>0</v>
      </c>
      <c r="W49" t="inlineStr"/>
      <c r="X49" t="n">
        <v/>
      </c>
    </row>
    <row r="50">
      <c r="A50" t="inlineStr">
        <is>
          <t>model.xls</t>
        </is>
      </c>
      <c r="B50" t="inlineStr">
        <is>
          <t>F23</t>
        </is>
      </c>
      <c r="C50" t="n">
        <v>23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n">
        <v/>
      </c>
      <c r="N50" t="inlineStr">
        <is>
          <t>FFFFFF00</t>
        </is>
      </c>
      <c r="O50" t="inlineStr">
        <is>
          <t>center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X50" t="n">
        <v/>
      </c>
    </row>
    <row r="51">
      <c r="A51" t="inlineStr">
        <is>
          <t>model.xls</t>
        </is>
      </c>
      <c r="B51" t="inlineStr">
        <is>
          <t>G23</t>
        </is>
      </c>
      <c r="C51" t="n">
        <v>23</v>
      </c>
      <c r="D51" t="n">
        <v>7</v>
      </c>
      <c r="E51" t="inlineStr">
        <is>
          <t>Input</t>
        </is>
      </c>
      <c r="F51" t="n">
        <v/>
      </c>
      <c r="G51" t="inlineStr">
        <is>
          <t>(Yes or No)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center</t>
        </is>
      </c>
      <c r="P51" t="inlineStr">
        <is>
          <t>bottom</t>
        </is>
      </c>
      <c r="Q51" t="b">
        <v>0</v>
      </c>
      <c r="R51" t="b">
        <v>1</v>
      </c>
      <c r="V51" t="b">
        <v>0</v>
      </c>
      <c r="W51" t="inlineStr"/>
      <c r="X51" t="n">
        <v/>
      </c>
    </row>
    <row r="52">
      <c r="A52" t="inlineStr">
        <is>
          <t>model.xls</t>
        </is>
      </c>
      <c r="B52" t="inlineStr">
        <is>
          <t>B24</t>
        </is>
      </c>
      <c r="C52" t="n">
        <v>24</v>
      </c>
      <c r="D52" t="n">
        <v>2</v>
      </c>
      <c r="E52" t="inlineStr">
        <is>
          <t>Input</t>
        </is>
      </c>
      <c r="F52" t="n">
        <v/>
      </c>
      <c r="G52" t="inlineStr">
        <is>
          <t>Are the earnings negative because the firm has too much debt?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V52" t="b">
        <v>0</v>
      </c>
      <c r="W52" t="inlineStr"/>
      <c r="X52" t="n">
        <v/>
      </c>
    </row>
    <row r="53">
      <c r="A53" t="inlineStr">
        <is>
          <t>model.xls</t>
        </is>
      </c>
      <c r="B53" t="inlineStr">
        <is>
          <t>F24</t>
        </is>
      </c>
      <c r="C53" t="n">
        <v>24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M53" t="n">
        <v/>
      </c>
      <c r="N53" t="inlineStr">
        <is>
          <t>FFFFFF00</t>
        </is>
      </c>
      <c r="O53" t="inlineStr">
        <is>
          <t>center</t>
        </is>
      </c>
      <c r="P53" t="inlineStr">
        <is>
          <t>bottom</t>
        </is>
      </c>
      <c r="Q53" t="b">
        <v>0</v>
      </c>
      <c r="R53" t="b">
        <v>0</v>
      </c>
      <c r="V53" t="b">
        <v>0</v>
      </c>
      <c r="W53" t="inlineStr"/>
      <c r="X53" t="n">
        <v/>
      </c>
    </row>
    <row r="54">
      <c r="A54" t="inlineStr">
        <is>
          <t>model.xls</t>
        </is>
      </c>
      <c r="B54" t="inlineStr">
        <is>
          <t>G24</t>
        </is>
      </c>
      <c r="C54" t="n">
        <v>24</v>
      </c>
      <c r="D54" t="n">
        <v>7</v>
      </c>
      <c r="E54" t="inlineStr">
        <is>
          <t>Input</t>
        </is>
      </c>
      <c r="F54" t="n">
        <v/>
      </c>
      <c r="G54" t="inlineStr">
        <is>
          <t>(Yes or No)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center</t>
        </is>
      </c>
      <c r="P54" t="inlineStr">
        <is>
          <t>bottom</t>
        </is>
      </c>
      <c r="Q54" t="b">
        <v>0</v>
      </c>
      <c r="R54" t="b">
        <v>1</v>
      </c>
      <c r="V54" t="b">
        <v>0</v>
      </c>
      <c r="W54" t="inlineStr"/>
      <c r="X54" t="n">
        <v/>
      </c>
    </row>
    <row r="55">
      <c r="A55" t="inlineStr">
        <is>
          <t>model.xls</t>
        </is>
      </c>
      <c r="B55" t="inlineStr">
        <is>
          <t>C25</t>
        </is>
      </c>
      <c r="C55" t="n">
        <v>25</v>
      </c>
      <c r="D55" t="n">
        <v>3</v>
      </c>
      <c r="E55" t="inlineStr">
        <is>
          <t>Input</t>
        </is>
      </c>
      <c r="F55" t="n">
        <v/>
      </c>
      <c r="G55" t="inlineStr">
        <is>
          <t>If yes, is there a strong likelihood of bankruptcy?</t>
        </is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1</v>
      </c>
      <c r="V55" t="b">
        <v>0</v>
      </c>
      <c r="W55" t="inlineStr"/>
      <c r="X55" t="n">
        <v/>
      </c>
    </row>
    <row r="56">
      <c r="A56" t="inlineStr">
        <is>
          <t>model.xls</t>
        </is>
      </c>
      <c r="B56" t="inlineStr">
        <is>
          <t>F25</t>
        </is>
      </c>
      <c r="C56" t="n">
        <v>25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M56" t="n">
        <v/>
      </c>
      <c r="N56" t="inlineStr">
        <is>
          <t>FFFFFF00</t>
        </is>
      </c>
      <c r="O56" t="inlineStr">
        <is>
          <t>center</t>
        </is>
      </c>
      <c r="P56" t="inlineStr">
        <is>
          <t>bottom</t>
        </is>
      </c>
      <c r="Q56" t="b">
        <v>0</v>
      </c>
      <c r="R56" t="b">
        <v>0</v>
      </c>
      <c r="V56" t="b">
        <v>0</v>
      </c>
      <c r="W56" t="inlineStr"/>
      <c r="X56" t="n">
        <v/>
      </c>
    </row>
    <row r="57">
      <c r="A57" t="inlineStr">
        <is>
          <t>model.xls</t>
        </is>
      </c>
      <c r="B57" t="inlineStr">
        <is>
          <t>G25</t>
        </is>
      </c>
      <c r="C57" t="n">
        <v>25</v>
      </c>
      <c r="D57" t="n">
        <v>7</v>
      </c>
      <c r="E57" t="inlineStr">
        <is>
          <t>Input</t>
        </is>
      </c>
      <c r="F57" t="n">
        <v/>
      </c>
      <c r="G57" t="inlineStr">
        <is>
          <t>(Yes or No)</t>
        </is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center</t>
        </is>
      </c>
      <c r="P57" t="inlineStr">
        <is>
          <t>bottom</t>
        </is>
      </c>
      <c r="Q57" t="b">
        <v>0</v>
      </c>
      <c r="R57" t="b">
        <v>1</v>
      </c>
      <c r="V57" t="b">
        <v>0</v>
      </c>
      <c r="W57" t="inlineStr"/>
      <c r="X57" t="n">
        <v/>
      </c>
    </row>
    <row r="58">
      <c r="A58" t="inlineStr">
        <is>
          <t>model.xls</t>
        </is>
      </c>
      <c r="B58" t="inlineStr">
        <is>
          <t>B26</t>
        </is>
      </c>
      <c r="C58" t="n">
        <v>26</v>
      </c>
      <c r="D58" t="n">
        <v>2</v>
      </c>
      <c r="E58" t="inlineStr">
        <is>
          <t>Input</t>
        </is>
      </c>
      <c r="F58" t="n">
        <v/>
      </c>
      <c r="G58" t="inlineStr">
        <is>
          <t>Are the earnings negative because the firm is just starting up?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V58" t="b">
        <v>0</v>
      </c>
      <c r="W58" t="inlineStr"/>
      <c r="X58" t="n">
        <v/>
      </c>
    </row>
    <row r="59">
      <c r="A59" t="inlineStr">
        <is>
          <t>model.xls</t>
        </is>
      </c>
      <c r="B59" t="inlineStr">
        <is>
          <t>F26</t>
        </is>
      </c>
      <c r="C59" t="n">
        <v>26</v>
      </c>
      <c r="D59" t="n">
        <v>6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M59" t="n">
        <v/>
      </c>
      <c r="N59" t="inlineStr">
        <is>
          <t>FFFFFF00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X59" t="n">
        <v/>
      </c>
    </row>
    <row r="60">
      <c r="A60" t="inlineStr">
        <is>
          <t>model.xls</t>
        </is>
      </c>
      <c r="B60" t="inlineStr">
        <is>
          <t>G26</t>
        </is>
      </c>
      <c r="C60" t="n">
        <v>26</v>
      </c>
      <c r="D60" t="n">
        <v>7</v>
      </c>
      <c r="E60" t="inlineStr">
        <is>
          <t>Input</t>
        </is>
      </c>
      <c r="F60" t="n">
        <v/>
      </c>
      <c r="G60" t="inlineStr">
        <is>
          <t>(Yes or No)</t>
        </is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center</t>
        </is>
      </c>
      <c r="P60" t="inlineStr">
        <is>
          <t>bottom</t>
        </is>
      </c>
      <c r="Q60" t="b">
        <v>0</v>
      </c>
      <c r="R60" t="b">
        <v>1</v>
      </c>
      <c r="V60" t="b">
        <v>0</v>
      </c>
      <c r="W60" t="inlineStr"/>
      <c r="X60" t="n">
        <v/>
      </c>
    </row>
    <row r="61">
      <c r="A61" t="inlineStr">
        <is>
          <t>model.xls</t>
        </is>
      </c>
      <c r="B61" t="inlineStr">
        <is>
          <t>B27</t>
        </is>
      </c>
      <c r="C61" t="n">
        <v>27</v>
      </c>
      <c r="D61" t="n">
        <v>2</v>
      </c>
      <c r="E61" t="inlineStr">
        <is>
          <t>Input</t>
        </is>
      </c>
      <c r="F61" t="n">
        <v/>
      </c>
      <c r="G61" t="inlineStr">
        <is>
          <t>Financial Leverage</t>
        </is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V61" t="b">
        <v>0</v>
      </c>
      <c r="W61" t="inlineStr"/>
      <c r="X61" t="n">
        <v/>
      </c>
    </row>
    <row r="62">
      <c r="A62" t="inlineStr">
        <is>
          <t>model.xls</t>
        </is>
      </c>
      <c r="B62" t="inlineStr">
        <is>
          <t>B28</t>
        </is>
      </c>
      <c r="C62" t="n">
        <v>28</v>
      </c>
      <c r="D62" t="n">
        <v>2</v>
      </c>
      <c r="E62" t="inlineStr">
        <is>
          <t>Input</t>
        </is>
      </c>
      <c r="F62" t="n">
        <v/>
      </c>
      <c r="G62" t="inlineStr">
        <is>
          <t>What is the current debt ratio (in market value terms) ?</t>
        </is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V62" t="b">
        <v>0</v>
      </c>
      <c r="W62" t="inlineStr"/>
      <c r="X62" t="n">
        <v/>
      </c>
    </row>
    <row r="63">
      <c r="A63" t="inlineStr">
        <is>
          <t>model.xls</t>
        </is>
      </c>
      <c r="B63" t="inlineStr">
        <is>
          <t>F28</t>
        </is>
      </c>
      <c r="C63" t="n">
        <v>28</v>
      </c>
      <c r="D63" t="n">
        <v>6</v>
      </c>
      <c r="E63" t="inlineStr">
        <is>
          <t>Input</t>
        </is>
      </c>
      <c r="F63" t="n">
        <v/>
      </c>
      <c r="G63" t="n">
        <v>0.04</v>
      </c>
      <c r="H63" t="inlineStr"/>
      <c r="I63" t="inlineStr">
        <is>
          <t>0.00%</t>
        </is>
      </c>
      <c r="J63" t="b">
        <v>0</v>
      </c>
      <c r="K63" t="b">
        <v>0</v>
      </c>
      <c r="L63" t="n">
        <v>10</v>
      </c>
      <c r="M63" t="n">
        <v/>
      </c>
      <c r="N63" t="inlineStr">
        <is>
          <t>FFFFFF00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X63" t="n">
        <v/>
      </c>
    </row>
    <row r="64">
      <c r="A64" t="inlineStr">
        <is>
          <t>model.xls</t>
        </is>
      </c>
      <c r="B64" t="inlineStr">
        <is>
          <t>G28</t>
        </is>
      </c>
      <c r="C64" t="n">
        <v>28</v>
      </c>
      <c r="D64" t="n">
        <v>7</v>
      </c>
      <c r="E64" t="inlineStr">
        <is>
          <t>Input</t>
        </is>
      </c>
      <c r="F64" t="n">
        <v/>
      </c>
      <c r="G64" t="inlineStr">
        <is>
          <t>(in percent)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V64" t="b">
        <v>0</v>
      </c>
      <c r="W64" t="inlineStr"/>
      <c r="X64" t="n">
        <v/>
      </c>
    </row>
    <row r="65">
      <c r="A65" t="inlineStr">
        <is>
          <t>model.xls</t>
        </is>
      </c>
      <c r="B65" t="inlineStr">
        <is>
          <t>B29</t>
        </is>
      </c>
      <c r="C65" t="n">
        <v>29</v>
      </c>
      <c r="D65" t="n">
        <v>2</v>
      </c>
      <c r="E65" t="inlineStr">
        <is>
          <t>Input</t>
        </is>
      </c>
      <c r="F65" t="n">
        <v/>
      </c>
      <c r="G65" t="inlineStr">
        <is>
          <t>Is this debt ratio expected to change significantly ?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X65" t="n">
        <v/>
      </c>
    </row>
    <row r="66">
      <c r="A66" t="inlineStr">
        <is>
          <t>model.xls</t>
        </is>
      </c>
      <c r="B66" t="inlineStr">
        <is>
          <t>F29</t>
        </is>
      </c>
      <c r="C66" t="n">
        <v>29</v>
      </c>
      <c r="D66" t="n">
        <v>6</v>
      </c>
      <c r="E66" t="inlineStr">
        <is>
          <t>Input</t>
        </is>
      </c>
      <c r="F66" t="n">
        <v/>
      </c>
      <c r="G66" t="inlineStr">
        <is>
          <t>Yes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M66" t="n">
        <v/>
      </c>
      <c r="N66" t="inlineStr">
        <is>
          <t>FFFFFF00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V66" t="b">
        <v>0</v>
      </c>
      <c r="W66" t="inlineStr"/>
      <c r="X66" t="n">
        <v/>
      </c>
    </row>
    <row r="67">
      <c r="A67" t="inlineStr">
        <is>
          <t>model.xls</t>
        </is>
      </c>
      <c r="B67" t="inlineStr">
        <is>
          <t>G29</t>
        </is>
      </c>
      <c r="C67" t="n">
        <v>29</v>
      </c>
      <c r="D67" t="n">
        <v>7</v>
      </c>
      <c r="E67" t="inlineStr">
        <is>
          <t>Input</t>
        </is>
      </c>
      <c r="F67" t="n">
        <v/>
      </c>
      <c r="G67" t="inlineStr">
        <is>
          <t>(Yes or No)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X67" t="n">
        <v/>
      </c>
    </row>
    <row r="68">
      <c r="A68" t="inlineStr">
        <is>
          <t>model.xls</t>
        </is>
      </c>
      <c r="B68" t="inlineStr">
        <is>
          <t>B31</t>
        </is>
      </c>
      <c r="C68" t="n">
        <v>31</v>
      </c>
      <c r="D68" t="n">
        <v>2</v>
      </c>
      <c r="E68" t="inlineStr">
        <is>
          <t>Input</t>
        </is>
      </c>
      <c r="F68" t="n">
        <v/>
      </c>
      <c r="G68" t="inlineStr">
        <is>
          <t>Dividend Policy</t>
        </is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X68" t="n">
        <v/>
      </c>
    </row>
    <row r="69">
      <c r="A69" t="inlineStr">
        <is>
          <t>model.xls</t>
        </is>
      </c>
      <c r="B69" t="inlineStr">
        <is>
          <t>B32</t>
        </is>
      </c>
      <c r="C69" t="n">
        <v>32</v>
      </c>
      <c r="D69" t="n">
        <v>2</v>
      </c>
      <c r="E69" t="inlineStr">
        <is>
          <t>Input</t>
        </is>
      </c>
      <c r="F69" t="n">
        <v/>
      </c>
      <c r="G69" t="inlineStr">
        <is>
          <t>What did the firm pay out as dividends in the current year?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V69" t="b">
        <v>0</v>
      </c>
      <c r="W69" t="inlineStr"/>
      <c r="X69" t="n">
        <v/>
      </c>
    </row>
    <row r="70">
      <c r="A70" t="inlineStr">
        <is>
          <t>model.xls</t>
        </is>
      </c>
      <c r="B70" t="inlineStr">
        <is>
          <t>F32</t>
        </is>
      </c>
      <c r="C70" t="n">
        <v>32</v>
      </c>
      <c r="D70" t="n">
        <v>6</v>
      </c>
      <c r="E70" t="inlineStr">
        <is>
          <t>Input</t>
        </is>
      </c>
      <c r="F70" t="n">
        <v/>
      </c>
      <c r="G70" t="n">
        <v>100</v>
      </c>
      <c r="H70" t="inlineStr"/>
      <c r="I70" t="inlineStr">
        <is>
          <t>\$#,##0.00_);"($"#,##0.00\)</t>
        </is>
      </c>
      <c r="J70" t="b">
        <v>0</v>
      </c>
      <c r="K70" t="b">
        <v>0</v>
      </c>
      <c r="L70" t="n">
        <v>10</v>
      </c>
      <c r="M70" t="n">
        <v/>
      </c>
      <c r="N70" t="inlineStr">
        <is>
          <t>FFFFFF00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V70" t="b">
        <v>0</v>
      </c>
      <c r="W70" t="inlineStr"/>
      <c r="X70" t="n">
        <v/>
      </c>
    </row>
    <row r="71">
      <c r="A71" t="inlineStr">
        <is>
          <t>model.xls</t>
        </is>
      </c>
      <c r="B71" t="inlineStr">
        <is>
          <t>G32</t>
        </is>
      </c>
      <c r="C71" t="n">
        <v>32</v>
      </c>
      <c r="D71" t="n">
        <v>7</v>
      </c>
      <c r="E71" t="inlineStr">
        <is>
          <t>Input</t>
        </is>
      </c>
      <c r="F71" t="n">
        <v/>
      </c>
      <c r="G71" t="inlineStr">
        <is>
          <t>(in currency)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1</v>
      </c>
      <c r="V71" t="b">
        <v>0</v>
      </c>
      <c r="W71" t="inlineStr"/>
      <c r="X71" t="n">
        <v/>
      </c>
    </row>
    <row r="72">
      <c r="A72" t="inlineStr">
        <is>
          <t>model.xls</t>
        </is>
      </c>
      <c r="B72" t="inlineStr">
        <is>
          <t>B33</t>
        </is>
      </c>
      <c r="C72" t="n">
        <v>33</v>
      </c>
      <c r="D72" t="n">
        <v>2</v>
      </c>
      <c r="E72" t="inlineStr">
        <is>
          <t>Input</t>
        </is>
      </c>
      <c r="F72" t="n">
        <v/>
      </c>
      <c r="G72" t="inlineStr">
        <is>
          <t>Can you estimate capital expenditures and working capital requirements?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V72" t="b">
        <v>0</v>
      </c>
      <c r="W72" t="inlineStr"/>
      <c r="X72" t="n">
        <v/>
      </c>
    </row>
    <row r="73">
      <c r="A73" t="inlineStr">
        <is>
          <t>model.xls</t>
        </is>
      </c>
      <c r="B73" t="inlineStr">
        <is>
          <t>F33</t>
        </is>
      </c>
      <c r="C73" t="n">
        <v>33</v>
      </c>
      <c r="D73" t="n">
        <v>6</v>
      </c>
      <c r="E73" t="inlineStr">
        <is>
          <t>Input</t>
        </is>
      </c>
      <c r="F73" t="n">
        <v/>
      </c>
      <c r="G73" t="inlineStr">
        <is>
          <t>Yes</t>
        </is>
      </c>
      <c r="H73" t="inlineStr"/>
      <c r="I73" t="inlineStr">
        <is>
          <t>\$#,##0.00_);"($"#,##0.00\)</t>
        </is>
      </c>
      <c r="J73" t="b">
        <v>0</v>
      </c>
      <c r="K73" t="b">
        <v>0</v>
      </c>
      <c r="L73" t="n">
        <v>10</v>
      </c>
      <c r="M73" t="n">
        <v/>
      </c>
      <c r="N73" t="inlineStr">
        <is>
          <t>FFFFFF00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V73" t="b">
        <v>0</v>
      </c>
      <c r="W73" t="inlineStr"/>
      <c r="X73" t="n">
        <v/>
      </c>
    </row>
    <row r="74">
      <c r="A74" t="inlineStr">
        <is>
          <t>model.xls</t>
        </is>
      </c>
      <c r="B74" t="inlineStr">
        <is>
          <t>G33</t>
        </is>
      </c>
      <c r="C74" t="n">
        <v>33</v>
      </c>
      <c r="D74" t="n">
        <v>7</v>
      </c>
      <c r="E74" t="inlineStr">
        <is>
          <t>Input</t>
        </is>
      </c>
      <c r="F74" t="n">
        <v/>
      </c>
      <c r="G74" t="inlineStr">
        <is>
          <t>(Yes or No)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center</t>
        </is>
      </c>
      <c r="P74" t="inlineStr">
        <is>
          <t>bottom</t>
        </is>
      </c>
      <c r="Q74" t="b">
        <v>0</v>
      </c>
      <c r="R74" t="b">
        <v>1</v>
      </c>
      <c r="V74" t="b">
        <v>0</v>
      </c>
      <c r="W74" t="inlineStr"/>
      <c r="X74" t="n">
        <v/>
      </c>
    </row>
    <row r="75">
      <c r="A75" t="inlineStr">
        <is>
          <t>model.xls</t>
        </is>
      </c>
      <c r="B75" t="inlineStr">
        <is>
          <t>B34</t>
        </is>
      </c>
      <c r="C75" t="n">
        <v>34</v>
      </c>
      <c r="D75" t="n">
        <v>2</v>
      </c>
      <c r="E75" t="inlineStr">
        <is>
          <t>Input</t>
        </is>
      </c>
      <c r="F75" t="n">
        <v/>
      </c>
      <c r="G75" t="inlineStr">
        <is>
          <t>Enter the following inputs (from the current year) for computing FCFE</t>
        </is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V75" t="b">
        <v>0</v>
      </c>
      <c r="W75" t="inlineStr"/>
      <c r="X75" t="n">
        <v/>
      </c>
    </row>
    <row r="76">
      <c r="A76" t="inlineStr">
        <is>
          <t>model.xls</t>
        </is>
      </c>
      <c r="B76" t="inlineStr">
        <is>
          <t>B35</t>
        </is>
      </c>
      <c r="C76" t="n">
        <v>35</v>
      </c>
      <c r="D76" t="n">
        <v>2</v>
      </c>
      <c r="E76" t="inlineStr">
        <is>
          <t>Input</t>
        </is>
      </c>
      <c r="F76" t="n">
        <v/>
      </c>
      <c r="G76" t="inlineStr">
        <is>
          <t>Net Income (NI)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n">
        <v/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V76" t="b">
        <v>0</v>
      </c>
      <c r="W76" t="inlineStr"/>
      <c r="X76" t="n">
        <v/>
      </c>
    </row>
    <row r="77">
      <c r="A77" t="inlineStr">
        <is>
          <t>model.xls</t>
        </is>
      </c>
      <c r="B77" t="inlineStr">
        <is>
          <t>E35</t>
        </is>
      </c>
      <c r="C77" t="n">
        <v>35</v>
      </c>
      <c r="D77" t="n">
        <v>5</v>
      </c>
      <c r="E77" t="inlineStr">
        <is>
          <t>Input</t>
        </is>
      </c>
      <c r="F77" t="n">
        <v/>
      </c>
      <c r="G77" t="n">
        <v>200</v>
      </c>
      <c r="H77" t="inlineStr"/>
      <c r="I77" t="inlineStr">
        <is>
          <t>\$#,##0.00_);"($"#,##0.00\)</t>
        </is>
      </c>
      <c r="J77" t="b">
        <v>0</v>
      </c>
      <c r="K77" t="b">
        <v>0</v>
      </c>
      <c r="L77" t="n">
        <v>10</v>
      </c>
      <c r="M77" t="n">
        <v/>
      </c>
      <c r="N77" t="inlineStr">
        <is>
          <t>FFFFFF00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1</v>
      </c>
      <c r="V77" t="b">
        <v>0</v>
      </c>
      <c r="W77" t="inlineStr"/>
      <c r="X77" t="n">
        <v/>
      </c>
    </row>
    <row r="78">
      <c r="A78" t="inlineStr">
        <is>
          <t>model.xls</t>
        </is>
      </c>
      <c r="B78" t="inlineStr">
        <is>
          <t>B36</t>
        </is>
      </c>
      <c r="C78" t="n">
        <v>36</v>
      </c>
      <c r="D78" t="n">
        <v>2</v>
      </c>
      <c r="E78" t="inlineStr">
        <is>
          <t>Input</t>
        </is>
      </c>
      <c r="F78" t="n">
        <v/>
      </c>
      <c r="G78" t="inlineStr">
        <is>
          <t>Depreciation and Amortization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V78" t="b">
        <v>0</v>
      </c>
      <c r="W78" t="inlineStr"/>
      <c r="X78" t="n">
        <v/>
      </c>
    </row>
    <row r="79">
      <c r="A79" t="inlineStr">
        <is>
          <t>model.xls</t>
        </is>
      </c>
      <c r="B79" t="inlineStr">
        <is>
          <t>E36</t>
        </is>
      </c>
      <c r="C79" t="n">
        <v>36</v>
      </c>
      <c r="D79" t="n">
        <v>5</v>
      </c>
      <c r="E79" t="inlineStr">
        <is>
          <t>Input</t>
        </is>
      </c>
      <c r="F79" t="n">
        <v/>
      </c>
      <c r="G79" t="n">
        <v>50</v>
      </c>
      <c r="H79" t="inlineStr"/>
      <c r="I79" t="inlineStr">
        <is>
          <t>\$#,##0.00_);"($"#,##0.00\)</t>
        </is>
      </c>
      <c r="J79" t="b">
        <v>0</v>
      </c>
      <c r="K79" t="b">
        <v>0</v>
      </c>
      <c r="L79" t="n">
        <v>10</v>
      </c>
      <c r="M79" t="n">
        <v/>
      </c>
      <c r="N79" t="inlineStr">
        <is>
          <t>FFFFFF00</t>
        </is>
      </c>
      <c r="O79" t="inlineStr">
        <is>
          <t>center</t>
        </is>
      </c>
      <c r="P79" t="inlineStr">
        <is>
          <t>bottom</t>
        </is>
      </c>
      <c r="Q79" t="b">
        <v>0</v>
      </c>
      <c r="R79" t="b">
        <v>1</v>
      </c>
      <c r="V79" t="b">
        <v>0</v>
      </c>
      <c r="W79" t="inlineStr"/>
      <c r="X79" t="n">
        <v/>
      </c>
    </row>
    <row r="80">
      <c r="A80" t="inlineStr">
        <is>
          <t>model.xls</t>
        </is>
      </c>
      <c r="B80" t="inlineStr">
        <is>
          <t>B37</t>
        </is>
      </c>
      <c r="C80" t="n">
        <v>37</v>
      </c>
      <c r="D80" t="n">
        <v>2</v>
      </c>
      <c r="E80" t="inlineStr">
        <is>
          <t>Input</t>
        </is>
      </c>
      <c r="F80" t="n">
        <v/>
      </c>
      <c r="G80" t="inlineStr">
        <is>
          <t>Capital Spending (Including acquisitions)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V80" t="b">
        <v>0</v>
      </c>
      <c r="W80" t="inlineStr"/>
      <c r="X80" t="n">
        <v/>
      </c>
    </row>
    <row r="81">
      <c r="A81" t="inlineStr">
        <is>
          <t>model.xls</t>
        </is>
      </c>
      <c r="B81" t="inlineStr">
        <is>
          <t>E37</t>
        </is>
      </c>
      <c r="C81" t="n">
        <v>37</v>
      </c>
      <c r="D81" t="n">
        <v>5</v>
      </c>
      <c r="E81" t="inlineStr">
        <is>
          <t>Input</t>
        </is>
      </c>
      <c r="F81" t="n">
        <v/>
      </c>
      <c r="G81" t="n">
        <v>100</v>
      </c>
      <c r="H81" t="inlineStr"/>
      <c r="I81" t="inlineStr">
        <is>
          <t>\$#,##0.00_);"($"#,##0.00\)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FFFFFF00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V81" t="b">
        <v>0</v>
      </c>
      <c r="W81" t="inlineStr"/>
      <c r="X81" t="n">
        <v/>
      </c>
    </row>
    <row r="82">
      <c r="A82" t="inlineStr">
        <is>
          <t>model.xls</t>
        </is>
      </c>
      <c r="B82" t="inlineStr">
        <is>
          <t>B38</t>
        </is>
      </c>
      <c r="C82" t="n">
        <v>38</v>
      </c>
      <c r="D82" t="n">
        <v>2</v>
      </c>
      <c r="E82" t="inlineStr">
        <is>
          <t>Input</t>
        </is>
      </c>
      <c r="F82" t="n">
        <v/>
      </c>
      <c r="G82" t="inlineStr">
        <is>
          <t>∆ Non-cash Working Capital (∆WC)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V82" t="b">
        <v>0</v>
      </c>
      <c r="W82" t="inlineStr"/>
      <c r="X82" t="n">
        <v/>
      </c>
    </row>
    <row r="83">
      <c r="A83" t="inlineStr">
        <is>
          <t>model.xls</t>
        </is>
      </c>
      <c r="B83" t="inlineStr">
        <is>
          <t>E38</t>
        </is>
      </c>
      <c r="C83" t="n">
        <v>38</v>
      </c>
      <c r="D83" t="n">
        <v>5</v>
      </c>
      <c r="E83" t="inlineStr">
        <is>
          <t>Input</t>
        </is>
      </c>
      <c r="F83" t="n">
        <v/>
      </c>
      <c r="G83" t="n">
        <v>25</v>
      </c>
      <c r="H83" t="inlineStr"/>
      <c r="I83" t="inlineStr">
        <is>
          <t>\$#,##0.00_);"($"#,##0.00\)</t>
        </is>
      </c>
      <c r="J83" t="b">
        <v>0</v>
      </c>
      <c r="K83" t="b">
        <v>0</v>
      </c>
      <c r="L83" t="n">
        <v>10</v>
      </c>
      <c r="M83" t="n">
        <v/>
      </c>
      <c r="N83" t="inlineStr">
        <is>
          <t>FFFFFF00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V83" t="b">
        <v>0</v>
      </c>
      <c r="W83" t="inlineStr"/>
      <c r="X83" t="n">
        <v/>
      </c>
    </row>
    <row r="84">
      <c r="A84" t="inlineStr">
        <is>
          <t>model.xls</t>
        </is>
      </c>
      <c r="B84" t="inlineStr">
        <is>
          <t>B40</t>
        </is>
      </c>
      <c r="C84" t="n">
        <v>40</v>
      </c>
      <c r="D84" t="n">
        <v>2</v>
      </c>
      <c r="E84" t="inlineStr">
        <is>
          <t>Input</t>
        </is>
      </c>
      <c r="F84" t="n">
        <v/>
      </c>
      <c r="G84" t="inlineStr">
        <is>
          <t>FCFE = NI - (Capital Spending - Depreciation) *(1- Debt Ratio) - ∆ WC (1-Debt Ratio) =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V84" t="b">
        <v>0</v>
      </c>
      <c r="W84" t="inlineStr"/>
      <c r="X84" t="n">
        <v/>
      </c>
    </row>
    <row r="85">
      <c r="A85" t="inlineStr">
        <is>
          <t>model.xls</t>
        </is>
      </c>
      <c r="B85" t="inlineStr">
        <is>
          <t>G40</t>
        </is>
      </c>
      <c r="C85" t="n">
        <v>40</v>
      </c>
      <c r="D85" t="n">
        <v>7</v>
      </c>
      <c r="E85" t="inlineStr">
        <is>
          <t>Calculation</t>
        </is>
      </c>
      <c r="F85" t="inlineStr">
        <is>
          <t>'=IF(F33="Yes",E35-(E37-E36)*(1-F28)-E38*(1-F28),F32)</t>
        </is>
      </c>
      <c r="G85" t="n">
        <v>128</v>
      </c>
      <c r="H85" t="inlineStr"/>
      <c r="I85" t="inlineStr">
        <is>
          <t>\$#,##0.00_);"($"#,##0.00\)</t>
        </is>
      </c>
      <c r="J85" t="b">
        <v>0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V85" t="b">
        <v>0</v>
      </c>
      <c r="W85" t="inlineStr"/>
      <c r="X85">
        <f>IF(R[-7]C[-1]="Yes",R[-5]C[-2]-(R[-3]C[-2]-R[-4]C[-2])*(1-R[-12]C[-1])-R[-2]C[-2]*(1-R[-12]C[-1]),R[-8]C[-1])</f>
        <v/>
      </c>
    </row>
    <row r="86">
      <c r="A86" t="inlineStr">
        <is>
          <t>model.xls</t>
        </is>
      </c>
      <c r="B86" t="inlineStr">
        <is>
          <t>G41</t>
        </is>
      </c>
      <c r="C86" t="n">
        <v>41</v>
      </c>
      <c r="D86" t="n">
        <v>7</v>
      </c>
      <c r="E86" t="inlineStr">
        <is>
          <t>Input</t>
        </is>
      </c>
      <c r="F86" t="n">
        <v/>
      </c>
      <c r="H86" t="inlineStr"/>
      <c r="I86" t="inlineStr">
        <is>
          <t>\$#,##0.00_);"($"#,##0.00\)</t>
        </is>
      </c>
      <c r="J86" t="b">
        <v>0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V86" t="b">
        <v>0</v>
      </c>
      <c r="W86" t="inlineStr"/>
      <c r="X86" t="n">
        <v/>
      </c>
    </row>
    <row r="87">
      <c r="A87" t="inlineStr">
        <is>
          <t>model.xls</t>
        </is>
      </c>
      <c r="B87" t="inlineStr">
        <is>
          <t>B42</t>
        </is>
      </c>
      <c r="C87" t="n">
        <v>42</v>
      </c>
      <c r="D87" t="n">
        <v>2</v>
      </c>
      <c r="E87" t="inlineStr">
        <is>
          <t>Input</t>
        </is>
      </c>
      <c r="F87" t="n">
        <v/>
      </c>
      <c r="G87" t="inlineStr">
        <is>
          <t>OUTPUT FROM THE MODEL</t>
        </is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1</v>
      </c>
      <c r="V87" t="b">
        <v>0</v>
      </c>
      <c r="W87" t="inlineStr"/>
      <c r="X87" t="n">
        <v/>
      </c>
    </row>
    <row r="88">
      <c r="A88" t="inlineStr">
        <is>
          <t>model.xls</t>
        </is>
      </c>
      <c r="B88" t="inlineStr">
        <is>
          <t>B43</t>
        </is>
      </c>
      <c r="C88" t="n">
        <v>43</v>
      </c>
      <c r="D88" t="n">
        <v>2</v>
      </c>
      <c r="E88" t="inlineStr">
        <is>
          <t>Input</t>
        </is>
      </c>
      <c r="F88" t="n">
        <v/>
      </c>
      <c r="G88" t="inlineStr">
        <is>
          <t>Based upon the inputs you have entered, the right valuation model for this firm is:</t>
        </is>
      </c>
      <c r="H88" t="inlineStr"/>
      <c r="I88" t="inlineStr">
        <is>
          <t>General</t>
        </is>
      </c>
      <c r="J88" t="b">
        <v>0</v>
      </c>
      <c r="K88" t="b">
        <v>1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X88" t="n">
        <v/>
      </c>
    </row>
    <row r="89">
      <c r="A89" t="inlineStr">
        <is>
          <t>model.xls</t>
        </is>
      </c>
      <c r="B89" t="inlineStr">
        <is>
          <t>B44</t>
        </is>
      </c>
      <c r="C89" t="n">
        <v>44</v>
      </c>
      <c r="D89" t="n">
        <v>2</v>
      </c>
      <c r="E89" t="inlineStr">
        <is>
          <t>Input</t>
        </is>
      </c>
      <c r="F89" t="n">
        <v/>
      </c>
      <c r="G89" t="inlineStr">
        <is>
          <t>Type of Model (DCF Model, Option Pricing Model):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V89" t="b">
        <v>0</v>
      </c>
      <c r="W89" t="inlineStr"/>
      <c r="X89" t="n">
        <v/>
      </c>
    </row>
    <row r="90">
      <c r="A90" t="inlineStr">
        <is>
          <t>model.xls</t>
        </is>
      </c>
      <c r="B90" t="inlineStr">
        <is>
          <t>C44</t>
        </is>
      </c>
      <c r="C90" t="n">
        <v>44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V90" t="b">
        <v>0</v>
      </c>
      <c r="W90" t="inlineStr"/>
      <c r="X90" t="n">
        <v/>
      </c>
    </row>
    <row r="91">
      <c r="A91" t="inlineStr">
        <is>
          <t>model.xls</t>
        </is>
      </c>
      <c r="B91" t="inlineStr">
        <is>
          <t>D44</t>
        </is>
      </c>
      <c r="C91" t="n">
        <v>44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V91" t="b">
        <v>0</v>
      </c>
      <c r="W91" t="inlineStr"/>
      <c r="X91" t="n">
        <v/>
      </c>
    </row>
    <row r="92">
      <c r="A92" t="inlineStr">
        <is>
          <t>model.xls</t>
        </is>
      </c>
      <c r="B92" t="inlineStr">
        <is>
          <t>E44</t>
        </is>
      </c>
      <c r="C92" t="n">
        <v>44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V92" t="b">
        <v>0</v>
      </c>
      <c r="W92" t="inlineStr"/>
      <c r="X92" t="n">
        <v/>
      </c>
    </row>
    <row r="93">
      <c r="A93" t="inlineStr">
        <is>
          <t>model.xls</t>
        </is>
      </c>
      <c r="B93" t="inlineStr">
        <is>
          <t>F44</t>
        </is>
      </c>
      <c r="C93" t="n">
        <v>44</v>
      </c>
      <c r="D93" t="n">
        <v>6</v>
      </c>
      <c r="E93" t="inlineStr">
        <is>
          <t>Output</t>
        </is>
      </c>
      <c r="F93" t="inlineStr">
        <is>
          <t>'=IF(F25="Yes","Option Pricing Model","Discounted CF Model")</t>
        </is>
      </c>
      <c r="G93" t="inlineStr">
        <is>
          <t>Discounted CF Model</t>
        </is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inlineStr">
        <is>
          <t>FFFF0000</t>
        </is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V93" t="b">
        <v>0</v>
      </c>
      <c r="W93" t="inlineStr"/>
      <c r="X93">
        <f>IF(R[-19]C[0]="Yes","Option Pricing Model","Discounted CF Model")</f>
        <v/>
      </c>
    </row>
    <row r="94">
      <c r="A94" t="inlineStr">
        <is>
          <t>model.xls</t>
        </is>
      </c>
      <c r="B94" t="inlineStr">
        <is>
          <t>G44</t>
        </is>
      </c>
      <c r="C94" t="n">
        <v>44</v>
      </c>
      <c r="D94" t="n">
        <v>7</v>
      </c>
      <c r="E94" t="inlineStr">
        <is>
          <t>Input</t>
        </is>
      </c>
      <c r="F94" t="n">
        <v/>
      </c>
      <c r="G94" t="inlineStr">
        <is>
          <t>! If option pricing model, first do a DCF valuation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X94" t="n">
        <v/>
      </c>
    </row>
    <row r="95">
      <c r="A95" t="inlineStr">
        <is>
          <t>model.xls</t>
        </is>
      </c>
      <c r="B95" t="inlineStr">
        <is>
          <t>B45</t>
        </is>
      </c>
      <c r="C95" t="n">
        <v>45</v>
      </c>
      <c r="D95" t="n">
        <v>2</v>
      </c>
      <c r="E95" t="inlineStr">
        <is>
          <t>Input</t>
        </is>
      </c>
      <c r="F95" t="n">
        <v/>
      </c>
      <c r="G95" t="inlineStr">
        <is>
          <t>Level of Earnings to use in model (Current, Normalized):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V95" t="b">
        <v>0</v>
      </c>
      <c r="W95" t="inlineStr"/>
      <c r="X95" t="n">
        <v/>
      </c>
    </row>
    <row r="96">
      <c r="A96" t="inlineStr">
        <is>
          <t>model.xls</t>
        </is>
      </c>
      <c r="B96" t="inlineStr">
        <is>
          <t>C45</t>
        </is>
      </c>
      <c r="C96" t="n">
        <v>45</v>
      </c>
      <c r="D96" t="n">
        <v>3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V96" t="b">
        <v>0</v>
      </c>
      <c r="W96" t="inlineStr"/>
      <c r="X96" t="n">
        <v/>
      </c>
    </row>
    <row r="97">
      <c r="A97" t="inlineStr">
        <is>
          <t>model.xls</t>
        </is>
      </c>
      <c r="B97" t="inlineStr">
        <is>
          <t>D45</t>
        </is>
      </c>
      <c r="C97" t="n">
        <v>45</v>
      </c>
      <c r="D97" t="n">
        <v>4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V97" t="b">
        <v>0</v>
      </c>
      <c r="W97" t="inlineStr"/>
      <c r="X97" t="n">
        <v/>
      </c>
    </row>
    <row r="98">
      <c r="A98" t="inlineStr">
        <is>
          <t>model.xls</t>
        </is>
      </c>
      <c r="B98" t="inlineStr">
        <is>
          <t>E45</t>
        </is>
      </c>
      <c r="C98" t="n">
        <v>45</v>
      </c>
      <c r="D98" t="n">
        <v>5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V98" t="b">
        <v>0</v>
      </c>
      <c r="W98" t="inlineStr"/>
      <c r="X98" t="n">
        <v/>
      </c>
    </row>
    <row r="99">
      <c r="A99" t="inlineStr">
        <is>
          <t>model.xls</t>
        </is>
      </c>
      <c r="B99" t="inlineStr">
        <is>
          <t>F45</t>
        </is>
      </c>
      <c r="C99" t="n">
        <v>45</v>
      </c>
      <c r="D99" t="n">
        <v>6</v>
      </c>
      <c r="E99" t="inlineStr">
        <is>
          <t>Calculation</t>
        </is>
      </c>
      <c r="F99" t="inlineStr">
        <is>
          <t>'=IF(D8="No",IF(F22="Yes","Normalized Earnings",IF(F23="Yes","Normalized Earnings","Current Earnings")),"Current Earnings")</t>
        </is>
      </c>
      <c r="G99" t="inlineStr">
        <is>
          <t>Current Earnings</t>
        </is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M99" t="inlineStr">
        <is>
          <t>FFFF0000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V99" t="b">
        <v>0</v>
      </c>
      <c r="W99" t="inlineStr"/>
      <c r="X99">
        <f>IF(R[-37]C[-2]="No",IF(R[-23]C[0]="Yes","Normalized Earnings",IF(R[-22]C[0]="Yes","Normalized Earnings","Current Earnings")),"Current Earnings")</f>
        <v/>
      </c>
    </row>
    <row r="100">
      <c r="A100" t="inlineStr">
        <is>
          <t>model.xls</t>
        </is>
      </c>
      <c r="B100" t="inlineStr">
        <is>
          <t>B46</t>
        </is>
      </c>
      <c r="C100" t="n">
        <v>46</v>
      </c>
      <c r="D100" t="n">
        <v>2</v>
      </c>
      <c r="E100" t="inlineStr">
        <is>
          <t>Input</t>
        </is>
      </c>
      <c r="F100" t="n">
        <v/>
      </c>
      <c r="G100" t="inlineStr">
        <is>
          <t>Cashflows that should be discounted (Dividends, FCFE, FCFF) :</t>
        </is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V100" t="b">
        <v>0</v>
      </c>
      <c r="W100" t="inlineStr"/>
      <c r="X100" t="n">
        <v/>
      </c>
    </row>
    <row r="101">
      <c r="A101" t="inlineStr">
        <is>
          <t>model.xls</t>
        </is>
      </c>
      <c r="B101" t="inlineStr">
        <is>
          <t>C46</t>
        </is>
      </c>
      <c r="C101" t="n">
        <v>46</v>
      </c>
      <c r="D101" t="n">
        <v>3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V101" t="b">
        <v>0</v>
      </c>
      <c r="W101" t="inlineStr"/>
      <c r="X101" t="n">
        <v/>
      </c>
    </row>
    <row r="102">
      <c r="A102" t="inlineStr">
        <is>
          <t>model.xls</t>
        </is>
      </c>
      <c r="B102" t="inlineStr">
        <is>
          <t>D46</t>
        </is>
      </c>
      <c r="C102" t="n">
        <v>46</v>
      </c>
      <c r="D102" t="n">
        <v>4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V102" t="b">
        <v>0</v>
      </c>
      <c r="W102" t="inlineStr"/>
      <c r="X102" t="n">
        <v/>
      </c>
    </row>
    <row r="103">
      <c r="A103" t="inlineStr">
        <is>
          <t>model.xls</t>
        </is>
      </c>
      <c r="B103" t="inlineStr">
        <is>
          <t>E46</t>
        </is>
      </c>
      <c r="C103" t="n">
        <v>46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V103" t="b">
        <v>0</v>
      </c>
      <c r="W103" t="inlineStr"/>
      <c r="X103" t="n">
        <v/>
      </c>
    </row>
    <row r="104">
      <c r="A104" t="inlineStr">
        <is>
          <t>model.xls</t>
        </is>
      </c>
      <c r="B104" t="inlineStr">
        <is>
          <t>F46</t>
        </is>
      </c>
      <c r="C104" t="n">
        <v>46</v>
      </c>
      <c r="D104" t="n">
        <v>6</v>
      </c>
      <c r="E104" t="inlineStr">
        <is>
          <t>Output</t>
        </is>
      </c>
      <c r="F104" t="inlineStr">
        <is>
          <t>'=IF(F29="Yes",IF(F33="Yes","FCFF (Value firm)","Dividends (Value equity)"),IF(D8="No","FCFF(Value firm)",(IF(F32&gt;1.25*G40,"FCFE (Value equity)",(IF(F32&lt;0.9*G40,"FCFE (Value equity)","Dividends (Value equity)"))))))</t>
        </is>
      </c>
      <c r="G104" t="inlineStr">
        <is>
          <t>FCFF (Value firm)</t>
        </is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V104" t="b">
        <v>0</v>
      </c>
      <c r="W104" t="inlineStr"/>
      <c r="X104">
        <f>IF(R[-17]C[0]="Yes",IF(R[-13]C[0]="Yes","FCFF (Value firm)","Dividends (Value equity)"),IF(R[-38]C[-2]="No","FCFF(Value firm)",(IF(R[-14]C[0]&gt;1.25*R[-6]C[1],"FCFE (Value equity)",(IF(R[-14]C[0]&lt;0.9*R[-6]C[1],"FCFE (Value equity)","Dividends (Value equity)"))))))</f>
        <v/>
      </c>
    </row>
    <row r="105">
      <c r="A105" t="inlineStr">
        <is>
          <t>model.xls</t>
        </is>
      </c>
      <c r="B105" t="inlineStr">
        <is>
          <t>B47</t>
        </is>
      </c>
      <c r="C105" t="n">
        <v>47</v>
      </c>
      <c r="D105" t="n">
        <v>2</v>
      </c>
      <c r="E105" t="inlineStr">
        <is>
          <t>Input</t>
        </is>
      </c>
      <c r="F105" t="n">
        <v/>
      </c>
      <c r="G105" t="inlineStr">
        <is>
          <t>Length of Growth Period (10 or more, 5 to 10, less than 5)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V105" t="b">
        <v>0</v>
      </c>
      <c r="W105" t="inlineStr"/>
      <c r="X105" t="n">
        <v/>
      </c>
    </row>
    <row r="106">
      <c r="A106" t="inlineStr">
        <is>
          <t>model.xls</t>
        </is>
      </c>
      <c r="B106" t="inlineStr">
        <is>
          <t>C47</t>
        </is>
      </c>
      <c r="C106" t="n">
        <v>47</v>
      </c>
      <c r="D106" t="n">
        <v>3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V106" t="b">
        <v>0</v>
      </c>
      <c r="W106" t="inlineStr"/>
      <c r="X106" t="n">
        <v/>
      </c>
    </row>
    <row r="107">
      <c r="A107" t="inlineStr">
        <is>
          <t>model.xls</t>
        </is>
      </c>
      <c r="B107" t="inlineStr">
        <is>
          <t>D47</t>
        </is>
      </c>
      <c r="C107" t="n">
        <v>47</v>
      </c>
      <c r="D107" t="n">
        <v>4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V107" t="b">
        <v>0</v>
      </c>
      <c r="W107" t="inlineStr"/>
      <c r="X107" t="n">
        <v/>
      </c>
    </row>
    <row r="108">
      <c r="A108" t="inlineStr">
        <is>
          <t>model.xls</t>
        </is>
      </c>
      <c r="B108" t="inlineStr">
        <is>
          <t>E47</t>
        </is>
      </c>
      <c r="C108" t="n">
        <v>47</v>
      </c>
      <c r="D108" t="n">
        <v>5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V108" t="b">
        <v>0</v>
      </c>
      <c r="W108" t="inlineStr"/>
      <c r="X108" t="n">
        <v/>
      </c>
    </row>
    <row r="109">
      <c r="A109" t="inlineStr">
        <is>
          <t>model.xls</t>
        </is>
      </c>
      <c r="B109" t="inlineStr">
        <is>
          <t>F47</t>
        </is>
      </c>
      <c r="C109" t="n">
        <v>47</v>
      </c>
      <c r="D109" t="n">
        <v>6</v>
      </c>
      <c r="E109" t="inlineStr">
        <is>
          <t>Output</t>
        </is>
      </c>
      <c r="F109" t="inlineStr">
        <is>
          <t>'=IF(F48="Stable Growth","No high growth period",IF(F15="Yes",IF(F14&gt;(E11+E12+0.06),"10 or more years","5 to 10 years"),IF(F14&gt;(E11+E12+0.06),"5 to 10 years","5 years of less")))</t>
        </is>
      </c>
      <c r="G109" t="inlineStr">
        <is>
          <t>10 or more years</t>
        </is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inlineStr">
        <is>
          <t>FFFF0000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V109" t="b">
        <v>0</v>
      </c>
      <c r="W109" t="inlineStr"/>
      <c r="X109">
        <f>IF(R[1]C[0]="Stable Growth","No high growth period",IF(R[-32]C[0]="Yes",IF(R[-33]C[0]&gt;(R[-36]C[-1]+R[-35]C[-1]+0.06),"10 or more years","5 to 10 years"),IF(R[-33]C[0]&gt;(R[-36]C[-1]+R[-35]C[-1]+0.06),"5 to 10 years","5 years of less")))</f>
        <v/>
      </c>
    </row>
    <row r="110">
      <c r="A110" t="inlineStr">
        <is>
          <t>model.xls</t>
        </is>
      </c>
      <c r="B110" t="inlineStr">
        <is>
          <t>B48</t>
        </is>
      </c>
      <c r="C110" t="n">
        <v>48</v>
      </c>
      <c r="D110" t="n">
        <v>2</v>
      </c>
      <c r="E110" t="inlineStr">
        <is>
          <t>Input</t>
        </is>
      </c>
      <c r="F110" t="n">
        <v/>
      </c>
      <c r="G110" t="inlineStr">
        <is>
          <t>Appropriate Growth Pattern (Stable, 2 stage,  3 stage):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X110" t="n">
        <v/>
      </c>
    </row>
    <row r="111">
      <c r="A111" t="inlineStr">
        <is>
          <t>model.xls</t>
        </is>
      </c>
      <c r="B111" t="inlineStr">
        <is>
          <t>C48</t>
        </is>
      </c>
      <c r="C111" t="n">
        <v>48</v>
      </c>
      <c r="D111" t="n">
        <v>3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V111" t="b">
        <v>0</v>
      </c>
      <c r="W111" t="inlineStr"/>
      <c r="X111" t="n">
        <v/>
      </c>
    </row>
    <row r="112">
      <c r="A112" t="inlineStr">
        <is>
          <t>model.xls</t>
        </is>
      </c>
      <c r="B112" t="inlineStr">
        <is>
          <t>D48</t>
        </is>
      </c>
      <c r="C112" t="n">
        <v>48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V112" t="b">
        <v>0</v>
      </c>
      <c r="W112" t="inlineStr"/>
      <c r="X112" t="n">
        <v/>
      </c>
    </row>
    <row r="113">
      <c r="A113" t="inlineStr">
        <is>
          <t>model.xls</t>
        </is>
      </c>
      <c r="B113" t="inlineStr">
        <is>
          <t>E48</t>
        </is>
      </c>
      <c r="C113" t="n">
        <v>48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V113" t="b">
        <v>0</v>
      </c>
      <c r="W113" t="inlineStr"/>
      <c r="X113" t="n">
        <v/>
      </c>
    </row>
    <row r="114">
      <c r="A114" t="inlineStr">
        <is>
          <t>model.xls</t>
        </is>
      </c>
      <c r="B114" t="inlineStr">
        <is>
          <t>F48</t>
        </is>
      </c>
      <c r="C114" t="n">
        <v>48</v>
      </c>
      <c r="D114" t="n">
        <v>6</v>
      </c>
      <c r="E114" t="inlineStr">
        <is>
          <t>Calculation</t>
        </is>
      </c>
      <c r="F114" t="inlineStr">
        <is>
          <t>'=IF(D8="No",IF(F45="Normalized Earnings",IF(F14&lt;(E11+E12+0.0101),"Stable Growth",IF(F14&lt;(E11+E12+0.06),"Two-stage Growth","Three-stage Growth")),"n-stage model"),IF(F14&lt;(E11+E12+0.0101),"Stable Growth",IF(F14&lt;(E11+E12+0.06),"Two-stage Growth","Three-stage Growth")))</t>
        </is>
      </c>
      <c r="G114" t="inlineStr">
        <is>
          <t>Three-stage Growth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inlineStr">
        <is>
          <t>FFFF0000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V114" t="b">
        <v>0</v>
      </c>
      <c r="W114" t="inlineStr"/>
      <c r="X114">
        <f>IF(R[-40]C[-2]="No",IF(R[-3]C[0]="Normalized Earnings",IF(R[-34]C[0]&lt;(R[-37]C[-1]+R[-36]C[-1]+0.0101),"Stable Growth",IF(R[-34]C[0]&lt;(R[-37]C[-1]+R[-36]C[-1]+0.06),"Two-stage Growth","Three-stage Growth")),"n-stage model"),IF(R[-34]C[0]&lt;(R[-37]C[-1]+R[-36]C[-1]+0.0101),"Stable Growth",IF(R[-34]C[0]&lt;(R[-37]C[-1]+R[-36]C[-1]+0.06),"Two-stage Growth","Three-stage Growth")))</f>
        <v/>
      </c>
    </row>
    <row r="115">
      <c r="A115" t="inlineStr">
        <is>
          <t>model.xls</t>
        </is>
      </c>
      <c r="B115" t="inlineStr">
        <is>
          <t>G48</t>
        </is>
      </c>
      <c r="C115" t="n">
        <v>48</v>
      </c>
      <c r="D115" t="n">
        <v>7</v>
      </c>
      <c r="E115" t="inlineStr">
        <is>
          <t>Input</t>
        </is>
      </c>
      <c r="F115" t="n">
        <v/>
      </c>
      <c r="G115" t="inlineStr">
        <is>
          <t>! In an n-stage model, you will estimate target operating margins (if valuing the firm)</t>
        </is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V115" t="b">
        <v>0</v>
      </c>
      <c r="W115" t="inlineStr"/>
      <c r="X115" t="n">
        <v/>
      </c>
    </row>
    <row r="116">
      <c r="A116" t="inlineStr">
        <is>
          <t>model.xls</t>
        </is>
      </c>
      <c r="B116" t="inlineStr">
        <is>
          <t>G49</t>
        </is>
      </c>
      <c r="C116" t="n">
        <v>49</v>
      </c>
      <c r="D116" t="n">
        <v>7</v>
      </c>
      <c r="E116" t="inlineStr">
        <is>
          <t>Input</t>
        </is>
      </c>
      <c r="F116" t="n">
        <v/>
      </c>
      <c r="G116" t="inlineStr">
        <is>
          <t>or net margins (if valuing equity) and revenue growth each year.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V116" t="b">
        <v>0</v>
      </c>
      <c r="W116" t="inlineStr"/>
      <c r="X1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/home/nitish/Documents/github/Excel-To-Python/Codex/ExcelFiles/model.xls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/home/nitish/Documents/github/Excel-To-Python/Codex/.cache/normalized/model.xlsx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["model.xls"]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"2026-03-05T04:05:43.423454+00:00"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model.xls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model.xls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model.xls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model.xls</t>
        </is>
      </c>
      <c r="C10" t="inlineStr">
        <is>
          <t>MergedRanges</t>
        </is>
      </c>
      <c r="D10" t="inlineStr">
        <is>
          <t>["B42:G42", "B6:I6", "B3:I3", "B1:I1", "B4:I4"]</t>
        </is>
      </c>
    </row>
    <row r="11">
      <c r="A11" t="inlineStr">
        <is>
          <t>SheetLayout</t>
        </is>
      </c>
      <c r="B11" t="inlineStr">
        <is>
          <t>model.xls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model.xls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2026-03-05T04:05:43Z</dcterms:created>
  <dcterms:modified xsi:type="dcterms:W3CDTF">2026-03-05T04:05:43Z</dcterms:modified>
</cp:coreProperties>
</file>