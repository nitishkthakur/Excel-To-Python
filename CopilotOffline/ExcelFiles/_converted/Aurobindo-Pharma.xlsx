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5.xml" ContentType="application/vnd.openxmlformats-officedocument.spreadsheetml.comments+xml"/>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comments9.xml" ContentType="application/vnd.openxmlformats-officedocument.spreadsheetml.comment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Directions" sheetId="2" state="visible" r:id="rId4"/>
    <sheet name="Company Overview" sheetId="3" state="visible" r:id="rId5"/>
    <sheet name="Presentation sheet" sheetId="4" state="visible" r:id="rId6"/>
    <sheet name="Profit &amp; Loss Consolidated" sheetId="5" state="visible" r:id="rId7"/>
    <sheet name="Balance Sheet" sheetId="6" state="visible" r:id="rId8"/>
    <sheet name="Cash Flow Statement" sheetId="7" state="visible" r:id="rId9"/>
    <sheet name="Geographic Revenue Model" sheetId="8" state="visible" r:id="rId10"/>
    <sheet name="Segment Revenue Model" sheetId="9" state="visible" r:id="rId11"/>
    <sheet name="Cost Model" sheetId="10" state="visible" r:id="rId12"/>
    <sheet name="Debt Schedule" sheetId="11" state="visible" r:id="rId13"/>
    <sheet name="Fixed Asset" sheetId="12" state="visible" r:id="rId14"/>
    <sheet name="DCF Valuation" sheetId="13" state="visible" r:id="rId15"/>
  </sheets>
  <calcPr iterateCount="100" refMode="A1" iterate="false" iterateDelta="0.001"/>
  <extLst>
    <ext xmlns:loext="http://schemas.libreoffice.org/" uri="{7626C862-2A13-11E5-B345-FEFF819CDC9F}">
      <loext:extCalcPr stringRefSyntax="Calc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30" authorId="0">
      <text>
        <r>
          <rPr>
            <b val="true"/>
            <sz val="8"/>
            <color rgb="FF000000"/>
            <rFont val="Tahoma"/>
            <family val="2"/>
          </rPr>
          <t xml:space="preserve">Author:
</t>
        </r>
        <r>
          <rPr>
            <sz val="8"/>
            <color rgb="FF000000"/>
            <rFont val="Tahoma"/>
            <family val="2"/>
          </rPr>
          <t xml:space="preserve">Forex Gain in some quarters are shown in the other income part
</t>
        </r>
      </text>
      <mc:AlternateContent>
        <mc:Choice Requires="v2">
          <commentPr autoFill="true" autoScale="false" colHidden="true" locked="false" rowHidden="false" textHAlign="justify" textVAlign="top">
            <anchor moveWithCells="false" sizeWithCells="false">
              <xdr:from>
                <xdr:col>21</xdr:col>
                <xdr:colOff>83</xdr:colOff>
                <xdr:row>27</xdr:row>
                <xdr:rowOff>9</xdr:rowOff>
              </xdr:from>
              <xdr:to>
                <xdr:col>31</xdr:col>
                <xdr:colOff>59</xdr:colOff>
                <xdr:row>31</xdr:row>
                <xdr:rowOff>3</xdr:rowOff>
              </xdr:to>
            </anchor>
          </commentPr>
        </mc:Choice>
        <mc:Fallback/>
      </mc:AlternateContent>
    </comment>
    <comment ref="G9" authorId="0">
      <text>
        <r>
          <rPr>
            <b val="true"/>
            <sz val="8"/>
            <color rgb="FF000000"/>
            <rFont val="Tahoma"/>
            <family val="2"/>
          </rPr>
          <t xml:space="preserve">Author:
</t>
        </r>
        <r>
          <rPr>
            <sz val="8"/>
            <color rgb="FF000000"/>
            <rFont val="Tahoma"/>
            <family val="2"/>
          </rPr>
          <t xml:space="preserve">Segment data only available from FY2007</t>
        </r>
      </text>
      <mc:AlternateContent>
        <mc:Choice Requires="v2">
          <commentPr autoFill="true" autoScale="false" colHidden="false" locked="false" rowHidden="false" textHAlign="justify" textVAlign="top">
            <anchor moveWithCells="false" sizeWithCells="false">
              <xdr:from>
                <xdr:col>26</xdr:col>
                <xdr:colOff>36</xdr:colOff>
                <xdr:row>7</xdr:row>
                <xdr:rowOff>8</xdr:rowOff>
              </xdr:from>
              <xdr:to>
                <xdr:col>31</xdr:col>
                <xdr:colOff>80</xdr:colOff>
                <xdr:row>11</xdr:row>
                <xdr:rowOff>2</xdr:rowOff>
              </xdr:to>
            </anchor>
          </commentPr>
        </mc:Choice>
        <mc:Fallback/>
      </mc:AlternateContent>
    </comment>
    <comment ref="I30" authorId="0">
      <text>
        <r>
          <rPr>
            <b val="true"/>
            <sz val="8"/>
            <color rgb="FF000000"/>
            <rFont val="Tahoma"/>
            <family val="2"/>
          </rPr>
          <t xml:space="preserve">Author:
</t>
        </r>
        <r>
          <rPr>
            <sz val="8"/>
            <color rgb="FF000000"/>
            <rFont val="Tahoma"/>
            <family val="2"/>
          </rPr>
          <t xml:space="preserve">Forex Gain/Loss in some quarters are shown in the other income part
</t>
        </r>
      </text>
      <mc:AlternateContent>
        <mc:Choice Requires="v2">
          <commentPr autoFill="true" autoScale="false" colHidden="true" locked="false" rowHidden="false" textHAlign="justify" textVAlign="top">
            <anchor moveWithCells="false" sizeWithCells="false">
              <xdr:from>
                <xdr:col>36</xdr:col>
                <xdr:colOff>83</xdr:colOff>
                <xdr:row>27</xdr:row>
                <xdr:rowOff>9</xdr:rowOff>
              </xdr:from>
              <xdr:to>
                <xdr:col>42</xdr:col>
                <xdr:colOff>58</xdr:colOff>
                <xdr:row>31</xdr:row>
                <xdr:rowOff>3</xdr:rowOff>
              </xdr:to>
            </anchor>
          </commentPr>
        </mc:Choice>
        <mc:Fallback/>
      </mc:AlternateContent>
    </comment>
    <comment ref="O9" authorId="0">
      <text>
        <r>
          <rPr>
            <b val="true"/>
            <sz val="8"/>
            <color rgb="FF000000"/>
            <rFont val="Tahoma"/>
            <family val="2"/>
          </rPr>
          <t xml:space="preserve">Author:
</t>
        </r>
        <r>
          <rPr>
            <sz val="8"/>
            <color rgb="FF000000"/>
            <rFont val="Tahoma"/>
            <family val="2"/>
          </rPr>
          <t xml:space="preserve">Deducted 0.2 mn to ensure compatabilty with segment revenues and P/L nos</t>
        </r>
      </text>
      <mc:AlternateContent>
        <mc:Choice Requires="v2">
          <commentPr autoFill="true" autoScale="false" colHidden="true" locked="false" rowHidden="false" textHAlign="justify" textVAlign="top">
            <anchor moveWithCells="false" sizeWithCells="false">
              <xdr:from>
                <xdr:col>46</xdr:col>
                <xdr:colOff>60</xdr:colOff>
                <xdr:row>7</xdr:row>
                <xdr:rowOff>8</xdr:rowOff>
              </xdr:from>
              <xdr:to>
                <xdr:col>48</xdr:col>
                <xdr:colOff>60</xdr:colOff>
                <xdr:row>11</xdr:row>
                <xdr:rowOff>2</xdr:rowOff>
              </xdr:to>
            </anchor>
          </commentPr>
        </mc:Choice>
        <mc:Fallback/>
      </mc:AlternateContent>
    </comment>
    <comment ref="R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t>
        </r>
      </text>
      <mc:AlternateContent>
        <mc:Choice Requires="v2">
          <commentPr autoFill="true" autoScale="false" colHidden="true" locked="false" rowHidden="false" textHAlign="justify" textVAlign="top">
            <anchor moveWithCells="false" sizeWithCells="false">
              <xdr:from>
                <xdr:col>50</xdr:col>
                <xdr:colOff>60</xdr:colOff>
                <xdr:row>41</xdr:row>
                <xdr:rowOff>9</xdr:rowOff>
              </xdr:from>
              <xdr:to>
                <xdr:col>52</xdr:col>
                <xdr:colOff>60</xdr:colOff>
                <xdr:row>45</xdr:row>
                <xdr:rowOff>3</xdr:rowOff>
              </xdr:to>
            </anchor>
          </commentPr>
        </mc:Choice>
        <mc:Fallback/>
      </mc:AlternateContent>
    </comment>
    <comment ref="S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51</xdr:col>
                <xdr:colOff>72</xdr:colOff>
                <xdr:row>41</xdr:row>
                <xdr:rowOff>9</xdr:rowOff>
              </xdr:from>
              <xdr:to>
                <xdr:col>53</xdr:col>
                <xdr:colOff>72</xdr:colOff>
                <xdr:row>45</xdr:row>
                <xdr:rowOff>3</xdr:rowOff>
              </xdr:to>
            </anchor>
          </commentPr>
        </mc:Choice>
        <mc:Fallback/>
      </mc:AlternateContent>
    </comment>
    <comment ref="T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53</xdr:col>
                <xdr:colOff>8</xdr:colOff>
                <xdr:row>41</xdr:row>
                <xdr:rowOff>9</xdr:rowOff>
              </xdr:from>
              <xdr:to>
                <xdr:col>55</xdr:col>
                <xdr:colOff>8</xdr:colOff>
                <xdr:row>45</xdr:row>
                <xdr:rowOff>3</xdr:rowOff>
              </xdr:to>
            </anchor>
          </commentPr>
        </mc:Choice>
        <mc:Fallback/>
      </mc:AlternateContent>
    </comment>
    <comment ref="U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
</t>
        </r>
      </text>
      <mc:AlternateContent>
        <mc:Choice Requires="v2">
          <commentPr autoFill="true" autoScale="false" colHidden="true" locked="false" rowHidden="false" textHAlign="justify" textVAlign="top">
            <anchor moveWithCells="false" sizeWithCells="false">
              <xdr:from>
                <xdr:col>54</xdr:col>
                <xdr:colOff>20</xdr:colOff>
                <xdr:row>41</xdr:row>
                <xdr:rowOff>9</xdr:rowOff>
              </xdr:from>
              <xdr:to>
                <xdr:col>56</xdr:col>
                <xdr:colOff>20</xdr:colOff>
                <xdr:row>45</xdr:row>
                <xdr:rowOff>3</xdr:rowOff>
              </xdr:to>
            </anchor>
          </commentPr>
        </mc:Choice>
        <mc:Fallback/>
      </mc:AlternateContent>
    </comment>
    <comment ref="V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55</xdr:col>
                <xdr:colOff>32</xdr:colOff>
                <xdr:row>26</xdr:row>
                <xdr:rowOff>9</xdr:rowOff>
              </xdr:from>
              <xdr:to>
                <xdr:col>57</xdr:col>
                <xdr:colOff>32</xdr:colOff>
                <xdr:row>30</xdr:row>
                <xdr:rowOff>3</xdr:rowOff>
              </xdr:to>
            </anchor>
          </commentPr>
        </mc:Choice>
        <mc:Fallback/>
      </mc:AlternateContent>
    </comment>
    <comment ref="V44" authorId="0">
      <text>
        <r>
          <rPr>
            <b val="true"/>
            <sz val="8"/>
            <color rgb="FF000000"/>
            <rFont val="Tahoma"/>
            <family val="2"/>
          </rPr>
          <t xml:space="preserve">Author:
</t>
        </r>
        <r>
          <rPr>
            <sz val="8"/>
            <color rgb="FF000000"/>
            <rFont val="Tahoma"/>
            <family val="2"/>
          </rPr>
          <t xml:space="preserve">Assumed NIL minority interest I am taking the PBT to Cash flow statement and Net profit to Balance sheet (Added to reserves)</t>
        </r>
      </text>
      <mc:AlternateContent>
        <mc:Choice Requires="v2">
          <commentPr autoFill="true" autoScale="false" colHidden="false" locked="false" rowHidden="false" textHAlign="justify" textVAlign="top">
            <anchor moveWithCells="false" sizeWithCells="false">
              <xdr:from>
                <xdr:col>55</xdr:col>
                <xdr:colOff>32</xdr:colOff>
                <xdr:row>41</xdr:row>
                <xdr:rowOff>9</xdr:rowOff>
              </xdr:from>
              <xdr:to>
                <xdr:col>57</xdr:col>
                <xdr:colOff>32</xdr:colOff>
                <xdr:row>45</xdr:row>
                <xdr:rowOff>3</xdr:rowOff>
              </xdr:to>
            </anchor>
          </commentPr>
        </mc:Choice>
        <mc:Fallback/>
      </mc:AlternateContent>
    </comment>
    <comment ref="X48" authorId="0">
      <text>
        <r>
          <rPr>
            <b val="true"/>
            <sz val="8"/>
            <color rgb="FF000000"/>
            <rFont val="Tahoma"/>
            <family val="2"/>
          </rPr>
          <t xml:space="preserve">Author:
</t>
        </r>
        <r>
          <rPr>
            <sz val="8"/>
            <color rgb="FF000000"/>
            <rFont val="Tahoma"/>
            <family val="2"/>
          </rPr>
          <t xml:space="preserve">Addition in Capital due to conversion of FCCB's due in Aug 2010</t>
        </r>
      </text>
      <mc:AlternateContent>
        <mc:Choice Requires="v2">
          <commentPr autoFill="true" autoScale="false" colHidden="true" locked="false" rowHidden="false" textHAlign="justify" textVAlign="top">
            <anchor moveWithCells="false" sizeWithCells="false">
              <xdr:from>
                <xdr:col>57</xdr:col>
                <xdr:colOff>55</xdr:colOff>
                <xdr:row>46</xdr:row>
                <xdr:rowOff>10</xdr:rowOff>
              </xdr:from>
              <xdr:to>
                <xdr:col>59</xdr:col>
                <xdr:colOff>55</xdr:colOff>
                <xdr:row>50</xdr:row>
                <xdr:rowOff>4</xdr:rowOff>
              </xdr:to>
            </anchor>
          </commentPr>
        </mc:Choice>
        <mc:Fallback/>
      </mc:AlternateContent>
    </comment>
    <comment ref="AA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61</xdr:col>
                <xdr:colOff>15</xdr:colOff>
                <xdr:row>26</xdr:row>
                <xdr:rowOff>9</xdr:rowOff>
              </xdr:from>
              <xdr:to>
                <xdr:col>63</xdr:col>
                <xdr:colOff>15</xdr:colOff>
                <xdr:row>30</xdr:row>
                <xdr:rowOff>3</xdr:rowOff>
              </xdr:to>
            </anchor>
          </commentPr>
        </mc:Choice>
        <mc:Fallback/>
      </mc:AlternateContent>
    </comment>
    <comment ref="AA31" authorId="0">
      <text>
        <r>
          <rPr>
            <b val="true"/>
            <sz val="8"/>
            <color rgb="FF000000"/>
            <rFont val="Tahoma"/>
            <family val="2"/>
          </rPr>
          <t xml:space="preserve">Author:
</t>
        </r>
        <r>
          <rPr>
            <sz val="8"/>
            <color rgb="FF000000"/>
            <rFont val="Tahoma"/>
            <family val="2"/>
          </rPr>
          <t xml:space="preserve">The gain from conversion of FCCB's USD 53,600 i.e the difference between the sum allocated to share capital &amp; Share premium and the value of the FCCBs in the books on the balance sheet date i.e 31 March 2011 (2325.79-2492.40)</t>
        </r>
      </text>
      <mc:AlternateContent>
        <mc:Choice Requires="v2">
          <commentPr autoFill="true" autoScale="false" colHidden="false" locked="false" rowHidden="false" textHAlign="justify" textVAlign="top">
            <anchor moveWithCells="false" sizeWithCells="false">
              <xdr:from>
                <xdr:col>61</xdr:col>
                <xdr:colOff>15</xdr:colOff>
                <xdr:row>28</xdr:row>
                <xdr:rowOff>9</xdr:rowOff>
              </xdr:from>
              <xdr:to>
                <xdr:col>63</xdr:col>
                <xdr:colOff>15</xdr:colOff>
                <xdr:row>32</xdr:row>
                <xdr:rowOff>3</xdr:rowOff>
              </xdr:to>
            </anchor>
          </commentPr>
        </mc:Choice>
        <mc:Fallback/>
      </mc:AlternateContent>
    </comment>
    <comment ref="AB55" authorId="0">
      <text>
        <r>
          <rPr>
            <b val="true"/>
            <sz val="8"/>
            <color rgb="FF000000"/>
            <rFont val="Tahoma"/>
            <family val="2"/>
          </rPr>
          <t xml:space="preserve">Author:
</t>
        </r>
        <r>
          <rPr>
            <sz val="8"/>
            <color rgb="FF000000"/>
            <rFont val="Tahoma"/>
            <family val="2"/>
          </rPr>
          <t xml:space="preserve">Diluted shares decreased due to Redemption of Tranche-A &amp; Tranche-B FCCB's (4.7 mn &amp; 1.7 mn shares respectively)
 </t>
        </r>
      </text>
      <mc:AlternateContent>
        <mc:Choice Requires="v2">
          <commentPr autoFill="true" autoScale="false" colHidden="true" locked="false" rowHidden="false" textHAlign="justify" textVAlign="top">
            <anchor moveWithCells="false" sizeWithCells="false">
              <xdr:from>
                <xdr:col>62</xdr:col>
                <xdr:colOff>27</xdr:colOff>
                <xdr:row>53</xdr:row>
                <xdr:rowOff>10</xdr:rowOff>
              </xdr:from>
              <xdr:to>
                <xdr:col>64</xdr:col>
                <xdr:colOff>27</xdr:colOff>
                <xdr:row>57</xdr:row>
                <xdr:rowOff>4</xdr:rowOff>
              </xdr:to>
            </anchor>
          </commentPr>
        </mc:Choice>
        <mc:Fallback/>
      </mc:AlternateContent>
    </comment>
    <comment ref="AF29" authorId="0">
      <text>
        <r>
          <rPr>
            <b val="true"/>
            <sz val="8"/>
            <color rgb="FF000000"/>
            <rFont val="Tahoma"/>
            <family val="2"/>
          </rPr>
          <t xml:space="preserve">Author:
</t>
        </r>
        <r>
          <rPr>
            <sz val="8"/>
            <color rgb="FF000000"/>
            <rFont val="Tahoma"/>
            <family val="2"/>
          </rPr>
          <t xml:space="preserve">Normal interest forecast + the proportiionate Interest amortisation on account of Redemption Premium</t>
        </r>
      </text>
      <mc:AlternateContent>
        <mc:Choice Requires="v2">
          <commentPr autoFill="true" autoScale="false" colHidden="false" locked="false" rowHidden="false" textHAlign="justify" textVAlign="top">
            <anchor moveWithCells="false" sizeWithCells="false">
              <xdr:from>
                <xdr:col>66</xdr:col>
                <xdr:colOff>74</xdr:colOff>
                <xdr:row>26</xdr:row>
                <xdr:rowOff>9</xdr:rowOff>
              </xdr:from>
              <xdr:to>
                <xdr:col>68</xdr:col>
                <xdr:colOff>74</xdr:colOff>
                <xdr:row>30</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2" authorId="0">
      <text>
        <r>
          <rPr>
            <b val="true"/>
            <sz val="8"/>
            <color rgb="FF000000"/>
            <rFont val="Tahoma"/>
            <family val="2"/>
          </rPr>
          <t xml:space="preserve">Author:
</t>
        </r>
        <r>
          <rPr>
            <sz val="8"/>
            <color rgb="FF000000"/>
            <rFont val="Tahoma"/>
            <family val="2"/>
          </rPr>
          <t xml:space="preserve">Added the share capital on conversion of FCCBs due in Aug 2010</t>
        </r>
      </text>
      <mc:AlternateContent>
        <mc:Choice Requires="v2">
          <commentPr autoFill="true" autoScale="false" colHidden="false" locked="false" rowHidden="false" textHAlign="justify" textVAlign="top">
            <anchor moveWithCells="false" sizeWithCells="false">
              <xdr:from>
                <xdr:col>7</xdr:col>
                <xdr:colOff>18</xdr:colOff>
                <xdr:row>10</xdr:row>
                <xdr:rowOff>9</xdr:rowOff>
              </xdr:from>
              <xdr:to>
                <xdr:col>8</xdr:col>
                <xdr:colOff>77</xdr:colOff>
                <xdr:row>13</xdr:row>
                <xdr:rowOff>23</xdr:rowOff>
              </xdr:to>
            </anchor>
          </commentPr>
        </mc:Choice>
        <mc:Fallback/>
      </mc:AlternateContent>
    </comment>
    <comment ref="G14" authorId="0">
      <text>
        <r>
          <rPr>
            <b val="true"/>
            <sz val="8"/>
            <color rgb="FF000000"/>
            <rFont val="Tahoma"/>
            <family val="2"/>
          </rPr>
          <t xml:space="preserve">Author:
</t>
        </r>
        <r>
          <rPr>
            <sz val="8"/>
            <color rgb="FF000000"/>
            <rFont val="Tahoma"/>
            <family val="2"/>
          </rPr>
          <t xml:space="preserve">Added the share premium on conversion of FCCB's Due in AUG 2010
</t>
        </r>
      </text>
      <mc:AlternateContent>
        <mc:Choice Requires="v2">
          <commentPr autoFill="true" autoScale="false" colHidden="false" locked="false" rowHidden="false" textHAlign="justify" textVAlign="top">
            <anchor moveWithCells="false" sizeWithCells="false">
              <xdr:from>
                <xdr:col>7</xdr:col>
                <xdr:colOff>18</xdr:colOff>
                <xdr:row>12</xdr:row>
                <xdr:rowOff>9</xdr:rowOff>
              </xdr:from>
              <xdr:to>
                <xdr:col>8</xdr:col>
                <xdr:colOff>77</xdr:colOff>
                <xdr:row>15</xdr:row>
                <xdr:rowOff>20</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57" authorId="0">
      <text>
        <r>
          <rPr>
            <b val="true"/>
            <sz val="8"/>
            <color rgb="FF000000"/>
            <rFont val="Tahoma"/>
            <family val="2"/>
          </rPr>
          <t xml:space="preserve">Author:
</t>
        </r>
        <r>
          <rPr>
            <sz val="8"/>
            <color rgb="FF000000"/>
            <rFont val="Tahoma"/>
            <family val="2"/>
          </rPr>
          <t xml:space="preserve">FCCB Redeemption of  USD 1.8 mn</t>
        </r>
      </text>
      <mc:AlternateContent>
        <mc:Choice Requires="v2">
          <commentPr autoFill="true" autoScale="false" colHidden="false" locked="false" rowHidden="false" textHAlign="justify" textVAlign="top">
            <anchor moveWithCells="false" sizeWithCells="false">
              <xdr:from>
                <xdr:col>6</xdr:col>
                <xdr:colOff>18</xdr:colOff>
                <xdr:row>55</xdr:row>
                <xdr:rowOff>9</xdr:rowOff>
              </xdr:from>
              <xdr:to>
                <xdr:col>7</xdr:col>
                <xdr:colOff>85</xdr:colOff>
                <xdr:row>59</xdr:row>
                <xdr:rowOff>3</xdr:rowOff>
              </xdr:to>
            </anchor>
          </commentPr>
        </mc:Choice>
        <mc:Fallback/>
      </mc:AlternateContent>
    </comment>
    <comment ref="G27" authorId="0">
      <text>
        <r>
          <rPr>
            <b val="true"/>
            <sz val="8"/>
            <color rgb="FF000000"/>
            <rFont val="Tahoma"/>
            <family val="2"/>
          </rPr>
          <t xml:space="preserve">Author:
</t>
        </r>
        <r>
          <rPr>
            <sz val="8"/>
            <color rgb="FF000000"/>
            <rFont val="Tahoma"/>
            <family val="2"/>
          </rPr>
          <t xml:space="preserve">The gain from conversion of FCCB's USD 53,600 i.e the difference between the sum allocated to share capital &amp; Share premium and the value of the FCCBs in the books on the balance sheet date i.e 31 March 2011 (2325.79-2492.40)</t>
        </r>
      </text>
      <mc:AlternateContent>
        <mc:Choice Requires="v2">
          <commentPr autoFill="true" autoScale="false" colHidden="false" locked="false" rowHidden="false" textHAlign="justify" textVAlign="top">
            <anchor moveWithCells="false" sizeWithCells="false">
              <xdr:from>
                <xdr:col>7</xdr:col>
                <xdr:colOff>18</xdr:colOff>
                <xdr:row>25</xdr:row>
                <xdr:rowOff>9</xdr:rowOff>
              </xdr:from>
              <xdr:to>
                <xdr:col>8</xdr:col>
                <xdr:colOff>85</xdr:colOff>
                <xdr:row>28</xdr:row>
                <xdr:rowOff>20</xdr:rowOff>
              </xdr:to>
            </anchor>
          </commentPr>
        </mc:Choice>
        <mc:Fallback/>
      </mc:AlternateContent>
    </comment>
    <comment ref="G55" authorId="0">
      <text>
        <r>
          <rPr>
            <b val="true"/>
            <sz val="8"/>
            <color rgb="FF000000"/>
            <rFont val="Tahoma"/>
            <family val="2"/>
          </rPr>
          <t xml:space="preserve">Author:
</t>
        </r>
        <r>
          <rPr>
            <sz val="8"/>
            <color rgb="FF000000"/>
            <rFont val="Tahoma"/>
            <family val="2"/>
          </rPr>
          <t xml:space="preserve">Debt borrowing for the repayment of FCCB's due in May 2011</t>
        </r>
      </text>
      <mc:AlternateContent>
        <mc:Choice Requires="v2">
          <commentPr autoFill="true" autoScale="false" colHidden="false" locked="false" rowHidden="false" textHAlign="justify" textVAlign="top">
            <anchor moveWithCells="false" sizeWithCells="false">
              <xdr:from>
                <xdr:col>7</xdr:col>
                <xdr:colOff>18</xdr:colOff>
                <xdr:row>53</xdr:row>
                <xdr:rowOff>9</xdr:rowOff>
              </xdr:from>
              <xdr:to>
                <xdr:col>8</xdr:col>
                <xdr:colOff>85</xdr:colOff>
                <xdr:row>57</xdr:row>
                <xdr:rowOff>3</xdr:rowOff>
              </xdr:to>
            </anchor>
          </commentPr>
        </mc:Choice>
        <mc:Fallback/>
      </mc:AlternateContent>
    </comment>
    <comment ref="H55" authorId="0">
      <text>
        <r>
          <rPr>
            <b val="true"/>
            <sz val="8"/>
            <color rgb="FF000000"/>
            <rFont val="Tahoma"/>
            <family val="2"/>
          </rPr>
          <t xml:space="preserve">Author:
</t>
        </r>
        <r>
          <rPr>
            <sz val="8"/>
            <color rgb="FF000000"/>
            <rFont val="Tahoma"/>
            <family val="2"/>
          </rPr>
          <t xml:space="preserve">Debt borrowing for the repayment of FCCB's due in May 2011</t>
        </r>
      </text>
      <mc:AlternateContent>
        <mc:Choice Requires="v2">
          <commentPr autoFill="true" autoScale="false" colHidden="false" locked="false" rowHidden="false" textHAlign="justify" textVAlign="top">
            <anchor moveWithCells="false" sizeWithCells="false">
              <xdr:from>
                <xdr:col>8</xdr:col>
                <xdr:colOff>18</xdr:colOff>
                <xdr:row>53</xdr:row>
                <xdr:rowOff>9</xdr:rowOff>
              </xdr:from>
              <xdr:to>
                <xdr:col>9</xdr:col>
                <xdr:colOff>83</xdr:colOff>
                <xdr:row>57</xdr:row>
                <xdr:rowOff>3</xdr:rowOff>
              </xdr:to>
            </anchor>
          </commentPr>
        </mc:Choice>
        <mc:Fallback/>
      </mc:AlternateContent>
    </comment>
    <comment ref="H58" authorId="0">
      <text>
        <r>
          <rPr>
            <b val="true"/>
            <sz val="8"/>
            <color rgb="FF000000"/>
            <rFont val="Tahoma"/>
            <family val="2"/>
          </rPr>
          <t xml:space="preserve">Author:
</t>
        </r>
        <r>
          <rPr>
            <sz val="8"/>
            <color rgb="FF000000"/>
            <rFont val="Tahoma"/>
            <family val="2"/>
          </rPr>
          <t xml:space="preserve">Redemption  of FCCB's</t>
        </r>
      </text>
      <mc:AlternateContent>
        <mc:Choice Requires="v2">
          <commentPr autoFill="true" autoScale="false" colHidden="false" locked="false" rowHidden="false" textHAlign="justify" textVAlign="top">
            <anchor moveWithCells="false" sizeWithCells="false">
              <xdr:from>
                <xdr:col>8</xdr:col>
                <xdr:colOff>18</xdr:colOff>
                <xdr:row>56</xdr:row>
                <xdr:rowOff>9</xdr:rowOff>
              </xdr:from>
              <xdr:to>
                <xdr:col>9</xdr:col>
                <xdr:colOff>83</xdr:colOff>
                <xdr:row>60</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11" authorId="0">
      <text>
        <r>
          <rPr>
            <b val="true"/>
            <sz val="8"/>
            <color rgb="FF000000"/>
            <rFont val="Tahoma"/>
            <family val="2"/>
          </rPr>
          <t xml:space="preserve">Author:
</t>
        </r>
        <r>
          <rPr>
            <sz val="8"/>
            <color rgb="FF000000"/>
            <rFont val="Tahoma"/>
            <family val="2"/>
          </rPr>
          <t xml:space="preserve">Linked from the P&amp; L A/c as Historical data was available</t>
        </r>
      </text>
      <mc:AlternateContent>
        <mc:Choice Requires="v2">
          <commentPr autoFill="true" autoScale="false" colHidden="false" locked="false" rowHidden="false" textHAlign="justify" textVAlign="top">
            <anchor moveWithCells="false" sizeWithCells="false">
              <xdr:from>
                <xdr:col>6</xdr:col>
                <xdr:colOff>18</xdr:colOff>
                <xdr:row>9</xdr:row>
                <xdr:rowOff>9</xdr:rowOff>
              </xdr:from>
              <xdr:to>
                <xdr:col>7</xdr:col>
                <xdr:colOff>67</xdr:colOff>
                <xdr:row>13</xdr:row>
                <xdr:rowOff>3</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N82" authorId="0">
      <text>
        <r>
          <rPr>
            <b val="true"/>
            <sz val="8"/>
            <color rgb="FF000000"/>
            <rFont val="Tahoma"/>
            <family val="2"/>
          </rPr>
          <t xml:space="preserve">Author:
</t>
        </r>
        <r>
          <rPr>
            <sz val="8"/>
            <color rgb="FF000000"/>
            <rFont val="Tahoma"/>
            <family val="2"/>
          </rPr>
          <t xml:space="preserve">Formulations contribution increased going forward for FY10E &amp; FY11E</t>
        </r>
      </text>
      <mc:AlternateContent>
        <mc:Choice Requires="v2">
          <commentPr autoFill="true" autoScale="false" colHidden="true" locked="false" rowHidden="false" textHAlign="justify" textVAlign="top">
            <anchor moveWithCells="false" sizeWithCells="false">
              <xdr:from>
                <xdr:col>42</xdr:col>
                <xdr:colOff>44</xdr:colOff>
                <xdr:row>80</xdr:row>
                <xdr:rowOff>10</xdr:rowOff>
              </xdr:from>
              <xdr:to>
                <xdr:col>44</xdr:col>
                <xdr:colOff>44</xdr:colOff>
                <xdr:row>84</xdr:row>
                <xdr:rowOff>4</xdr:rowOff>
              </xdr:to>
            </anchor>
          </commentPr>
        </mc:Choice>
        <mc:Fallback/>
      </mc:AlternateContent>
    </comment>
    <comment ref="R82" authorId="0">
      <text>
        <r>
          <rPr>
            <b val="true"/>
            <sz val="8"/>
            <color rgb="FF000000"/>
            <rFont val="Tahoma"/>
            <family val="2"/>
          </rPr>
          <t xml:space="preserve">Author:
</t>
        </r>
        <r>
          <rPr>
            <sz val="8"/>
            <color rgb="FF000000"/>
            <rFont val="Tahoma"/>
            <family val="2"/>
          </rPr>
          <t xml:space="preserve">Formulations contribution increased going forward for FY10E &amp; FY11E</t>
        </r>
      </text>
      <mc:AlternateContent>
        <mc:Choice Requires="v2">
          <commentPr autoFill="true" autoScale="false" colHidden="true" locked="false" rowHidden="false" textHAlign="justify" textVAlign="top">
            <anchor moveWithCells="false" sizeWithCells="false">
              <xdr:from>
                <xdr:col>47</xdr:col>
                <xdr:colOff>27</xdr:colOff>
                <xdr:row>80</xdr:row>
                <xdr:rowOff>10</xdr:rowOff>
              </xdr:from>
              <xdr:to>
                <xdr:col>49</xdr:col>
                <xdr:colOff>27</xdr:colOff>
                <xdr:row>84</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S20" authorId="0">
      <text>
        <r>
          <rPr>
            <b val="true"/>
            <sz val="8"/>
            <color rgb="FF000000"/>
            <rFont val="Tahoma"/>
            <family val="2"/>
          </rPr>
          <t xml:space="preserve">Author:
</t>
        </r>
        <r>
          <rPr>
            <sz val="8"/>
            <color rgb="FF000000"/>
            <rFont val="Tahoma"/>
            <family val="2"/>
          </rPr>
          <t xml:space="preserve">Management Guidance for the tax rate due to Export incentives</t>
        </r>
      </text>
      <mc:AlternateContent>
        <mc:Choice Requires="v2">
          <commentPr autoFill="true" autoScale="false" colHidden="true" locked="false" rowHidden="false" textHAlign="justify" textVAlign="top">
            <anchor moveWithCells="false" sizeWithCells="false">
              <xdr:from>
                <xdr:col>51</xdr:col>
                <xdr:colOff>18</xdr:colOff>
                <xdr:row>18</xdr:row>
                <xdr:rowOff>9</xdr:rowOff>
              </xdr:from>
              <xdr:to>
                <xdr:col>53</xdr:col>
                <xdr:colOff>18</xdr:colOff>
                <xdr:row>22</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4" authorId="0">
      <text>
        <r>
          <rPr>
            <b val="true"/>
            <sz val="8"/>
            <color rgb="FF000000"/>
            <rFont val="Tahoma"/>
            <family val="2"/>
          </rPr>
          <t xml:space="preserve">Author:
</t>
        </r>
        <r>
          <rPr>
            <sz val="8"/>
            <color rgb="FF000000"/>
            <rFont val="Tahoma"/>
            <family val="2"/>
          </rPr>
          <t xml:space="preserve">FY 2005 A numbers have been input for better clarity 
</t>
        </r>
      </text>
      <mc:AlternateContent>
        <mc:Choice Requires="v2">
          <commentPr autoFill="true" autoScale="false" colHidden="false" locked="false" rowHidden="false" textHAlign="justify" textVAlign="top">
            <anchor moveWithCells="false" sizeWithCells="false">
              <xdr:from>
                <xdr:col>0</xdr:col>
                <xdr:colOff>172</xdr:colOff>
                <xdr:row>2</xdr:row>
                <xdr:rowOff>10</xdr:rowOff>
              </xdr:from>
              <xdr:to>
                <xdr:col>1</xdr:col>
                <xdr:colOff>-52</xdr:colOff>
                <xdr:row>4</xdr:row>
                <xdr:rowOff>15</xdr:rowOff>
              </xdr:to>
            </anchor>
          </commentPr>
        </mc:Choice>
        <mc:Fallback/>
      </mc:AlternateContent>
    </comment>
    <comment ref="B33" authorId="0">
      <text>
        <r>
          <rPr>
            <b val="true"/>
            <sz val="8"/>
            <color rgb="FF000000"/>
            <rFont val="Tahoma"/>
            <family val="2"/>
          </rPr>
          <t xml:space="preserve">Author:
</t>
        </r>
        <r>
          <rPr>
            <sz val="8"/>
            <color rgb="FF000000"/>
            <rFont val="Tahoma"/>
            <family val="2"/>
          </rPr>
          <t xml:space="preserve">Inserted - sign to show as positive values</t>
        </r>
      </text>
      <mc:AlternateContent>
        <mc:Choice Requires="v2">
          <commentPr autoFill="true" autoScale="false" colHidden="false" locked="false" rowHidden="false" textHAlign="justify" textVAlign="top">
            <anchor moveWithCells="false" sizeWithCells="false">
              <xdr:from>
                <xdr:col>2</xdr:col>
                <xdr:colOff>1</xdr:colOff>
                <xdr:row>31</xdr:row>
                <xdr:rowOff>9</xdr:rowOff>
              </xdr:from>
              <xdr:to>
                <xdr:col>3</xdr:col>
                <xdr:colOff>21</xdr:colOff>
                <xdr:row>35</xdr:row>
                <xdr:rowOff>3</xdr:rowOff>
              </xdr:to>
            </anchor>
          </commentPr>
        </mc:Choice>
        <mc:Fallback/>
      </mc:AlternateContent>
    </comment>
    <comment ref="B61" authorId="0">
      <text>
        <r>
          <rPr>
            <b val="true"/>
            <sz val="8"/>
            <color rgb="FF000000"/>
            <rFont val="Tahoma"/>
            <family val="2"/>
          </rPr>
          <t xml:space="preserve">Author:
</t>
        </r>
        <r>
          <rPr>
            <sz val="8"/>
            <color rgb="FF000000"/>
            <rFont val="Tahoma"/>
            <family val="2"/>
          </rPr>
          <t xml:space="preserve">As on 30 June 2009</t>
        </r>
      </text>
      <mc:AlternateContent>
        <mc:Choice Requires="v2">
          <commentPr autoFill="true" autoScale="false" colHidden="false" locked="false" rowHidden="false" textHAlign="justify" textVAlign="top">
            <anchor moveWithCells="false" sizeWithCells="false">
              <xdr:from>
                <xdr:col>2</xdr:col>
                <xdr:colOff>1</xdr:colOff>
                <xdr:row>59</xdr:row>
                <xdr:rowOff>9</xdr:rowOff>
              </xdr:from>
              <xdr:to>
                <xdr:col>3</xdr:col>
                <xdr:colOff>21</xdr:colOff>
                <xdr:row>60</xdr:row>
                <xdr:rowOff>39</xdr:rowOff>
              </xdr:to>
            </anchor>
          </commentPr>
        </mc:Choice>
        <mc:Fallback/>
      </mc:AlternateContent>
    </comment>
    <comment ref="B107"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105</xdr:row>
                <xdr:rowOff>9</xdr:rowOff>
              </xdr:from>
              <xdr:to>
                <xdr:col>3</xdr:col>
                <xdr:colOff>21</xdr:colOff>
                <xdr:row>109</xdr:row>
                <xdr:rowOff>3</xdr:rowOff>
              </xdr:to>
            </anchor>
          </commentPr>
        </mc:Choice>
        <mc:Fallback/>
      </mc:AlternateContent>
    </comment>
    <comment ref="B143"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141</xdr:row>
                <xdr:rowOff>9</xdr:rowOff>
              </xdr:from>
              <xdr:to>
                <xdr:col>3</xdr:col>
                <xdr:colOff>21</xdr:colOff>
                <xdr:row>145</xdr:row>
                <xdr:rowOff>3</xdr:rowOff>
              </xdr:to>
            </anchor>
          </commentPr>
        </mc:Choice>
        <mc:Fallback/>
      </mc:AlternateContent>
    </comment>
    <comment ref="B179" authorId="0">
      <text>
        <r>
          <rPr>
            <b val="true"/>
            <sz val="8"/>
            <color rgb="FF000000"/>
            <rFont val="Tahoma"/>
            <family val="2"/>
          </rPr>
          <t xml:space="preserve">Author:
</t>
        </r>
        <r>
          <rPr>
            <sz val="8"/>
            <color rgb="FF000000"/>
            <rFont val="Tahoma"/>
            <family val="2"/>
          </rPr>
          <t xml:space="preserve">Approximate Present Share Price</t>
        </r>
      </text>
      <mc:AlternateContent>
        <mc:Choice Requires="v2">
          <commentPr autoFill="true" autoScale="false" colHidden="false" locked="false" rowHidden="false" textHAlign="justify" textVAlign="top">
            <anchor moveWithCells="false" sizeWithCells="false">
              <xdr:from>
                <xdr:col>2</xdr:col>
                <xdr:colOff>1</xdr:colOff>
                <xdr:row>177</xdr:row>
                <xdr:rowOff>9</xdr:rowOff>
              </xdr:from>
              <xdr:to>
                <xdr:col>3</xdr:col>
                <xdr:colOff>21</xdr:colOff>
                <xdr:row>181</xdr:row>
                <xdr:rowOff>3</xdr:rowOff>
              </xdr:to>
            </anchor>
          </commentPr>
        </mc:Choice>
        <mc:Fallback/>
      </mc:AlternateContent>
    </comment>
    <comment ref="C77" authorId="0">
      <text>
        <r>
          <rPr>
            <b val="true"/>
            <sz val="8"/>
            <color rgb="FF000000"/>
            <rFont val="Tahoma"/>
            <family val="2"/>
          </rPr>
          <t xml:space="preserve">Author:
</t>
        </r>
        <r>
          <rPr>
            <sz val="8"/>
            <color rgb="FF000000"/>
            <rFont val="Tahoma"/>
            <family val="2"/>
          </rPr>
          <t xml:space="preserve">Assumption</t>
        </r>
      </text>
      <mc:AlternateContent>
        <mc:Choice Requires="v2">
          <commentPr autoFill="true" autoScale="false" colHidden="false" locked="false" rowHidden="false" textHAlign="justify" textVAlign="top">
            <anchor moveWithCells="false" sizeWithCells="false">
              <xdr:from>
                <xdr:col>2</xdr:col>
                <xdr:colOff>83</xdr:colOff>
                <xdr:row>76</xdr:row>
                <xdr:rowOff>8</xdr:rowOff>
              </xdr:from>
              <xdr:to>
                <xdr:col>3</xdr:col>
                <xdr:colOff>102</xdr:colOff>
                <xdr:row>78</xdr:row>
                <xdr:rowOff>59</xdr:rowOff>
              </xdr:to>
            </anchor>
          </commentPr>
        </mc:Choice>
        <mc:Fallback/>
      </mc:AlternateContent>
    </comment>
    <comment ref="D220" authorId="0">
      <text>
        <r>
          <rPr>
            <b val="true"/>
            <sz val="8"/>
            <color rgb="FF000000"/>
            <rFont val="Tahoma"/>
            <family val="2"/>
          </rPr>
          <t xml:space="preserve">Author:
</t>
        </r>
        <r>
          <rPr>
            <sz val="8"/>
            <color rgb="FF000000"/>
            <rFont val="Tahoma"/>
            <family val="2"/>
          </rPr>
          <t xml:space="preserve">Total premium (Rs Mn) on redemption of FCCB's due in May 2011 (Tranhce A&amp;B) that needs to be amortized over FY10E- FY12E</t>
        </r>
      </text>
      <mc:AlternateContent>
        <mc:Choice Requires="v2">
          <commentPr autoFill="true" autoScale="false" colHidden="false" locked="false" rowHidden="false" textHAlign="justify" textVAlign="top">
            <anchor moveWithCells="false" sizeWithCells="false">
              <xdr:from>
                <xdr:col>4</xdr:col>
                <xdr:colOff>18</xdr:colOff>
                <xdr:row>218</xdr:row>
                <xdr:rowOff>9</xdr:rowOff>
              </xdr:from>
              <xdr:to>
                <xdr:col>5</xdr:col>
                <xdr:colOff>43</xdr:colOff>
                <xdr:row>222</xdr:row>
                <xdr:rowOff>2</xdr:rowOff>
              </xdr:to>
            </anchor>
          </commentPr>
        </mc:Choice>
        <mc:Fallback/>
      </mc:AlternateContent>
    </comment>
    <comment ref="E21" authorId="0">
      <text>
        <r>
          <rPr>
            <b val="true"/>
            <sz val="8"/>
            <color rgb="FF000000"/>
            <rFont val="Tahoma"/>
            <family val="2"/>
          </rPr>
          <t xml:space="preserve">Author:
</t>
        </r>
        <r>
          <rPr>
            <sz val="8"/>
            <color rgb="FF000000"/>
            <rFont val="Tahoma"/>
            <family val="2"/>
          </rPr>
          <t xml:space="preserve">Total value of FCCB's of 255,500 @ 40.1 USD/INR as on 31 March 2008</t>
        </r>
      </text>
      <mc:AlternateContent>
        <mc:Choice Requires="v2">
          <commentPr autoFill="true" autoScale="false" colHidden="false" locked="false" rowHidden="false" textHAlign="justify" textVAlign="top">
            <anchor moveWithCells="false" sizeWithCells="false">
              <xdr:from>
                <xdr:col>5</xdr:col>
                <xdr:colOff>18</xdr:colOff>
                <xdr:row>19</xdr:row>
                <xdr:rowOff>9</xdr:rowOff>
              </xdr:from>
              <xdr:to>
                <xdr:col>6</xdr:col>
                <xdr:colOff>16</xdr:colOff>
                <xdr:row>23</xdr:row>
                <xdr:rowOff>3</xdr:rowOff>
              </xdr:to>
            </anchor>
          </commentPr>
        </mc:Choice>
        <mc:Fallback/>
      </mc:AlternateContent>
    </comment>
    <comment ref="E45" authorId="0">
      <text>
        <r>
          <rPr>
            <b val="true"/>
            <sz val="8"/>
            <color rgb="FF000000"/>
            <rFont val="Tahoma"/>
            <family val="2"/>
          </rPr>
          <t xml:space="preserve">Author:
</t>
        </r>
        <r>
          <rPr>
            <sz val="8"/>
            <color rgb="FF000000"/>
            <rFont val="Tahoma"/>
            <family val="2"/>
          </rPr>
          <t xml:space="preserve">=10,245.6*40.10</t>
        </r>
      </text>
      <mc:AlternateContent>
        <mc:Choice Requires="v2">
          <commentPr autoFill="true" autoScale="false" colHidden="false" locked="false" rowHidden="false" textHAlign="justify" textVAlign="top">
            <anchor moveWithCells="false" sizeWithCells="false">
              <xdr:from>
                <xdr:col>5</xdr:col>
                <xdr:colOff>18</xdr:colOff>
                <xdr:row>43</xdr:row>
                <xdr:rowOff>9</xdr:rowOff>
              </xdr:from>
              <xdr:to>
                <xdr:col>6</xdr:col>
                <xdr:colOff>16</xdr:colOff>
                <xdr:row>47</xdr:row>
                <xdr:rowOff>3</xdr:rowOff>
              </xdr:to>
            </anchor>
          </commentPr>
        </mc:Choice>
        <mc:Fallback/>
      </mc:AlternateContent>
    </comment>
    <comment ref="F19" authorId="0">
      <text>
        <r>
          <rPr>
            <b val="true"/>
            <sz val="8"/>
            <color rgb="FF000000"/>
            <rFont val="Tahoma"/>
            <family val="2"/>
          </rPr>
          <t xml:space="preserve">Author:
</t>
        </r>
        <r>
          <rPr>
            <sz val="8"/>
            <color rgb="FF000000"/>
            <rFont val="Tahoma"/>
            <family val="2"/>
          </rPr>
          <t xml:space="preserve">The difference in the value of FCCB's as on balance sheet date 31 Mar, between the 2 years is assumed as Other loans from banks  for the purpose of purchasing the USD 60.9 mn FCCB's at discount</t>
        </r>
      </text>
      <mc:AlternateContent>
        <mc:Choice Requires="v2">
          <commentPr autoFill="true" autoScale="false" colHidden="false" locked="false" rowHidden="false" textHAlign="justify" textVAlign="top">
            <anchor moveWithCells="false" sizeWithCells="false">
              <xdr:from>
                <xdr:col>4</xdr:col>
                <xdr:colOff>20</xdr:colOff>
                <xdr:row>14</xdr:row>
                <xdr:rowOff>1</xdr:rowOff>
              </xdr:from>
              <xdr:to>
                <xdr:col>5</xdr:col>
                <xdr:colOff>46</xdr:colOff>
                <xdr:row>17</xdr:row>
                <xdr:rowOff>15</xdr:rowOff>
              </xdr:to>
            </anchor>
          </commentPr>
        </mc:Choice>
        <mc:Fallback/>
      </mc:AlternateContent>
    </comment>
    <comment ref="F21" authorId="0">
      <text>
        <r>
          <rPr>
            <b val="true"/>
            <sz val="8"/>
            <color rgb="FF000000"/>
            <rFont val="Tahoma"/>
            <family val="2"/>
          </rPr>
          <t xml:space="preserve">Author:
</t>
        </r>
        <r>
          <rPr>
            <sz val="8"/>
            <color rgb="FF000000"/>
            <rFont val="Tahoma"/>
            <family val="2"/>
          </rPr>
          <t xml:space="preserve">FCCB's of 194.60 mn USD multiplied by USD/INR of 50.876 as on 31 March 2009</t>
        </r>
      </text>
      <mc:AlternateContent>
        <mc:Choice Requires="v2">
          <commentPr autoFill="true" autoScale="false" colHidden="false" locked="false" rowHidden="false" textHAlign="justify" textVAlign="top">
            <anchor moveWithCells="false" sizeWithCells="false">
              <xdr:from>
                <xdr:col>6</xdr:col>
                <xdr:colOff>13</xdr:colOff>
                <xdr:row>19</xdr:row>
                <xdr:rowOff>9</xdr:rowOff>
              </xdr:from>
              <xdr:to>
                <xdr:col>7</xdr:col>
                <xdr:colOff>68</xdr:colOff>
                <xdr:row>23</xdr:row>
                <xdr:rowOff>3</xdr:rowOff>
              </xdr:to>
            </anchor>
          </commentPr>
        </mc:Choice>
        <mc:Fallback/>
      </mc:AlternateContent>
    </comment>
    <comment ref="F33" authorId="0">
      <text>
        <r>
          <rPr>
            <b val="true"/>
            <sz val="8"/>
            <color rgb="FF000000"/>
            <rFont val="Tahoma"/>
            <family val="2"/>
          </rPr>
          <t xml:space="preserve">Author:
</t>
        </r>
        <r>
          <rPr>
            <sz val="8"/>
            <color rgb="FF000000"/>
            <rFont val="Tahoma"/>
            <family val="2"/>
          </rPr>
          <t xml:space="preserve">Interest expense (Net) was given in reported Consolidated P&amp;L. I then projected interest income and since balance sheet was not available then deduced the interest expense as the balancing figure</t>
        </r>
      </text>
      <mc:AlternateContent>
        <mc:Choice Requires="v2">
          <commentPr autoFill="true" autoScale="false" colHidden="false" locked="false" rowHidden="false" textHAlign="justify" textVAlign="top">
            <anchor moveWithCells="false" sizeWithCells="false">
              <xdr:from>
                <xdr:col>5</xdr:col>
                <xdr:colOff>127</xdr:colOff>
                <xdr:row>29</xdr:row>
                <xdr:rowOff>13</xdr:rowOff>
              </xdr:from>
              <xdr:to>
                <xdr:col>7</xdr:col>
                <xdr:colOff>26</xdr:colOff>
                <xdr:row>33</xdr:row>
                <xdr:rowOff>7</xdr:rowOff>
              </xdr:to>
            </anchor>
          </commentPr>
        </mc:Choice>
        <mc:Fallback/>
      </mc:AlternateContent>
    </comment>
    <comment ref="F36" authorId="0">
      <text>
        <r>
          <rPr>
            <b val="true"/>
            <sz val="8"/>
            <color rgb="FF000000"/>
            <rFont val="Tahoma"/>
            <family val="2"/>
          </rPr>
          <t xml:space="preserve">Author:
</t>
        </r>
        <r>
          <rPr>
            <sz val="8"/>
            <color rgb="FF000000"/>
            <rFont val="Tahoma"/>
            <family val="2"/>
          </rPr>
          <t xml:space="preserve">This figure was obtained from the deduced interest expense since only Interest expense (NET) was available and Gross interest expense in Balance sheet was not available,since not publshed</t>
        </r>
      </text>
      <mc:AlternateContent>
        <mc:Choice Requires="v2">
          <commentPr autoFill="true" autoScale="false" colHidden="false" locked="false" rowHidden="false" textHAlign="justify" textVAlign="top">
            <anchor moveWithCells="false" sizeWithCells="false">
              <xdr:from>
                <xdr:col>5</xdr:col>
                <xdr:colOff>139</xdr:colOff>
                <xdr:row>34</xdr:row>
                <xdr:rowOff>9</xdr:rowOff>
              </xdr:from>
              <xdr:to>
                <xdr:col>7</xdr:col>
                <xdr:colOff>38</xdr:colOff>
                <xdr:row>38</xdr:row>
                <xdr:rowOff>3</xdr:rowOff>
              </xdr:to>
            </anchor>
          </commentPr>
        </mc:Choice>
        <mc:Fallback/>
      </mc:AlternateContent>
    </comment>
    <comment ref="F55" authorId="0">
      <text>
        <r>
          <rPr>
            <b val="true"/>
            <sz val="8"/>
            <color rgb="FF000000"/>
            <rFont val="Tahoma"/>
            <family val="2"/>
          </rPr>
          <t xml:space="preserve">Author:
</t>
        </r>
        <r>
          <rPr>
            <sz val="8"/>
            <color rgb="FF000000"/>
            <rFont val="Tahoma"/>
            <family val="2"/>
          </rPr>
          <t xml:space="preserve">Assumption of  last 4 years Average interest rate</t>
        </r>
      </text>
      <mc:AlternateContent>
        <mc:Choice Requires="v2">
          <commentPr autoFill="true" autoScale="false" colHidden="false" locked="false" rowHidden="false" textHAlign="justify" textVAlign="top">
            <anchor moveWithCells="false" sizeWithCells="false">
              <xdr:from>
                <xdr:col>5</xdr:col>
                <xdr:colOff>139</xdr:colOff>
                <xdr:row>53</xdr:row>
                <xdr:rowOff>9</xdr:rowOff>
              </xdr:from>
              <xdr:to>
                <xdr:col>7</xdr:col>
                <xdr:colOff>38</xdr:colOff>
                <xdr:row>57</xdr:row>
                <xdr:rowOff>2</xdr:rowOff>
              </xdr:to>
            </anchor>
          </commentPr>
        </mc:Choice>
        <mc:Fallback/>
      </mc:AlternateContent>
    </comment>
    <comment ref="F214" authorId="0">
      <text>
        <r>
          <rPr>
            <b val="true"/>
            <sz val="8"/>
            <color rgb="FF000000"/>
            <rFont val="Tahoma"/>
            <family val="2"/>
          </rPr>
          <t xml:space="preserve">Author:
</t>
        </r>
        <r>
          <rPr>
            <sz val="8"/>
            <color rgb="FF000000"/>
            <rFont val="Tahoma"/>
            <family val="2"/>
          </rPr>
          <t xml:space="preserve">Assumption
</t>
        </r>
      </text>
      <mc:AlternateContent>
        <mc:Choice Requires="v2">
          <commentPr autoFill="true" autoScale="false" colHidden="false" locked="false" rowHidden="false" textHAlign="justify" textVAlign="top">
            <anchor moveWithCells="false" sizeWithCells="false">
              <xdr:from>
                <xdr:col>6</xdr:col>
                <xdr:colOff>17</xdr:colOff>
                <xdr:row>212</xdr:row>
                <xdr:rowOff>59</xdr:rowOff>
              </xdr:from>
              <xdr:to>
                <xdr:col>7</xdr:col>
                <xdr:colOff>72</xdr:colOff>
                <xdr:row>217</xdr:row>
                <xdr:rowOff>13</xdr:rowOff>
              </xdr:to>
            </anchor>
          </commentPr>
        </mc:Choice>
        <mc:Fallback/>
      </mc:AlternateContent>
    </comment>
    <comment ref="G36" authorId="0">
      <text>
        <r>
          <rPr>
            <b val="true"/>
            <sz val="8"/>
            <color rgb="FF000000"/>
            <rFont val="Tahoma"/>
            <family val="2"/>
          </rPr>
          <t xml:space="preserve">Author:
</t>
        </r>
        <r>
          <rPr>
            <sz val="8"/>
            <color rgb="FF000000"/>
            <rFont val="Tahoma"/>
            <family val="2"/>
          </rPr>
          <t xml:space="preserve">Assumed the same figure as of last year</t>
        </r>
      </text>
      <mc:AlternateContent>
        <mc:Choice Requires="v2">
          <commentPr autoFill="true" autoScale="false" colHidden="false" locked="false" rowHidden="false" textHAlign="justify" textVAlign="top">
            <anchor moveWithCells="false" sizeWithCells="false">
              <xdr:from>
                <xdr:col>6</xdr:col>
                <xdr:colOff>72</xdr:colOff>
                <xdr:row>34</xdr:row>
                <xdr:rowOff>9</xdr:rowOff>
              </xdr:from>
              <xdr:to>
                <xdr:col>8</xdr:col>
                <xdr:colOff>37</xdr:colOff>
                <xdr:row>38</xdr:row>
                <xdr:rowOff>3</xdr:rowOff>
              </xdr:to>
            </anchor>
          </commentPr>
        </mc:Choice>
        <mc:Fallback/>
      </mc:AlternateContent>
    </comment>
    <comment ref="G41" authorId="0">
      <text>
        <r>
          <rPr>
            <b val="true"/>
            <sz val="8"/>
            <color rgb="FF000000"/>
            <rFont val="Tahoma"/>
            <family val="2"/>
          </rPr>
          <t xml:space="preserve">system
</t>
        </r>
        <r>
          <rPr>
            <sz val="8"/>
            <color rgb="FF000000"/>
            <rFont val="Tahoma"/>
            <family val="2"/>
          </rPr>
          <t xml:space="preserve">Redemption of  USD 1.8 mn FCCBs @ INR 50.88</t>
        </r>
      </text>
      <mc:AlternateContent>
        <mc:Choice Requires="v2">
          <commentPr autoFill="true" autoScale="false" colHidden="false" locked="false" rowHidden="false" textHAlign="justify" textVAlign="top">
            <anchor moveWithCells="false" sizeWithCells="false">
              <xdr:from>
                <xdr:col>7</xdr:col>
                <xdr:colOff>7</xdr:colOff>
                <xdr:row>39</xdr:row>
                <xdr:rowOff>9</xdr:rowOff>
              </xdr:from>
              <xdr:to>
                <xdr:col>8</xdr:col>
                <xdr:colOff>71</xdr:colOff>
                <xdr:row>43</xdr:row>
                <xdr:rowOff>3</xdr:rowOff>
              </xdr:to>
            </anchor>
          </commentPr>
        </mc:Choice>
        <mc:Fallback/>
      </mc:AlternateContent>
    </comment>
    <comment ref="H40" authorId="0">
      <text>
        <r>
          <rPr>
            <b val="true"/>
            <sz val="8"/>
            <color rgb="FF000000"/>
            <rFont val="Tahoma"/>
            <family val="2"/>
          </rPr>
          <t xml:space="preserve">Author:
</t>
        </r>
        <r>
          <rPr>
            <sz val="8"/>
            <color rgb="FF000000"/>
            <rFont val="Tahoma"/>
            <family val="2"/>
          </rPr>
          <t xml:space="preserve">53.600 FCCB's on conversion at Rs 46.5 (assumed), is reduced from Unsecured loan amount. It is shown on conversion as part of share capital and Reserves</t>
        </r>
      </text>
      <mc:AlternateContent>
        <mc:Choice Requires="v2">
          <commentPr autoFill="true" autoScale="false" colHidden="false" locked="false" rowHidden="false" textHAlign="justify" textVAlign="top">
            <anchor moveWithCells="false" sizeWithCells="false">
              <xdr:from>
                <xdr:col>8</xdr:col>
                <xdr:colOff>6</xdr:colOff>
                <xdr:row>38</xdr:row>
                <xdr:rowOff>9</xdr:rowOff>
              </xdr:from>
              <xdr:to>
                <xdr:col>9</xdr:col>
                <xdr:colOff>71</xdr:colOff>
                <xdr:row>42</xdr:row>
                <xdr:rowOff>3</xdr:rowOff>
              </xdr:to>
            </anchor>
          </commentPr>
        </mc:Choice>
        <mc:Fallback/>
      </mc:AlternateContent>
    </comment>
    <comment ref="H43" authorId="0">
      <text>
        <r>
          <rPr>
            <b val="true"/>
            <sz val="8"/>
            <color rgb="FF000000"/>
            <rFont val="Tahoma"/>
            <family val="2"/>
          </rPr>
          <t xml:space="preserve">Author:
</t>
        </r>
        <r>
          <rPr>
            <sz val="8"/>
            <color rgb="FF000000"/>
            <rFont val="Tahoma"/>
            <family val="2"/>
          </rPr>
          <t xml:space="preserve">Term Loan of Rs 2000 mn is assumed to be raised by the company to redeem the FCCB's due in May 2011 (FY2012)</t>
        </r>
      </text>
      <mc:AlternateContent>
        <mc:Choice Requires="v2">
          <commentPr autoFill="true" autoScale="false" colHidden="false" locked="false" rowHidden="false" textHAlign="justify" textVAlign="top">
            <anchor moveWithCells="false" sizeWithCells="false">
              <xdr:from>
                <xdr:col>8</xdr:col>
                <xdr:colOff>14</xdr:colOff>
                <xdr:row>41</xdr:row>
                <xdr:rowOff>9</xdr:rowOff>
              </xdr:from>
              <xdr:to>
                <xdr:col>9</xdr:col>
                <xdr:colOff>79</xdr:colOff>
                <xdr:row>45</xdr:row>
                <xdr:rowOff>3</xdr:rowOff>
              </xdr:to>
            </anchor>
          </commentPr>
        </mc:Choice>
        <mc:Fallback/>
      </mc:AlternateContent>
    </comment>
    <comment ref="I43" authorId="0">
      <text>
        <r>
          <rPr>
            <b val="true"/>
            <sz val="8"/>
            <color rgb="FF000000"/>
            <rFont val="Tahoma"/>
            <family val="2"/>
          </rPr>
          <t xml:space="preserve">Author:
</t>
        </r>
        <r>
          <rPr>
            <sz val="8"/>
            <color rgb="FF000000"/>
            <rFont val="Tahoma"/>
            <family val="2"/>
          </rPr>
          <t xml:space="preserve">Term loans of Rs 5000 mn is assumed to be raised by the company so as to partially offset the repayment of FCCB's on redemption</t>
        </r>
      </text>
      <mc:AlternateContent>
        <mc:Choice Requires="v2">
          <commentPr autoFill="true" autoScale="false" colHidden="false" locked="false" rowHidden="false" textHAlign="justify" textVAlign="top">
            <anchor moveWithCells="false" sizeWithCells="false">
              <xdr:from>
                <xdr:col>9</xdr:col>
                <xdr:colOff>12</xdr:colOff>
                <xdr:row>41</xdr:row>
                <xdr:rowOff>9</xdr:rowOff>
              </xdr:from>
              <xdr:to>
                <xdr:col>10</xdr:col>
                <xdr:colOff>76</xdr:colOff>
                <xdr:row>45</xdr:row>
                <xdr:rowOff>3</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b val="true"/>
            <sz val="8"/>
            <color rgb="FF000000"/>
            <rFont val="Tahoma"/>
            <family val="2"/>
          </rPr>
          <t xml:space="preserve">Author:
</t>
        </r>
        <r>
          <rPr>
            <sz val="8"/>
            <color rgb="FF000000"/>
            <rFont val="Tahoma"/>
            <family val="2"/>
          </rPr>
          <t xml:space="preserve">FY 2005 A numbers have been input for better clarity for capex rate and depreciation
</t>
        </r>
      </text>
      <mc:AlternateContent>
        <mc:Choice Requires="v2">
          <commentPr autoFill="true" autoScale="false" colHidden="false" locked="false" rowHidden="false" textHAlign="justify" textVAlign="top">
            <anchor moveWithCells="false" sizeWithCells="false">
              <xdr:from>
                <xdr:col>3</xdr:col>
                <xdr:colOff>18</xdr:colOff>
                <xdr:row>2</xdr:row>
                <xdr:rowOff>10</xdr:rowOff>
              </xdr:from>
              <xdr:to>
                <xdr:col>4</xdr:col>
                <xdr:colOff>83</xdr:colOff>
                <xdr:row>5</xdr:row>
                <xdr:rowOff>3</xdr:rowOff>
              </xdr:to>
            </anchor>
          </commentPr>
        </mc:Choice>
        <mc:Fallback/>
      </mc:AlternateContent>
    </comment>
    <comment ref="F9" authorId="0">
      <text>
        <r>
          <rPr>
            <b val="true"/>
            <sz val="8"/>
            <color rgb="FF000000"/>
            <rFont val="Tahoma"/>
            <family val="2"/>
          </rPr>
          <t xml:space="preserve">Author:
</t>
        </r>
        <r>
          <rPr>
            <sz val="8"/>
            <color rgb="FF000000"/>
            <rFont val="Tahoma"/>
            <family val="2"/>
          </rPr>
          <t xml:space="preserve">We get the total i.e Gross Block + Capital work in progress to get better picture of CAPEX which we use to calculate as a % of revenue</t>
        </r>
      </text>
      <mc:AlternateContent>
        <mc:Choice Requires="v2">
          <commentPr autoFill="true" autoScale="false" colHidden="false" locked="false" rowHidden="false" textHAlign="justify" textVAlign="top">
            <anchor moveWithCells="false" sizeWithCells="false">
              <xdr:from>
                <xdr:col>6</xdr:col>
                <xdr:colOff>18</xdr:colOff>
                <xdr:row>7</xdr:row>
                <xdr:rowOff>9</xdr:rowOff>
              </xdr:from>
              <xdr:to>
                <xdr:col>7</xdr:col>
                <xdr:colOff>83</xdr:colOff>
                <xdr:row>11</xdr:row>
                <xdr:rowOff>3</xdr:rowOff>
              </xdr:to>
            </anchor>
          </commentPr>
        </mc:Choice>
        <mc:Fallback/>
      </mc:AlternateContent>
    </comment>
    <comment ref="G18" authorId="0">
      <text>
        <r>
          <rPr>
            <b val="true"/>
            <sz val="8"/>
            <color rgb="FF000000"/>
            <rFont val="Tahoma"/>
            <family val="2"/>
          </rPr>
          <t xml:space="preserve">Author:
</t>
        </r>
        <r>
          <rPr>
            <sz val="8"/>
            <color rgb="FF000000"/>
            <rFont val="Tahoma"/>
            <family val="2"/>
          </rPr>
          <t xml:space="preserve">Have assumed lesser Capex as % of revenues from the historical years for the first three years of forecast peroid</t>
        </r>
      </text>
      <mc:AlternateContent>
        <mc:Choice Requires="v2">
          <commentPr autoFill="true" autoScale="false" colHidden="false" locked="false" rowHidden="false" textHAlign="justify" textVAlign="top">
            <anchor moveWithCells="false" sizeWithCells="false">
              <xdr:from>
                <xdr:col>7</xdr:col>
                <xdr:colOff>18</xdr:colOff>
                <xdr:row>16</xdr:row>
                <xdr:rowOff>9</xdr:rowOff>
              </xdr:from>
              <xdr:to>
                <xdr:col>8</xdr:col>
                <xdr:colOff>83</xdr:colOff>
                <xdr:row>20</xdr:row>
                <xdr:rowOff>2</xdr:rowOff>
              </xdr:to>
            </anchor>
          </commentPr>
        </mc:Choice>
        <mc:Fallback/>
      </mc:AlternateContent>
    </comment>
    <comment ref="J18" authorId="0">
      <text>
        <r>
          <rPr>
            <b val="true"/>
            <sz val="8"/>
            <color rgb="FF000000"/>
            <rFont val="Tahoma"/>
            <family val="2"/>
          </rPr>
          <t xml:space="preserve">Author:
</t>
        </r>
        <r>
          <rPr>
            <sz val="8"/>
            <color rgb="FF000000"/>
            <rFont val="Tahoma"/>
            <family val="2"/>
          </rPr>
          <t xml:space="preserve">Have assumed 6% of CAPEX as a % of revenue for the last forecast period considering the company had made enough investments in fixed assets in the previous years
</t>
        </r>
      </text>
      <mc:AlternateContent>
        <mc:Choice Requires="v2">
          <commentPr autoFill="true" autoScale="false" colHidden="false" locked="false" rowHidden="false" textHAlign="justify" textVAlign="top">
            <anchor moveWithCells="false" sizeWithCells="false">
              <xdr:from>
                <xdr:col>10</xdr:col>
                <xdr:colOff>18</xdr:colOff>
                <xdr:row>16</xdr:row>
                <xdr:rowOff>9</xdr:rowOff>
              </xdr:from>
              <xdr:to>
                <xdr:col>11</xdr:col>
                <xdr:colOff>83</xdr:colOff>
                <xdr:row>20</xdr:row>
                <xdr:rowOff>2</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 authorId="0">
      <text>
        <r>
          <rPr>
            <b val="true"/>
            <sz val="8"/>
            <color rgb="FF000000"/>
            <rFont val="Tahoma"/>
            <family val="2"/>
          </rPr>
          <t xml:space="preserve">Author:
</t>
        </r>
        <r>
          <rPr>
            <sz val="8"/>
            <color rgb="FF000000"/>
            <rFont val="Tahoma"/>
            <family val="2"/>
          </rPr>
          <t xml:space="preserve">IMF forecast </t>
        </r>
      </text>
      <mc:AlternateContent>
        <mc:Choice Requires="v2">
          <commentPr autoFill="true" autoScale="false" colHidden="false" locked="false" rowHidden="false" textHAlign="justify" textVAlign="top">
            <anchor moveWithCells="false" sizeWithCells="false">
              <xdr:from>
                <xdr:col>2</xdr:col>
                <xdr:colOff>18</xdr:colOff>
                <xdr:row>4</xdr:row>
                <xdr:rowOff>10</xdr:rowOff>
              </xdr:from>
              <xdr:to>
                <xdr:col>3</xdr:col>
                <xdr:colOff>83</xdr:colOff>
                <xdr:row>6</xdr:row>
                <xdr:rowOff>23</xdr:rowOff>
              </xdr:to>
            </anchor>
          </commentPr>
        </mc:Choice>
        <mc:Fallback/>
      </mc:AlternateContent>
    </comment>
    <comment ref="B11" authorId="0">
      <text>
        <r>
          <rPr>
            <b val="true"/>
            <sz val="8"/>
            <color rgb="FF000000"/>
            <rFont val="Tahoma"/>
            <family val="2"/>
          </rPr>
          <t xml:space="preserve">Author:
</t>
        </r>
        <r>
          <rPr>
            <sz val="8"/>
            <color rgb="FF000000"/>
            <rFont val="Tahoma"/>
            <family val="2"/>
          </rPr>
          <t xml:space="preserve">10 year RBI treasury bill rate of 7% on an average</t>
        </r>
      </text>
      <mc:AlternateContent>
        <mc:Choice Requires="v2">
          <commentPr autoFill="true" autoScale="false" colHidden="false" locked="false" rowHidden="false" textHAlign="justify" textVAlign="top">
            <anchor moveWithCells="false" sizeWithCells="false">
              <xdr:from>
                <xdr:col>2</xdr:col>
                <xdr:colOff>18</xdr:colOff>
                <xdr:row>9</xdr:row>
                <xdr:rowOff>9</xdr:rowOff>
              </xdr:from>
              <xdr:to>
                <xdr:col>3</xdr:col>
                <xdr:colOff>83</xdr:colOff>
                <xdr:row>12</xdr:row>
                <xdr:rowOff>3</xdr:rowOff>
              </xdr:to>
            </anchor>
          </commentPr>
        </mc:Choice>
        <mc:Fallback/>
      </mc:AlternateContent>
    </comment>
    <comment ref="B12" authorId="0">
      <text>
        <r>
          <rPr>
            <b val="true"/>
            <sz val="9"/>
            <color rgb="FF000000"/>
            <rFont val="Tahoma"/>
            <family val="2"/>
          </rPr>
          <t xml:space="preserve">Author:
</t>
        </r>
        <r>
          <rPr>
            <sz val="9"/>
            <color rgb="FF000000"/>
            <rFont val="Tahoma"/>
            <family val="2"/>
          </rPr>
          <t xml:space="preserve">Value taken from Capitaline.com</t>
        </r>
      </text>
      <mc:AlternateContent>
        <mc:Choice Requires="v2">
          <commentPr autoFill="true" autoScale="false" colHidden="false" locked="false" rowHidden="false" textHAlign="justify" textVAlign="top">
            <anchor moveWithCells="false" sizeWithCells="false">
              <xdr:from>
                <xdr:col>1</xdr:col>
                <xdr:colOff>66</xdr:colOff>
                <xdr:row>12</xdr:row>
                <xdr:rowOff>10</xdr:rowOff>
              </xdr:from>
              <xdr:to>
                <xdr:col>3</xdr:col>
                <xdr:colOff>61</xdr:colOff>
                <xdr:row>16</xdr:row>
                <xdr:rowOff>9</xdr:rowOff>
              </xdr:to>
            </anchor>
          </commentPr>
        </mc:Choice>
        <mc:Fallback/>
      </mc:AlternateContent>
    </comment>
    <comment ref="B13" authorId="0">
      <text>
        <r>
          <rPr>
            <sz val="8"/>
            <color rgb="FF000000"/>
            <rFont val="Tahoma"/>
            <family val="2"/>
          </rPr>
          <t xml:space="preserve">JP Morgan estimates for risk premium in India for the long term</t>
        </r>
      </text>
      <mc:AlternateContent>
        <mc:Choice Requires="v2">
          <commentPr autoFill="true" autoScale="false" colHidden="false" locked="false" rowHidden="false" textHAlign="justify" textVAlign="top">
            <anchor moveWithCells="false" sizeWithCells="false">
              <xdr:from>
                <xdr:col>2</xdr:col>
                <xdr:colOff>18</xdr:colOff>
                <xdr:row>11</xdr:row>
                <xdr:rowOff>9</xdr:rowOff>
              </xdr:from>
              <xdr:to>
                <xdr:col>3</xdr:col>
                <xdr:colOff>83</xdr:colOff>
                <xdr:row>15</xdr:row>
                <xdr:rowOff>3</xdr:rowOff>
              </xdr:to>
            </anchor>
          </commentPr>
        </mc:Choice>
        <mc:Fallback/>
      </mc:AlternateContent>
    </comment>
    <comment ref="B26" authorId="0">
      <text>
        <r>
          <rPr>
            <b val="true"/>
            <sz val="8"/>
            <color rgb="FF000000"/>
            <rFont val="Tahoma"/>
            <family val="2"/>
          </rPr>
          <t xml:space="preserve">Author:
</t>
        </r>
        <r>
          <rPr>
            <sz val="8"/>
            <color rgb="FF000000"/>
            <rFont val="Tahoma"/>
            <family val="2"/>
          </rPr>
          <t xml:space="preserve">NOPAT + Depreciation + Change in Working capital (as opposed to - as given in standard formula) since we are taking the sum effect of working capital change directlly from the cash flow statement</t>
        </r>
      </text>
      <mc:AlternateContent>
        <mc:Choice Requires="v2">
          <commentPr autoFill="true" autoScale="false" colHidden="false" locked="false" rowHidden="false" textHAlign="justify" textVAlign="top">
            <anchor moveWithCells="false" sizeWithCells="false">
              <xdr:from>
                <xdr:col>2</xdr:col>
                <xdr:colOff>18</xdr:colOff>
                <xdr:row>24</xdr:row>
                <xdr:rowOff>9</xdr:rowOff>
              </xdr:from>
              <xdr:to>
                <xdr:col>3</xdr:col>
                <xdr:colOff>83</xdr:colOff>
                <xdr:row>28</xdr:row>
                <xdr:rowOff>3</xdr:rowOff>
              </xdr:to>
            </anchor>
          </commentPr>
        </mc:Choice>
        <mc:Fallback/>
      </mc:AlternateContent>
    </comment>
    <comment ref="E10" authorId="0">
      <text>
        <r>
          <rPr>
            <b val="true"/>
            <sz val="8"/>
            <color rgb="FF000000"/>
            <rFont val="Tahoma"/>
            <family val="2"/>
          </rPr>
          <t xml:space="preserve">Author:
</t>
        </r>
        <r>
          <rPr>
            <sz val="8"/>
            <color rgb="FF000000"/>
            <rFont val="Tahoma"/>
            <family val="2"/>
          </rPr>
          <t xml:space="preserve">Total Debt as of FY08A</t>
        </r>
      </text>
      <mc:AlternateContent>
        <mc:Choice Requires="v2">
          <commentPr autoFill="true" autoScale="false" colHidden="false" locked="false" rowHidden="false" textHAlign="justify" textVAlign="top">
            <anchor moveWithCells="false" sizeWithCells="false">
              <xdr:from>
                <xdr:col>5</xdr:col>
                <xdr:colOff>10</xdr:colOff>
                <xdr:row>6</xdr:row>
                <xdr:rowOff>29</xdr:rowOff>
              </xdr:from>
              <xdr:to>
                <xdr:col>6</xdr:col>
                <xdr:colOff>75</xdr:colOff>
                <xdr:row>10</xdr:row>
                <xdr:rowOff>3</xdr:rowOff>
              </xdr:to>
            </anchor>
          </commentPr>
        </mc:Choice>
        <mc:Fallback/>
      </mc:AlternateContent>
    </comment>
    <comment ref="H10" authorId="0">
      <text>
        <r>
          <rPr>
            <b val="true"/>
            <sz val="8"/>
            <color rgb="FF000000"/>
            <rFont val="Tahoma"/>
            <family val="2"/>
          </rPr>
          <t xml:space="preserve">Author:
</t>
        </r>
        <r>
          <rPr>
            <sz val="8"/>
            <color rgb="FF000000"/>
            <rFont val="Tahoma"/>
            <family val="2"/>
          </rPr>
          <t xml:space="preserve">Taken the assumed tax rate from FY10E since it was more in line with future tax rates, and also the rate as expected  by the company</t>
        </r>
      </text>
      <mc:AlternateContent>
        <mc:Choice Requires="v2">
          <commentPr autoFill="true" autoScale="false" colHidden="false" locked="false" rowHidden="false" textHAlign="justify" textVAlign="top">
            <anchor moveWithCells="false" sizeWithCells="false">
              <xdr:from>
                <xdr:col>8</xdr:col>
                <xdr:colOff>54</xdr:colOff>
                <xdr:row>6</xdr:row>
                <xdr:rowOff>29</xdr:rowOff>
              </xdr:from>
              <xdr:to>
                <xdr:col>9</xdr:col>
                <xdr:colOff>44</xdr:colOff>
                <xdr:row>10</xdr:row>
                <xdr:rowOff>3</xdr:rowOff>
              </xdr:to>
            </anchor>
          </commentPr>
        </mc:Choice>
        <mc:Fallback/>
      </mc:AlternateContent>
    </comment>
    <comment ref="N37" authorId="0">
      <text>
        <r>
          <rPr>
            <b val="true"/>
            <sz val="8"/>
            <color rgb="FF000000"/>
            <rFont val="Tahoma"/>
            <family val="2"/>
          </rPr>
          <t xml:space="preserve">Author:
</t>
        </r>
        <r>
          <rPr>
            <sz val="8"/>
            <color rgb="FF000000"/>
            <rFont val="Tahoma"/>
            <family val="2"/>
          </rPr>
          <t xml:space="preserve">Forecasted Global GDP growth by IMF</t>
        </r>
      </text>
      <mc:AlternateContent>
        <mc:Choice Requires="v2">
          <commentPr autoFill="true" autoScale="false" colHidden="false" locked="false" rowHidden="false" textHAlign="justify" textVAlign="top">
            <anchor moveWithCells="false" sizeWithCells="false">
              <xdr:from>
                <xdr:col>13</xdr:col>
                <xdr:colOff>60</xdr:colOff>
                <xdr:row>35</xdr:row>
                <xdr:rowOff>9</xdr:rowOff>
              </xdr:from>
              <xdr:to>
                <xdr:col>14</xdr:col>
                <xdr:colOff>20</xdr:colOff>
                <xdr:row>39</xdr:row>
                <xdr:rowOff>3</xdr:rowOff>
              </xdr:to>
            </anchor>
          </commentPr>
        </mc:Choice>
        <mc:Fallback/>
      </mc:AlternateContent>
    </comment>
  </commentList>
</comments>
</file>

<file path=xl/sharedStrings.xml><?xml version="1.0" encoding="utf-8"?>
<sst xmlns="http://schemas.openxmlformats.org/spreadsheetml/2006/main" count="922" uniqueCount="488">
  <si>
    <t xml:space="preserve">Reference Model</t>
  </si>
  <si>
    <t xml:space="preserve">Aurobindo Pharma</t>
  </si>
  <si>
    <t xml:space="preserve">Prepared By: Gopal Sathis Kumar, Distance learning, Chennai</t>
  </si>
  <si>
    <t xml:space="preserve">http://proschoolonline.com</t>
  </si>
  <si>
    <r>
      <rPr>
        <b val="true"/>
        <sz val="9"/>
        <color rgb="FF333333"/>
        <rFont val="Tahoma"/>
        <family val="2"/>
      </rPr>
      <t xml:space="preserve">Email ID : </t>
    </r>
    <r>
      <rPr>
        <sz val="9"/>
        <color rgb="FF333333"/>
        <rFont val="Tahoma"/>
        <family val="2"/>
      </rPr>
      <t xml:space="preserve">mumbai@proschoolonline.com</t>
    </r>
  </si>
  <si>
    <t xml:space="preserve">Mumbai</t>
  </si>
  <si>
    <t xml:space="preserve">IMS Proschool Pvt Ltd,</t>
  </si>
  <si>
    <t xml:space="preserve">Maharashtra High School Complex,</t>
  </si>
  <si>
    <t xml:space="preserve">Principal N.M Kale Marg, Off Gokhale Rd,</t>
  </si>
  <si>
    <t xml:space="preserve">Dadar (W), Mumbai 400028</t>
  </si>
  <si>
    <r>
      <rPr>
        <b val="true"/>
        <sz val="9"/>
        <color rgb="FF333333"/>
        <rFont val="Tahoma"/>
        <family val="2"/>
      </rPr>
      <t xml:space="preserve">Tel. No. :</t>
    </r>
    <r>
      <rPr>
        <sz val="9"/>
        <color rgb="FF333333"/>
        <rFont val="Tahoma"/>
        <family val="2"/>
      </rPr>
      <t xml:space="preserve"> 022-65285393/94</t>
    </r>
  </si>
  <si>
    <t xml:space="preserve">+91 9372895050</t>
  </si>
  <si>
    <t xml:space="preserve">Directions</t>
  </si>
  <si>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</si>
  <si>
    <t xml:space="preserve">Email ID : mumbai@proschoolonline.com</t>
  </si>
  <si>
    <t xml:space="preserve">Company Overview</t>
  </si>
  <si>
    <t xml:space="preserve">(In Rs Millions, except per share data)</t>
  </si>
  <si>
    <t xml:space="preserve">Company Information</t>
  </si>
  <si>
    <t xml:space="preserve">Company Description</t>
  </si>
  <si>
    <t xml:space="preserve">Industry</t>
  </si>
  <si>
    <t xml:space="preserve">Pharmceuticals</t>
  </si>
  <si>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</si>
  <si>
    <t xml:space="preserve">Sector</t>
  </si>
  <si>
    <t xml:space="preserve">Pharma</t>
  </si>
  <si>
    <t xml:space="preserve">Country</t>
  </si>
  <si>
    <t xml:space="preserve">India</t>
  </si>
  <si>
    <t xml:space="preserve">Current Market Price             Rs</t>
  </si>
  <si>
    <t xml:space="preserve">Ticker</t>
  </si>
  <si>
    <t xml:space="preserve">AUROPHARMA</t>
  </si>
  <si>
    <t xml:space="preserve">Market Capitalization (Rs in Mn)</t>
  </si>
  <si>
    <t xml:space="preserve">Relative Index </t>
  </si>
  <si>
    <t xml:space="preserve">S&amp;P CNX Nifty</t>
  </si>
  <si>
    <t xml:space="preserve">Year end</t>
  </si>
  <si>
    <t xml:space="preserve">Reporting currency</t>
  </si>
  <si>
    <t xml:space="preserve">INR</t>
  </si>
  <si>
    <t xml:space="preserve">Products</t>
  </si>
  <si>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</si>
  <si>
    <t xml:space="preserve">Per Share Data &amp; Key Ratios</t>
  </si>
  <si>
    <t xml:space="preserve">For the Fiscal Period Ending</t>
  </si>
  <si>
    <t xml:space="preserve">3 months 
Jun-30-          2008</t>
  </si>
  <si>
    <t xml:space="preserve">3 months 
Sep-30-2008</t>
  </si>
  <si>
    <t xml:space="preserve">3 months 
Dec-31-2008</t>
  </si>
  <si>
    <t xml:space="preserve">3 months 
Mar-31-2009</t>
  </si>
  <si>
    <t xml:space="preserve">FY2009 A</t>
  </si>
  <si>
    <t xml:space="preserve">3 months 
Jun-30-2009</t>
  </si>
  <si>
    <t xml:space="preserve">3 months 
Sep-30-2009</t>
  </si>
  <si>
    <t xml:space="preserve">3 months 
Dec-31-     2009</t>
  </si>
  <si>
    <t xml:space="preserve">3 months 
Mar-31-2010</t>
  </si>
  <si>
    <t xml:space="preserve">FY2010 E</t>
  </si>
  <si>
    <t xml:space="preserve">3 months 
Jun-30-                                                      2010</t>
  </si>
  <si>
    <t xml:space="preserve">3 months 
Sep-30-2010</t>
  </si>
  <si>
    <t xml:space="preserve">3 months 
Dec-31-2010</t>
  </si>
  <si>
    <t xml:space="preserve">3 months 
Mar-31-2011</t>
  </si>
  <si>
    <t xml:space="preserve">FY2011 E</t>
  </si>
  <si>
    <t xml:space="preserve">EPS diluted (reported)</t>
  </si>
  <si>
    <t xml:space="preserve">Operating Margin (%)</t>
  </si>
  <si>
    <t xml:space="preserve">EBITDA/sales (%)</t>
  </si>
  <si>
    <t xml:space="preserve">EBIT/sales (%)</t>
  </si>
  <si>
    <t xml:space="preserve">Net income/sales (%)</t>
  </si>
  <si>
    <t xml:space="preserve">Interest Cover</t>
  </si>
  <si>
    <t xml:space="preserve">ROE</t>
  </si>
  <si>
    <t xml:space="preserve">Quarterly data not available</t>
  </si>
  <si>
    <t xml:space="preserve">EV/Sales</t>
  </si>
  <si>
    <t xml:space="preserve">EV/EBITDA</t>
  </si>
  <si>
    <t xml:space="preserve">P/E</t>
  </si>
  <si>
    <t xml:space="preserve">P/Sales</t>
  </si>
  <si>
    <t xml:space="preserve">P/BV</t>
  </si>
  <si>
    <t xml:space="preserve">Geographic  Revenue breakup for 2009</t>
  </si>
  <si>
    <t xml:space="preserve">Product Revenue Breakup for 2009</t>
  </si>
  <si>
    <t xml:space="preserve">India </t>
  </si>
  <si>
    <t xml:space="preserve">Formulations</t>
  </si>
  <si>
    <t xml:space="preserve">Active Ingredients</t>
  </si>
  <si>
    <t xml:space="preserve">China</t>
  </si>
  <si>
    <t xml:space="preserve">USA</t>
  </si>
  <si>
    <t xml:space="preserve">SSPs</t>
  </si>
  <si>
    <t xml:space="preserve">Rest of the World</t>
  </si>
  <si>
    <t xml:space="preserve">Europe</t>
  </si>
  <si>
    <t xml:space="preserve">Cephs</t>
  </si>
  <si>
    <t xml:space="preserve">Consolidated</t>
  </si>
  <si>
    <t xml:space="preserve">ARV's</t>
  </si>
  <si>
    <t xml:space="preserve">ARVs &amp; Others</t>
  </si>
  <si>
    <t xml:space="preserve">Total</t>
  </si>
  <si>
    <t xml:space="preserve">Revenue Forecast</t>
  </si>
  <si>
    <t xml:space="preserve">Enterprise Value Added </t>
  </si>
  <si>
    <t xml:space="preserve">Revenue Data</t>
  </si>
  <si>
    <t xml:space="preserve">FY2007 A</t>
  </si>
  <si>
    <t xml:space="preserve">FY2008 A</t>
  </si>
  <si>
    <t xml:space="preserve">FY2012 E</t>
  </si>
  <si>
    <t xml:space="preserve">FY2013 E</t>
  </si>
  <si>
    <t xml:space="preserve">FY2014 E</t>
  </si>
  <si>
    <t xml:space="preserve">Explicit Forecast FCF (First Stage)</t>
  </si>
  <si>
    <t xml:space="preserve">Second Stage </t>
  </si>
  <si>
    <t xml:space="preserve">Terminal Year Forecast FCF</t>
  </si>
  <si>
    <t xml:space="preserve">% Y-o-Y Growth</t>
  </si>
  <si>
    <t xml:space="preserve">Total Enterprise Value</t>
  </si>
  <si>
    <t xml:space="preserve">Presentation</t>
  </si>
  <si>
    <t xml:space="preserve">(In Rs Millions, Except per share items)</t>
  </si>
  <si>
    <t xml:space="preserve">3 months 
Jun-30-2007</t>
  </si>
  <si>
    <t xml:space="preserve">3 months 
Sep-30-2007</t>
  </si>
  <si>
    <t xml:space="preserve">3 months 
Dec-31-2007</t>
  </si>
  <si>
    <t xml:space="preserve">3 months 
Mar-31-2008</t>
  </si>
  <si>
    <t xml:space="preserve">3 months 
Jun-30-2008</t>
  </si>
  <si>
    <t xml:space="preserve">3 months 
Dec-31-2009</t>
  </si>
  <si>
    <t xml:space="preserve">3 months 
Jun-30-2010</t>
  </si>
  <si>
    <t xml:space="preserve">3 months 
Jun-30-2011</t>
  </si>
  <si>
    <t xml:space="preserve">3 months 
Sep-30-2011</t>
  </si>
  <si>
    <t xml:space="preserve">3 months 
Dec-31-2011</t>
  </si>
  <si>
    <t xml:space="preserve">3 months 
Mar-31-2012</t>
  </si>
  <si>
    <t xml:space="preserve">3 months 
Jun-30-2012</t>
  </si>
  <si>
    <t xml:space="preserve">3 months 
Sep-30-2012</t>
  </si>
  <si>
    <t xml:space="preserve">3 months 
Dec-31-2012</t>
  </si>
  <si>
    <t xml:space="preserve">3 months 
Mar-31-2013</t>
  </si>
  <si>
    <t xml:space="preserve">3 months 
Jun-30-2013</t>
  </si>
  <si>
    <t xml:space="preserve">3 months 
Sep-30-2013</t>
  </si>
  <si>
    <t xml:space="preserve">3 months 
Dec-31-2013</t>
  </si>
  <si>
    <t xml:space="preserve">3 months 
Mar-31-2014</t>
  </si>
  <si>
    <t xml:space="preserve">Geographic Revenue</t>
  </si>
  <si>
    <t xml:space="preserve">Segment Revenues</t>
  </si>
  <si>
    <t xml:space="preserve">Income Statement</t>
  </si>
  <si>
    <t xml:space="preserve">Total Income</t>
  </si>
  <si>
    <t xml:space="preserve">Material Consumed</t>
  </si>
  <si>
    <t xml:space="preserve">Staff Cost</t>
  </si>
  <si>
    <t xml:space="preserve">Other Expenditure</t>
  </si>
  <si>
    <t xml:space="preserve">Depreciation &amp; Amortization</t>
  </si>
  <si>
    <t xml:space="preserve">Total Expenditure</t>
  </si>
  <si>
    <t xml:space="preserve">Operating Income</t>
  </si>
  <si>
    <t xml:space="preserve">Operating Income Margin(%)</t>
  </si>
  <si>
    <t xml:space="preserve">Profit Before Interest and Tax (PBIT)</t>
  </si>
  <si>
    <t xml:space="preserve">PBIT  Margin (%)</t>
  </si>
  <si>
    <t xml:space="preserve">EBITDA</t>
  </si>
  <si>
    <t xml:space="preserve">EBITDA Margin (%)</t>
  </si>
  <si>
    <t xml:space="preserve">Interest (net)</t>
  </si>
  <si>
    <t xml:space="preserve">Profit from Ordinary Activities before Tax (PBT)</t>
  </si>
  <si>
    <t xml:space="preserve">PBT Margin (%)</t>
  </si>
  <si>
    <t xml:space="preserve">Total Tax</t>
  </si>
  <si>
    <t xml:space="preserve">Tax Rate</t>
  </si>
  <si>
    <t xml:space="preserve">Net Profit (PAT)</t>
  </si>
  <si>
    <t xml:space="preserve">Net Profit Margin (%)</t>
  </si>
  <si>
    <t xml:space="preserve">Diluted EPS</t>
  </si>
  <si>
    <t xml:space="preserve">Other Selected Items and Ratios</t>
  </si>
  <si>
    <t xml:space="preserve">Cash and Bank Balances</t>
  </si>
  <si>
    <t xml:space="preserve">Capex</t>
  </si>
  <si>
    <t xml:space="preserve">Total Debt</t>
  </si>
  <si>
    <t xml:space="preserve">Total Shareholder's Equity</t>
  </si>
  <si>
    <t xml:space="preserve">Cash Ratio</t>
  </si>
  <si>
    <t xml:space="preserve">Days Sales Outstanding (DSO)</t>
  </si>
  <si>
    <t xml:space="preserve">Inventory Days</t>
  </si>
  <si>
    <t xml:space="preserve">Payable Days</t>
  </si>
  <si>
    <t xml:space="preserve">Book Value Per Share</t>
  </si>
  <si>
    <t xml:space="preserve">Net Cash Per Share</t>
  </si>
  <si>
    <t xml:space="preserve">Valuation Metrics</t>
  </si>
  <si>
    <t xml:space="preserve">EBIT Margin (%)</t>
  </si>
  <si>
    <t xml:space="preserve">Profit &amp; Loss Consolidated</t>
  </si>
  <si>
    <t xml:space="preserve">FY2006 A</t>
  </si>
  <si>
    <t xml:space="preserve">3 months 
Jun-30-2006</t>
  </si>
  <si>
    <t xml:space="preserve">3 months 
Sep-30-2006</t>
  </si>
  <si>
    <t xml:space="preserve">3 months 
Dec-31-2006</t>
  </si>
  <si>
    <t xml:space="preserve">3 months 
Mar-31-2007</t>
  </si>
  <si>
    <t xml:space="preserve">Profit &amp; Loss  Consolidated</t>
  </si>
  <si>
    <t xml:space="preserve"> Numbers for these Quarters are Stand Alone as Consolidated data was not available</t>
  </si>
  <si>
    <t xml:space="preserve">Sales (including excise duty)</t>
  </si>
  <si>
    <t xml:space="preserve">Less: Excise Duty</t>
  </si>
  <si>
    <t xml:space="preserve">Net Sales</t>
  </si>
  <si>
    <t xml:space="preserve">Other Operating Income</t>
  </si>
  <si>
    <t xml:space="preserve">Expenditure </t>
  </si>
  <si>
    <t xml:space="preserve">a. (Increase) / Decrease in Stocks</t>
  </si>
  <si>
    <t xml:space="preserve">b. Material Consumed</t>
  </si>
  <si>
    <t xml:space="preserve">C. Purchase of traded goods</t>
  </si>
  <si>
    <t xml:space="preserve">d. Staff Cost</t>
  </si>
  <si>
    <t xml:space="preserve">e. Depreciation / Amortization</t>
  </si>
  <si>
    <t xml:space="preserve">f.  Other Expenditure</t>
  </si>
  <si>
    <r>
      <rPr>
        <b val="true"/>
        <sz val="11"/>
        <color rgb="FF000000"/>
        <rFont val="Calibri"/>
        <family val="2"/>
      </rPr>
      <t xml:space="preserve">Operating Income</t>
    </r>
    <r>
      <rPr>
        <sz val="11"/>
        <color rgb="FF000000"/>
        <rFont val="Calibri"/>
        <family val="2"/>
      </rPr>
      <t xml:space="preserve">  (Profit from Operations before other income) </t>
    </r>
  </si>
  <si>
    <t xml:space="preserve">Other Income</t>
  </si>
  <si>
    <t xml:space="preserve">Foreign Exchange (Gain) / Loss (net)</t>
  </si>
  <si>
    <t xml:space="preserve">Exceptional Item</t>
  </si>
  <si>
    <t xml:space="preserve">Provision for Taxation</t>
  </si>
  <si>
    <t xml:space="preserve">a. Current Tax</t>
  </si>
  <si>
    <t xml:space="preserve">b. MAT Credit Entitlement</t>
  </si>
  <si>
    <t xml:space="preserve">c. Defferred Tax</t>
  </si>
  <si>
    <t xml:space="preserve">d. Fringe Benefit Tax (net of recovery)</t>
  </si>
  <si>
    <t xml:space="preserve">e. Tax adjustment of previous years</t>
  </si>
  <si>
    <t xml:space="preserve">Profit before Minority Interest</t>
  </si>
  <si>
    <t xml:space="preserve">Minority Interest</t>
  </si>
  <si>
    <t xml:space="preserve">Net Profit for the Period (PAT)</t>
  </si>
  <si>
    <t xml:space="preserve">Paid up Equity Share Capital</t>
  </si>
  <si>
    <t xml:space="preserve">(Face value Rs 5/- per share)</t>
  </si>
  <si>
    <t xml:space="preserve">Basic EPS</t>
  </si>
  <si>
    <t xml:space="preserve">No of Shares -Basic</t>
  </si>
  <si>
    <t xml:space="preserve">No of Shares - Diluted </t>
  </si>
  <si>
    <t xml:space="preserve">One Time / Proforma Adjustments</t>
  </si>
  <si>
    <t xml:space="preserve">Total Adjustments before Tax</t>
  </si>
  <si>
    <t xml:space="preserve">Less: Income Tax Effect</t>
  </si>
  <si>
    <t xml:space="preserve">Adjusted  Net Profit for the Period (PAT) </t>
  </si>
  <si>
    <t xml:space="preserve">Adjusted Net  Profit Margin (%)</t>
  </si>
  <si>
    <t xml:space="preserve">Diluted EPS - Adjusted</t>
  </si>
  <si>
    <t xml:space="preserve">Balance Sheet</t>
  </si>
  <si>
    <t xml:space="preserve">FY 2006 A</t>
  </si>
  <si>
    <t xml:space="preserve">FY2009 E</t>
  </si>
  <si>
    <t xml:space="preserve">I. SOURCES OF FUNDS</t>
  </si>
  <si>
    <t xml:space="preserve">Share holder's Fund</t>
  </si>
  <si>
    <t xml:space="preserve">Share Capital</t>
  </si>
  <si>
    <t xml:space="preserve">Share Application Money</t>
  </si>
  <si>
    <t xml:space="preserve">Reserves &amp; Surplus</t>
  </si>
  <si>
    <t xml:space="preserve">Loan Funds</t>
  </si>
  <si>
    <t xml:space="preserve">Secured Funds</t>
  </si>
  <si>
    <t xml:space="preserve">Unsecured Funds</t>
  </si>
  <si>
    <t xml:space="preserve">Deferred Tax Liability (Net)</t>
  </si>
  <si>
    <t xml:space="preserve">II. APPLICATION OF FUNDS</t>
  </si>
  <si>
    <t xml:space="preserve">Fixed Assets</t>
  </si>
  <si>
    <t xml:space="preserve">Gross Block</t>
  </si>
  <si>
    <t xml:space="preserve">Less: Accumulated Depreciation/Amortization</t>
  </si>
  <si>
    <t xml:space="preserve">Net Block</t>
  </si>
  <si>
    <t xml:space="preserve">Capital Work-in-progress (including capital advances)</t>
  </si>
  <si>
    <t xml:space="preserve">Investments</t>
  </si>
  <si>
    <t xml:space="preserve">Deferred Tax Asset</t>
  </si>
  <si>
    <t xml:space="preserve">Current Assets, Loans and Advances </t>
  </si>
  <si>
    <t xml:space="preserve">Interest Accrued on Investments</t>
  </si>
  <si>
    <t xml:space="preserve">Inventories</t>
  </si>
  <si>
    <t xml:space="preserve">Sundry Debtors</t>
  </si>
  <si>
    <t xml:space="preserve">Cash &amp; Bank Balances</t>
  </si>
  <si>
    <t xml:space="preserve">Loan and Advances</t>
  </si>
  <si>
    <t xml:space="preserve">(A)</t>
  </si>
  <si>
    <t xml:space="preserve">Less: Current Liabilities and Provisions</t>
  </si>
  <si>
    <t xml:space="preserve">Liabilities </t>
  </si>
  <si>
    <t xml:space="preserve">Provisions</t>
  </si>
  <si>
    <t xml:space="preserve">(B)</t>
  </si>
  <si>
    <t xml:space="preserve">Net Current Assets    (A-B)</t>
  </si>
  <si>
    <t xml:space="preserve">Check Sum</t>
  </si>
  <si>
    <t xml:space="preserve">Balance Sheet Metrics</t>
  </si>
  <si>
    <t xml:space="preserve">Current Ratio</t>
  </si>
  <si>
    <t xml:space="preserve">Quick Ratio</t>
  </si>
  <si>
    <t xml:space="preserve">Net Debt</t>
  </si>
  <si>
    <t xml:space="preserve">Cash Flow Statement</t>
  </si>
  <si>
    <t xml:space="preserve">(In Rs Millions)</t>
  </si>
  <si>
    <t xml:space="preserve">A.   Cash Flow from Operating Activities</t>
  </si>
  <si>
    <t xml:space="preserve">Net Profit before Tax, Minority Interest and prior period items</t>
  </si>
  <si>
    <t xml:space="preserve">Adjustments for:-</t>
  </si>
  <si>
    <t xml:space="preserve">Depreciation and Amortization</t>
  </si>
  <si>
    <t xml:space="preserve">Miscellaneous Expenditure written off</t>
  </si>
  <si>
    <t xml:space="preserve">Provision for Doubtfull debts</t>
  </si>
  <si>
    <t xml:space="preserve">Loss / Gain on sale of fixed assets</t>
  </si>
  <si>
    <t xml:space="preserve">Export incentives accrued</t>
  </si>
  <si>
    <t xml:space="preserve">Claims / bad debts written off</t>
  </si>
  <si>
    <t xml:space="preserve">Balances no longer required written back</t>
  </si>
  <si>
    <t xml:space="preserve">Provision for Retirement benefits</t>
  </si>
  <si>
    <t xml:space="preserve">Investments written off / Diminution</t>
  </si>
  <si>
    <t xml:space="preserve">Write off / other adjustments of Fixed Assets</t>
  </si>
  <si>
    <t xml:space="preserve">Foreign Exchange loss (Net)</t>
  </si>
  <si>
    <t xml:space="preserve">Interest Income</t>
  </si>
  <si>
    <t xml:space="preserve">Sales tax deferment loan availed</t>
  </si>
  <si>
    <t xml:space="preserve">Profit on sale of Investments in subsidiary</t>
  </si>
  <si>
    <t xml:space="preserve">Interest expense</t>
  </si>
  <si>
    <t xml:space="preserve">Operating Profit before working capital changes</t>
  </si>
  <si>
    <t xml:space="preserve">Movement in working capital:</t>
  </si>
  <si>
    <t xml:space="preserve">Increase in Sundry Debtors</t>
  </si>
  <si>
    <t xml:space="preserve">Increase in Inventories</t>
  </si>
  <si>
    <t xml:space="preserve">Increase in Loans and Advances</t>
  </si>
  <si>
    <t xml:space="preserve">Increase in Current Liabilities</t>
  </si>
  <si>
    <t xml:space="preserve">Cash Generated from operations</t>
  </si>
  <si>
    <t xml:space="preserve">Direct Taxes paid (Net of refund)</t>
  </si>
  <si>
    <t xml:space="preserve">    Net Cash (Used In) / From Operating Activities (A)</t>
  </si>
  <si>
    <t xml:space="preserve">B.    Cash Flow From Investing Activities</t>
  </si>
  <si>
    <t xml:space="preserve">Purchase of Fixed Assets and Intangibles</t>
  </si>
  <si>
    <t xml:space="preserve">Proceeds from sale of Fixed Assets</t>
  </si>
  <si>
    <t xml:space="preserve">Payment for Net Assets acquired of Subsidiary, Net of cash</t>
  </si>
  <si>
    <t xml:space="preserve">Payment for Purchase of Sundry Debtors</t>
  </si>
  <si>
    <t xml:space="preserve">On disposal of Joint Venture entity</t>
  </si>
  <si>
    <t xml:space="preserve">Proceeds from sale of investment in  Subsidiary,net of cash</t>
  </si>
  <si>
    <t xml:space="preserve">Proceeds from sale/(purchase) of Investments (Net)</t>
  </si>
  <si>
    <t xml:space="preserve">Loans to Joint Ventures</t>
  </si>
  <si>
    <t xml:space="preserve">Interest Received</t>
  </si>
  <si>
    <t xml:space="preserve">    Net Cash Used in Investing Activities (B)</t>
  </si>
  <si>
    <t xml:space="preserve">C.    Cash Flow From Financing Activities</t>
  </si>
  <si>
    <t xml:space="preserve">Proceeds from Issuance of Share capital</t>
  </si>
  <si>
    <t xml:space="preserve">Proceeds from Long-Term borrowings</t>
  </si>
  <si>
    <t xml:space="preserve">Proceeds from FCCB's</t>
  </si>
  <si>
    <t xml:space="preserve">Repayment of Long-Term Borrowings</t>
  </si>
  <si>
    <t xml:space="preserve">Repayment of FCCB's (Redemption)</t>
  </si>
  <si>
    <t xml:space="preserve">Proceeds from Short term borrowings (Net)</t>
  </si>
  <si>
    <t xml:space="preserve">Interest Paid</t>
  </si>
  <si>
    <t xml:space="preserve">FCCB Issue Expenses</t>
  </si>
  <si>
    <t xml:space="preserve">Dividends and dividend tax paid</t>
  </si>
  <si>
    <t xml:space="preserve">    Net Cash Flow From Financing Activities  (C)</t>
  </si>
  <si>
    <t xml:space="preserve">D.    Effect of Exchange rate changes on Cash &amp; Cash equivalents (D)</t>
  </si>
  <si>
    <t xml:space="preserve">Net Increase / (Decrease) in Cash and Cash Equivalents (A+B+C+D)</t>
  </si>
  <si>
    <t xml:space="preserve">Cash and Cash Equivalents at the beginning of the year</t>
  </si>
  <si>
    <t xml:space="preserve">Add: On Amalgamation</t>
  </si>
  <si>
    <t xml:space="preserve">Cash and Cash Equivalents at the end of the year</t>
  </si>
  <si>
    <t xml:space="preserve">Cash and Cheques on Hand</t>
  </si>
  <si>
    <t xml:space="preserve">With Banks        - on  Current Accounts</t>
  </si>
  <si>
    <t xml:space="preserve">                                 on Deposit Accounts</t>
  </si>
  <si>
    <t xml:space="preserve">                                 on Unpaid Dividend Accounts</t>
  </si>
  <si>
    <t xml:space="preserve">on Fixed Deposits Accounts</t>
  </si>
  <si>
    <t xml:space="preserve">Cash and Cash Equivalents as per Balance Sheet</t>
  </si>
  <si>
    <t xml:space="preserve">Less: Overdraft</t>
  </si>
  <si>
    <t xml:space="preserve">Less: Fixed Deposits considered as Investments</t>
  </si>
  <si>
    <t xml:space="preserve">Effect of Unrealized exchange loss as on Balance sheet date</t>
  </si>
  <si>
    <t xml:space="preserve">Cash and Cash Equivalents considered for cash flows</t>
  </si>
  <si>
    <t xml:space="preserve">Geographic Revenue Model </t>
  </si>
  <si>
    <t xml:space="preserve">FY2005 A</t>
  </si>
  <si>
    <t xml:space="preserve">Segment Results (EBIT)</t>
  </si>
  <si>
    <t xml:space="preserve">Add: Eliminations (for inter-segment sales)</t>
  </si>
  <si>
    <t xml:space="preserve">Capital Expenditure</t>
  </si>
  <si>
    <t xml:space="preserve">Less: Eliminations (for inter-segment sales)</t>
  </si>
  <si>
    <t xml:space="preserve">Depreciation / Amortization</t>
  </si>
  <si>
    <t xml:space="preserve">Geographic Revenues as a % of Total</t>
  </si>
  <si>
    <t xml:space="preserve">Y/Y (%) Growth in Geographic Revenues</t>
  </si>
  <si>
    <t xml:space="preserve">Segment Revenue Model</t>
  </si>
  <si>
    <t xml:space="preserve">Y/Y (%) Growth</t>
  </si>
  <si>
    <t xml:space="preserve">Sequential - Q/Q (%) Growth</t>
  </si>
  <si>
    <t xml:space="preserve">Segment Revenues as (%) of Total</t>
  </si>
  <si>
    <t xml:space="preserve">Share of Each Quarter in the Total sales</t>
  </si>
  <si>
    <t xml:space="preserve">Cost Model</t>
  </si>
  <si>
    <t xml:space="preserve">3 months 
Jun 30 2006</t>
  </si>
  <si>
    <t xml:space="preserve">As % of Revenues</t>
  </si>
  <si>
    <t xml:space="preserve">Excise Duty</t>
  </si>
  <si>
    <t xml:space="preserve">(Increase) / Decrease in Stocks</t>
  </si>
  <si>
    <t xml:space="preserve">Purchase of traded goods</t>
  </si>
  <si>
    <t xml:space="preserve">Total Tax / Profit Before Tax</t>
  </si>
  <si>
    <t xml:space="preserve">Debt Schedule</t>
  </si>
  <si>
    <t xml:space="preserve">(I) Secured Loans</t>
  </si>
  <si>
    <t xml:space="preserve">Non Convertible Debentures</t>
  </si>
  <si>
    <t xml:space="preserve">Term Loans -From Banks</t>
  </si>
  <si>
    <t xml:space="preserve">Other Loans:-</t>
  </si>
  <si>
    <t xml:space="preserve">From Banks - Working Capital Loans</t>
  </si>
  <si>
    <t xml:space="preserve">Interest Accrued </t>
  </si>
  <si>
    <t xml:space="preserve">Hire Purchase Loans From Banks</t>
  </si>
  <si>
    <t xml:space="preserve">(II) Unsecured Loans</t>
  </si>
  <si>
    <t xml:space="preserve">Short Term Loans - From Banks</t>
  </si>
  <si>
    <t xml:space="preserve">From Banks</t>
  </si>
  <si>
    <t xml:space="preserve">Interest Accrued and Due</t>
  </si>
  <si>
    <t xml:space="preserve">Zero Coupon FCCBS</t>
  </si>
  <si>
    <t xml:space="preserve">From Others</t>
  </si>
  <si>
    <t xml:space="preserve">Sales Tax Deferment Loan</t>
  </si>
  <si>
    <t xml:space="preserve">Total Loans</t>
  </si>
  <si>
    <t xml:space="preserve">Total Loans: Less FCCB</t>
  </si>
  <si>
    <t xml:space="preserve">Interest Income, Net</t>
  </si>
  <si>
    <t xml:space="preserve">Interest Expense</t>
  </si>
  <si>
    <t xml:space="preserve">Interest Expense, Net</t>
  </si>
  <si>
    <t xml:space="preserve">Interest Expense Rate (Total Loans)</t>
  </si>
  <si>
    <r>
      <rPr>
        <sz val="11"/>
        <color rgb="FF000000"/>
        <rFont val="Calibri"/>
        <family val="2"/>
      </rPr>
      <t xml:space="preserve">Interest Expense Rate (</t>
    </r>
    <r>
      <rPr>
        <i val="true"/>
        <sz val="11"/>
        <color rgb="FF000000"/>
        <rFont val="Calibri"/>
        <family val="2"/>
      </rPr>
      <t xml:space="preserve">Total Loans: Less FCCB</t>
    </r>
    <r>
      <rPr>
        <sz val="11"/>
        <color rgb="FF000000"/>
        <rFont val="Calibri"/>
        <family val="2"/>
      </rPr>
      <t xml:space="preserve">)</t>
    </r>
  </si>
  <si>
    <t xml:space="preserve">Additional Borrowing / (Repayment)</t>
  </si>
  <si>
    <t xml:space="preserve">FCCB's  Due in Aug 2010</t>
  </si>
  <si>
    <t xml:space="preserve">FCCB's  Due in May 2011 -Tranche A Bonds</t>
  </si>
  <si>
    <t xml:space="preserve">FCCB's  Due in May 2011 -Tranche B Bonds</t>
  </si>
  <si>
    <t xml:space="preserve">Outstanding FCCB's at Year End (in Rs  Million ) </t>
  </si>
  <si>
    <t xml:space="preserve">Outstanding FCCB's at Year End (in Million USD) </t>
  </si>
  <si>
    <t xml:space="preserve">USD/INR (At Balance sheet date i.e 31 March )</t>
  </si>
  <si>
    <t xml:space="preserve">Forex (Gain)  / Loss on restating of FCCB's</t>
  </si>
  <si>
    <t xml:space="preserve">Interest Income Calculation</t>
  </si>
  <si>
    <t xml:space="preserve">Cash and Cash Equivalent</t>
  </si>
  <si>
    <t xml:space="preserve">Interest Income Rate</t>
  </si>
  <si>
    <t xml:space="preserve">FCCB Scenario</t>
  </si>
  <si>
    <t xml:space="preserve">(In Actuals)</t>
  </si>
  <si>
    <t xml:space="preserve">No of FCCBs Outstanding</t>
  </si>
  <si>
    <t xml:space="preserve">Price per Bond (USD)</t>
  </si>
  <si>
    <t xml:space="preserve">Premium Payable on due</t>
  </si>
  <si>
    <t xml:space="preserve">Outstanding Amount in USD</t>
  </si>
  <si>
    <t xml:space="preserve">Dilution Effect on Outstanding Shares</t>
  </si>
  <si>
    <t xml:space="preserve">Due in Aug 2010</t>
  </si>
  <si>
    <t xml:space="preserve">Due in May 2011 -Tranche A Bonds</t>
  </si>
  <si>
    <t xml:space="preserve">Due in May 2011 -Tranche B Bonds</t>
  </si>
  <si>
    <t xml:space="preserve">Total </t>
  </si>
  <si>
    <t xml:space="preserve">Terms of FCCB Issue</t>
  </si>
  <si>
    <t xml:space="preserve">Due in Aug 2010 (Issued in 2005-2006)</t>
  </si>
  <si>
    <t xml:space="preserve">Convertible on or before August 2010. Each $1000 bond to be converted into 83.12 fully paid equity shares at a fixed price of Rs 522.036 at a fixed exchange conversion of Rs 43.3925 = US  $1. OR REDEEMABLE on Maturity @ 139.954% of its principal amount.</t>
  </si>
  <si>
    <t xml:space="preserve">Due in May 2011 -Tranche A Bonds (Issued in 2006-07)</t>
  </si>
  <si>
    <t xml:space="preserve">Convertible on or before May 2011. Each $1000 bond to be converted into 44.52 fully paid equity shares at a fixed price of Rs 1014.06 at a fixed exchange conversion of Rs 45.145 = US  $1. OR REDEEMABLE on Maturity @ 146.285% of its principal amount.</t>
  </si>
  <si>
    <t xml:space="preserve">Due in May 2011 -Tranche B Bonds (Issued in 2006-07)</t>
  </si>
  <si>
    <t xml:space="preserve">Convertible on or before May 2011. Each $1000 bond to be converted into 51.51 fully paid equity shares at a fixed price of Rs 879  at a fixed exchange conversion of Rs 45.145 = US  $1. OR REDEEMABLE on Maturity @ 146.991% of its principal amount.</t>
  </si>
  <si>
    <t xml:space="preserve">Conversion @ Rs</t>
  </si>
  <si>
    <t xml:space="preserve">(In USD)</t>
  </si>
  <si>
    <t xml:space="preserve">Due in August 2010</t>
  </si>
  <si>
    <t xml:space="preserve">Due  in May 2011 (Tranche -A)</t>
  </si>
  <si>
    <t xml:space="preserve">Due  in May 2011(Tranche-B)</t>
  </si>
  <si>
    <t xml:space="preserve">Face Value of FCCB</t>
  </si>
  <si>
    <t xml:space="preserve">Premium (%)</t>
  </si>
  <si>
    <t xml:space="preserve">Redemption value</t>
  </si>
  <si>
    <t xml:space="preserve">Premium Component</t>
  </si>
  <si>
    <t xml:space="preserve">(In Millions)</t>
  </si>
  <si>
    <r>
      <rPr>
        <sz val="11"/>
        <rFont val="Calibri"/>
        <family val="2"/>
      </rPr>
      <t xml:space="preserve">Interest Component (</t>
    </r>
    <r>
      <rPr>
        <b val="true"/>
        <sz val="11"/>
        <rFont val="Calibri"/>
        <family val="2"/>
      </rPr>
      <t xml:space="preserve">USD</t>
    </r>
    <r>
      <rPr>
        <sz val="11"/>
        <rFont val="Calibri"/>
        <family val="2"/>
      </rPr>
      <t xml:space="preserve">)</t>
    </r>
  </si>
  <si>
    <r>
      <rPr>
        <sz val="11"/>
        <rFont val="Calibri"/>
        <family val="2"/>
      </rPr>
      <t xml:space="preserve">Interest Component (</t>
    </r>
    <r>
      <rPr>
        <b val="true"/>
        <sz val="11"/>
        <rFont val="Calibri"/>
        <family val="2"/>
      </rPr>
      <t xml:space="preserve">In INR</t>
    </r>
    <r>
      <rPr>
        <sz val="11"/>
        <rFont val="Calibri"/>
        <family val="2"/>
      </rPr>
      <t xml:space="preserve">)</t>
    </r>
  </si>
  <si>
    <r>
      <rPr>
        <sz val="11"/>
        <rFont val="Calibri"/>
        <family val="2"/>
      </rPr>
      <t xml:space="preserve">Principal Component (</t>
    </r>
    <r>
      <rPr>
        <b val="true"/>
        <sz val="11"/>
        <rFont val="Calibri"/>
        <family val="2"/>
      </rPr>
      <t xml:space="preserve">In INR</t>
    </r>
    <r>
      <rPr>
        <sz val="11"/>
        <rFont val="Calibri"/>
        <family val="2"/>
      </rPr>
      <t xml:space="preserve">)</t>
    </r>
  </si>
  <si>
    <t xml:space="preserve">Scenario Analysis</t>
  </si>
  <si>
    <t xml:space="preserve"> FCCB - Due in August 2010</t>
  </si>
  <si>
    <t xml:space="preserve">Each Bond (in $)</t>
  </si>
  <si>
    <t xml:space="preserve">Premium</t>
  </si>
  <si>
    <t xml:space="preserve">Payable on Redemption (in $)</t>
  </si>
  <si>
    <t xml:space="preserve">Proceeds to Investor per Bond in USD  if Converted to Equity shares</t>
  </si>
  <si>
    <t xml:space="preserve">Each $ 1000 Bond is convertible into</t>
  </si>
  <si>
    <t xml:space="preserve">If Share Price is </t>
  </si>
  <si>
    <t xml:space="preserve">USD/INR</t>
  </si>
  <si>
    <t xml:space="preserve">USD /INR</t>
  </si>
  <si>
    <t xml:space="preserve">Share Price in INR</t>
  </si>
  <si>
    <t xml:space="preserve"> FCCB - Due in May 2011 - Tranche A</t>
  </si>
  <si>
    <t xml:space="preserve"> FCCB - Due in May 2011 - Tranche B</t>
  </si>
  <si>
    <r>
      <rPr>
        <b val="true"/>
        <sz val="11"/>
        <color rgb="FF000000"/>
        <rFont val="Calibri"/>
        <family val="2"/>
      </rPr>
      <t xml:space="preserve">Working Note -1    </t>
    </r>
    <r>
      <rPr>
        <b val="true"/>
        <sz val="11"/>
        <color rgb="FFFF0000"/>
        <rFont val="Calibri"/>
        <family val="2"/>
      </rPr>
      <t xml:space="preserve">Assumption of FULL conversion of FCCB's Due in Aug 2010 (FY 2011E)</t>
    </r>
  </si>
  <si>
    <t xml:space="preserve">FCCB's Outstanding -Due August 2010 (FY 2011E)</t>
  </si>
  <si>
    <t xml:space="preserve">No of Shares for conversion per $1000 Bond</t>
  </si>
  <si>
    <t xml:space="preserve">Conversion @ fixed price of                                         Rs</t>
  </si>
  <si>
    <t xml:space="preserve">Face Value per share                                                       Rs</t>
  </si>
  <si>
    <t xml:space="preserve">Balance Share Premium value per share                Rs</t>
  </si>
  <si>
    <t xml:space="preserve">Transfer to Share Capital on Full Conversion        Rs</t>
  </si>
  <si>
    <t xml:space="preserve">Transfer to Share Premium (Reserves &amp; Surplus) on Full Conversion                                                           Rs</t>
  </si>
  <si>
    <t xml:space="preserve">Dilution Effect on Outstanding shares on Conversion in FY11E</t>
  </si>
  <si>
    <r>
      <rPr>
        <b val="true"/>
        <sz val="11"/>
        <color rgb="FF000000"/>
        <rFont val="Calibri"/>
        <family val="2"/>
      </rPr>
      <t xml:space="preserve">Working Note-2    </t>
    </r>
    <r>
      <rPr>
        <b val="true"/>
        <sz val="11"/>
        <color rgb="FFFF0000"/>
        <rFont val="Calibri"/>
        <family val="2"/>
      </rPr>
      <t xml:space="preserve">Amortization of Redeemption Premium for FCCB's (both Tranche-A&amp;B)due in May 2011 (FY 2012)</t>
    </r>
  </si>
  <si>
    <t xml:space="preserve">Due in May 2011 (Tranche-A)</t>
  </si>
  <si>
    <t xml:space="preserve">Due in May 2011 (Tranche-B)</t>
  </si>
  <si>
    <t xml:space="preserve">No of Bonds (in actuals)</t>
  </si>
  <si>
    <t xml:space="preserve">Face value ($)</t>
  </si>
  <si>
    <t xml:space="preserve">Premium value /Bond($)</t>
  </si>
  <si>
    <t xml:space="preserve">Total Premium value ($)</t>
  </si>
  <si>
    <t xml:space="preserve">Total Premium value in Rs Millions</t>
  </si>
  <si>
    <t xml:space="preserve">Fixed Asset</t>
  </si>
  <si>
    <t xml:space="preserve">For the Fiscal Period Ending
</t>
  </si>
  <si>
    <t xml:space="preserve">FY2004 A</t>
  </si>
  <si>
    <t xml:space="preserve">Gross Block (C/B)</t>
  </si>
  <si>
    <t xml:space="preserve">Capital Work-in-progress</t>
  </si>
  <si>
    <t xml:space="preserve">.</t>
  </si>
  <si>
    <r>
      <rPr>
        <sz val="11"/>
        <rFont val="Calibri"/>
        <family val="2"/>
      </rPr>
      <t xml:space="preserve">Additions </t>
    </r>
    <r>
      <rPr>
        <i val="true"/>
        <sz val="11"/>
        <rFont val="Calibri"/>
        <family val="2"/>
      </rPr>
      <t xml:space="preserve">(Capex)</t>
    </r>
  </si>
  <si>
    <t xml:space="preserve">Depreciation (B/S)</t>
  </si>
  <si>
    <t xml:space="preserve">Depreciation (I/S)</t>
  </si>
  <si>
    <t xml:space="preserve">Depreciation Rate</t>
  </si>
  <si>
    <t xml:space="preserve">Capex as % of revenue</t>
  </si>
  <si>
    <t xml:space="preserve">Valuation</t>
  </si>
  <si>
    <t xml:space="preserve">Growth Assumptions</t>
  </si>
  <si>
    <t xml:space="preserve">Enterprise Value (EV)</t>
  </si>
  <si>
    <t xml:space="preserve">Debt Equity Weightage</t>
  </si>
  <si>
    <t xml:space="preserve">Long term World GDP growth rate</t>
  </si>
  <si>
    <t xml:space="preserve">E/(D+E) @ Enterprise Value</t>
  </si>
  <si>
    <t xml:space="preserve">Current Market Price</t>
  </si>
  <si>
    <t xml:space="preserve">D/(D+E) @ Enterprise Value</t>
  </si>
  <si>
    <t xml:space="preserve">Diluted Shares</t>
  </si>
  <si>
    <t xml:space="preserve">CAPM Assumptions</t>
  </si>
  <si>
    <t xml:space="preserve">Market Capitalisation</t>
  </si>
  <si>
    <t xml:space="preserve">Interest Rate (%)</t>
  </si>
  <si>
    <t xml:space="preserve">Ke</t>
  </si>
  <si>
    <t xml:space="preserve">Long Term Liabilities</t>
  </si>
  <si>
    <t xml:space="preserve">Tax Rate (@)</t>
  </si>
  <si>
    <t xml:space="preserve">RFR</t>
  </si>
  <si>
    <t xml:space="preserve">Less: Cash &amp; Cash Equivalents</t>
  </si>
  <si>
    <t xml:space="preserve">Beta</t>
  </si>
  <si>
    <t xml:space="preserve">WACC Calculation</t>
  </si>
  <si>
    <t xml:space="preserve">Rp</t>
  </si>
  <si>
    <t xml:space="preserve">WACC</t>
  </si>
  <si>
    <t xml:space="preserve">Calculation of Free Cash Flow</t>
  </si>
  <si>
    <t xml:space="preserve">Explicit Forecast Period (First Stage)</t>
  </si>
  <si>
    <t xml:space="preserve">Second Stage of Valuation</t>
  </si>
  <si>
    <t xml:space="preserve">Third  Stage of Valuation</t>
  </si>
  <si>
    <t xml:space="preserve">FY2015 E</t>
  </si>
  <si>
    <t xml:space="preserve">FY2016 E</t>
  </si>
  <si>
    <t xml:space="preserve">FY2017 E</t>
  </si>
  <si>
    <t xml:space="preserve">FY2018 E</t>
  </si>
  <si>
    <t xml:space="preserve">FY2019 E</t>
  </si>
  <si>
    <t xml:space="preserve">Terminal Year</t>
  </si>
  <si>
    <t xml:space="preserve">Revenues</t>
  </si>
  <si>
    <t xml:space="preserve">EBIT</t>
  </si>
  <si>
    <t xml:space="preserve">Tax Expense</t>
  </si>
  <si>
    <t xml:space="preserve">Net Operating Profit After Tax</t>
  </si>
  <si>
    <t xml:space="preserve">Depreciation &amp; Amortisation</t>
  </si>
  <si>
    <t xml:space="preserve">Working Capital Change</t>
  </si>
  <si>
    <t xml:space="preserve">Operating Cash Flow</t>
  </si>
  <si>
    <t xml:space="preserve">FCF</t>
  </si>
  <si>
    <t xml:space="preserve">Projection Year</t>
  </si>
  <si>
    <t xml:space="preserve">Discount Factor</t>
  </si>
  <si>
    <t xml:space="preserve">Present Value of FCF</t>
  </si>
  <si>
    <t xml:space="preserve">Y/Y Growth Analysis</t>
  </si>
  <si>
    <t xml:space="preserve">Margin Analysis (As % of Revenues)</t>
  </si>
  <si>
    <t xml:space="preserve">EBITDA Margin</t>
  </si>
  <si>
    <t xml:space="preserve">EBIT Margin</t>
  </si>
  <si>
    <t xml:space="preserve">Tax Rate (Tax Expense/EBIT)</t>
  </si>
  <si>
    <t xml:space="preserve">Terminal Value</t>
  </si>
  <si>
    <t xml:space="preserve">Calculated Equity Value</t>
  </si>
  <si>
    <t xml:space="preserve">Intrinsic Value</t>
  </si>
  <si>
    <t xml:space="preserve">Sum of PV of FCF for explicit forecast</t>
  </si>
  <si>
    <t xml:space="preserve">Enterprise Value</t>
  </si>
  <si>
    <t xml:space="preserve">Equity Value</t>
  </si>
  <si>
    <t xml:space="preserve">-   Debt</t>
  </si>
  <si>
    <t xml:space="preserve">Long term growth in EBIT</t>
  </si>
  <si>
    <t xml:space="preserve">+  Cash</t>
  </si>
  <si>
    <t xml:space="preserve">Present Value of terminal value</t>
  </si>
  <si>
    <t xml:space="preserve">Intrinsic Value    Rs.</t>
  </si>
  <si>
    <t xml:space="preserve">Terminal Value as % of Total Value</t>
  </si>
  <si>
    <t xml:space="preserve">Sensitivity - Varying Terminal Growth Rate</t>
  </si>
  <si>
    <t xml:space="preserve">PV of Terminal Value</t>
  </si>
  <si>
    <t xml:space="preserve">PV of FCF</t>
  </si>
  <si>
    <t xml:space="preserve">Sensitivity - EV/EBITDA Exit Multiple</t>
  </si>
  <si>
    <t xml:space="preserve">PV of Terminal Value (EV/EBITDA)</t>
  </si>
</sst>
</file>

<file path=xl/styles.xml><?xml version="1.0" encoding="utf-8"?>
<styleSheet xmlns="http://schemas.openxmlformats.org/spreadsheetml/2006/main">
  <numFmts count="22">
    <numFmt numFmtId="164" formatCode="General"/>
    <numFmt numFmtId="165" formatCode="0%"/>
    <numFmt numFmtId="166" formatCode="0.00_);[RED]\(0.00\)"/>
    <numFmt numFmtId="167" formatCode="_(* #,##0.00_);_(* \(#,##0.00\);_(* \-??_);_(@_)"/>
    <numFmt numFmtId="168" formatCode="[$-409]d\-mmm"/>
    <numFmt numFmtId="169" formatCode="0.00%"/>
    <numFmt numFmtId="170" formatCode="_(* #,##0.0_);_(* \(#,##0.0\);_(* \-??_);_(@_)"/>
    <numFmt numFmtId="171" formatCode="0.00"/>
    <numFmt numFmtId="172" formatCode="#,##0"/>
    <numFmt numFmtId="173" formatCode="_ * #,##0_ ;_ * \-#,##0_ ;_ * \-_ ;_ @_ "/>
    <numFmt numFmtId="174" formatCode="0.0"/>
    <numFmt numFmtId="175" formatCode="_(* #,##0.000_);_(* \(#,##0.000\);_(* \-??_);_(@_)"/>
    <numFmt numFmtId="176" formatCode="_(* #,##0.000000_);_(* \(#,##0.000000\);_(* \-??_);_(@_)"/>
    <numFmt numFmtId="177" formatCode="_(* #,##0_);_(* \(#,##0\);_(* \-??_);_(@_)"/>
    <numFmt numFmtId="178" formatCode="0.0%"/>
    <numFmt numFmtId="179" formatCode="0_);[RED]\(0\)"/>
    <numFmt numFmtId="180" formatCode="0.000%"/>
    <numFmt numFmtId="181" formatCode="[$-409]m/d/yyyy"/>
    <numFmt numFmtId="182" formatCode="[$-409]mmm\-yy"/>
    <numFmt numFmtId="183" formatCode="General"/>
    <numFmt numFmtId="184" formatCode="_(\$* #,##0.00_);_(\$* \(#,##0.00\);_(\$* \-??_);_(@_)"/>
    <numFmt numFmtId="185" formatCode="0"/>
  </numFmts>
  <fonts count="52">
    <font>
      <sz val="11"/>
      <color rgb="FF000000"/>
      <name val="Calibri"/>
      <family val="2"/>
    </font>
    <font>
      <sz val="10"/>
      <name val="Arial"/>
      <family val="0"/>
    </font>
    <font>
      <sz val="10"/>
      <name val="Arial"/>
      <family val="0"/>
    </font>
    <font>
      <sz val="10"/>
      <name val="Arial"/>
      <family val="0"/>
    </font>
    <font>
      <sz val="10"/>
      <name val="Arial"/>
      <family val="2"/>
    </font>
    <font>
      <sz val="8"/>
      <name val="Arial"/>
      <family val="2"/>
    </font>
    <font>
      <b val="true"/>
      <u val="single"/>
      <sz val="22"/>
      <color rgb="FF333333"/>
      <name val="Calibri"/>
      <family val="2"/>
    </font>
    <font>
      <b val="true"/>
      <sz val="32"/>
      <color rgb="FF808080"/>
      <name val="Calibri"/>
      <family val="2"/>
    </font>
    <font>
      <b val="true"/>
      <sz val="11"/>
      <color rgb="FF333333"/>
      <name val="Calibri"/>
      <family val="2"/>
    </font>
    <font>
      <u val="single"/>
      <sz val="11"/>
      <color rgb="FF0000FF"/>
      <name val="Calibri"/>
      <family val="2"/>
    </font>
    <font>
      <b val="true"/>
      <sz val="9"/>
      <color rgb="FF333333"/>
      <name val="Tahoma"/>
      <family val="2"/>
    </font>
    <font>
      <sz val="9"/>
      <color rgb="FF333333"/>
      <name val="Tahoma"/>
      <family val="2"/>
    </font>
    <font>
      <b val="true"/>
      <sz val="14"/>
      <color rgb="FF993300"/>
      <name val="Arial"/>
      <family val="2"/>
    </font>
    <font>
      <u val="single"/>
      <sz val="10"/>
      <color rgb="FF0000FF"/>
      <name val="Arial"/>
      <family val="2"/>
    </font>
    <font>
      <i val="true"/>
      <sz val="10"/>
      <name val="Arial"/>
      <family val="2"/>
    </font>
    <font>
      <b val="true"/>
      <sz val="14"/>
      <color rgb="FF000000"/>
      <name val="Calibri"/>
      <family val="2"/>
    </font>
    <font>
      <b val="true"/>
      <sz val="12"/>
      <color rgb="FF000000"/>
      <name val="Calibri"/>
      <family val="2"/>
    </font>
    <font>
      <sz val="11"/>
      <name val="Calibri"/>
      <family val="2"/>
    </font>
    <font>
      <b val="true"/>
      <sz val="11"/>
      <color rgb="FFFFFFFF"/>
      <name val="Calibri"/>
      <family val="2"/>
    </font>
    <font>
      <b val="true"/>
      <sz val="11"/>
      <color rgb="FF000000"/>
      <name val="Calibri"/>
      <family val="2"/>
    </font>
    <font>
      <b val="true"/>
      <sz val="11"/>
      <name val="Calibri"/>
      <family val="2"/>
    </font>
    <font>
      <b val="true"/>
      <sz val="11"/>
      <color rgb="FF0000FF"/>
      <name val="Calibri"/>
      <family val="2"/>
    </font>
    <font>
      <sz val="11"/>
      <color rgb="FF0000FF"/>
      <name val="Calibri"/>
      <family val="2"/>
    </font>
    <font>
      <sz val="10"/>
      <color rgb="FF000000"/>
      <name val="Calibri"/>
      <family val="2"/>
    </font>
    <font>
      <sz val="9"/>
      <color rgb="FFFFFFFF"/>
      <name val="Calibri"/>
      <family val="2"/>
    </font>
    <font>
      <sz val="10"/>
      <color rgb="FFFFFFFF"/>
      <name val="Calibri"/>
      <family val="2"/>
    </font>
    <font>
      <i val="true"/>
      <sz val="11"/>
      <name val="Calibri"/>
      <family val="2"/>
    </font>
    <font>
      <i val="true"/>
      <sz val="11"/>
      <color rgb="FF000000"/>
      <name val="Calibri"/>
      <family val="2"/>
    </font>
    <font>
      <b val="true"/>
      <i val="true"/>
      <sz val="11"/>
      <color rgb="FF000000"/>
      <name val="Calibri"/>
      <family val="2"/>
    </font>
    <font>
      <b val="true"/>
      <sz val="8"/>
      <name val="Arial"/>
      <family val="2"/>
    </font>
    <font>
      <b val="true"/>
      <sz val="8"/>
      <color rgb="FF0000FF"/>
      <name val="Arial"/>
      <family val="2"/>
    </font>
    <font>
      <b val="true"/>
      <sz val="8"/>
      <color rgb="FFFF0000"/>
      <name val="Arial"/>
      <family val="2"/>
    </font>
    <font>
      <b val="true"/>
      <sz val="11"/>
      <color rgb="FFFF0000"/>
      <name val="Calibri"/>
      <family val="2"/>
    </font>
    <font>
      <sz val="11"/>
      <color rgb="FFFF0000"/>
      <name val="Calibri"/>
      <family val="2"/>
    </font>
    <font>
      <b val="true"/>
      <sz val="8"/>
      <color rgb="FF000000"/>
      <name val="Tahoma"/>
      <family val="2"/>
    </font>
    <font>
      <sz val="8"/>
      <color rgb="FF000000"/>
      <name val="Tahoma"/>
      <family val="2"/>
    </font>
    <font>
      <b val="true"/>
      <u val="single"/>
      <sz val="11"/>
      <color rgb="FF000000"/>
      <name val="Calibri"/>
      <family val="2"/>
    </font>
    <font>
      <u val="single"/>
      <sz val="11"/>
      <color rgb="FF000000"/>
      <name val="Calibri"/>
      <family val="2"/>
    </font>
    <font>
      <u val="single"/>
      <sz val="11"/>
      <color rgb="FFFF0000"/>
      <name val="Calibri"/>
      <family val="2"/>
    </font>
    <font>
      <b val="true"/>
      <u val="single"/>
      <sz val="11"/>
      <name val="Calibri"/>
      <family val="2"/>
    </font>
    <font>
      <sz val="11"/>
      <color rgb="FFFFFFFF"/>
      <name val="Calibri"/>
      <family val="2"/>
    </font>
    <font>
      <i val="true"/>
      <sz val="11"/>
      <color rgb="FFFF0000"/>
      <name val="Calibri"/>
      <family val="2"/>
    </font>
    <font>
      <b val="true"/>
      <i val="true"/>
      <sz val="11"/>
      <name val="Calibri"/>
      <family val="2"/>
    </font>
    <font>
      <i val="true"/>
      <sz val="11"/>
      <color rgb="FF0000FF"/>
      <name val="Calibri"/>
      <family val="2"/>
    </font>
    <font>
      <b val="true"/>
      <sz val="12"/>
      <name val="Calibri"/>
      <family val="2"/>
    </font>
    <font>
      <b val="true"/>
      <sz val="11"/>
      <color rgb="FF993300"/>
      <name val="Calibri"/>
      <family val="2"/>
    </font>
    <font>
      <sz val="8"/>
      <name val="Calibri"/>
      <family val="2"/>
    </font>
    <font>
      <sz val="8"/>
      <color rgb="FF000000"/>
      <name val="Calibri"/>
      <family val="2"/>
    </font>
    <font>
      <sz val="11"/>
      <color rgb="FFFF6600"/>
      <name val="Calibri"/>
      <family val="2"/>
    </font>
    <font>
      <b val="true"/>
      <sz val="8"/>
      <name val="Calibri"/>
      <family val="2"/>
    </font>
    <font>
      <b val="true"/>
      <sz val="9"/>
      <color rgb="FF000000"/>
      <name val="Tahoma"/>
      <family val="2"/>
    </font>
    <font>
      <sz val="9"/>
      <color rgb="FF000000"/>
      <name val="Tahoma"/>
      <family val="2"/>
    </font>
  </fonts>
  <fills count="10">
    <fill>
      <patternFill patternType="none"/>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diagonalUp="false" diagonalDown="false">
      <left/>
      <right/>
      <top/>
      <bottom/>
      <diagonal/>
    </border>
    <border diagonalUp="false" diagonalDown="false">
      <left/>
      <right style="medium">
        <color rgb="FFFFCC00"/>
      </right>
      <top/>
      <bottom/>
      <diagonal/>
    </border>
    <border diagonalUp="false" diagonalDown="false">
      <left/>
      <right/>
      <top/>
      <bottom style="medium">
        <color rgb="FFFFCC00"/>
      </bottom>
      <diagonal/>
    </border>
    <border diagonalUp="false" diagonalDown="false">
      <left/>
      <right style="medium">
        <color rgb="FFFFCC00"/>
      </right>
      <top/>
      <bottom style="medium">
        <color rgb="FFFFCC00"/>
      </bottom>
      <diagonal/>
    </border>
    <border diagonalUp="false" diagonalDown="false">
      <left/>
      <right/>
      <top/>
      <bottom style="medium">
        <color rgb="FF0000FF"/>
      </bottom>
      <diagonal/>
    </border>
    <border diagonalUp="false" diagonalDown="false">
      <left/>
      <right/>
      <top/>
      <bottom style="thin">
        <color rgb="FF0000FF"/>
      </bottom>
      <diagonal/>
    </border>
    <border diagonalUp="false" diagonalDown="false">
      <left/>
      <right/>
      <top style="thin"/>
      <bottom style="double"/>
      <diagonal/>
    </border>
    <border diagonalUp="false" diagonalDown="false">
      <left/>
      <right/>
      <top/>
      <bottom style="double"/>
      <diagonal/>
    </border>
    <border diagonalUp="false" diagonalDown="false">
      <left/>
      <right/>
      <top style="medium">
        <color rgb="FF0000FF"/>
      </top>
      <bottom/>
      <diagonal/>
    </border>
    <border diagonalUp="false" diagonalDown="false">
      <left/>
      <right/>
      <top/>
      <bottom style="thin"/>
      <diagonal/>
    </border>
    <border diagonalUp="false" diagonalDown="false">
      <left/>
      <right/>
      <top style="medium">
        <color rgb="FF9999FF"/>
      </top>
      <bottom/>
      <diagonal/>
    </border>
    <border diagonalUp="false" diagonalDown="false">
      <left/>
      <right/>
      <top/>
      <bottom style="thin">
        <color rgb="FF808080"/>
      </bottom>
      <diagonal/>
    </border>
    <border diagonalUp="false" diagonalDown="false">
      <left/>
      <right/>
      <top/>
      <bottom style="medium">
        <color rgb="FF9999FF"/>
      </bottom>
      <diagonal/>
    </border>
    <border diagonalUp="false" diagonalDown="false">
      <left style="thin">
        <color rgb="FF0000FF"/>
      </left>
      <right/>
      <top/>
      <bottom/>
      <diagonal/>
    </border>
    <border diagonalUp="false" diagonalDown="false">
      <left style="thin">
        <color rgb="FF0000FF"/>
      </left>
      <right/>
      <top/>
      <bottom style="thin">
        <color rgb="FF0000FF"/>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false" applyProtection="false"/>
    <xf numFmtId="41" fontId="1" fillId="0" borderId="0" applyFont="true" applyBorder="false" applyAlignment="false" applyProtection="false"/>
    <xf numFmtId="184" fontId="0"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false" applyProtection="false"/>
    <xf numFmtId="164" fontId="9"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cellStyleXfs>
  <cellXfs count="4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2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2" borderId="0" xfId="22" applyFont="true" applyBorder="true" applyAlignment="false" applyProtection="false">
      <alignment horizontal="general" vertical="bottom" textRotation="0" wrapText="false" indent="0" shrinkToFit="false"/>
      <protection locked="true" hidden="false"/>
    </xf>
    <xf numFmtId="164" fontId="4" fillId="2" borderId="0" xfId="22" applyFont="false" applyBorder="true" applyAlignment="false" applyProtection="false">
      <alignment horizontal="general" vertical="bottom" textRotation="0" wrapText="false" indent="0" shrinkToFit="false"/>
      <protection locked="true" hidden="false"/>
    </xf>
    <xf numFmtId="164" fontId="4" fillId="2" borderId="1" xfId="22" applyFont="false" applyBorder="true" applyAlignment="false" applyProtection="false">
      <alignment horizontal="general" vertical="bottom" textRotation="0" wrapText="false" indent="0" shrinkToFit="false"/>
      <protection locked="true" hidden="false"/>
    </xf>
    <xf numFmtId="164" fontId="4" fillId="3" borderId="0" xfId="22" applyFont="false" applyBorder="true" applyAlignment="false" applyProtection="false">
      <alignment horizontal="general" vertical="bottom" textRotation="0" wrapText="false" indent="0" shrinkToFit="false"/>
      <protection locked="true" hidden="false"/>
    </xf>
    <xf numFmtId="164" fontId="4" fillId="3" borderId="1" xfId="22" applyFont="false" applyBorder="true" applyAlignment="false" applyProtection="false">
      <alignment horizontal="general" vertical="bottom" textRotation="0" wrapText="false" indent="0" shrinkToFit="false"/>
      <protection locked="true" hidden="false"/>
    </xf>
    <xf numFmtId="164" fontId="4" fillId="3" borderId="1" xfId="22" applyFont="true" applyBorder="true" applyAlignment="true" applyProtection="false">
      <alignment horizontal="left" vertical="top" textRotation="0" wrapText="true" indent="0" shrinkToFit="false"/>
      <protection locked="true" hidden="false"/>
    </xf>
    <xf numFmtId="164" fontId="4" fillId="3" borderId="0" xfId="22" applyFont="true" applyBorder="true" applyAlignment="true" applyProtection="false">
      <alignment horizontal="general" vertical="top" textRotation="0" wrapText="true" indent="0" shrinkToFit="false"/>
      <protection locked="true" hidden="false"/>
    </xf>
    <xf numFmtId="164" fontId="4" fillId="3" borderId="1" xfId="22" applyFont="true" applyBorder="true" applyAlignment="true" applyProtection="false">
      <alignment horizontal="general" vertical="top" textRotation="0" wrapText="true" indent="0" shrinkToFit="false"/>
      <protection locked="true" hidden="false"/>
    </xf>
    <xf numFmtId="164" fontId="4" fillId="3" borderId="0" xfId="22" applyFont="fals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3" borderId="1" xfId="22" applyFont="false" applyBorder="true" applyAlignment="true" applyProtection="false">
      <alignment horizontal="left" vertical="top" textRotation="0" wrapText="true" indent="0" shrinkToFit="false"/>
      <protection locked="true" hidden="false"/>
    </xf>
    <xf numFmtId="164" fontId="4" fillId="3" borderId="0" xfId="22" applyFont="true" applyBorder="true" applyAlignment="false" applyProtection="false">
      <alignment horizontal="general" vertical="bottom" textRotation="0" wrapText="false" indent="0" shrinkToFit="false"/>
      <protection locked="true" hidden="false"/>
    </xf>
    <xf numFmtId="164" fontId="13" fillId="3"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4" fillId="3" borderId="2" xfId="22" applyFont="false" applyBorder="true" applyAlignment="false" applyProtection="false">
      <alignment horizontal="general" vertical="bottom" textRotation="0" wrapText="false" indent="0" shrinkToFit="false"/>
      <protection locked="true" hidden="false"/>
    </xf>
    <xf numFmtId="164" fontId="4" fillId="3" borderId="2" xfId="22" applyFont="true" applyBorder="true" applyAlignment="false" applyProtection="false">
      <alignment horizontal="general" vertical="bottom" textRotation="0" wrapText="false" indent="0" shrinkToFit="false"/>
      <protection locked="true" hidden="false"/>
    </xf>
    <xf numFmtId="164" fontId="13" fillId="3" borderId="2" xfId="20" applyFont="true" applyBorder="true" applyAlignment="true" applyProtection="true">
      <alignment horizontal="general" vertical="bottom" textRotation="0" wrapText="false" indent="0" shrinkToFit="false"/>
      <protection locked="true" hidden="false"/>
    </xf>
    <xf numFmtId="164" fontId="4" fillId="3" borderId="3" xfId="22" applyFont="false" applyBorder="true" applyAlignment="false" applyProtection="false">
      <alignment horizontal="general" vertical="bottom" textRotation="0" wrapText="false" indent="0" shrinkToFit="false"/>
      <protection locked="true" hidden="false"/>
    </xf>
    <xf numFmtId="164" fontId="14" fillId="3" borderId="0" xfId="22"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justify" vertical="bottom" textRotation="0" wrapText="true" indent="0" shrinkToFit="false"/>
      <protection locked="true" hidden="false"/>
    </xf>
    <xf numFmtId="164" fontId="0" fillId="0" borderId="0" xfId="0" applyFont="false" applyBorder="false" applyAlignment="true" applyProtection="false">
      <alignment horizontal="justify" vertical="bottom" textRotation="0" wrapText="tru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6" fontId="19" fillId="0" borderId="7" xfId="0" applyFont="true" applyBorder="true" applyAlignment="true" applyProtection="false">
      <alignment horizontal="center" vertical="center" textRotation="0" wrapText="true" indent="0" shrinkToFit="false"/>
      <protection locked="true" hidden="false"/>
    </xf>
    <xf numFmtId="166" fontId="20" fillId="5" borderId="7" xfId="0" applyFont="true" applyBorder="true" applyAlignment="true" applyProtection="false">
      <alignment horizontal="center" vertical="center" textRotation="0" wrapText="false" indent="0" shrinkToFit="false"/>
      <protection locked="true" hidden="false"/>
    </xf>
    <xf numFmtId="166" fontId="21" fillId="0" borderId="7" xfId="0" applyFont="true" applyBorder="true" applyAlignment="true" applyProtection="false">
      <alignment horizontal="center" vertical="center" textRotation="0" wrapText="true" indent="0" shrinkToFit="false"/>
      <protection locked="true" hidden="false"/>
    </xf>
    <xf numFmtId="166" fontId="21" fillId="5" borderId="7" xfId="0" applyFont="true" applyBorder="true" applyAlignment="true" applyProtection="false">
      <alignment horizontal="center" vertical="center" textRotation="0" wrapText="false" indent="0" shrinkToFit="false"/>
      <protection locked="true" hidden="false"/>
    </xf>
    <xf numFmtId="167" fontId="21" fillId="0" borderId="7" xfId="15" applyFont="true" applyBorder="true" applyAlignment="true" applyProtection="true">
      <alignment horizontal="center" vertical="center" textRotation="0" wrapText="true" indent="0" shrinkToFit="false"/>
      <protection locked="true" hidden="false"/>
    </xf>
    <xf numFmtId="164" fontId="17" fillId="0" borderId="0" xfId="23" applyFont="true" applyBorder="false" applyAlignment="false" applyProtection="tru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0" fillId="5"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17" fillId="0" borderId="0" xfId="15" applyFont="true" applyBorder="true" applyAlignment="true" applyProtection="true">
      <alignment horizontal="general" vertical="bottom"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xf numFmtId="169" fontId="22" fillId="0" borderId="0" xfId="19" applyFont="true" applyBorder="true" applyAlignment="true" applyProtection="true">
      <alignment horizontal="center" vertical="bottom"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4" fontId="17" fillId="5" borderId="0" xfId="0" applyFont="true" applyBorder="true" applyAlignment="true" applyProtection="false">
      <alignment horizontal="general" vertical="bottom" textRotation="0" wrapText="true" indent="0" shrinkToFit="false"/>
      <protection locked="true" hidden="false"/>
    </xf>
    <xf numFmtId="171" fontId="17" fillId="5" borderId="0" xfId="0" applyFont="true" applyBorder="true" applyAlignment="true" applyProtection="false">
      <alignment horizontal="general" vertical="bottom" textRotation="0" wrapText="true" indent="0" shrinkToFit="false"/>
      <protection locked="true" hidden="false"/>
    </xf>
    <xf numFmtId="169" fontId="0" fillId="0" borderId="0" xfId="19" applyFont="true" applyBorder="true" applyAlignment="true" applyProtection="true">
      <alignment horizontal="center" vertical="bottom" textRotation="0" wrapText="true" indent="0" shrinkToFit="false"/>
      <protection locked="true" hidden="false"/>
    </xf>
    <xf numFmtId="167" fontId="17" fillId="0" borderId="0" xfId="0" applyFont="true" applyBorder="true" applyAlignment="true" applyProtection="false">
      <alignment horizontal="general" vertical="bottom" textRotation="0" wrapText="true" indent="0" shrinkToFit="false"/>
      <protection locked="true" hidden="false"/>
    </xf>
    <xf numFmtId="166" fontId="18" fillId="4"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center" vertical="center" textRotation="0" wrapText="false" indent="0" shrinkToFit="false"/>
      <protection locked="true" hidden="false"/>
    </xf>
    <xf numFmtId="167" fontId="17" fillId="0" borderId="0" xfId="15"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7" fontId="17" fillId="0" borderId="0" xfId="15" applyFont="true" applyBorder="true" applyAlignment="true" applyProtection="true">
      <alignment horizontal="center" vertical="top" textRotation="0" wrapText="false" indent="0" shrinkToFit="false"/>
      <protection locked="true" hidden="false"/>
    </xf>
    <xf numFmtId="167" fontId="17" fillId="0" borderId="0" xfId="15" applyFont="true" applyBorder="true" applyAlignment="true" applyProtection="true">
      <alignment horizontal="general" vertical="top"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top" textRotation="0" wrapText="false" indent="0" shrinkToFit="false"/>
      <protection locked="true" hidden="false"/>
    </xf>
    <xf numFmtId="167" fontId="17" fillId="0" borderId="4"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6" fontId="20" fillId="5" borderId="0" xfId="0" applyFont="true" applyBorder="false" applyAlignment="true" applyProtection="false">
      <alignment horizontal="center" vertical="center" textRotation="0" wrapText="false" indent="0" shrinkToFit="false"/>
      <protection locked="true" hidden="false"/>
    </xf>
    <xf numFmtId="166" fontId="19" fillId="0" borderId="0" xfId="0" applyFont="true" applyBorder="fals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center" vertical="center" textRotation="0" wrapText="true" indent="0" shrinkToFit="false"/>
      <protection locked="true" hidden="false"/>
    </xf>
    <xf numFmtId="166" fontId="21" fillId="5" borderId="0" xfId="0" applyFont="true" applyBorder="false" applyAlignment="true" applyProtection="false">
      <alignment horizontal="center" vertical="center" textRotation="0" wrapText="false" indent="0" shrinkToFit="false"/>
      <protection locked="true" hidden="false"/>
    </xf>
    <xf numFmtId="167" fontId="21" fillId="0" borderId="0" xfId="15" applyFont="true" applyBorder="true" applyAlignment="true" applyProtection="true">
      <alignment horizontal="center" vertical="center" textRotation="0" wrapText="true" indent="0" shrinkToFit="false"/>
      <protection locked="true" hidden="false"/>
    </xf>
    <xf numFmtId="164" fontId="17" fillId="5" borderId="4" xfId="0" applyFont="true" applyBorder="true" applyAlignment="false" applyProtection="false">
      <alignment horizontal="general" vertical="bottom" textRotation="0" wrapText="false" indent="0" shrinkToFit="false"/>
      <protection locked="true" hidden="false"/>
    </xf>
    <xf numFmtId="169" fontId="22" fillId="0" borderId="8" xfId="19" applyFont="true" applyBorder="true" applyAlignment="true" applyProtection="true">
      <alignment horizontal="center" vertical="center" textRotation="0" wrapText="true" indent="0" shrinkToFit="false"/>
      <protection locked="true" hidden="false"/>
    </xf>
    <xf numFmtId="167" fontId="19" fillId="5"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true" indent="1" shrinkToFit="false"/>
      <protection locked="true" hidden="false"/>
    </xf>
    <xf numFmtId="164" fontId="20" fillId="0" borderId="0" xfId="0" applyFont="true" applyBorder="true" applyAlignment="true" applyProtection="false">
      <alignment horizontal="left" vertical="bottom" textRotation="0" wrapText="true" indent="0" shrinkToFit="false"/>
      <protection locked="true" hidden="false"/>
    </xf>
    <xf numFmtId="164" fontId="26" fillId="0" borderId="0" xfId="0" applyFont="true" applyBorder="true" applyAlignment="true" applyProtection="false">
      <alignment horizontal="left" vertical="bottom" textRotation="0" wrapText="true" indent="0" shrinkToFit="false"/>
      <protection locked="true" hidden="false"/>
    </xf>
    <xf numFmtId="169" fontId="27" fillId="5" borderId="0" xfId="19" applyFont="true" applyBorder="true" applyAlignment="true" applyProtection="true">
      <alignment horizontal="general" vertical="bottom" textRotation="0" wrapText="false" indent="0" shrinkToFit="false"/>
      <protection locked="true" hidden="false"/>
    </xf>
    <xf numFmtId="169" fontId="27" fillId="0" borderId="0"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9" fontId="27" fillId="5"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26" fillId="0" borderId="0" xfId="0" applyFont="true" applyBorder="true" applyAlignment="true" applyProtection="false">
      <alignment horizontal="general" vertical="bottom" textRotation="0" wrapText="true" indent="0" shrinkToFit="false"/>
      <protection locked="true" hidden="false"/>
    </xf>
    <xf numFmtId="165" fontId="0" fillId="5"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true" applyAlignment="false" applyProtection="false">
      <alignment horizontal="general" vertical="bottom" textRotation="0" wrapText="false" indent="0" shrinkToFit="false"/>
      <protection locked="true" hidden="false"/>
    </xf>
    <xf numFmtId="169" fontId="22" fillId="0" borderId="0" xfId="19" applyFont="true" applyBorder="true" applyAlignment="true" applyProtection="true">
      <alignment horizontal="center" vertical="center" textRotation="0" wrapText="true" indent="0" shrinkToFit="false"/>
      <protection locked="true" hidden="false"/>
    </xf>
    <xf numFmtId="174" fontId="0" fillId="5" borderId="0" xfId="0" applyFont="false" applyBorder="false" applyAlignment="true" applyProtection="false">
      <alignment horizontal="center" vertical="center" textRotation="0" wrapText="false" indent="0" shrinkToFit="false"/>
      <protection locked="true" hidden="false"/>
    </xf>
    <xf numFmtId="165" fontId="17" fillId="0" borderId="0" xfId="19" applyFont="true" applyBorder="true" applyAlignment="true" applyProtection="true">
      <alignment horizontal="general" vertical="bottom" textRotation="0" wrapText="true" indent="0" shrinkToFit="false"/>
      <protection locked="true" hidden="false"/>
    </xf>
    <xf numFmtId="169" fontId="0" fillId="5" borderId="0" xfId="19" applyFont="true" applyBorder="true" applyAlignment="true" applyProtection="true">
      <alignment horizontal="general" vertical="bottom" textRotation="0" wrapText="false" indent="0" shrinkToFit="false"/>
      <protection locked="true" hidden="false"/>
    </xf>
    <xf numFmtId="167" fontId="0" fillId="5" borderId="0" xfId="15" applyFont="true" applyBorder="true" applyAlignment="true" applyProtection="true">
      <alignment horizontal="general" vertical="bottom" textRotation="0" wrapText="false" indent="0" shrinkToFit="false"/>
      <protection locked="true" hidden="false"/>
    </xf>
    <xf numFmtId="164" fontId="17" fillId="0" borderId="4" xfId="0" applyFont="true" applyBorder="true" applyAlignment="true" applyProtection="false">
      <alignment horizontal="general" vertical="bottom" textRotation="0" wrapText="true" indent="0" shrinkToFit="false"/>
      <protection locked="true" hidden="false"/>
    </xf>
    <xf numFmtId="170" fontId="17" fillId="5" borderId="4" xfId="0" applyFont="true" applyBorder="true" applyAlignment="true" applyProtection="false">
      <alignment horizontal="general" vertical="bottom" textRotation="0" wrapText="true" indent="0" shrinkToFit="false"/>
      <protection locked="true" hidden="false"/>
    </xf>
    <xf numFmtId="170" fontId="17" fillId="0" borderId="4" xfId="0" applyFont="true" applyBorder="true" applyAlignment="true" applyProtection="false">
      <alignment horizontal="general" vertical="bottom"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30"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75" fontId="22" fillId="0" borderId="0" xfId="15" applyFont="true" applyBorder="tru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32" fillId="6" borderId="0" xfId="0" applyFont="true" applyBorder="true" applyAlignment="true" applyProtection="false">
      <alignment horizontal="center"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5" fontId="0" fillId="5" borderId="0" xfId="19" applyFont="true" applyBorder="true" applyAlignment="true" applyProtection="true">
      <alignment horizontal="general" vertical="bottom" textRotation="0" wrapText="false" indent="0" shrinkToFit="false"/>
      <protection locked="true" hidden="false"/>
    </xf>
    <xf numFmtId="167" fontId="22" fillId="5" borderId="0" xfId="15" applyFont="true" applyBorder="true" applyAlignment="true" applyProtection="true">
      <alignment horizontal="general" vertical="bottom" textRotation="0" wrapText="false" indent="0" shrinkToFit="false"/>
      <protection locked="true" hidden="false"/>
    </xf>
    <xf numFmtId="167" fontId="22" fillId="0" borderId="0" xfId="15" applyFont="true" applyBorder="true" applyAlignment="true" applyProtection="true">
      <alignment horizontal="general" vertical="bottom" textRotation="0" wrapText="false" indent="0" shrinkToFit="false"/>
      <protection locked="true" hidden="false"/>
    </xf>
    <xf numFmtId="167" fontId="17" fillId="5"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2"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7" fontId="17" fillId="0" borderId="0" xfId="15" applyFont="true" applyBorder="true" applyAlignment="true" applyProtection="tru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7" fontId="19" fillId="5" borderId="0" xfId="15"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7" fontId="20" fillId="5" borderId="0" xfId="15" applyFont="true" applyBorder="true" applyAlignment="true" applyProtection="tru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65" fontId="19" fillId="5" borderId="0" xfId="19"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7" fontId="33" fillId="0" borderId="0" xfId="15" applyFont="true" applyBorder="true" applyAlignment="true" applyProtection="true">
      <alignment horizontal="general" vertical="bottom" textRotation="0" wrapText="false" indent="0" shrinkToFit="false"/>
      <protection locked="true" hidden="false"/>
    </xf>
    <xf numFmtId="169" fontId="26" fillId="5" borderId="0" xfId="19" applyFont="true" applyBorder="true" applyAlignment="true" applyProtection="true">
      <alignment horizontal="general" vertical="bottom" textRotation="0" wrapText="false" indent="0" shrinkToFit="false"/>
      <protection locked="true" hidden="false"/>
    </xf>
    <xf numFmtId="169" fontId="28" fillId="0" borderId="0" xfId="19" applyFont="true" applyBorder="true" applyAlignment="true" applyProtection="true">
      <alignment horizontal="general" vertical="bottom" textRotation="0" wrapText="false" indent="0" shrinkToFit="false"/>
      <protection locked="true" hidden="false"/>
    </xf>
    <xf numFmtId="167" fontId="22" fillId="5" borderId="0" xfId="0" applyFont="true" applyBorder="false" applyAlignment="false" applyProtection="false">
      <alignment horizontal="general" vertical="bottom" textRotation="0" wrapText="false" indent="0" shrinkToFit="false"/>
      <protection locked="true" hidden="false"/>
    </xf>
    <xf numFmtId="171" fontId="22" fillId="0" borderId="0" xfId="15" applyFont="true" applyBorder="true" applyAlignment="true" applyProtection="true">
      <alignment horizontal="general" vertical="bottom" textRotation="0" wrapText="false" indent="0" shrinkToFit="false"/>
      <protection locked="true" hidden="false"/>
    </xf>
    <xf numFmtId="167" fontId="17" fillId="5" borderId="0" xfId="0" applyFont="true" applyBorder="false" applyAlignment="false" applyProtection="false">
      <alignment horizontal="general" vertical="bottom" textRotation="0" wrapText="false" indent="0" shrinkToFit="false"/>
      <protection locked="true" hidden="false"/>
    </xf>
    <xf numFmtId="167" fontId="27" fillId="0" borderId="0" xfId="15" applyFont="true" applyBorder="true" applyAlignment="true" applyProtection="true">
      <alignment horizontal="general" vertical="bottom" textRotation="0" wrapText="false" indent="0" shrinkToFit="false"/>
      <protection locked="true" hidden="false"/>
    </xf>
    <xf numFmtId="171" fontId="0" fillId="0" borderId="0" xfId="15" applyFont="true" applyBorder="true" applyAlignment="true" applyProtection="true">
      <alignment horizontal="general" vertical="bottom" textRotation="0" wrapText="false" indent="0" shrinkToFit="false"/>
      <protection locked="true" hidden="false"/>
    </xf>
    <xf numFmtId="165" fontId="20" fillId="5"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7" fontId="22" fillId="0" borderId="0" xfId="15" applyFont="true" applyBorder="true" applyAlignment="true" applyProtection="true">
      <alignment horizontal="general" vertical="bottom" textRotation="0" wrapText="false" indent="0" shrinkToFit="false"/>
      <protection locked="true" hidden="false"/>
    </xf>
    <xf numFmtId="167" fontId="33" fillId="5" borderId="0" xfId="15" applyFont="true" applyBorder="true" applyAlignment="true" applyProtection="true">
      <alignment horizontal="general" vertical="bottom" textRotation="0" wrapText="false" indent="0" shrinkToFit="false"/>
      <protection locked="true" hidden="false"/>
    </xf>
    <xf numFmtId="170" fontId="0" fillId="0" borderId="0" xfId="15" applyFont="true" applyBorder="true" applyAlignment="true" applyProtection="true">
      <alignment horizontal="general" vertical="bottom" textRotation="0" wrapText="false" indent="0" shrinkToFit="false"/>
      <protection locked="true" hidden="false"/>
    </xf>
    <xf numFmtId="167" fontId="21" fillId="5" borderId="0" xfId="15" applyFont="true" applyBorder="true" applyAlignment="true" applyProtection="true">
      <alignment horizontal="general" vertical="bottom" textRotation="0" wrapText="false" indent="0" shrinkToFit="false"/>
      <protection locked="true" hidden="false"/>
    </xf>
    <xf numFmtId="167" fontId="21" fillId="0" borderId="0" xfId="15" applyFont="true" applyBorder="true" applyAlignment="true" applyProtection="true">
      <alignment horizontal="general" vertical="bottom" textRotation="0" wrapText="false" indent="0" shrinkToFit="false"/>
      <protection locked="true" hidden="false"/>
    </xf>
    <xf numFmtId="171" fontId="21" fillId="0" borderId="0" xfId="15" applyFont="true" applyBorder="true" applyAlignment="true" applyProtection="true">
      <alignment horizontal="general" vertical="bottom" textRotation="0" wrapText="false" indent="0" shrinkToFit="false"/>
      <protection locked="true" hidden="false"/>
    </xf>
    <xf numFmtId="170" fontId="0" fillId="5" borderId="0" xfId="15" applyFont="true" applyBorder="true" applyAlignment="true" applyProtection="true">
      <alignment horizontal="general" vertical="bottom" textRotation="0" wrapText="false" indent="0" shrinkToFit="false"/>
      <protection locked="true" hidden="false"/>
    </xf>
    <xf numFmtId="170" fontId="33" fillId="0" borderId="0" xfId="15" applyFont="true" applyBorder="true" applyAlignment="true" applyProtection="true">
      <alignment horizontal="general" vertical="bottom" textRotation="0" wrapText="false" indent="0" shrinkToFit="false"/>
      <protection locked="true" hidden="false"/>
    </xf>
    <xf numFmtId="170" fontId="33" fillId="5" borderId="0" xfId="15" applyFont="true" applyBorder="true" applyAlignment="true" applyProtection="true">
      <alignment horizontal="general" vertical="bottom" textRotation="0" wrapText="false" indent="0" shrinkToFit="false"/>
      <protection locked="true" hidden="false"/>
    </xf>
    <xf numFmtId="170" fontId="33" fillId="0" borderId="0" xfId="0" applyFont="true" applyBorder="false" applyAlignment="false" applyProtection="false">
      <alignment horizontal="general" vertical="bottom" textRotation="0" wrapText="false" indent="0" shrinkToFit="false"/>
      <protection locked="true" hidden="false"/>
    </xf>
    <xf numFmtId="170" fontId="32" fillId="5" borderId="0" xfId="15" applyFont="true" applyBorder="true" applyAlignment="true" applyProtection="true">
      <alignment horizontal="general" vertical="bottom" textRotation="0" wrapText="false" indent="0" shrinkToFit="false"/>
      <protection locked="true" hidden="false"/>
    </xf>
    <xf numFmtId="170" fontId="19" fillId="5" borderId="0" xfId="15" applyFont="true" applyBorder="true" applyAlignment="true" applyProtection="true">
      <alignment horizontal="general" vertical="bottom" textRotation="0" wrapText="false" indent="0" shrinkToFit="false"/>
      <protection locked="true" hidden="false"/>
    </xf>
    <xf numFmtId="170" fontId="19" fillId="0" borderId="0" xfId="15" applyFont="true" applyBorder="true" applyAlignment="true" applyProtection="true">
      <alignment horizontal="general" vertical="bottom" textRotation="0" wrapText="false" indent="0" shrinkToFit="false"/>
      <protection locked="true" hidden="false"/>
    </xf>
    <xf numFmtId="170" fontId="32" fillId="0" borderId="0" xfId="15" applyFont="true" applyBorder="true" applyAlignment="true" applyProtection="tru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0" fontId="17" fillId="5" borderId="0" xfId="15" applyFont="true" applyBorder="true" applyAlignment="true" applyProtection="true">
      <alignment horizontal="general" vertical="bottom" textRotation="0" wrapText="false" indent="0" shrinkToFit="false"/>
      <protection locked="true" hidden="false"/>
    </xf>
    <xf numFmtId="169" fontId="17" fillId="5" borderId="0" xfId="19" applyFont="true" applyBorder="true" applyAlignment="true" applyProtection="true">
      <alignment horizontal="general" vertical="bottom" textRotation="0" wrapText="false" indent="0" shrinkToFit="false"/>
      <protection locked="true" hidden="false"/>
    </xf>
    <xf numFmtId="165" fontId="17" fillId="5" borderId="0" xfId="19" applyFont="true" applyBorder="true" applyAlignment="true" applyProtection="true">
      <alignment horizontal="general" vertical="bottom" textRotation="0" wrapText="false" indent="0" shrinkToFit="false"/>
      <protection locked="true" hidden="false"/>
    </xf>
    <xf numFmtId="167" fontId="22" fillId="0" borderId="0" xfId="15" applyFont="true" applyBorder="true" applyAlignment="true" applyProtection="true">
      <alignment horizontal="center" vertical="bottom" textRotation="0" wrapText="false" indent="0" shrinkToFit="false"/>
      <protection locked="true" hidden="false"/>
    </xf>
    <xf numFmtId="167" fontId="33"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6" fontId="30" fillId="0" borderId="0" xfId="0" applyFont="true" applyBorder="false" applyAlignment="true" applyProtection="false">
      <alignment horizontal="center"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5" shrinkToFit="false"/>
      <protection locked="true" hidden="false"/>
    </xf>
    <xf numFmtId="167" fontId="22" fillId="0" borderId="0" xfId="15" applyFont="true" applyBorder="true" applyAlignment="true" applyProtection="true">
      <alignment horizontal="left" vertical="bottom" textRotation="0" wrapText="false" indent="5"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7" fontId="9" fillId="0" borderId="0" xfId="15" applyFont="true" applyBorder="true" applyAlignment="true" applyProtection="true">
      <alignment horizontal="left" vertical="bottom" textRotation="0" wrapText="false" indent="5"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37" fillId="0" borderId="0" xfId="15" applyFont="true" applyBorder="true" applyAlignment="true" applyProtection="true">
      <alignment horizontal="general" vertical="bottom" textRotation="0" wrapText="false" indent="0" shrinkToFit="false"/>
      <protection locked="true" hidden="false"/>
    </xf>
    <xf numFmtId="167" fontId="37" fillId="0" borderId="0" xfId="15"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general" vertical="bottom" textRotation="0" wrapText="false" indent="0" shrinkToFit="false"/>
      <protection locked="true" hidden="false"/>
    </xf>
    <xf numFmtId="167" fontId="38" fillId="0" borderId="0" xfId="15" applyFont="true" applyBorder="true" applyAlignment="true" applyProtection="true">
      <alignment horizontal="general" vertical="bottom" textRotation="0" wrapText="false" indent="0" shrinkToFit="false"/>
      <protection locked="true" hidden="false"/>
    </xf>
    <xf numFmtId="167" fontId="38" fillId="0" borderId="0"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15" shrinkToFit="false"/>
      <protection locked="true" hidden="false"/>
    </xf>
    <xf numFmtId="167" fontId="19" fillId="0" borderId="6" xfId="15" applyFont="true" applyBorder="true" applyAlignment="true" applyProtection="true">
      <alignment horizontal="general" vertical="bottom" textRotation="0" wrapText="false" indent="0" shrinkToFit="false"/>
      <protection locked="true" hidden="false"/>
    </xf>
    <xf numFmtId="167" fontId="19" fillId="0" borderId="6" xfId="15" applyFont="true" applyBorder="true" applyAlignment="true" applyProtection="true">
      <alignment horizontal="general" vertical="bottom" textRotation="0" wrapText="false" indent="0" shrinkToFit="false"/>
      <protection locked="true" hidden="false"/>
    </xf>
    <xf numFmtId="167" fontId="36" fillId="0"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5" shrinkToFit="false"/>
      <protection locked="true" hidden="false"/>
    </xf>
    <xf numFmtId="167" fontId="9" fillId="0" borderId="0" xfId="15" applyFont="true" applyBorder="true" applyAlignment="true" applyProtection="true">
      <alignment horizontal="left" vertical="bottom" textRotation="0" wrapText="true" indent="5"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5"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6" fontId="0" fillId="0" borderId="0"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1" shrinkToFit="false"/>
      <protection locked="true" hidden="false"/>
    </xf>
    <xf numFmtId="166" fontId="21" fillId="5"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9" shrinkToFit="false"/>
      <protection locked="true" hidden="false"/>
    </xf>
    <xf numFmtId="164" fontId="19" fillId="0" borderId="0" xfId="0" applyFont="true" applyBorder="false" applyAlignment="true" applyProtection="false">
      <alignment horizontal="left" vertical="bottom" textRotation="0" wrapText="false" indent="5" shrinkToFit="false"/>
      <protection locked="true" hidden="false"/>
    </xf>
    <xf numFmtId="167" fontId="36" fillId="0" borderId="0" xfId="15"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9" shrinkToFit="false"/>
      <protection locked="true" hidden="false"/>
    </xf>
    <xf numFmtId="167" fontId="0" fillId="6" borderId="0" xfId="15"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9" shrinkToFit="false"/>
      <protection locked="true" hidden="false"/>
    </xf>
    <xf numFmtId="165" fontId="17"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3"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left" vertical="bottom" textRotation="0" wrapText="false" indent="1"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7" fontId="39" fillId="0" borderId="0" xfId="15"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false" applyProtection="false">
      <alignment horizontal="general" vertical="bottom" textRotation="0" wrapText="false" indent="0" shrinkToFit="false"/>
      <protection locked="true" hidden="false"/>
    </xf>
    <xf numFmtId="167" fontId="39" fillId="0" borderId="4" xfId="15"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6" fontId="20" fillId="0" borderId="0" xfId="0" applyFont="true" applyBorder="false" applyAlignment="true" applyProtection="false">
      <alignment horizontal="center" vertical="center" textRotation="0" wrapText="false" indent="0" shrinkToFit="false"/>
      <protection locked="true" hidden="false"/>
    </xf>
    <xf numFmtId="166" fontId="19" fillId="0" borderId="0" xfId="0" applyFont="true" applyBorder="true" applyAlignment="true" applyProtection="false">
      <alignment horizontal="center" vertical="center" textRotation="0" wrapText="true" indent="0" shrinkToFit="false"/>
      <protection locked="true" hidden="false"/>
    </xf>
    <xf numFmtId="166" fontId="20" fillId="0" borderId="0"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center" vertical="bottom" textRotation="0" wrapText="false" indent="0" shrinkToFit="false"/>
      <protection locked="true" hidden="false"/>
    </xf>
    <xf numFmtId="164" fontId="21" fillId="5" borderId="0" xfId="0" applyFont="true" applyBorder="false" applyAlignment="true" applyProtection="false">
      <alignment horizontal="center" vertical="bottom" textRotation="0" wrapText="false" indent="0" shrinkToFit="false"/>
      <protection locked="true" hidden="false"/>
    </xf>
    <xf numFmtId="167" fontId="22" fillId="0" borderId="0" xfId="15" applyFont="true" applyBorder="true" applyAlignment="true" applyProtection="true">
      <alignment horizontal="center" vertical="center" textRotation="0" wrapText="false" indent="0" shrinkToFit="false"/>
      <protection locked="true" hidden="false"/>
    </xf>
    <xf numFmtId="167" fontId="20" fillId="0" borderId="0" xfId="15" applyFont="true" applyBorder="true" applyAlignment="true" applyProtection="true">
      <alignment horizontal="center" vertical="center" textRotation="0" wrapText="false" indent="0" shrinkToFit="false"/>
      <protection locked="true" hidden="false"/>
    </xf>
    <xf numFmtId="170" fontId="22"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left" vertical="top" textRotation="0" wrapText="false" indent="5" shrinkToFit="false"/>
      <protection locked="true" hidden="false"/>
    </xf>
    <xf numFmtId="167" fontId="18" fillId="0" borderId="0" xfId="15" applyFont="true" applyBorder="true" applyAlignment="true" applyProtection="true">
      <alignment horizontal="general" vertical="bottom" textRotation="0" wrapText="false" indent="0" shrinkToFit="false"/>
      <protection locked="true" hidden="false"/>
    </xf>
    <xf numFmtId="167" fontId="0" fillId="0" borderId="0" xfId="15" applyFont="true" applyBorder="true" applyAlignment="true" applyProtection="true">
      <alignment horizontal="left" vertical="bottom" textRotation="0" wrapText="false" indent="5" shrinkToFit="false"/>
      <protection locked="true" hidden="false"/>
    </xf>
    <xf numFmtId="165" fontId="32" fillId="0" borderId="0" xfId="19" applyFont="true" applyBorder="true" applyAlignment="true" applyProtection="true">
      <alignment horizontal="right" vertical="bottom" textRotation="0" wrapText="false" indent="0" shrinkToFit="false"/>
      <protection locked="true" hidden="false"/>
    </xf>
    <xf numFmtId="165" fontId="17" fillId="0" borderId="0" xfId="19"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17" fillId="5" borderId="0" xfId="0" applyFont="true" applyBorder="false" applyAlignment="true" applyProtection="false">
      <alignment horizontal="center" vertical="center" textRotation="0" wrapText="false" indent="0" shrinkToFit="false"/>
      <protection locked="true" hidden="false"/>
    </xf>
    <xf numFmtId="165" fontId="17" fillId="5" borderId="0" xfId="19" applyFont="true" applyBorder="true" applyAlignment="true" applyProtection="true">
      <alignment horizontal="center" vertical="center" textRotation="0" wrapText="false" indent="0" shrinkToFit="false"/>
      <protection locked="true" hidden="false"/>
    </xf>
    <xf numFmtId="167" fontId="22" fillId="5" borderId="0" xfId="15" applyFont="true" applyBorder="true" applyAlignment="true" applyProtection="true">
      <alignment horizontal="center" vertical="center" textRotation="0" wrapText="false" indent="0" shrinkToFit="false"/>
      <protection locked="true" hidden="false"/>
    </xf>
    <xf numFmtId="167" fontId="17" fillId="5" borderId="0" xfId="15" applyFont="true" applyBorder="true" applyAlignment="true" applyProtection="true">
      <alignment horizontal="center" vertical="center"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center" vertical="center" textRotation="0" wrapText="true" indent="0" shrinkToFit="false"/>
      <protection locked="true" hidden="false"/>
    </xf>
    <xf numFmtId="165" fontId="17" fillId="5" borderId="0" xfId="19" applyFont="true" applyBorder="true" applyAlignment="true" applyProtection="true">
      <alignment horizontal="center" vertical="center" textRotation="0" wrapText="false" indent="0" shrinkToFit="false"/>
      <protection locked="true" hidden="false"/>
    </xf>
    <xf numFmtId="165" fontId="17" fillId="5" borderId="0" xfId="19" applyFont="true" applyBorder="true" applyAlignment="true" applyProtection="true">
      <alignment horizontal="center" vertical="bottom" textRotation="0" wrapText="false" indent="0" shrinkToFit="false"/>
      <protection locked="true" hidden="false"/>
    </xf>
    <xf numFmtId="165" fontId="0" fillId="5" borderId="0" xfId="19" applyFont="true" applyBorder="true" applyAlignment="true" applyProtection="true">
      <alignment horizontal="center" vertical="bottom" textRotation="0" wrapText="false" indent="0" shrinkToFit="false"/>
      <protection locked="true" hidden="false"/>
    </xf>
    <xf numFmtId="165" fontId="0" fillId="5" borderId="0" xfId="19" applyFont="true" applyBorder="true" applyAlignment="true" applyProtection="true">
      <alignment horizontal="center" vertical="top"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6" fontId="40" fillId="5" borderId="0" xfId="0" applyFont="true" applyBorder="false" applyAlignment="true" applyProtection="false">
      <alignment horizontal="general" vertical="bottom" textRotation="0" wrapText="false" indent="0" shrinkToFit="false"/>
      <protection locked="true" hidden="false"/>
    </xf>
    <xf numFmtId="166" fontId="18" fillId="5" borderId="0" xfId="0" applyFont="true" applyBorder="false" applyAlignment="true" applyProtection="false">
      <alignment horizontal="general" vertical="bottom" textRotation="0" wrapText="false" indent="0" shrinkToFit="false"/>
      <protection locked="true" hidden="false"/>
    </xf>
    <xf numFmtId="165" fontId="32" fillId="5" borderId="0" xfId="19" applyFont="true" applyBorder="true" applyAlignment="true" applyProtection="true">
      <alignment horizontal="right" vertical="bottom" textRotation="0" wrapText="false" indent="0" shrinkToFit="false"/>
      <protection locked="true" hidden="false"/>
    </xf>
    <xf numFmtId="166" fontId="20" fillId="0" borderId="0" xfId="0" applyFont="true" applyBorder="false" applyAlignment="true" applyProtection="false">
      <alignment horizontal="center" vertical="center" textRotation="0" wrapText="true" indent="0" shrinkToFit="false"/>
      <protection locked="true" hidden="false"/>
    </xf>
    <xf numFmtId="178" fontId="0" fillId="5" borderId="0" xfId="19" applyFont="true" applyBorder="true" applyAlignment="true" applyProtection="tru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78" fontId="32" fillId="0" borderId="0" xfId="19" applyFont="true" applyBorder="true" applyAlignment="true" applyProtection="true">
      <alignment horizontal="general" vertical="bottom" textRotation="0" wrapText="false" indent="0" shrinkToFit="false"/>
      <protection locked="true" hidden="false"/>
    </xf>
    <xf numFmtId="165" fontId="32" fillId="0" borderId="0" xfId="19" applyFont="true" applyBorder="true" applyAlignment="true" applyProtection="true">
      <alignment horizontal="general" vertical="bottom" textRotation="0" wrapText="false" indent="0" shrinkToFit="false"/>
      <protection locked="true" hidden="false"/>
    </xf>
    <xf numFmtId="167" fontId="19" fillId="0" borderId="0" xfId="15" applyFont="true" applyBorder="true" applyAlignment="true" applyProtection="true">
      <alignment horizontal="center" vertical="center" textRotation="0" wrapText="true" indent="0" shrinkToFit="false"/>
      <protection locked="true" hidden="false"/>
    </xf>
    <xf numFmtId="165" fontId="32" fillId="0" borderId="0" xfId="19"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9" fontId="17" fillId="0" borderId="4"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79" fontId="19" fillId="5" borderId="0" xfId="0" applyFont="true" applyBorder="false" applyAlignment="true" applyProtection="false">
      <alignment horizontal="center" vertical="center" textRotation="0" wrapText="false" indent="0" shrinkToFit="false"/>
      <protection locked="true" hidden="false"/>
    </xf>
    <xf numFmtId="164" fontId="21" fillId="5" borderId="0" xfId="0" applyFont="true" applyBorder="false" applyAlignment="true" applyProtection="false">
      <alignment horizontal="center" vertical="center" textRotation="0" wrapText="false" indent="0" shrinkToFit="false"/>
      <protection locked="true" hidden="false"/>
    </xf>
    <xf numFmtId="179" fontId="29"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79" fontId="0" fillId="0" borderId="0" xfId="15"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79" fontId="17"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2" shrinkToFit="false"/>
      <protection locked="true" hidden="false"/>
    </xf>
    <xf numFmtId="179" fontId="22"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5"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7" fontId="20" fillId="0" borderId="0" xfId="15" applyFont="true" applyBorder="true" applyAlignment="true" applyProtection="true">
      <alignment horizontal="general" vertical="bottom" textRotation="0" wrapText="false" indent="0" shrinkToFit="false"/>
      <protection locked="true" hidden="false"/>
    </xf>
    <xf numFmtId="179" fontId="20" fillId="0" borderId="0" xfId="15" applyFont="true" applyBorder="true" applyAlignment="true" applyProtection="tru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7" fontId="26" fillId="0" borderId="0" xfId="15" applyFont="true" applyBorder="true" applyAlignment="true" applyProtection="true">
      <alignment horizontal="general" vertical="bottom" textRotation="0" wrapText="false" indent="0" shrinkToFit="false"/>
      <protection locked="true" hidden="false"/>
    </xf>
    <xf numFmtId="179" fontId="26" fillId="0" borderId="0" xfId="19" applyFont="true" applyBorder="true" applyAlignment="true" applyProtection="true">
      <alignment horizontal="general" vertical="bottom" textRotation="0" wrapText="false" indent="0" shrinkToFit="false"/>
      <protection locked="true" hidden="false"/>
    </xf>
    <xf numFmtId="178" fontId="26" fillId="0" borderId="0" xfId="19" applyFont="true" applyBorder="true" applyAlignment="true" applyProtection="true">
      <alignment horizontal="general" vertical="bottom" textRotation="0" wrapText="false" indent="0" shrinkToFit="false"/>
      <protection locked="true" hidden="false"/>
    </xf>
    <xf numFmtId="167" fontId="41" fillId="0" borderId="0" xfId="15" applyFont="true" applyBorder="true" applyAlignment="true" applyProtection="true">
      <alignment horizontal="general" vertical="bottom" textRotation="0" wrapText="false" indent="0" shrinkToFit="false"/>
      <protection locked="true" hidden="false"/>
    </xf>
    <xf numFmtId="178" fontId="41" fillId="0" borderId="0" xfId="15" applyFont="true" applyBorder="true" applyAlignment="true" applyProtection="true">
      <alignment horizontal="general" vertical="bottom" textRotation="0" wrapText="false" indent="0" shrinkToFit="false"/>
      <protection locked="true" hidden="false"/>
    </xf>
    <xf numFmtId="164" fontId="42" fillId="0" borderId="0" xfId="0" applyFont="true" applyBorder="true" applyAlignment="true" applyProtection="false">
      <alignment horizontal="left" vertical="bottom" textRotation="0" wrapText="false" indent="5" shrinkToFit="false"/>
      <protection locked="true" hidden="false"/>
    </xf>
    <xf numFmtId="167" fontId="43" fillId="0" borderId="0" xfId="15" applyFont="true" applyBorder="true" applyAlignment="true" applyProtection="true">
      <alignment horizontal="general" vertical="bottom" textRotation="0" wrapText="false" indent="0" shrinkToFit="false"/>
      <protection locked="true" hidden="false"/>
    </xf>
    <xf numFmtId="177" fontId="17" fillId="0" borderId="0" xfId="15"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5" shrinkToFit="false"/>
      <protection locked="true" hidden="false"/>
    </xf>
    <xf numFmtId="179" fontId="26" fillId="0" borderId="0" xfId="15"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64" fontId="17" fillId="0" borderId="9" xfId="0" applyFont="true" applyBorder="true" applyAlignment="true" applyProtection="false">
      <alignment horizontal="left" vertical="bottom" textRotation="0" wrapText="true" indent="1" shrinkToFit="false"/>
      <protection locked="true" hidden="false"/>
    </xf>
    <xf numFmtId="178" fontId="33" fillId="0" borderId="0" xfId="0" applyFont="true" applyBorder="false" applyAlignment="false" applyProtection="false">
      <alignment horizontal="general" vertical="bottom" textRotation="0" wrapText="false" indent="0" shrinkToFit="false"/>
      <protection locked="true" hidden="false"/>
    </xf>
    <xf numFmtId="179"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0" fillId="6" borderId="0" xfId="0" applyFont="false" applyBorder="false" applyAlignment="false" applyProtection="false">
      <alignment horizontal="general" vertical="bottom" textRotation="0" wrapText="false" indent="0" shrinkToFit="false"/>
      <protection locked="true" hidden="false"/>
    </xf>
    <xf numFmtId="167" fontId="22" fillId="0" borderId="0" xfId="15" applyFont="true" applyBorder="true" applyAlignment="true" applyProtection="true">
      <alignment horizontal="center" vertical="bottom" textRotation="0" wrapText="false" indent="0" shrinkToFit="false"/>
      <protection locked="true" hidden="false"/>
    </xf>
    <xf numFmtId="167" fontId="32" fillId="0" borderId="0" xfId="15" applyFont="true" applyBorder="true" applyAlignment="true" applyProtection="true">
      <alignment horizontal="center" vertical="bottom" textRotation="0" wrapText="false" indent="0" shrinkToFit="false"/>
      <protection locked="true" hidden="false"/>
    </xf>
    <xf numFmtId="179" fontId="19"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79"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32" fillId="6"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center" vertical="top" textRotation="0" wrapText="true" indent="0" shrinkToFit="false"/>
      <protection locked="true" hidden="false"/>
    </xf>
    <xf numFmtId="179" fontId="20" fillId="0" borderId="0" xfId="0" applyFont="true" applyBorder="false" applyAlignment="true" applyProtection="false">
      <alignment horizontal="center"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77" fontId="17" fillId="0" borderId="0" xfId="15" applyFont="true" applyBorder="true" applyAlignment="true" applyProtection="true">
      <alignment horizontal="center" vertical="bottom" textRotation="0" wrapText="false" indent="0" shrinkToFit="false"/>
      <protection locked="true" hidden="false"/>
    </xf>
    <xf numFmtId="179" fontId="17" fillId="0" borderId="0" xfId="0" applyFont="true" applyBorder="false" applyAlignment="true" applyProtection="false">
      <alignment horizontal="center" vertical="bottom" textRotation="0" wrapText="false" indent="0" shrinkToFit="false"/>
      <protection locked="true" hidden="false"/>
    </xf>
    <xf numFmtId="180" fontId="22" fillId="0" borderId="0" xfId="0" applyFont="true" applyBorder="false" applyAlignment="true" applyProtection="false">
      <alignment horizontal="center" vertical="bottom" textRotation="0" wrapText="false" indent="0" shrinkToFit="false"/>
      <protection locked="true" hidden="false"/>
    </xf>
    <xf numFmtId="167" fontId="17" fillId="0" borderId="0" xfId="15" applyFont="true" applyBorder="true" applyAlignment="true" applyProtection="true">
      <alignment horizontal="center" vertical="bottom" textRotation="0" wrapText="false" indent="0" shrinkToFit="false"/>
      <protection locked="true" hidden="false"/>
    </xf>
    <xf numFmtId="177" fontId="22" fillId="0" borderId="0" xfId="15" applyFont="true" applyBorder="true" applyAlignment="true" applyProtection="true">
      <alignment horizontal="general" vertical="bottom" textRotation="0" wrapText="false" indent="0" shrinkToFit="false"/>
      <protection locked="true" hidden="false"/>
    </xf>
    <xf numFmtId="177" fontId="22" fillId="0" borderId="0" xfId="15"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7" fontId="20"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false" applyAlignment="false" applyProtection="false">
      <alignment horizontal="general" vertical="bottom" textRotation="0" wrapText="false" indent="0" shrinkToFit="false"/>
      <protection locked="true" hidden="false"/>
    </xf>
    <xf numFmtId="177" fontId="17" fillId="0"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79" fontId="33" fillId="6"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81" fontId="20" fillId="5" borderId="0" xfId="0" applyFont="true" applyBorder="false" applyAlignment="true" applyProtection="false">
      <alignment horizontal="left" vertical="bottom" textRotation="0" wrapText="false" indent="0" shrinkToFit="false"/>
      <protection locked="true" hidden="false"/>
    </xf>
    <xf numFmtId="182" fontId="20" fillId="5" borderId="0" xfId="0" applyFont="true" applyBorder="false" applyAlignment="true" applyProtection="false">
      <alignment horizontal="center" vertical="center" textRotation="0" wrapText="tru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false" indent="0" shrinkToFit="false"/>
      <protection locked="true" hidden="false"/>
    </xf>
    <xf numFmtId="179" fontId="22" fillId="5" borderId="0" xfId="0" applyFont="true" applyBorder="false" applyAlignment="true" applyProtection="false">
      <alignment horizontal="center" vertical="center" textRotation="0" wrapText="false" indent="0" shrinkToFit="false"/>
      <protection locked="true" hidden="false"/>
    </xf>
    <xf numFmtId="169" fontId="22" fillId="5" borderId="0" xfId="19" applyFont="true" applyBorder="true" applyAlignment="true" applyProtection="true">
      <alignment horizontal="center" vertical="center" textRotation="0" wrapText="false" indent="0" shrinkToFit="false"/>
      <protection locked="true" hidden="false"/>
    </xf>
    <xf numFmtId="169" fontId="22" fillId="5" borderId="0" xfId="0" applyFont="true" applyBorder="false" applyAlignment="true" applyProtection="false">
      <alignment horizontal="center" vertical="center" textRotation="0" wrapText="false" indent="0" shrinkToFit="false"/>
      <protection locked="true" hidden="false"/>
    </xf>
    <xf numFmtId="183" fontId="17" fillId="5" borderId="0" xfId="0" applyFont="true" applyBorder="false" applyAlignment="true" applyProtection="false">
      <alignment horizontal="center" vertical="center" textRotation="0" wrapText="false" indent="0" shrinkToFit="false"/>
      <protection locked="true" hidden="false"/>
    </xf>
    <xf numFmtId="179"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17" fillId="5" borderId="0" xfId="0" applyFont="true" applyBorder="false" applyAlignment="true" applyProtection="false">
      <alignment horizontal="left" vertical="top" textRotation="0" wrapText="false" indent="0" shrinkToFit="false"/>
      <protection locked="true" hidden="false"/>
    </xf>
    <xf numFmtId="179" fontId="0" fillId="5" borderId="0" xfId="0" applyFont="true" applyBorder="false" applyAlignment="true" applyProtection="false">
      <alignment horizontal="left" vertical="top" textRotation="0" wrapText="false" indent="0" shrinkToFit="false"/>
      <protection locked="true" hidden="false"/>
    </xf>
    <xf numFmtId="164" fontId="0" fillId="5" borderId="0" xfId="0" applyFont="true" applyBorder="false" applyAlignment="true" applyProtection="false">
      <alignment horizontal="left" vertical="top" textRotation="0" wrapText="false" indent="0" shrinkToFit="false"/>
      <protection locked="true" hidden="false"/>
    </xf>
    <xf numFmtId="167" fontId="17" fillId="5" borderId="0" xfId="0" applyFont="true" applyBorder="false" applyAlignment="true" applyProtection="false">
      <alignment horizontal="left" vertical="top" textRotation="0" wrapText="false" indent="0" shrinkToFit="false"/>
      <protection locked="true" hidden="false"/>
    </xf>
    <xf numFmtId="167" fontId="0" fillId="5" borderId="0" xfId="15" applyFont="true" applyBorder="true" applyAlignment="true" applyProtection="true">
      <alignment horizontal="left" vertical="top" textRotation="0" wrapText="false" indent="0" shrinkToFit="false"/>
      <protection locked="true" hidden="false"/>
    </xf>
    <xf numFmtId="164" fontId="44" fillId="6"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center" vertical="center" textRotation="0" wrapText="false" indent="0" shrinkToFit="false"/>
      <protection locked="true" hidden="false"/>
    </xf>
    <xf numFmtId="177" fontId="0" fillId="0" borderId="0" xfId="15" applyFont="true" applyBorder="true" applyAlignment="true" applyProtection="true">
      <alignment horizontal="general" vertical="bottom" textRotation="0" wrapText="false" indent="0" shrinkToFit="false"/>
      <protection locked="true" hidden="false"/>
    </xf>
    <xf numFmtId="177" fontId="22" fillId="0" borderId="0" xfId="15" applyFont="true" applyBorder="true" applyAlignment="true" applyProtection="true">
      <alignment horizontal="general" vertical="top" textRotation="0" wrapText="false" indent="0" shrinkToFit="false"/>
      <protection locked="true" hidden="false"/>
    </xf>
    <xf numFmtId="169" fontId="22" fillId="0" borderId="0" xfId="19" applyFont="true" applyBorder="true" applyAlignment="true" applyProtection="true">
      <alignment horizontal="center" vertical="center"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center" vertical="center" textRotation="0" wrapText="true" indent="0" shrinkToFit="false"/>
      <protection locked="true" hidden="false"/>
    </xf>
    <xf numFmtId="177" fontId="0" fillId="0" borderId="0" xfId="15" applyFont="true" applyBorder="true" applyAlignment="true" applyProtection="true">
      <alignment horizontal="center" vertical="top" textRotation="0" wrapText="true" indent="0" shrinkToFit="false"/>
      <protection locked="true" hidden="false"/>
    </xf>
    <xf numFmtId="164" fontId="22" fillId="6" borderId="0" xfId="15"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9" fontId="19" fillId="0" borderId="0" xfId="0" applyFont="true" applyBorder="true" applyAlignment="true" applyProtection="false">
      <alignment horizontal="center" vertical="bottom" textRotation="0" wrapText="true" indent="0" shrinkToFit="false"/>
      <protection locked="true" hidden="false"/>
    </xf>
    <xf numFmtId="167" fontId="19" fillId="0" borderId="0" xfId="15" applyFont="true" applyBorder="true" applyAlignment="true" applyProtection="true">
      <alignment horizontal="center" vertical="bottom" textRotation="0" wrapText="false" indent="0" shrinkToFit="false"/>
      <protection locked="true" hidden="false"/>
    </xf>
    <xf numFmtId="164" fontId="0" fillId="0" borderId="0" xfId="15"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false">
      <alignment horizontal="right" vertical="bottom" textRotation="90" wrapText="true" indent="0" shrinkToFit="false"/>
      <protection locked="true" hidden="false"/>
    </xf>
    <xf numFmtId="164" fontId="0" fillId="7" borderId="0" xfId="0" applyFont="false" applyBorder="false" applyAlignment="true" applyProtection="false">
      <alignment horizontal="center" vertical="center"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77" fontId="0" fillId="0" borderId="0" xfId="15" applyFont="true" applyBorder="true" applyAlignment="true" applyProtection="true">
      <alignment horizontal="general" vertical="top" textRotation="0" wrapText="false" indent="0" shrinkToFit="false"/>
      <protection locked="true" hidden="false"/>
    </xf>
    <xf numFmtId="169" fontId="0" fillId="0" borderId="0" xfId="19" applyFont="true" applyBorder="true" applyAlignment="true" applyProtection="true">
      <alignment horizontal="center" vertical="center" textRotation="0" wrapText="false" indent="0" shrinkToFit="false"/>
      <protection locked="true" hidden="false"/>
    </xf>
    <xf numFmtId="164" fontId="17"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7" fillId="6" borderId="0" xfId="15"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90" wrapText="false" indent="0" shrinkToFit="false"/>
      <protection locked="true" hidden="false"/>
    </xf>
    <xf numFmtId="164" fontId="19"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75" fontId="32" fillId="0" borderId="0" xfId="15" applyFont="true" applyBorder="true" applyAlignment="true" applyProtection="tru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1" fontId="32" fillId="0" borderId="0" xfId="0" applyFont="true" applyBorder="false" applyAlignment="true" applyProtection="false">
      <alignment horizontal="center" vertical="center" textRotation="0" wrapText="false" indent="0" shrinkToFit="false"/>
      <protection locked="true" hidden="false"/>
    </xf>
    <xf numFmtId="167" fontId="19" fillId="6" borderId="0" xfId="0" applyFont="true" applyBorder="false" applyAlignment="false" applyProtection="false">
      <alignment horizontal="general" vertical="bottom" textRotation="0" wrapText="false" indent="0" shrinkToFit="false"/>
      <protection locked="true" hidden="false"/>
    </xf>
    <xf numFmtId="167" fontId="15" fillId="0" borderId="0" xfId="15" applyFont="true" applyBorder="true" applyAlignment="true" applyProtection="true">
      <alignment horizontal="center" vertical="bottom" textRotation="0" wrapText="false" indent="0" shrinkToFit="false"/>
      <protection locked="true" hidden="false"/>
    </xf>
    <xf numFmtId="167" fontId="19" fillId="0" borderId="0" xfId="15" applyFont="true" applyBorder="true" applyAlignment="true" applyProtection="true">
      <alignment horizontal="center" vertical="bottom" textRotation="0" wrapText="false" indent="0" shrinkToFit="false"/>
      <protection locked="true" hidden="false"/>
    </xf>
    <xf numFmtId="167" fontId="17" fillId="0" borderId="4" xfId="15" applyFont="true" applyBorder="true" applyAlignment="true" applyProtection="true">
      <alignment horizontal="center" vertical="bottom" textRotation="0" wrapText="false" indent="0" shrinkToFit="false"/>
      <protection locked="true" hidden="false"/>
    </xf>
    <xf numFmtId="167" fontId="18" fillId="0" borderId="0" xfId="15" applyFont="true" applyBorder="true" applyAlignment="true" applyProtection="true">
      <alignment horizontal="center"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7" fontId="26" fillId="0" borderId="0" xfId="15" applyFont="true" applyBorder="true" applyAlignment="true" applyProtection="true">
      <alignment horizontal="center" vertical="top" textRotation="0" wrapText="false" indent="0" shrinkToFit="false"/>
      <protection locked="true" hidden="false"/>
    </xf>
    <xf numFmtId="169" fontId="17" fillId="0" borderId="0" xfId="19" applyFont="true" applyBorder="true" applyAlignment="true" applyProtection="true">
      <alignment horizontal="general" vertical="bottom" textRotation="0" wrapText="false" indent="0" shrinkToFit="false"/>
      <protection locked="true" hidden="false"/>
    </xf>
    <xf numFmtId="167" fontId="17" fillId="0" borderId="0" xfId="15" applyFont="true" applyBorder="true" applyAlignment="true" applyProtection="true">
      <alignment horizontal="center" vertical="bottom" textRotation="0" wrapText="false" indent="0" shrinkToFit="false"/>
      <protection locked="true" hidden="false"/>
    </xf>
    <xf numFmtId="167" fontId="17" fillId="0" borderId="4" xfId="15" applyFont="true" applyBorder="true" applyAlignment="true" applyProtection="true">
      <alignment horizontal="center" vertical="top" textRotation="0" wrapText="false" indent="0" shrinkToFit="false"/>
      <protection locked="true" hidden="false"/>
    </xf>
    <xf numFmtId="164" fontId="46" fillId="0" borderId="4" xfId="21" applyFont="true" applyBorder="true" applyAlignment="false" applyProtection="false">
      <alignment horizontal="general" vertical="bottom" textRotation="0" wrapText="false" indent="0" shrinkToFit="false"/>
      <protection locked="true" hidden="false"/>
    </xf>
    <xf numFmtId="164" fontId="17" fillId="0" borderId="0" xfId="21" applyFont="true" applyBorder="false" applyAlignment="true" applyProtection="false">
      <alignment horizontal="general"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7" fillId="0" borderId="10" xfId="21" applyFont="true" applyBorder="true" applyAlignment="true" applyProtection="false">
      <alignment horizontal="general" vertical="center" textRotation="0" wrapText="true" indent="0" shrinkToFit="false"/>
      <protection locked="true" hidden="false"/>
    </xf>
    <xf numFmtId="164" fontId="17" fillId="0" borderId="0" xfId="21" applyFont="true" applyBorder="false" applyAlignment="true" applyProtection="false">
      <alignment horizontal="left" vertical="bottom" textRotation="0" wrapText="false" indent="0" shrinkToFit="false"/>
      <protection locked="true" hidden="false"/>
    </xf>
    <xf numFmtId="167" fontId="33" fillId="6" borderId="0" xfId="15" applyFont="true" applyBorder="true" applyAlignment="true" applyProtection="true">
      <alignment horizontal="general" vertical="bottom" textRotation="0" wrapText="false" indent="0" shrinkToFit="false"/>
      <protection locked="true" hidden="false"/>
    </xf>
    <xf numFmtId="164" fontId="17" fillId="0" borderId="0" xfId="21" applyFont="true" applyBorder="false" applyAlignment="true" applyProtection="false">
      <alignment horizontal="left" vertical="top" textRotation="0" wrapText="true" indent="0" shrinkToFit="false"/>
      <protection locked="true" hidden="false"/>
    </xf>
    <xf numFmtId="167" fontId="17" fillId="0" borderId="0" xfId="15" applyFont="true" applyBorder="true" applyAlignment="true" applyProtection="true">
      <alignment horizontal="right" vertical="bottom" textRotation="0" wrapText="false" indent="0" shrinkToFit="false"/>
      <protection locked="true" hidden="false"/>
    </xf>
    <xf numFmtId="164" fontId="17" fillId="0" borderId="0" xfId="21" applyFont="true" applyBorder="false" applyAlignment="true" applyProtection="false">
      <alignment horizontal="general" vertical="bottom" textRotation="0" wrapText="false" indent="0" shrinkToFit="false"/>
      <protection locked="true" hidden="false"/>
    </xf>
    <xf numFmtId="167" fontId="20" fillId="0" borderId="0" xfId="15" applyFont="true" applyBorder="true" applyAlignment="true" applyProtection="true">
      <alignment horizontal="left" vertical="bottom" textRotation="0" wrapText="false" indent="0" shrinkToFit="false"/>
      <protection locked="true" hidden="false"/>
    </xf>
    <xf numFmtId="165" fontId="33" fillId="0" borderId="0" xfId="24" applyFont="true" applyBorder="true" applyAlignment="true" applyProtection="true">
      <alignment horizontal="general" vertical="bottom" textRotation="0" wrapText="false" indent="0" shrinkToFit="false"/>
      <protection locked="true" hidden="false"/>
    </xf>
    <xf numFmtId="164" fontId="17" fillId="0" borderId="0" xfId="21" applyFont="true" applyBorder="false" applyAlignment="true" applyProtection="false">
      <alignment horizontal="left" vertical="bottom" textRotation="0" wrapText="true" indent="0" shrinkToFit="false"/>
      <protection locked="true" hidden="false"/>
    </xf>
    <xf numFmtId="171" fontId="33" fillId="0" borderId="0" xfId="21" applyFont="true" applyBorder="false" applyAlignment="false" applyProtection="false">
      <alignment horizontal="general" vertical="bottom" textRotation="0" wrapText="false" indent="0" shrinkToFit="false"/>
      <protection locked="true" hidden="false"/>
    </xf>
    <xf numFmtId="165" fontId="33" fillId="0" borderId="0" xfId="19" applyFont="true" applyBorder="true" applyAlignment="true" applyProtection="true">
      <alignment horizontal="general" vertical="bottom" textRotation="0" wrapText="false" indent="0" shrinkToFit="false"/>
      <protection locked="true" hidden="false"/>
    </xf>
    <xf numFmtId="167" fontId="17" fillId="0" borderId="0" xfId="15" applyFont="true" applyBorder="true" applyAlignment="true" applyProtection="true">
      <alignment horizontal="left" vertical="bottom" textRotation="0" wrapText="false" indent="0" shrinkToFit="false"/>
      <protection locked="true" hidden="false"/>
    </xf>
    <xf numFmtId="164" fontId="17" fillId="0" borderId="0" xfId="21" applyFont="true" applyBorder="true" applyAlignment="true" applyProtection="false">
      <alignment horizontal="general" vertical="bottom" textRotation="0" wrapText="false" indent="0" shrinkToFit="false"/>
      <protection locked="true" hidden="false"/>
    </xf>
    <xf numFmtId="178" fontId="0" fillId="6" borderId="0" xfId="19" applyFont="true" applyBorder="true" applyAlignment="true" applyProtection="true">
      <alignment horizontal="general" vertical="bottom" textRotation="0" wrapText="false" indent="0" shrinkToFit="false"/>
      <protection locked="true" hidden="false"/>
    </xf>
    <xf numFmtId="166" fontId="18" fillId="4" borderId="0" xfId="0" applyFont="true" applyBorder="true" applyAlignment="true" applyProtection="false">
      <alignment horizontal="center" vertical="bottom" textRotation="0" wrapText="false" indent="0" shrinkToFit="false"/>
      <protection locked="true" hidden="false"/>
    </xf>
    <xf numFmtId="166" fontId="20" fillId="8" borderId="0" xfId="0" applyFont="true" applyBorder="true" applyAlignment="true" applyProtection="false">
      <alignment horizontal="center" vertical="bottom" textRotation="0" wrapText="false" indent="0" shrinkToFit="false"/>
      <protection locked="true" hidden="false"/>
    </xf>
    <xf numFmtId="166" fontId="20" fillId="9" borderId="0" xfId="0" applyFont="true" applyBorder="false" applyAlignment="true" applyProtection="false">
      <alignment horizontal="center" vertical="bottom" textRotation="0" wrapText="false" indent="0" shrinkToFit="false"/>
      <protection locked="true" hidden="false"/>
    </xf>
    <xf numFmtId="164" fontId="19" fillId="5" borderId="0" xfId="0" applyFont="true" applyBorder="false" applyAlignment="true" applyProtection="false">
      <alignment horizontal="center" vertical="top" textRotation="0" wrapText="false" indent="0" shrinkToFit="false"/>
      <protection locked="true" hidden="false"/>
    </xf>
    <xf numFmtId="166" fontId="21" fillId="5" borderId="0" xfId="0" applyFont="true" applyBorder="false" applyAlignment="true" applyProtection="false">
      <alignment horizontal="center" vertical="top" textRotation="0" wrapText="false" indent="0" shrinkToFit="false"/>
      <protection locked="true" hidden="false"/>
    </xf>
    <xf numFmtId="166" fontId="21" fillId="5" borderId="0" xfId="0" applyFont="true" applyBorder="true" applyAlignment="true" applyProtection="false">
      <alignment horizontal="center" vertical="top" textRotation="0" wrapText="false" indent="0" shrinkToFit="false"/>
      <protection locked="true" hidden="false"/>
    </xf>
    <xf numFmtId="164" fontId="17" fillId="0" borderId="0" xfId="21" applyFont="true" applyBorder="false" applyAlignment="true" applyProtection="false">
      <alignment horizontal="left" vertical="bottom" textRotation="0" wrapText="false" indent="1" shrinkToFit="false"/>
      <protection locked="true" hidden="false"/>
    </xf>
    <xf numFmtId="167" fontId="0" fillId="0" borderId="0" xfId="0" applyFont="false" applyBorder="false" applyAlignment="true" applyProtection="false">
      <alignment horizontal="center" vertical="top" textRotation="0" wrapText="false" indent="0" shrinkToFit="false"/>
      <protection locked="true" hidden="false"/>
    </xf>
    <xf numFmtId="178" fontId="17" fillId="0" borderId="0" xfId="24" applyFont="true" applyBorder="true" applyAlignment="true" applyProtection="true">
      <alignment horizontal="left" vertical="bottom" textRotation="0" wrapText="false" indent="1" shrinkToFit="false"/>
      <protection locked="true" hidden="false"/>
    </xf>
    <xf numFmtId="178" fontId="17" fillId="0" borderId="11" xfId="24" applyFont="true" applyBorder="true" applyAlignment="true" applyProtection="true">
      <alignment horizontal="left" vertical="bottom" textRotation="0" wrapText="false" indent="1"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78" fontId="17" fillId="0" borderId="11" xfId="24" applyFont="true" applyBorder="true" applyAlignment="true" applyProtection="true">
      <alignment horizontal="left" vertical="bottom" textRotation="0" wrapText="false" indent="0" shrinkToFit="false"/>
      <protection locked="true" hidden="false"/>
    </xf>
    <xf numFmtId="171" fontId="0" fillId="0" borderId="0" xfId="15"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65" fontId="33" fillId="0" borderId="0" xfId="0" applyFont="true" applyBorder="false" applyAlignment="true" applyProtection="false">
      <alignment horizontal="center" vertical="bottom" textRotation="0" wrapText="false" indent="0" shrinkToFit="false"/>
      <protection locked="true" hidden="false"/>
    </xf>
    <xf numFmtId="164" fontId="17" fillId="0" borderId="0" xfId="21" applyFont="true" applyBorder="true" applyAlignment="true" applyProtection="false">
      <alignment horizontal="left" vertical="bottom" textRotation="0" wrapText="false" indent="1"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78" fontId="17" fillId="0" borderId="0" xfId="24" applyFont="true" applyBorder="true" applyAlignment="true" applyProtection="true">
      <alignment horizontal="left"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7" fontId="32" fillId="6" borderId="0" xfId="17" applyFont="true" applyBorder="true" applyAlignment="true" applyProtection="true">
      <alignment horizontal="general" vertical="bottom" textRotation="0" wrapText="false" indent="0" shrinkToFit="false"/>
      <protection locked="true" hidden="false"/>
    </xf>
    <xf numFmtId="177" fontId="47" fillId="0" borderId="12" xfId="15" applyFont="true" applyBorder="true" applyAlignment="true" applyProtection="true">
      <alignment horizontal="general" vertical="bottom" textRotation="0" wrapText="false" indent="0" shrinkToFit="false"/>
      <protection locked="true" hidden="false"/>
    </xf>
    <xf numFmtId="164" fontId="46" fillId="0" borderId="0" xfId="21" applyFont="true" applyBorder="false" applyAlignment="false" applyProtection="false">
      <alignment horizontal="general" vertical="bottom" textRotation="0" wrapText="false" indent="0" shrinkToFit="false"/>
      <protection locked="true" hidden="false"/>
    </xf>
    <xf numFmtId="164" fontId="46" fillId="0" borderId="13" xfId="21" applyFont="true" applyBorder="true" applyAlignment="true" applyProtection="false">
      <alignment horizontal="right" vertical="bottom" textRotation="0" wrapText="false" indent="0" shrinkToFit="false"/>
      <protection locked="true" hidden="false"/>
    </xf>
    <xf numFmtId="166" fontId="18" fillId="0" borderId="0" xfId="0" applyFont="true" applyBorder="false" applyAlignment="true" applyProtection="false">
      <alignment horizontal="center" vertical="bottom" textRotation="0" wrapText="false" indent="0" shrinkToFit="false"/>
      <protection locked="true" hidden="false"/>
    </xf>
    <xf numFmtId="164" fontId="20" fillId="0" borderId="5" xfId="21" applyFont="true" applyBorder="true" applyAlignment="true" applyProtection="false">
      <alignment horizontal="right" vertical="bottom" textRotation="0" wrapText="false" indent="0" shrinkToFit="false"/>
      <protection locked="true" hidden="false"/>
    </xf>
    <xf numFmtId="164" fontId="20" fillId="0" borderId="14" xfId="21" applyFont="true" applyBorder="true" applyAlignment="true" applyProtection="false">
      <alignment horizontal="center" vertical="bottom" textRotation="0" wrapText="false" indent="0" shrinkToFit="false"/>
      <protection locked="true" hidden="false"/>
    </xf>
    <xf numFmtId="177" fontId="48" fillId="0" borderId="5" xfId="21" applyFont="true" applyBorder="true" applyAlignment="false" applyProtection="false">
      <alignment horizontal="general" vertical="bottom" textRotation="0" wrapText="false" indent="0" shrinkToFit="false"/>
      <protection locked="true" hidden="false"/>
    </xf>
    <xf numFmtId="178" fontId="20" fillId="0" borderId="5" xfId="21" applyFont="true" applyBorder="true" applyAlignment="true" applyProtection="false">
      <alignment horizontal="center" vertical="bottom" textRotation="0" wrapText="false" indent="0" shrinkToFit="false"/>
      <protection locked="true" hidden="false"/>
    </xf>
    <xf numFmtId="164" fontId="46" fillId="0" borderId="5" xfId="21" applyFont="true" applyBorder="true" applyAlignment="false" applyProtection="false">
      <alignment horizontal="general" vertical="bottom" textRotation="0" wrapText="false" indent="0" shrinkToFit="false"/>
      <protection locked="true" hidden="false"/>
    </xf>
    <xf numFmtId="165" fontId="49" fillId="0" borderId="0" xfId="21" applyFont="true" applyBorder="true" applyAlignment="true" applyProtection="false">
      <alignment horizontal="center" vertical="bottom" textRotation="0" wrapText="false" indent="0" shrinkToFit="false"/>
      <protection locked="true" hidden="false"/>
    </xf>
    <xf numFmtId="178" fontId="17" fillId="0" borderId="0" xfId="21" applyFont="true" applyBorder="false" applyAlignment="true" applyProtection="false">
      <alignment horizontal="right" vertical="bottom" textRotation="0" wrapText="false" indent="0" shrinkToFit="false"/>
      <protection locked="true" hidden="false"/>
    </xf>
    <xf numFmtId="177" fontId="17" fillId="0" borderId="13" xfId="21" applyFont="true" applyBorder="true" applyAlignment="true" applyProtection="false">
      <alignment horizontal="center" vertical="bottom" textRotation="0" wrapText="false" indent="0" shrinkToFit="false"/>
      <protection locked="true" hidden="false"/>
    </xf>
    <xf numFmtId="178" fontId="48" fillId="0" borderId="0" xfId="21" applyFont="true" applyBorder="false" applyAlignment="true" applyProtection="false">
      <alignment horizontal="right" vertical="bottom" textRotation="0" wrapText="false" indent="0" shrinkToFit="false"/>
      <protection locked="true" hidden="false"/>
    </xf>
    <xf numFmtId="177" fontId="0" fillId="0" borderId="0" xfId="15"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71" fontId="17" fillId="0" borderId="0" xfId="21" applyFont="true" applyBorder="false" applyAlignment="true" applyProtection="false">
      <alignment horizontal="center" vertical="bottom" textRotation="0" wrapText="false" indent="0" shrinkToFit="false"/>
      <protection locked="true" hidden="false"/>
    </xf>
    <xf numFmtId="185" fontId="32" fillId="6" borderId="0" xfId="21" applyFont="true" applyBorder="false" applyAlignment="true" applyProtection="false">
      <alignment horizontal="center"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17" fillId="0" borderId="13" xfId="21" applyFont="true" applyBorder="true" applyAlignment="true" applyProtection="false">
      <alignment horizontal="right" vertical="bottom" textRotation="0" wrapText="false" indent="0" shrinkToFit="false"/>
      <protection locked="true" hidden="false"/>
    </xf>
    <xf numFmtId="164" fontId="20" fillId="0" borderId="14" xfId="21" applyFont="true" applyBorder="true" applyAlignment="true" applyProtection="false">
      <alignment horizontal="right" vertical="bottom" textRotation="0" wrapText="false" indent="0" shrinkToFit="false"/>
      <protection locked="true" hidden="false"/>
    </xf>
    <xf numFmtId="174" fontId="20" fillId="0" borderId="5" xfId="21" applyFont="true" applyBorder="true" applyAlignment="true" applyProtection="false">
      <alignment horizontal="center" vertical="bottom" textRotation="0" wrapText="false" indent="0" shrinkToFit="false"/>
      <protection locked="true" hidden="false"/>
    </xf>
    <xf numFmtId="178" fontId="17" fillId="0" borderId="0" xfId="21" applyFont="true" applyBorder="false" applyAlignment="false" applyProtection="false">
      <alignment horizontal="general" vertical="bottom" textRotation="0" wrapText="false" indent="0" shrinkToFit="false"/>
      <protection locked="true" hidden="false"/>
    </xf>
    <xf numFmtId="177" fontId="17" fillId="0" borderId="13" xfId="21" applyFont="true" applyBorder="true" applyAlignment="false" applyProtection="false">
      <alignment horizontal="general" vertical="bottom" textRotation="0" wrapText="false" indent="0" shrinkToFit="false"/>
      <protection locked="true" hidden="false"/>
    </xf>
    <xf numFmtId="185" fontId="32" fillId="6" borderId="0" xfId="0" applyFont="true" applyBorder="false" applyAlignment="true" applyProtection="false">
      <alignment horizontal="center" vertical="bottom" textRotation="0" wrapText="false" indent="0" shrinkToFit="false"/>
      <protection locked="true" hidden="false"/>
    </xf>
    <xf numFmtId="178" fontId="17" fillId="0" borderId="0" xfId="24"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2 2" xfId="22"/>
    <cellStyle name="Normal_RtN Datapage sample" xfId="23"/>
    <cellStyle name="Percent 2" xfId="24"/>
    <cellStyle name="*unknown*" xfId="20" builtinId="8"/>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75"/>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0992591576347922"/>
          <c:y val="0.139421338155515"/>
          <c:w val="0.816504321580464"/>
          <c:h val="0.615551537070525"/>
        </c:manualLayout>
      </c:layout>
      <c:pie3DChart>
        <c:varyColors val="1"/>
        <c:ser>
          <c:idx val="0"/>
          <c:order val="0"/>
          <c:spPr>
            <a:solidFill>
              <a:srgbClr val="4f81bd"/>
            </a:solidFill>
            <a:ln w="0">
              <a:noFill/>
            </a:ln>
          </c:spPr>
          <c:explosion val="5"/>
          <c:dPt>
            <c:idx val="0"/>
            <c:explosion val="5"/>
            <c:spPr>
              <a:solidFill>
                <a:srgbClr val="4f81bd"/>
              </a:solidFill>
              <a:ln w="0">
                <a:noFill/>
              </a:ln>
            </c:spPr>
          </c:dPt>
          <c:dPt>
            <c:idx val="1"/>
            <c:explosion val="5"/>
            <c:spPr>
              <a:solidFill>
                <a:srgbClr val="c0504d"/>
              </a:solidFill>
              <a:ln w="0">
                <a:noFill/>
              </a:ln>
            </c:spPr>
          </c:dPt>
          <c:dPt>
            <c:idx val="2"/>
            <c:explosion val="5"/>
            <c:spPr>
              <a:solidFill>
                <a:srgbClr val="9bbb59"/>
              </a:solidFill>
              <a:ln w="0">
                <a:noFill/>
              </a:ln>
            </c:spPr>
          </c:dPt>
          <c:dPt>
            <c:idx val="3"/>
            <c:explosion val="5"/>
            <c:spPr>
              <a:solidFill>
                <a:srgbClr val="8064a2"/>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3"/>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Overview'!$I$44:$I$47</c:f>
              <c:strCache>
                <c:ptCount val="4"/>
                <c:pt idx="0">
                  <c:v>USA</c:v>
                </c:pt>
                <c:pt idx="1">
                  <c:v>Europe</c:v>
                </c:pt>
                <c:pt idx="2">
                  <c:v>ARV's</c:v>
                </c:pt>
                <c:pt idx="3">
                  <c:v>Rest of the World</c:v>
                </c:pt>
              </c:strCache>
            </c:strRef>
          </c:cat>
          <c:val>
            <c:numRef>
              <c:f>'Company Overview'!$J$44:$J$47</c:f>
              <c:numCache>
                <c:formatCode>_(* #,##0.00_);_(* \(#,##0.00\);_(* \-??_);_(@_)</c:formatCode>
                <c:ptCount val="4"/>
                <c:pt idx="0">
                  <c:v>5584</c:v>
                </c:pt>
                <c:pt idx="1">
                  <c:v>1923</c:v>
                </c:pt>
                <c:pt idx="2">
                  <c:v>4640</c:v>
                </c:pt>
                <c:pt idx="3">
                  <c:v>1951</c:v>
                </c:pt>
              </c:numCache>
            </c:numRef>
          </c:val>
        </c:ser>
      </c:pie3DChart>
    </c:plotArea>
    <c:legend>
      <c:legendPos val="r"/>
      <c:layout>
        <c:manualLayout>
          <c:xMode val="edge"/>
          <c:yMode val="edge"/>
          <c:x val="0.183495678419536"/>
          <c:y val="0.822965641952984"/>
          <c:w val="0.534778433255591"/>
          <c:h val="0.10849909584086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7442172309755"/>
          <c:y val="0.141975308641975"/>
          <c:w val="0.802799195440831"/>
          <c:h val="0.606808829031051"/>
        </c:manualLayout>
      </c:layout>
      <c:pie3DChart>
        <c:varyColors val="1"/>
        <c:ser>
          <c:idx val="0"/>
          <c:order val="0"/>
          <c:spPr>
            <a:solidFill>
              <a:srgbClr val="4f81bd"/>
            </a:solidFill>
            <a:ln w="0">
              <a:noFill/>
            </a:ln>
          </c:spPr>
          <c:explosion val="5"/>
          <c:dPt>
            <c:idx val="0"/>
            <c:explosion val="5"/>
            <c:spPr>
              <a:solidFill>
                <a:srgbClr val="40699c"/>
              </a:solidFill>
              <a:ln w="0">
                <a:noFill/>
              </a:ln>
            </c:spPr>
          </c:dPt>
          <c:dPt>
            <c:idx val="1"/>
            <c:explosion val="5"/>
            <c:spPr>
              <a:solidFill>
                <a:srgbClr val="4f81bd"/>
              </a:solidFill>
              <a:ln w="0">
                <a:noFill/>
              </a:ln>
            </c:spPr>
          </c:dPt>
          <c:dPt>
            <c:idx val="2"/>
            <c:explosion val="5"/>
            <c:spPr>
              <a:solidFill>
                <a:srgbClr val="aabad7"/>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Overview'!$A$43:$A$45</c:f>
              <c:strCache>
                <c:ptCount val="3"/>
                <c:pt idx="0">
                  <c:v>India </c:v>
                </c:pt>
                <c:pt idx="1">
                  <c:v>China</c:v>
                </c:pt>
                <c:pt idx="2">
                  <c:v>Rest of the World</c:v>
                </c:pt>
              </c:strCache>
            </c:strRef>
          </c:cat>
          <c:val>
            <c:numRef>
              <c:f>'Company Overview'!$B$43:$B$45</c:f>
              <c:numCache>
                <c:formatCode>_(* #,##0.00_);_(* \(#,##0.00\);_(* \-??_);_(@_)</c:formatCode>
                <c:ptCount val="3"/>
                <c:pt idx="0">
                  <c:v>24443.8443149965</c:v>
                </c:pt>
                <c:pt idx="1">
                  <c:v>366.562112319882</c:v>
                </c:pt>
                <c:pt idx="2">
                  <c:v>6432.02357268361</c:v>
                </c:pt>
              </c:numCache>
            </c:numRef>
          </c:val>
        </c:ser>
      </c:pie3DChart>
    </c:plotArea>
    <c:legend>
      <c:legendPos val="r"/>
      <c:layout>
        <c:manualLayout>
          <c:xMode val="edge"/>
          <c:yMode val="edge"/>
          <c:x val="0.185719074756956"/>
          <c:y val="0.815375982042649"/>
          <c:w val="0.529249078109286"/>
          <c:h val="0.112233445566779"/>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193290846697948"/>
          <c:y val="0.0505994716521032"/>
          <c:w val="0.968660270327054"/>
          <c:h val="0.837228205649258"/>
        </c:manualLayout>
      </c:layout>
      <c:barChart>
        <c:barDir val="col"/>
        <c:grouping val="stacked"/>
        <c:varyColors val="0"/>
        <c:ser>
          <c:idx val="0"/>
          <c:order val="0"/>
          <c:tx>
            <c:strRef>
              <c:f>'Company Overview'!$A$80</c:f>
              <c:strCache>
                <c:ptCount val="1"/>
                <c:pt idx="0">
                  <c:v>Formulations</c:v>
                </c:pt>
              </c:strCache>
            </c:strRef>
          </c:tx>
          <c:spPr>
            <a:solidFill>
              <a:srgbClr val="40699c"/>
            </a:solidFill>
            <a:ln w="0">
              <a:solidFill>
                <a:srgbClr val="333399"/>
              </a:solidFill>
            </a:ln>
          </c:spPr>
          <c:invertIfNegative val="0"/>
          <c:dLbls>
            <c:numFmt formatCode="#,##0" sourceLinked="1"/>
            <c:txPr>
              <a:bodyPr wrap="none"/>
              <a:lstStyle/>
              <a:p>
                <a:pPr>
                  <a:defRPr b="0"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Overview'!$B$80:$I$80</c:f>
              <c:numCache>
                <c:formatCode>_(* #,##0.00_);_(* \(#,##0.00\);_(* \-??_);_(@_)</c:formatCode>
                <c:ptCount val="8"/>
                <c:pt idx="0">
                  <c:v>7196.2</c:v>
                </c:pt>
                <c:pt idx="1">
                  <c:v>10048</c:v>
                </c:pt>
                <c:pt idx="2">
                  <c:v>14098</c:v>
                </c:pt>
                <c:pt idx="3">
                  <c:v>21408.6194230573</c:v>
                </c:pt>
                <c:pt idx="4">
                  <c:v>28084.8073262365</c:v>
                </c:pt>
                <c:pt idx="5">
                  <c:v>34825.1610845333</c:v>
                </c:pt>
                <c:pt idx="6">
                  <c:v>42486.6965231306</c:v>
                </c:pt>
                <c:pt idx="7">
                  <c:v>50984.0358277568</c:v>
                </c:pt>
              </c:numCache>
            </c:numRef>
          </c:val>
        </c:ser>
        <c:ser>
          <c:idx val="1"/>
          <c:order val="1"/>
          <c:tx>
            <c:strRef>
              <c:f>'Company Overview'!$A$81</c:f>
              <c:strCache>
                <c:ptCount val="1"/>
                <c:pt idx="0">
                  <c:v>Active Ingredients</c:v>
                </c:pt>
              </c:strCache>
            </c:strRef>
          </c:tx>
          <c:spPr>
            <a:solidFill>
              <a:srgbClr val="4f81bd"/>
            </a:solidFill>
            <a:ln w="0">
              <a:solidFill>
                <a:srgbClr val="333399"/>
              </a:solidFill>
            </a:ln>
          </c:spPr>
          <c:invertIfNegative val="0"/>
          <c:dLbls>
            <c:numFmt formatCode="#,##0" sourceLinked="1"/>
            <c:txPr>
              <a:bodyPr wrap="none"/>
              <a:lstStyle/>
              <a:p>
                <a:pPr>
                  <a:defRPr b="0" sz="1000" spc="-1" strike="noStrike">
                    <a:solidFill>
                      <a:srgbClr val="ffffff"/>
                    </a:solidFill>
                    <a:latin typeface="Calibri"/>
                  </a:defRPr>
                </a:pPr>
              </a:p>
            </c:txPr>
            <c:dLblPos val="in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Overview'!$B$81:$I$81</c:f>
              <c:numCache>
                <c:formatCode>_(* #,##0.00_);_(* \(#,##0.00\);_(* \-??_);_(@_)</c:formatCode>
                <c:ptCount val="8"/>
                <c:pt idx="0">
                  <c:v>15306</c:v>
                </c:pt>
                <c:pt idx="1">
                  <c:v>15476</c:v>
                </c:pt>
                <c:pt idx="2">
                  <c:v>16466</c:v>
                </c:pt>
                <c:pt idx="3">
                  <c:v>17956.8423769427</c:v>
                </c:pt>
                <c:pt idx="4">
                  <c:v>20728.3653057635</c:v>
                </c:pt>
                <c:pt idx="5">
                  <c:v>25703.1729791467</c:v>
                </c:pt>
                <c:pt idx="6">
                  <c:v>31357.8710345589</c:v>
                </c:pt>
                <c:pt idx="7">
                  <c:v>37629.4452414707</c:v>
                </c:pt>
              </c:numCache>
            </c:numRef>
          </c:val>
        </c:ser>
        <c:gapWidth val="150"/>
        <c:overlap val="100"/>
        <c:axId val="98940321"/>
        <c:axId val="93615234"/>
      </c:barChart>
      <c:lineChart>
        <c:grouping val="stacked"/>
        <c:varyColors val="0"/>
        <c:ser>
          <c:idx val="2"/>
          <c:order val="2"/>
          <c:tx>
            <c:strRef>
              <c:f>'Company Overview'!$A$82</c:f>
              <c:strCache>
                <c:ptCount val="1"/>
                <c:pt idx="0">
                  <c:v>% Y-o-Y Growth</c:v>
                </c:pt>
              </c:strCache>
            </c:strRef>
          </c:tx>
          <c:spPr>
            <a:solidFill>
              <a:srgbClr val="c0c0c0"/>
            </a:solidFill>
            <a:ln w="37800">
              <a:solidFill>
                <a:srgbClr val="c0c0c0"/>
              </a:solidFill>
              <a:round/>
            </a:ln>
          </c:spPr>
          <c:marker>
            <c:symbol val="none"/>
          </c:marker>
          <c:dLbls>
            <c:numFmt formatCode="0%" sourceLinked="1"/>
            <c:txPr>
              <a:bodyPr wrap="none"/>
              <a:lstStyle/>
              <a:p>
                <a:pPr>
                  <a:defRPr b="0" sz="1000" spc="-1" strike="noStrike">
                    <a:solidFill>
                      <a:srgbClr val="000000"/>
                    </a:solidFill>
                    <a:latin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Overview'!$B$79:$I$79</c:f>
              <c:strCache>
                <c:ptCount val="8"/>
                <c:pt idx="0">
                  <c:v>FY2007 A</c:v>
                </c:pt>
                <c:pt idx="1">
                  <c:v>FY2008 A</c:v>
                </c:pt>
                <c:pt idx="2">
                  <c:v>FY2009 A</c:v>
                </c:pt>
                <c:pt idx="3">
                  <c:v>FY2010 E</c:v>
                </c:pt>
                <c:pt idx="4">
                  <c:v>FY2011 E</c:v>
                </c:pt>
                <c:pt idx="5">
                  <c:v>FY2012 E</c:v>
                </c:pt>
                <c:pt idx="6">
                  <c:v>FY2013 E</c:v>
                </c:pt>
                <c:pt idx="7">
                  <c:v>FY2014 E</c:v>
                </c:pt>
              </c:strCache>
            </c:strRef>
          </c:cat>
          <c:val>
            <c:numRef>
              <c:f>'Company Overview'!$B$82:$I$82</c:f>
              <c:numCache>
                <c:formatCode>0%</c:formatCode>
                <c:ptCount val="8"/>
                <c:pt idx="1">
                  <c:v>0.134289091733253</c:v>
                </c:pt>
                <c:pt idx="2">
                  <c:v>0.197461212976022</c:v>
                </c:pt>
                <c:pt idx="3">
                  <c:v>0.287968256772674</c:v>
                </c:pt>
                <c:pt idx="4">
                  <c:v>0.24</c:v>
                </c:pt>
                <c:pt idx="5">
                  <c:v>0.24</c:v>
                </c:pt>
                <c:pt idx="6">
                  <c:v>0.22</c:v>
                </c:pt>
                <c:pt idx="7">
                  <c:v>0.2</c:v>
                </c:pt>
              </c:numCache>
            </c:numRef>
          </c:val>
          <c:smooth val="0"/>
        </c:ser>
        <c:hiLowLines>
          <c:spPr>
            <a:ln w="0">
              <a:noFill/>
            </a:ln>
          </c:spPr>
        </c:hiLowLines>
        <c:marker val="0"/>
        <c:axId val="46719106"/>
        <c:axId val="60524880"/>
      </c:lineChart>
      <c:catAx>
        <c:axId val="98940321"/>
        <c:scaling>
          <c:orientation val="minMax"/>
        </c:scaling>
        <c:delete val="0"/>
        <c:axPos val="b"/>
        <c:numFmt formatCode="General"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93615234"/>
        <c:crossesAt val="0"/>
        <c:auto val="1"/>
        <c:lblAlgn val="ctr"/>
        <c:lblOffset val="100"/>
        <c:noMultiLvlLbl val="0"/>
      </c:catAx>
      <c:valAx>
        <c:axId val="93615234"/>
        <c:scaling>
          <c:orientation val="minMax"/>
        </c:scaling>
        <c:delete val="0"/>
        <c:axPos val="l"/>
        <c:numFmt formatCode="_ * #,##0_ ;_ * \-#,##0_ ;_ * \-_ ;_ @_ " sourceLinked="0"/>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98940321"/>
        <c:crossesAt val="1"/>
        <c:crossBetween val="midCat"/>
      </c:valAx>
      <c:catAx>
        <c:axId val="46719106"/>
        <c:scaling>
          <c:orientation val="minMax"/>
        </c:scaling>
        <c:delete val="1"/>
        <c:axPos val="t"/>
        <c:numFmt formatCode="General" sourceLinked="1"/>
        <c:majorTickMark val="out"/>
        <c:minorTickMark val="none"/>
        <c:tickLblPos val="nextTo"/>
        <c:spPr>
          <a:ln w="0">
            <a:noFill/>
          </a:ln>
        </c:spPr>
        <c:txPr>
          <a:bodyPr/>
          <a:lstStyle/>
          <a:p>
            <a:pPr>
              <a:defRPr b="0" sz="1000" spc="-1" strike="noStrike">
                <a:solidFill>
                  <a:srgbClr val="000000"/>
                </a:solidFill>
                <a:latin typeface="Calibri"/>
              </a:defRPr>
            </a:pPr>
          </a:p>
        </c:txPr>
        <c:crossAx val="60524880"/>
        <c:auto val="1"/>
        <c:lblAlgn val="ctr"/>
        <c:lblOffset val="100"/>
        <c:noMultiLvlLbl val="0"/>
      </c:catAx>
      <c:valAx>
        <c:axId val="60524880"/>
        <c:scaling>
          <c:orientation val="minMax"/>
          <c:min val="0.1"/>
        </c:scaling>
        <c:delete val="0"/>
        <c:axPos val="r"/>
        <c:numFmt formatCode="0%" sourceLinked="0"/>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46719106"/>
        <c:crosses val="max"/>
        <c:crossBetween val="midCat"/>
      </c:valAx>
      <c:spPr>
        <a:noFill/>
        <a:ln w="12600">
          <a:noFill/>
        </a:ln>
      </c:spPr>
    </c:plotArea>
    <c:legend>
      <c:legendPos val="r"/>
      <c:layout>
        <c:manualLayout>
          <c:xMode val="edge"/>
          <c:yMode val="edge"/>
          <c:x val="0.267140556061349"/>
          <c:y val="0.898902662060557"/>
          <c:w val="0.389137894810561"/>
          <c:h val="0.0609632188579557"/>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4886769964243"/>
          <c:y val="0.142669172932331"/>
          <c:w val="0.807787048073103"/>
          <c:h val="0.605639097744361"/>
        </c:manualLayout>
      </c:layout>
      <c:pie3DChart>
        <c:varyColors val="1"/>
        <c:ser>
          <c:idx val="0"/>
          <c:order val="0"/>
          <c:spPr>
            <a:solidFill>
              <a:srgbClr val="9bbb59"/>
            </a:solidFill>
            <a:ln w="0">
              <a:noFill/>
            </a:ln>
          </c:spPr>
          <c:explosion val="5"/>
          <c:dPt>
            <c:idx val="0"/>
            <c:explosion val="5"/>
            <c:spPr>
              <a:solidFill>
                <a:srgbClr val="7f9a48"/>
              </a:solidFill>
              <a:ln w="0">
                <a:noFill/>
              </a:ln>
            </c:spPr>
          </c:dPt>
          <c:dPt>
            <c:idx val="1"/>
            <c:explosion val="5"/>
            <c:spPr>
              <a:solidFill>
                <a:srgbClr val="9bbb59"/>
              </a:solidFill>
              <a:ln w="0">
                <a:noFill/>
              </a:ln>
            </c:spPr>
          </c:dPt>
          <c:dPt>
            <c:idx val="2"/>
            <c:explosion val="5"/>
            <c:spPr>
              <a:solidFill>
                <a:srgbClr val="c6d6ac"/>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0"/>
              <c:showCatName val="1"/>
              <c:showSerName val="0"/>
              <c:showPercent val="0"/>
              <c:separator>
</c:separator>
            </c:dLbl>
            <c:dLbl>
              <c:idx val="1"/>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dLbl>
              <c:idx val="2"/>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Overview'!$S$44:$S$46</c:f>
              <c:strCache>
                <c:ptCount val="3"/>
                <c:pt idx="0">
                  <c:v>SSPs</c:v>
                </c:pt>
                <c:pt idx="1">
                  <c:v>Cephs</c:v>
                </c:pt>
                <c:pt idx="2">
                  <c:v>ARVs &amp; Others</c:v>
                </c:pt>
              </c:strCache>
            </c:strRef>
          </c:cat>
          <c:val>
            <c:numRef>
              <c:f>'Company Overview'!$T$44:$T$46</c:f>
              <c:numCache>
                <c:formatCode>_(* #,##0.00_);_(* \(#,##0.00\);_(* \-??_);_(@_)</c:formatCode>
                <c:ptCount val="3"/>
                <c:pt idx="0">
                  <c:v>7379</c:v>
                </c:pt>
                <c:pt idx="1">
                  <c:v>6344</c:v>
                </c:pt>
                <c:pt idx="2">
                  <c:v>2743</c:v>
                </c:pt>
              </c:numCache>
            </c:numRef>
          </c:val>
        </c:ser>
      </c:pie3DChart>
    </c:plotArea>
    <c:legend>
      <c:legendPos val="r"/>
      <c:layout>
        <c:manualLayout>
          <c:xMode val="edge"/>
          <c:yMode val="edge"/>
          <c:x val="0.233531982518872"/>
          <c:y val="0.816165413533835"/>
          <c:w val="0.45689312673818"/>
          <c:h val="0.112781954887218"/>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30"/>
      <c:rotY val="125"/>
      <c:rAngAx val="0"/>
      <c:perspective val="60"/>
    </c:view3D>
    <c:floor>
      <c:spPr>
        <a:solidFill>
          <a:srgbClr val="d9d9d9"/>
        </a:solidFill>
        <a:ln w="0">
          <a:noFill/>
        </a:ln>
      </c:spPr>
    </c:floor>
    <c:sideWall>
      <c:spPr>
        <a:noFill/>
        <a:ln w="12600">
          <a:noFill/>
        </a:ln>
      </c:spPr>
    </c:sideWall>
    <c:backWall>
      <c:spPr>
        <a:noFill/>
        <a:ln w="12600">
          <a:noFill/>
        </a:ln>
      </c:spPr>
    </c:backWall>
    <c:plotArea>
      <c:layout>
        <c:manualLayout>
          <c:layoutTarget val="inner"/>
          <c:xMode val="edge"/>
          <c:yMode val="edge"/>
          <c:x val="0.104549778059607"/>
          <c:y val="0.141814780168382"/>
          <c:w val="0.80778376664553"/>
          <c:h val="0.60823199251637"/>
        </c:manualLayout>
      </c:layout>
      <c:pie3DChart>
        <c:varyColors val="1"/>
        <c:ser>
          <c:idx val="0"/>
          <c:order val="0"/>
          <c:spPr>
            <a:solidFill>
              <a:srgbClr val="4bacc6"/>
            </a:solidFill>
            <a:ln w="0">
              <a:noFill/>
            </a:ln>
          </c:spPr>
          <c:explosion val="5"/>
          <c:dPt>
            <c:idx val="0"/>
            <c:explosion val="5"/>
            <c:spPr>
              <a:solidFill>
                <a:srgbClr val="4198af"/>
              </a:solidFill>
              <a:ln w="0">
                <a:noFill/>
              </a:ln>
            </c:spPr>
          </c:dPt>
          <c:dPt>
            <c:idx val="1"/>
            <c:explosion val="5"/>
            <c:spPr>
              <a:solidFill>
                <a:srgbClr val="91c3d5"/>
              </a:solidFill>
              <a:ln w="0">
                <a:noFill/>
              </a:ln>
            </c:spPr>
          </c:dPt>
          <c:dLbls>
            <c:dLbl>
              <c:idx val="0"/>
              <c:txPr>
                <a:bodyPr wrap="non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non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none"/>
              <a:lstStyle/>
              <a:p>
                <a:pPr>
                  <a:defRPr b="0" sz="1000" spc="-1" strike="noStrike">
                    <a:solidFill>
                      <a:srgbClr val="000000"/>
                    </a:solidFill>
                    <a:latin typeface="Calibri"/>
                  </a:defRPr>
                </a:pPr>
              </a:p>
            </c:txPr>
            <c:dLblPos val="outEnd"/>
            <c:showLegendKey val="0"/>
            <c:showVal val="0"/>
            <c:showCatName val="0"/>
            <c:showSerName val="0"/>
            <c:showPercent val="1"/>
            <c:separator>
</c:separator>
            <c:showLeaderLines val="1"/>
          </c:dLbls>
          <c:cat>
            <c:strRef>
              <c:f>'Company Overview'!$AC$43:$AC$44</c:f>
              <c:strCache>
                <c:ptCount val="2"/>
                <c:pt idx="0">
                  <c:v>Formulations</c:v>
                </c:pt>
                <c:pt idx="1">
                  <c:v>Active Ingredients</c:v>
                </c:pt>
              </c:strCache>
            </c:strRef>
          </c:cat>
          <c:val>
            <c:numRef>
              <c:f>'Company Overview'!$AD$43:$AD$44</c:f>
              <c:numCache>
                <c:formatCode>0.00_);[RED]\(0.00\)</c:formatCode>
                <c:ptCount val="2"/>
                <c:pt idx="0">
                  <c:v>14098</c:v>
                </c:pt>
                <c:pt idx="1">
                  <c:v>16466</c:v>
                </c:pt>
              </c:numCache>
            </c:numRef>
          </c:val>
        </c:ser>
      </c:pie3DChart>
    </c:plotArea>
    <c:legend>
      <c:legendPos val="r"/>
      <c:layout>
        <c:manualLayout>
          <c:xMode val="edge"/>
          <c:yMode val="edge"/>
          <c:x val="0.207355738744451"/>
          <c:y val="0.8177736202058"/>
          <c:w val="0.500554850982879"/>
          <c:h val="0.112254443405051"/>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xMode val="edge"/>
          <c:yMode val="edge"/>
          <c:x val="0.0267761687238799"/>
          <c:y val="0.053611798901927"/>
          <c:w val="0.957138691806784"/>
          <c:h val="0.916783292065884"/>
        </c:manualLayout>
      </c:layout>
      <c:barChart>
        <c:barDir val="col"/>
        <c:grouping val="stacked"/>
        <c:varyColors val="0"/>
        <c:ser>
          <c:idx val="0"/>
          <c:order val="0"/>
          <c:spPr>
            <a:gradFill>
              <a:gsLst>
                <a:gs pos="0">
                  <a:srgbClr val="333333"/>
                </a:gs>
                <a:gs pos="100000">
                  <a:srgbClr val="808080"/>
                </a:gs>
              </a:gsLst>
              <a:lin ang="16200000"/>
            </a:gradFill>
            <a:ln w="0">
              <a:noFill/>
            </a:ln>
          </c:spPr>
          <c:invertIfNegative val="0"/>
          <c:dPt>
            <c:idx val="1"/>
            <c:invertIfNegative val="0"/>
            <c:spPr>
              <a:noFill/>
              <a:ln w="0">
                <a:noFill/>
              </a:ln>
            </c:spPr>
          </c:dPt>
          <c:dPt>
            <c:idx val="2"/>
            <c:invertIfNegative val="0"/>
            <c:spPr>
              <a:noFill/>
              <a:ln w="0">
                <a:noFill/>
              </a:ln>
            </c:spPr>
          </c:dPt>
          <c:dLbls>
            <c:dLbl>
              <c:idx val="1"/>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dLbl>
              <c:idx val="2"/>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Overview'!$M$79:$M$82</c:f>
              <c:numCache>
                <c:formatCode>_(* #,##0.00_);_(* \(#,##0.00\);_(* \-??_);_(@_)</c:formatCode>
                <c:ptCount val="4"/>
                <c:pt idx="0">
                  <c:v>7583.45602084063</c:v>
                </c:pt>
                <c:pt idx="1">
                  <c:v>7583.45602084063</c:v>
                </c:pt>
                <c:pt idx="2">
                  <c:v>7583.45602084063</c:v>
                </c:pt>
              </c:numCache>
            </c:numRef>
          </c:val>
        </c:ser>
        <c:ser>
          <c:idx val="1"/>
          <c:order val="1"/>
          <c:spPr>
            <a:gradFill>
              <a:gsLst>
                <a:gs pos="0">
                  <a:srgbClr val="808080"/>
                </a:gs>
                <a:gs pos="100000">
                  <a:srgbClr val="c0c0c0"/>
                </a:gs>
              </a:gsLst>
              <a:lin ang="16200000"/>
            </a:gradFill>
            <a:ln w="0">
              <a:noFill/>
            </a:ln>
          </c:spPr>
          <c:invertIfNegative val="0"/>
          <c:dPt>
            <c:idx val="2"/>
            <c:invertIfNegative val="0"/>
            <c:spPr>
              <a:noFill/>
              <a:ln w="0">
                <a:noFill/>
              </a:ln>
            </c:spPr>
          </c:dPt>
          <c:dLbls>
            <c:dLbl>
              <c:idx val="2"/>
              <c:txPr>
                <a:bodyPr wrap="none"/>
                <a:lstStyle/>
                <a:p>
                  <a:pPr>
                    <a:defRPr b="0" sz="1000" spc="-1" strike="noStrike">
                      <a:solidFill>
                        <a:srgbClr val="ffffff"/>
                      </a:solidFill>
                      <a:latin typeface="Calibri"/>
                    </a:defRPr>
                  </a:pPr>
                </a:p>
              </c:txPr>
              <c:dLblPos val="ctr"/>
              <c:showLegendKey val="0"/>
              <c:showVal val="0"/>
              <c:showCatName val="0"/>
              <c:showSerName val="0"/>
              <c:showPercent val="0"/>
              <c:separator>
</c:separator>
            </c:dLbl>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Overview'!$N$79:$N$82</c:f>
              <c:numCache>
                <c:formatCode>_(* #,##0.00_);_(* \(#,##0.00\);_(* \-??_);_(@_)</c:formatCode>
                <c:ptCount val="4"/>
                <c:pt idx="1">
                  <c:v>13507.8456107095</c:v>
                </c:pt>
                <c:pt idx="2">
                  <c:v>13507.8456107095</c:v>
                </c:pt>
              </c:numCache>
            </c:numRef>
          </c:val>
        </c:ser>
        <c:ser>
          <c:idx val="2"/>
          <c:order val="2"/>
          <c:spPr>
            <a:ln w="0">
              <a:noFill/>
            </a:ln>
          </c:spPr>
          <c:invertIfNegative val="0"/>
          <c:dLbls>
            <c:numFmt formatCode="#,##0" sourceLinked="1"/>
            <c:txPr>
              <a:bodyPr wrap="none"/>
              <a:lstStyle/>
              <a:p>
                <a:pPr>
                  <a:defRPr b="0" sz="10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'Company Overview'!$L$79:$L$82</c:f>
              <c:strCache>
                <c:ptCount val="4"/>
                <c:pt idx="0">
                  <c:v>Explicit Forecast FCF (First Stage)</c:v>
                </c:pt>
                <c:pt idx="1">
                  <c:v>Second Stage </c:v>
                </c:pt>
                <c:pt idx="2">
                  <c:v>Terminal Year Forecast FCF</c:v>
                </c:pt>
                <c:pt idx="3">
                  <c:v>Total Enterprise Value</c:v>
                </c:pt>
              </c:strCache>
            </c:strRef>
          </c:cat>
          <c:val>
            <c:numRef>
              <c:f>'Company Overview'!$O$79:$O$82</c:f>
              <c:numCache>
                <c:formatCode>General</c:formatCode>
                <c:ptCount val="4"/>
                <c:pt idx="2">
                  <c:v>41293.4188590443</c:v>
                </c:pt>
                <c:pt idx="3">
                  <c:v>62384.7204905944</c:v>
                </c:pt>
              </c:numCache>
            </c:numRef>
          </c:val>
        </c:ser>
        <c:gapWidth val="150"/>
        <c:overlap val="100"/>
        <c:axId val="62180356"/>
        <c:axId val="92928755"/>
      </c:barChart>
      <c:catAx>
        <c:axId val="62180356"/>
        <c:scaling>
          <c:orientation val="minMax"/>
        </c:scaling>
        <c:delete val="0"/>
        <c:axPos val="b"/>
        <c:numFmt formatCode="General"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92928755"/>
        <c:crossesAt val="0"/>
        <c:auto val="1"/>
        <c:lblAlgn val="ctr"/>
        <c:lblOffset val="100"/>
        <c:noMultiLvlLbl val="0"/>
      </c:catAx>
      <c:valAx>
        <c:axId val="92928755"/>
        <c:scaling>
          <c:orientation val="minMax"/>
        </c:scaling>
        <c:delete val="0"/>
        <c:axPos val="l"/>
        <c:numFmt formatCode="_(* #,##0.00_);_(* \(#,##0.00\);_(* \-??_);_(@_)" sourceLinked="1"/>
        <c:majorTickMark val="out"/>
        <c:minorTickMark val="none"/>
        <c:tickLblPos val="nextTo"/>
        <c:spPr>
          <a:ln w="0">
            <a:solidFill>
              <a:srgbClr val="808080"/>
            </a:solidFill>
          </a:ln>
        </c:spPr>
        <c:txPr>
          <a:bodyPr/>
          <a:lstStyle/>
          <a:p>
            <a:pPr>
              <a:defRPr b="0" sz="1000" spc="-1" strike="noStrike">
                <a:solidFill>
                  <a:srgbClr val="000000"/>
                </a:solidFill>
                <a:latin typeface="Calibri"/>
              </a:defRPr>
            </a:pPr>
          </a:p>
        </c:txPr>
        <c:crossAx val="62180356"/>
        <c:crossesAt val="1"/>
        <c:crossBetween val="midCat"/>
      </c:valAx>
      <c:spPr>
        <a:solidFill>
          <a:srgbClr val="ffffff"/>
        </a:solidFill>
        <a:ln w="0">
          <a:noFill/>
        </a:ln>
      </c:spPr>
    </c:plotArea>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proschoolonline.com/wp/certificate-programs/financial-modeling/" TargetMode="External"/><Relationship Id="rId2" Type="http://schemas.openxmlformats.org/officeDocument/2006/relationships/image" Target="../media/image1.png"/><Relationship Id="rId3" Type="http://schemas.openxmlformats.org/officeDocument/2006/relationships/hyperlink" Target="http://proschoolonline.com/wp/certificate-programs/financial-modeling/" TargetMode="External"/><Relationship Id="rId4"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148680</xdr:colOff>
      <xdr:row>7</xdr:row>
      <xdr:rowOff>47520</xdr:rowOff>
    </xdr:from>
    <xdr:to>
      <xdr:col>6</xdr:col>
      <xdr:colOff>526320</xdr:colOff>
      <xdr:row>11</xdr:row>
      <xdr:rowOff>133200</xdr:rowOff>
    </xdr:to>
    <xdr:pic>
      <xdr:nvPicPr>
        <xdr:cNvPr id="0" name="Picture 1" descr="http://proschoolonline.com/wp/wp-content/uploads/2011/02/proschool.png"/>
        <xdr:cNvPicPr/>
      </xdr:nvPicPr>
      <xdr:blipFill>
        <a:blip r:embed="rId1"/>
        <a:stretch/>
      </xdr:blipFill>
      <xdr:spPr>
        <a:xfrm>
          <a:off x="1610280" y="1895400"/>
          <a:ext cx="3301200" cy="847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274320</xdr:colOff>
      <xdr:row>19</xdr:row>
      <xdr:rowOff>37800</xdr:rowOff>
    </xdr:from>
    <xdr:to>
      <xdr:col>5</xdr:col>
      <xdr:colOff>651600</xdr:colOff>
      <xdr:row>23</xdr:row>
      <xdr:rowOff>123480</xdr:rowOff>
    </xdr:to>
    <xdr:pic>
      <xdr:nvPicPr>
        <xdr:cNvPr id="1" name="Picture 1" descr="http://proschoolonline.com/wp/wp-content/uploads/2011/02/proschool.png">
          <a:hlinkClick r:id="rId1"/>
        </xdr:cNvPr>
        <xdr:cNvPicPr/>
      </xdr:nvPicPr>
      <xdr:blipFill>
        <a:blip r:embed="rId2"/>
        <a:stretch/>
      </xdr:blipFill>
      <xdr:spPr>
        <a:xfrm>
          <a:off x="1005120" y="3695400"/>
          <a:ext cx="3300840" cy="847800"/>
        </a:xfrm>
        <a:prstGeom prst="rect">
          <a:avLst/>
        </a:prstGeom>
        <a:ln w="0">
          <a:noFill/>
        </a:ln>
      </xdr:spPr>
    </xdr:pic>
    <xdr:clientData/>
  </xdr:twoCellAnchor>
  <xdr:twoCellAnchor editAs="oneCell">
    <xdr:from>
      <xdr:col>1</xdr:col>
      <xdr:colOff>274320</xdr:colOff>
      <xdr:row>19</xdr:row>
      <xdr:rowOff>37800</xdr:rowOff>
    </xdr:from>
    <xdr:to>
      <xdr:col>5</xdr:col>
      <xdr:colOff>651600</xdr:colOff>
      <xdr:row>23</xdr:row>
      <xdr:rowOff>123480</xdr:rowOff>
    </xdr:to>
    <xdr:pic>
      <xdr:nvPicPr>
        <xdr:cNvPr id="2" name="Picture 1" descr="http://proschoolonline.com/wp/wp-content/uploads/2011/02/proschool.png">
          <a:hlinkClick r:id="rId3"/>
        </xdr:cNvPr>
        <xdr:cNvPicPr/>
      </xdr:nvPicPr>
      <xdr:blipFill>
        <a:blip r:embed="rId4"/>
        <a:stretch/>
      </xdr:blipFill>
      <xdr:spPr>
        <a:xfrm>
          <a:off x="1005120" y="3695400"/>
          <a:ext cx="3300840" cy="847800"/>
        </a:xfrm>
        <a:prstGeom prst="rect">
          <a:avLst/>
        </a:prstGeom>
        <a:ln w="0">
          <a:noFill/>
        </a:ln>
      </xdr:spPr>
    </xdr:pic>
    <xdr:clientData/>
  </xdr:twoCellAnchor>
  <xdr:twoCellAnchor editAs="oneCell">
    <xdr:from>
      <xdr:col>2</xdr:col>
      <xdr:colOff>331200</xdr:colOff>
      <xdr:row>16</xdr:row>
      <xdr:rowOff>66960</xdr:rowOff>
    </xdr:from>
    <xdr:to>
      <xdr:col>9</xdr:col>
      <xdr:colOff>240480</xdr:colOff>
      <xdr:row>16</xdr:row>
      <xdr:rowOff>66960</xdr:rowOff>
    </xdr:to>
    <xdr:sp>
      <xdr:nvSpPr>
        <xdr:cNvPr id="3" name="Straight Connector 3"/>
        <xdr:cNvSpPr/>
      </xdr:nvSpPr>
      <xdr:spPr>
        <a:xfrm>
          <a:off x="1792800" y="3153240"/>
          <a:ext cx="5025600" cy="0"/>
        </a:xfrm>
        <a:prstGeom prst="line">
          <a:avLst/>
        </a:prstGeom>
        <a:ln w="9360">
          <a:solidFill>
            <a:srgbClr val="ffcc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358920</xdr:colOff>
      <xdr:row>41</xdr:row>
      <xdr:rowOff>105120</xdr:rowOff>
    </xdr:from>
    <xdr:to>
      <xdr:col>16</xdr:col>
      <xdr:colOff>527760</xdr:colOff>
      <xdr:row>51</xdr:row>
      <xdr:rowOff>190440</xdr:rowOff>
    </xdr:to>
    <xdr:graphicFrame>
      <xdr:nvGraphicFramePr>
        <xdr:cNvPr id="4" name="Chart 5"/>
        <xdr:cNvGraphicFramePr/>
      </xdr:nvGraphicFramePr>
      <xdr:xfrm>
        <a:off x="10868040" y="8382240"/>
        <a:ext cx="5247720" cy="199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1153800</xdr:colOff>
      <xdr:row>41</xdr:row>
      <xdr:rowOff>171360</xdr:rowOff>
    </xdr:from>
    <xdr:to>
      <xdr:col>7</xdr:col>
      <xdr:colOff>46440</xdr:colOff>
      <xdr:row>51</xdr:row>
      <xdr:rowOff>190440</xdr:rowOff>
    </xdr:to>
    <xdr:graphicFrame>
      <xdr:nvGraphicFramePr>
        <xdr:cNvPr id="5" name="Chart 7"/>
        <xdr:cNvGraphicFramePr/>
      </xdr:nvGraphicFramePr>
      <xdr:xfrm>
        <a:off x="3542040" y="8448480"/>
        <a:ext cx="4295160" cy="1924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149400</xdr:colOff>
      <xdr:row>56</xdr:row>
      <xdr:rowOff>19440</xdr:rowOff>
    </xdr:from>
    <xdr:to>
      <xdr:col>9</xdr:col>
      <xdr:colOff>765720</xdr:colOff>
      <xdr:row>74</xdr:row>
      <xdr:rowOff>133200</xdr:rowOff>
    </xdr:to>
    <xdr:graphicFrame>
      <xdr:nvGraphicFramePr>
        <xdr:cNvPr id="6" name="Chart 10"/>
        <xdr:cNvGraphicFramePr/>
      </xdr:nvGraphicFramePr>
      <xdr:xfrm>
        <a:off x="149400" y="11154240"/>
        <a:ext cx="10280520" cy="3542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425880</xdr:colOff>
      <xdr:row>42</xdr:row>
      <xdr:rowOff>0</xdr:rowOff>
    </xdr:from>
    <xdr:to>
      <xdr:col>26</xdr:col>
      <xdr:colOff>650880</xdr:colOff>
      <xdr:row>52</xdr:row>
      <xdr:rowOff>9720</xdr:rowOff>
    </xdr:to>
    <xdr:graphicFrame>
      <xdr:nvGraphicFramePr>
        <xdr:cNvPr id="7" name="Chart 11"/>
        <xdr:cNvGraphicFramePr/>
      </xdr:nvGraphicFramePr>
      <xdr:xfrm>
        <a:off x="19608120" y="8467560"/>
        <a:ext cx="4530240" cy="1914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280440</xdr:colOff>
      <xdr:row>42</xdr:row>
      <xdr:rowOff>19440</xdr:rowOff>
    </xdr:from>
    <xdr:to>
      <xdr:col>36</xdr:col>
      <xdr:colOff>516600</xdr:colOff>
      <xdr:row>52</xdr:row>
      <xdr:rowOff>38160</xdr:rowOff>
    </xdr:to>
    <xdr:graphicFrame>
      <xdr:nvGraphicFramePr>
        <xdr:cNvPr id="8" name="Chart 12"/>
        <xdr:cNvGraphicFramePr/>
      </xdr:nvGraphicFramePr>
      <xdr:xfrm>
        <a:off x="27314280" y="8487000"/>
        <a:ext cx="4541400" cy="1923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353880</xdr:colOff>
      <xdr:row>56</xdr:row>
      <xdr:rowOff>104760</xdr:rowOff>
    </xdr:from>
    <xdr:to>
      <xdr:col>19</xdr:col>
      <xdr:colOff>571680</xdr:colOff>
      <xdr:row>74</xdr:row>
      <xdr:rowOff>19440</xdr:rowOff>
    </xdr:to>
    <xdr:graphicFrame>
      <xdr:nvGraphicFramePr>
        <xdr:cNvPr id="9" name="Chart 13"/>
        <xdr:cNvGraphicFramePr/>
      </xdr:nvGraphicFramePr>
      <xdr:xfrm>
        <a:off x="11580840" y="11239560"/>
        <a:ext cx="7407720" cy="33436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roschoolonline.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5" zeroHeight="true" outlineLevelRow="0" outlineLevelCol="0"/>
  <cols>
    <col collapsed="false" customWidth="false" hidden="true" outlineLevel="0" max="257" min="9" style="0" width="9.13"/>
  </cols>
  <sheetData>
    <row r="1" customFormat="false" ht="15" hidden="false" customHeight="false" outlineLevel="0" collapsed="false">
      <c r="A1" s="1"/>
      <c r="B1" s="1"/>
      <c r="C1" s="1"/>
      <c r="D1" s="1"/>
      <c r="E1" s="1"/>
      <c r="F1" s="1"/>
      <c r="G1" s="1"/>
      <c r="H1" s="1"/>
    </row>
    <row r="2" customFormat="false" ht="15" hidden="false" customHeight="false" outlineLevel="0" collapsed="false">
      <c r="A2" s="1"/>
      <c r="B2" s="1"/>
      <c r="C2" s="1"/>
      <c r="D2" s="1"/>
      <c r="E2" s="1"/>
      <c r="F2" s="1"/>
      <c r="G2" s="1"/>
      <c r="H2" s="1"/>
    </row>
    <row r="3" customFormat="false" ht="28.5" hidden="false" customHeight="false" outlineLevel="0" collapsed="false">
      <c r="A3" s="1"/>
      <c r="B3" s="1"/>
      <c r="C3" s="1"/>
      <c r="D3" s="1"/>
      <c r="E3" s="2" t="s">
        <v>0</v>
      </c>
      <c r="F3" s="1"/>
      <c r="G3" s="1"/>
      <c r="H3" s="1"/>
    </row>
    <row r="4" customFormat="false" ht="15" hidden="false" customHeight="false" outlineLevel="0" collapsed="false">
      <c r="A4" s="1"/>
      <c r="B4" s="1"/>
      <c r="C4" s="1"/>
      <c r="D4" s="1"/>
      <c r="E4" s="1"/>
      <c r="F4" s="1"/>
      <c r="G4" s="1"/>
      <c r="H4" s="1"/>
    </row>
    <row r="5" customFormat="false" ht="42" hidden="false" customHeight="false" outlineLevel="0" collapsed="false">
      <c r="A5" s="1"/>
      <c r="B5" s="1"/>
      <c r="C5" s="1"/>
      <c r="D5" s="1"/>
      <c r="E5" s="3" t="s">
        <v>1</v>
      </c>
      <c r="F5" s="1"/>
      <c r="G5" s="1"/>
      <c r="H5" s="1"/>
    </row>
    <row r="6" customFormat="false" ht="15" hidden="false" customHeight="false" outlineLevel="0" collapsed="false">
      <c r="A6" s="1"/>
      <c r="B6" s="1"/>
      <c r="C6" s="1"/>
      <c r="D6" s="1"/>
      <c r="E6" s="4" t="s">
        <v>2</v>
      </c>
      <c r="F6" s="1"/>
      <c r="G6" s="1"/>
      <c r="H6" s="1"/>
    </row>
    <row r="7" customFormat="false" ht="15" hidden="false" customHeight="false" outlineLevel="0" collapsed="false">
      <c r="A7" s="1"/>
      <c r="B7" s="1"/>
      <c r="C7" s="1"/>
      <c r="D7" s="1"/>
      <c r="E7" s="1"/>
      <c r="F7" s="1"/>
      <c r="G7" s="1"/>
      <c r="H7" s="1"/>
    </row>
    <row r="8" customFormat="false" ht="15" hidden="false" customHeight="false" outlineLevel="0" collapsed="false">
      <c r="A8" s="1"/>
      <c r="B8" s="1"/>
      <c r="C8" s="1"/>
      <c r="D8" s="1"/>
      <c r="E8" s="1"/>
      <c r="F8" s="1"/>
      <c r="G8" s="1"/>
      <c r="H8" s="1"/>
    </row>
    <row r="9" customFormat="false" ht="15" hidden="false" customHeight="false" outlineLevel="0" collapsed="false">
      <c r="A9" s="1"/>
      <c r="B9" s="1"/>
      <c r="C9" s="1"/>
      <c r="D9" s="1"/>
      <c r="E9" s="1"/>
      <c r="F9" s="1"/>
      <c r="G9" s="1"/>
      <c r="H9" s="1"/>
    </row>
    <row r="10" customFormat="false" ht="15" hidden="false" customHeight="false" outlineLevel="0" collapsed="false">
      <c r="A10" s="1"/>
      <c r="B10" s="1"/>
      <c r="C10" s="1"/>
      <c r="D10" s="1"/>
      <c r="E10" s="1"/>
      <c r="F10" s="1"/>
      <c r="G10" s="1"/>
      <c r="H10" s="1"/>
    </row>
    <row r="11" customFormat="false" ht="15" hidden="false" customHeight="false" outlineLevel="0" collapsed="false">
      <c r="A11" s="1"/>
      <c r="B11" s="1"/>
      <c r="C11" s="1"/>
      <c r="D11" s="1"/>
      <c r="E11" s="1"/>
      <c r="F11" s="1"/>
      <c r="G11" s="1"/>
      <c r="H11" s="1"/>
    </row>
    <row r="12" customFormat="false" ht="15" hidden="false" customHeight="false" outlineLevel="0" collapsed="false">
      <c r="A12" s="1"/>
      <c r="B12" s="1"/>
      <c r="C12" s="1"/>
      <c r="D12" s="1"/>
      <c r="E12" s="1"/>
      <c r="F12" s="1"/>
      <c r="G12" s="1"/>
      <c r="H12" s="1"/>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5" t="s">
        <v>3</v>
      </c>
      <c r="F14" s="1"/>
      <c r="G14" s="1"/>
      <c r="H14" s="1"/>
    </row>
    <row r="15" customFormat="false" ht="15" hidden="false" customHeight="false" outlineLevel="0" collapsed="false">
      <c r="A15" s="1"/>
      <c r="B15" s="1"/>
      <c r="C15" s="1"/>
      <c r="D15" s="1"/>
      <c r="E15" s="6" t="s">
        <v>4</v>
      </c>
      <c r="F15" s="1"/>
      <c r="G15" s="1"/>
      <c r="H15" s="1"/>
    </row>
    <row r="16" customFormat="false" ht="15" hidden="false" customHeight="false" outlineLevel="0" collapsed="false">
      <c r="A16" s="1"/>
      <c r="B16" s="1"/>
      <c r="C16" s="1"/>
      <c r="D16" s="1"/>
      <c r="E16" s="6"/>
      <c r="F16" s="1"/>
      <c r="G16" s="1"/>
      <c r="H16" s="1"/>
    </row>
    <row r="17" customFormat="false" ht="15" hidden="false" customHeight="false" outlineLevel="0" collapsed="false">
      <c r="A17" s="1"/>
      <c r="B17" s="1"/>
      <c r="C17" s="1"/>
      <c r="D17" s="1"/>
      <c r="E17" s="6" t="s">
        <v>5</v>
      </c>
      <c r="F17" s="1"/>
      <c r="G17" s="1"/>
      <c r="H17" s="1"/>
    </row>
    <row r="18" customFormat="false" ht="15" hidden="false" customHeight="false" outlineLevel="0" collapsed="false">
      <c r="A18" s="1"/>
      <c r="B18" s="1"/>
      <c r="C18" s="1"/>
      <c r="D18" s="1"/>
      <c r="E18" s="7"/>
      <c r="F18" s="1"/>
      <c r="G18" s="1"/>
      <c r="H18" s="1"/>
    </row>
    <row r="19" customFormat="false" ht="15" hidden="false" customHeight="false" outlineLevel="0" collapsed="false">
      <c r="A19" s="1"/>
      <c r="B19" s="1"/>
      <c r="C19" s="1"/>
      <c r="D19" s="1"/>
      <c r="E19" s="8" t="s">
        <v>6</v>
      </c>
      <c r="F19" s="1"/>
      <c r="G19" s="1"/>
      <c r="H19" s="1"/>
    </row>
    <row r="20" customFormat="false" ht="15" hidden="false" customHeight="false" outlineLevel="0" collapsed="false">
      <c r="A20" s="1"/>
      <c r="B20" s="1"/>
      <c r="C20" s="1"/>
      <c r="D20" s="1"/>
      <c r="E20" s="8" t="s">
        <v>7</v>
      </c>
      <c r="F20" s="1"/>
      <c r="G20" s="1"/>
      <c r="H20" s="1"/>
    </row>
    <row r="21" customFormat="false" ht="15" hidden="false" customHeight="false" outlineLevel="0" collapsed="false">
      <c r="A21" s="1"/>
      <c r="B21" s="1"/>
      <c r="C21" s="1"/>
      <c r="D21" s="1"/>
      <c r="E21" s="8" t="s">
        <v>8</v>
      </c>
      <c r="F21" s="1"/>
      <c r="G21" s="1"/>
      <c r="H21" s="1"/>
    </row>
    <row r="22" customFormat="false" ht="15" hidden="false" customHeight="false" outlineLevel="0" collapsed="false">
      <c r="A22" s="1"/>
      <c r="B22" s="1"/>
      <c r="C22" s="1"/>
      <c r="D22" s="1"/>
      <c r="E22" s="8" t="s">
        <v>9</v>
      </c>
      <c r="F22" s="1"/>
      <c r="G22" s="1"/>
      <c r="H22" s="1"/>
    </row>
    <row r="23" customFormat="false" ht="15" hidden="false" customHeight="false" outlineLevel="0" collapsed="false">
      <c r="A23" s="1"/>
      <c r="B23" s="1"/>
      <c r="C23" s="1"/>
      <c r="D23" s="1"/>
      <c r="E23" s="6" t="s">
        <v>10</v>
      </c>
      <c r="F23" s="1"/>
      <c r="G23" s="1"/>
      <c r="H23" s="1"/>
    </row>
    <row r="24" customFormat="false" ht="15" hidden="false" customHeight="false" outlineLevel="0" collapsed="false">
      <c r="A24" s="1"/>
      <c r="B24" s="1"/>
      <c r="C24" s="1"/>
      <c r="D24" s="1"/>
      <c r="E24" s="8" t="s">
        <v>11</v>
      </c>
      <c r="F24" s="1"/>
      <c r="G24" s="1"/>
      <c r="H24" s="1"/>
    </row>
    <row r="25" customFormat="false" ht="15" hidden="false" customHeight="false" outlineLevel="0" collapsed="false">
      <c r="A25" s="1"/>
      <c r="B25" s="1"/>
      <c r="C25" s="1"/>
      <c r="D25" s="1"/>
      <c r="E25" s="1"/>
      <c r="F25" s="1"/>
      <c r="G25" s="1"/>
      <c r="H25" s="1"/>
    </row>
  </sheetData>
  <sheetProtection sheet="true" password="ccc5" objects="true" scenarios="true"/>
  <hyperlinks>
    <hyperlink ref="E14" r:id="rId1" display="http://proschoolonlin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C28" activeCellId="0" sqref="A28:IV65536"/>
    </sheetView>
  </sheetViews>
  <sheetFormatPr defaultColWidth="9.13671875" defaultRowHeight="15" zeroHeight="true" outlineLevelRow="0" outlineLevelCol="0"/>
  <cols>
    <col collapsed="false" customWidth="false" hidden="true" outlineLevel="0" max="257" min="13" style="0" width="9.13"/>
  </cols>
  <sheetData>
    <row r="1" customFormat="false" ht="18" hidden="false" customHeight="false" outlineLevel="0" collapsed="false">
      <c r="A1" s="9" t="s">
        <v>12</v>
      </c>
      <c r="B1" s="10"/>
      <c r="C1" s="10"/>
      <c r="D1" s="10"/>
      <c r="E1" s="10"/>
      <c r="F1" s="10"/>
      <c r="G1" s="10"/>
      <c r="H1" s="10"/>
      <c r="I1" s="10"/>
      <c r="J1" s="10"/>
      <c r="K1" s="10"/>
      <c r="L1" s="11"/>
    </row>
    <row r="2" customFormat="false" ht="15" hidden="false" customHeight="false" outlineLevel="0" collapsed="false">
      <c r="A2" s="12"/>
      <c r="B2" s="12"/>
      <c r="C2" s="12"/>
      <c r="D2" s="12"/>
      <c r="E2" s="12"/>
      <c r="F2" s="12"/>
      <c r="G2" s="12"/>
      <c r="H2" s="12"/>
      <c r="I2" s="12"/>
      <c r="J2" s="12"/>
      <c r="K2" s="12"/>
      <c r="L2" s="13"/>
    </row>
    <row r="3" customFormat="false" ht="15" hidden="false" customHeight="true" outlineLevel="0" collapsed="false">
      <c r="A3" s="14" t="s">
        <v>13</v>
      </c>
      <c r="B3" s="14"/>
      <c r="C3" s="14"/>
      <c r="D3" s="14"/>
      <c r="E3" s="14"/>
      <c r="F3" s="14"/>
      <c r="G3" s="14"/>
      <c r="H3" s="14"/>
      <c r="I3" s="14"/>
      <c r="J3" s="14"/>
      <c r="K3" s="14"/>
      <c r="L3" s="14"/>
    </row>
    <row r="4" customFormat="false" ht="15" hidden="false" customHeight="false" outlineLevel="0" collapsed="false">
      <c r="A4" s="14"/>
      <c r="B4" s="14"/>
      <c r="C4" s="14"/>
      <c r="D4" s="14"/>
      <c r="E4" s="14"/>
      <c r="F4" s="14"/>
      <c r="G4" s="14"/>
      <c r="H4" s="14"/>
      <c r="I4" s="14"/>
      <c r="J4" s="14"/>
      <c r="K4" s="14"/>
      <c r="L4" s="14"/>
    </row>
    <row r="5" customFormat="false" ht="15" hidden="false" customHeight="false" outlineLevel="0" collapsed="false">
      <c r="A5" s="14"/>
      <c r="B5" s="14"/>
      <c r="C5" s="14"/>
      <c r="D5" s="14"/>
      <c r="E5" s="14"/>
      <c r="F5" s="14"/>
      <c r="G5" s="14"/>
      <c r="H5" s="14"/>
      <c r="I5" s="14"/>
      <c r="J5" s="14"/>
      <c r="K5" s="14"/>
      <c r="L5" s="14"/>
    </row>
    <row r="6" customFormat="false" ht="15" hidden="false" customHeight="false" outlineLevel="0" collapsed="false">
      <c r="A6" s="14"/>
      <c r="B6" s="14"/>
      <c r="C6" s="14"/>
      <c r="D6" s="14"/>
      <c r="E6" s="14"/>
      <c r="F6" s="14"/>
      <c r="G6" s="14"/>
      <c r="H6" s="14"/>
      <c r="I6" s="14"/>
      <c r="J6" s="14"/>
      <c r="K6" s="14"/>
      <c r="L6" s="14"/>
    </row>
    <row r="7" customFormat="false" ht="15" hidden="false" customHeight="false" outlineLevel="0" collapsed="false">
      <c r="A7" s="14"/>
      <c r="B7" s="14"/>
      <c r="C7" s="14"/>
      <c r="D7" s="14"/>
      <c r="E7" s="14"/>
      <c r="F7" s="14"/>
      <c r="G7" s="14"/>
      <c r="H7" s="14"/>
      <c r="I7" s="14"/>
      <c r="J7" s="14"/>
      <c r="K7" s="14"/>
      <c r="L7" s="14"/>
    </row>
    <row r="8" customFormat="false" ht="15" hidden="false" customHeight="false" outlineLevel="0" collapsed="false">
      <c r="A8" s="14"/>
      <c r="B8" s="14"/>
      <c r="C8" s="14"/>
      <c r="D8" s="14"/>
      <c r="E8" s="14"/>
      <c r="F8" s="14"/>
      <c r="G8" s="14"/>
      <c r="H8" s="14"/>
      <c r="I8" s="14"/>
      <c r="J8" s="14"/>
      <c r="K8" s="14"/>
      <c r="L8" s="14"/>
    </row>
    <row r="9" customFormat="false" ht="15" hidden="false" customHeight="false" outlineLevel="0" collapsed="false">
      <c r="A9" s="14"/>
      <c r="B9" s="14"/>
      <c r="C9" s="14"/>
      <c r="D9" s="14"/>
      <c r="E9" s="14"/>
      <c r="F9" s="14"/>
      <c r="G9" s="14"/>
      <c r="H9" s="14"/>
      <c r="I9" s="14"/>
      <c r="J9" s="14"/>
      <c r="K9" s="14"/>
      <c r="L9" s="14"/>
    </row>
    <row r="10" customFormat="false" ht="15" hidden="false" customHeight="false" outlineLevel="0" collapsed="false">
      <c r="A10" s="14"/>
      <c r="B10" s="14"/>
      <c r="C10" s="14"/>
      <c r="D10" s="14"/>
      <c r="E10" s="14"/>
      <c r="F10" s="14"/>
      <c r="G10" s="14"/>
      <c r="H10" s="14"/>
      <c r="I10" s="14"/>
      <c r="J10" s="14"/>
      <c r="K10" s="14"/>
      <c r="L10" s="14"/>
    </row>
    <row r="11" customFormat="false" ht="15" hidden="false" customHeight="false" outlineLevel="0" collapsed="false">
      <c r="A11" s="14"/>
      <c r="B11" s="14"/>
      <c r="C11" s="14"/>
      <c r="D11" s="14"/>
      <c r="E11" s="14"/>
      <c r="F11" s="14"/>
      <c r="G11" s="14"/>
      <c r="H11" s="14"/>
      <c r="I11" s="14"/>
      <c r="J11" s="14"/>
      <c r="K11" s="14"/>
      <c r="L11" s="14"/>
    </row>
    <row r="12" customFormat="false" ht="15" hidden="false" customHeight="false" outlineLevel="0" collapsed="false">
      <c r="A12" s="14"/>
      <c r="B12" s="14"/>
      <c r="C12" s="14"/>
      <c r="D12" s="14"/>
      <c r="E12" s="14"/>
      <c r="F12" s="14"/>
      <c r="G12" s="14"/>
      <c r="H12" s="14"/>
      <c r="I12" s="14"/>
      <c r="J12" s="14"/>
      <c r="K12" s="14"/>
      <c r="L12" s="14"/>
    </row>
    <row r="13" customFormat="false" ht="15" hidden="false" customHeight="false" outlineLevel="0" collapsed="false">
      <c r="A13" s="14"/>
      <c r="B13" s="14"/>
      <c r="C13" s="14"/>
      <c r="D13" s="14"/>
      <c r="E13" s="14"/>
      <c r="F13" s="14"/>
      <c r="G13" s="14"/>
      <c r="H13" s="14"/>
      <c r="I13" s="14"/>
      <c r="J13" s="14"/>
      <c r="K13" s="14"/>
      <c r="L13" s="14"/>
    </row>
    <row r="14" customFormat="false" ht="15" hidden="false" customHeight="false" outlineLevel="0" collapsed="false">
      <c r="A14" s="14"/>
      <c r="B14" s="14"/>
      <c r="C14" s="14"/>
      <c r="D14" s="14"/>
      <c r="E14" s="14"/>
      <c r="F14" s="14"/>
      <c r="G14" s="14"/>
      <c r="H14" s="14"/>
      <c r="I14" s="14"/>
      <c r="J14" s="14"/>
      <c r="K14" s="14"/>
      <c r="L14" s="14"/>
    </row>
    <row r="15" customFormat="false" ht="15" hidden="false" customHeight="false" outlineLevel="0" collapsed="false">
      <c r="A15" s="14"/>
      <c r="B15" s="14"/>
      <c r="C15" s="14"/>
      <c r="D15" s="14"/>
      <c r="E15" s="14"/>
      <c r="F15" s="14"/>
      <c r="G15" s="14"/>
      <c r="H15" s="14"/>
      <c r="I15" s="14"/>
      <c r="J15" s="14"/>
      <c r="K15" s="14"/>
      <c r="L15" s="14"/>
    </row>
    <row r="16" customFormat="false" ht="15" hidden="false" customHeight="false" outlineLevel="0" collapsed="false">
      <c r="A16" s="14"/>
      <c r="B16" s="14"/>
      <c r="C16" s="14"/>
      <c r="D16" s="14"/>
      <c r="E16" s="14"/>
      <c r="F16" s="14"/>
      <c r="G16" s="14"/>
      <c r="H16" s="14"/>
      <c r="I16" s="14"/>
      <c r="J16" s="14"/>
      <c r="K16" s="14"/>
      <c r="L16" s="14"/>
    </row>
    <row r="17" customFormat="false" ht="15" hidden="false" customHeight="false" outlineLevel="0" collapsed="false">
      <c r="A17" s="15"/>
      <c r="B17" s="15"/>
      <c r="C17" s="15"/>
      <c r="D17" s="15"/>
      <c r="E17" s="15"/>
      <c r="F17" s="15"/>
      <c r="G17" s="15"/>
      <c r="H17" s="15"/>
      <c r="I17" s="15"/>
      <c r="J17" s="15"/>
      <c r="K17" s="15"/>
      <c r="L17" s="16"/>
    </row>
    <row r="18" customFormat="false" ht="15" hidden="false" customHeight="false" outlineLevel="0" collapsed="false">
      <c r="A18" s="15"/>
      <c r="B18" s="15"/>
      <c r="C18" s="15"/>
      <c r="D18" s="15"/>
      <c r="E18" s="15"/>
      <c r="F18" s="15"/>
      <c r="G18" s="15"/>
      <c r="H18" s="15"/>
      <c r="I18" s="15"/>
      <c r="J18" s="15"/>
      <c r="K18" s="15"/>
      <c r="L18" s="16"/>
    </row>
    <row r="19" customFormat="false" ht="15" hidden="false" customHeight="false" outlineLevel="0" collapsed="false">
      <c r="A19" s="15"/>
      <c r="B19" s="15"/>
      <c r="C19" s="15"/>
      <c r="D19" s="15"/>
      <c r="E19" s="15"/>
      <c r="F19" s="15"/>
      <c r="G19" s="15"/>
      <c r="H19" s="15"/>
      <c r="I19" s="15"/>
      <c r="J19" s="15"/>
      <c r="K19" s="15"/>
      <c r="L19" s="16"/>
    </row>
    <row r="20" customFormat="false" ht="15" hidden="false" customHeight="false" outlineLevel="0" collapsed="false">
      <c r="A20" s="17"/>
      <c r="B20" s="17"/>
      <c r="C20" s="17"/>
      <c r="D20" s="17"/>
      <c r="E20" s="17"/>
      <c r="F20" s="17"/>
      <c r="G20" s="17"/>
      <c r="H20" s="17"/>
      <c r="I20" s="18" t="s">
        <v>6</v>
      </c>
      <c r="J20" s="19"/>
      <c r="K20" s="17"/>
      <c r="L20" s="20"/>
    </row>
    <row r="21" customFormat="false" ht="15" hidden="false" customHeight="false" outlineLevel="0" collapsed="false">
      <c r="A21" s="17"/>
      <c r="B21" s="17"/>
      <c r="C21" s="17"/>
      <c r="D21" s="17"/>
      <c r="E21" s="17"/>
      <c r="F21" s="17"/>
      <c r="G21" s="17"/>
      <c r="H21" s="17"/>
      <c r="I21" s="18" t="s">
        <v>7</v>
      </c>
      <c r="J21" s="19"/>
      <c r="K21" s="17"/>
      <c r="L21" s="20"/>
    </row>
    <row r="22" customFormat="false" ht="15" hidden="false" customHeight="false" outlineLevel="0" collapsed="false">
      <c r="A22" s="12"/>
      <c r="B22" s="12"/>
      <c r="C22" s="12"/>
      <c r="D22" s="12"/>
      <c r="E22" s="12"/>
      <c r="F22" s="12"/>
      <c r="G22" s="12"/>
      <c r="H22" s="12"/>
      <c r="I22" s="18" t="s">
        <v>8</v>
      </c>
      <c r="J22" s="19"/>
      <c r="K22" s="12"/>
      <c r="L22" s="13"/>
    </row>
    <row r="23" customFormat="false" ht="15" hidden="false" customHeight="false" outlineLevel="0" collapsed="false">
      <c r="A23" s="12"/>
      <c r="B23" s="21"/>
      <c r="C23" s="12"/>
      <c r="D23" s="12"/>
      <c r="E23" s="12"/>
      <c r="F23" s="12"/>
      <c r="G23" s="12"/>
      <c r="H23" s="12"/>
      <c r="I23" s="18" t="s">
        <v>9</v>
      </c>
      <c r="J23" s="19"/>
      <c r="K23" s="12"/>
      <c r="L23" s="13"/>
    </row>
    <row r="24" customFormat="false" ht="15" hidden="false" customHeight="false" outlineLevel="0" collapsed="false">
      <c r="A24" s="12"/>
      <c r="B24" s="22"/>
      <c r="C24" s="12"/>
      <c r="D24" s="12"/>
      <c r="E24" s="12"/>
      <c r="F24" s="12"/>
      <c r="G24" s="12"/>
      <c r="H24" s="12"/>
      <c r="I24" s="23" t="s">
        <v>10</v>
      </c>
      <c r="J24" s="19"/>
      <c r="K24" s="12"/>
      <c r="L24" s="13"/>
    </row>
    <row r="25" customFormat="false" ht="15" hidden="false" customHeight="false" outlineLevel="0" collapsed="false">
      <c r="A25" s="12"/>
      <c r="B25" s="21"/>
      <c r="C25" s="12"/>
      <c r="D25" s="12"/>
      <c r="E25" s="12"/>
      <c r="F25" s="12"/>
      <c r="G25" s="12"/>
      <c r="H25" s="12"/>
      <c r="I25" s="18" t="s">
        <v>11</v>
      </c>
      <c r="J25" s="19"/>
      <c r="K25" s="12"/>
      <c r="L25" s="13"/>
    </row>
    <row r="26" customFormat="false" ht="15" hidden="false" customHeight="false" outlineLevel="0" collapsed="false">
      <c r="A26" s="12"/>
      <c r="B26" s="12"/>
      <c r="C26" s="12"/>
      <c r="D26" s="12"/>
      <c r="E26" s="12"/>
      <c r="F26" s="12"/>
      <c r="G26" s="12"/>
      <c r="H26" s="12"/>
      <c r="I26" s="22" t="s">
        <v>14</v>
      </c>
      <c r="J26" s="12"/>
      <c r="K26" s="12"/>
      <c r="L26" s="13"/>
    </row>
    <row r="27" customFormat="false" ht="15.75" hidden="false" customHeight="false" outlineLevel="0" collapsed="false">
      <c r="A27" s="24"/>
      <c r="B27" s="25"/>
      <c r="C27" s="24"/>
      <c r="D27" s="24"/>
      <c r="E27" s="24"/>
      <c r="F27" s="24"/>
      <c r="G27" s="24"/>
      <c r="H27" s="24"/>
      <c r="I27" s="26"/>
      <c r="J27" s="24"/>
      <c r="K27" s="24"/>
      <c r="L27" s="27"/>
    </row>
    <row r="28" customFormat="false" ht="15" hidden="true" customHeight="false" outlineLevel="0" collapsed="false">
      <c r="A28" s="12"/>
      <c r="B28" s="22"/>
      <c r="C28" s="12"/>
      <c r="D28" s="12"/>
      <c r="E28" s="12"/>
      <c r="F28" s="12"/>
      <c r="G28" s="12"/>
      <c r="H28" s="12"/>
      <c r="I28" s="12"/>
      <c r="J28" s="12"/>
      <c r="K28" s="12"/>
      <c r="L28" s="12"/>
    </row>
    <row r="29" customFormat="false" ht="15" hidden="true" customHeight="false" outlineLevel="0" collapsed="false">
      <c r="A29" s="28"/>
      <c r="B29" s="28"/>
      <c r="C29" s="28"/>
      <c r="D29" s="28"/>
      <c r="E29" s="28"/>
      <c r="F29" s="28"/>
      <c r="G29" s="28"/>
      <c r="H29" s="28"/>
      <c r="I29" s="28"/>
      <c r="J29" s="28"/>
      <c r="K29" s="28"/>
      <c r="L29" s="28"/>
    </row>
    <row r="30" customFormat="false" ht="15" hidden="true" customHeight="false" outlineLevel="0" collapsed="false">
      <c r="A30" s="28"/>
      <c r="B30" s="28"/>
      <c r="C30" s="28"/>
      <c r="D30" s="28"/>
      <c r="E30" s="28"/>
      <c r="F30" s="28"/>
      <c r="G30" s="28"/>
      <c r="H30" s="28"/>
      <c r="I30" s="28"/>
      <c r="J30" s="28"/>
      <c r="K30" s="28"/>
      <c r="L30" s="28"/>
    </row>
    <row r="31" customFormat="false" ht="15" hidden="true" customHeight="false" outlineLevel="0" collapsed="false">
      <c r="A31" s="28"/>
      <c r="B31" s="28"/>
      <c r="C31" s="28"/>
      <c r="D31" s="28"/>
      <c r="E31" s="28"/>
      <c r="F31" s="28"/>
      <c r="G31" s="28"/>
      <c r="H31" s="28"/>
      <c r="I31" s="28"/>
      <c r="J31" s="28"/>
      <c r="K31" s="28"/>
      <c r="L31" s="28"/>
    </row>
  </sheetData>
  <sheetProtection sheet="true" password="ccc5" objects="true" scenarios="true"/>
  <mergeCells count="2">
    <mergeCell ref="A3:L16"/>
    <mergeCell ref="A29:L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2"/>
  <sheetViews>
    <sheetView showFormulas="false" showGridLines="false" showRowColHeaders="true" showZeros="true" rightToLeft="false" tabSelected="false" showOutlineSymbols="true" defaultGridColor="true" view="normal" topLeftCell="A23" colorId="64" zoomScale="100" zoomScaleNormal="100" zoomScalePageLayoutView="100" workbookViewId="0">
      <selection pane="topLeft" activeCell="F37" activeCellId="0" sqref="F37"/>
    </sheetView>
  </sheetViews>
  <sheetFormatPr defaultColWidth="8.96875" defaultRowHeight="15" zeroHeight="false" outlineLevelRow="0" outlineLevelCol="0"/>
  <cols>
    <col collapsed="false" customWidth="true" hidden="false" outlineLevel="0" max="1" min="1" style="0" width="29.85"/>
    <col collapsed="false" customWidth="true" hidden="false" outlineLevel="0" max="2" min="2" style="0" width="14.7"/>
    <col collapsed="false" customWidth="true" hidden="false" outlineLevel="0" max="3" min="3" style="0" width="10.7"/>
    <col collapsed="false" customWidth="true" hidden="false" outlineLevel="0" max="5" min="4" style="0" width="10.56"/>
    <col collapsed="false" customWidth="true" hidden="false" outlineLevel="0" max="6" min="6" style="0" width="10.42"/>
    <col collapsed="false" customWidth="true" hidden="false" outlineLevel="0" max="8" min="7" style="0" width="10.56"/>
    <col collapsed="false" customWidth="true" hidden="false" outlineLevel="0" max="9" min="9" style="0" width="12.85"/>
    <col collapsed="false" customWidth="true" hidden="false" outlineLevel="0" max="10" min="10" style="0" width="10.56"/>
    <col collapsed="false" customWidth="true" hidden="false" outlineLevel="0" max="12" min="12" style="0" width="14.85"/>
    <col collapsed="false" customWidth="true" hidden="false" outlineLevel="0" max="13" min="13" style="0" width="9.56"/>
    <col collapsed="false" customWidth="true" hidden="false" outlineLevel="0" max="15" min="14" style="0" width="10.56"/>
    <col collapsed="false" customWidth="true" hidden="false" outlineLevel="0" max="19" min="19" style="0" width="17.42"/>
    <col collapsed="false" customWidth="true" hidden="false" outlineLevel="0" max="20" min="20" style="0" width="9.56"/>
    <col collapsed="false" customWidth="true" hidden="false" outlineLevel="0" max="29" min="29" style="0" width="17.42"/>
  </cols>
  <sheetData>
    <row r="1" customFormat="false" ht="18.75" hidden="false" customHeight="false" outlineLevel="0" collapsed="false">
      <c r="A1" s="29" t="s">
        <v>1</v>
      </c>
    </row>
    <row r="2" customFormat="false" ht="15.75" hidden="false" customHeight="false" outlineLevel="0" collapsed="false">
      <c r="A2" s="30" t="s">
        <v>15</v>
      </c>
    </row>
    <row r="3" customFormat="false" ht="15.75" hidden="false" customHeight="false" outlineLevel="0" collapsed="false">
      <c r="A3" s="31" t="s">
        <v>16</v>
      </c>
      <c r="B3" s="31"/>
      <c r="C3" s="31"/>
      <c r="D3" s="31"/>
      <c r="E3" s="31"/>
      <c r="F3" s="31"/>
      <c r="G3" s="31"/>
      <c r="H3" s="31"/>
      <c r="I3" s="31"/>
      <c r="J3" s="31"/>
      <c r="K3" s="31"/>
      <c r="L3" s="31"/>
      <c r="M3" s="31"/>
      <c r="N3" s="31"/>
      <c r="O3" s="31"/>
      <c r="P3" s="31"/>
      <c r="Q3" s="31"/>
      <c r="R3" s="31"/>
      <c r="S3" s="31"/>
      <c r="T3" s="31"/>
    </row>
    <row r="4" customFormat="false" ht="15" hidden="false" customHeight="false" outlineLevel="0" collapsed="false">
      <c r="A4" s="32"/>
      <c r="B4" s="32"/>
      <c r="C4" s="32"/>
      <c r="D4" s="32"/>
      <c r="E4" s="32"/>
      <c r="F4" s="32"/>
      <c r="G4" s="32"/>
      <c r="H4" s="32"/>
      <c r="I4" s="32"/>
      <c r="J4" s="32"/>
      <c r="K4" s="32"/>
      <c r="L4" s="32"/>
      <c r="M4" s="32"/>
      <c r="N4" s="32"/>
      <c r="O4" s="32"/>
      <c r="P4" s="32"/>
      <c r="Q4" s="32"/>
      <c r="R4" s="32"/>
    </row>
    <row r="5" customFormat="false" ht="15" hidden="false" customHeight="false" outlineLevel="0" collapsed="false">
      <c r="A5" s="33" t="s">
        <v>17</v>
      </c>
      <c r="B5" s="33"/>
      <c r="F5" s="34" t="s">
        <v>18</v>
      </c>
      <c r="G5" s="34"/>
      <c r="H5" s="35"/>
      <c r="I5" s="35"/>
      <c r="J5" s="35"/>
      <c r="K5" s="35"/>
      <c r="L5" s="35"/>
      <c r="M5" s="35"/>
      <c r="N5" s="35"/>
      <c r="O5" s="35"/>
      <c r="P5" s="35"/>
      <c r="Q5" s="35"/>
      <c r="R5" s="36"/>
    </row>
    <row r="6" customFormat="false" ht="15" hidden="false" customHeight="true" outlineLevel="0" collapsed="false">
      <c r="A6" s="37" t="s">
        <v>19</v>
      </c>
      <c r="B6" s="38" t="s">
        <v>20</v>
      </c>
      <c r="F6" s="39" t="s">
        <v>21</v>
      </c>
      <c r="G6" s="39"/>
      <c r="H6" s="39"/>
      <c r="I6" s="39"/>
      <c r="J6" s="39"/>
      <c r="K6" s="39"/>
      <c r="L6" s="39"/>
      <c r="M6" s="39"/>
      <c r="N6" s="39"/>
      <c r="O6" s="39"/>
      <c r="P6" s="39"/>
      <c r="Q6" s="40"/>
    </row>
    <row r="7" customFormat="false" ht="15" hidden="false" customHeight="false" outlineLevel="0" collapsed="false">
      <c r="A7" s="37" t="s">
        <v>22</v>
      </c>
      <c r="B7" s="38" t="s">
        <v>23</v>
      </c>
      <c r="F7" s="39"/>
      <c r="G7" s="39"/>
      <c r="H7" s="39"/>
      <c r="I7" s="39"/>
      <c r="J7" s="39"/>
      <c r="K7" s="39"/>
      <c r="L7" s="39"/>
      <c r="M7" s="39"/>
      <c r="N7" s="39"/>
      <c r="O7" s="39"/>
      <c r="P7" s="39"/>
      <c r="Q7" s="40"/>
    </row>
    <row r="8" customFormat="false" ht="15" hidden="false" customHeight="false" outlineLevel="0" collapsed="false">
      <c r="A8" s="37" t="s">
        <v>24</v>
      </c>
      <c r="B8" s="38" t="s">
        <v>25</v>
      </c>
      <c r="F8" s="39"/>
      <c r="G8" s="39"/>
      <c r="H8" s="39"/>
      <c r="I8" s="39"/>
      <c r="J8" s="39"/>
      <c r="K8" s="39"/>
      <c r="L8" s="39"/>
      <c r="M8" s="39"/>
      <c r="N8" s="39"/>
      <c r="O8" s="39"/>
      <c r="P8" s="39"/>
      <c r="Q8" s="40"/>
    </row>
    <row r="9" customFormat="false" ht="15" hidden="false" customHeight="false" outlineLevel="0" collapsed="false">
      <c r="A9" s="0" t="s">
        <v>26</v>
      </c>
      <c r="B9" s="41" t="n">
        <f aca="false">'DCF Valuation'!E7</f>
        <v>753</v>
      </c>
      <c r="C9" s="42"/>
      <c r="F9" s="39"/>
      <c r="G9" s="39"/>
      <c r="H9" s="39"/>
      <c r="I9" s="39"/>
      <c r="J9" s="39"/>
      <c r="K9" s="39"/>
      <c r="L9" s="39"/>
      <c r="M9" s="39"/>
      <c r="N9" s="39"/>
      <c r="O9" s="39"/>
      <c r="P9" s="39"/>
      <c r="Q9" s="40"/>
    </row>
    <row r="10" customFormat="false" ht="15" hidden="false" customHeight="false" outlineLevel="0" collapsed="false">
      <c r="A10" s="37" t="s">
        <v>27</v>
      </c>
      <c r="B10" s="0" t="s">
        <v>28</v>
      </c>
      <c r="F10" s="39"/>
      <c r="G10" s="39"/>
      <c r="H10" s="39"/>
      <c r="I10" s="39"/>
      <c r="J10" s="39"/>
      <c r="K10" s="39"/>
      <c r="L10" s="39"/>
      <c r="M10" s="39"/>
      <c r="N10" s="39"/>
      <c r="O10" s="39"/>
      <c r="P10" s="39"/>
      <c r="Q10" s="40"/>
    </row>
    <row r="11" customFormat="false" ht="15" hidden="false" customHeight="false" outlineLevel="0" collapsed="false">
      <c r="A11" s="0" t="s">
        <v>29</v>
      </c>
      <c r="B11" s="41" t="n">
        <f aca="false">B9*'Profit &amp; Loss Consolidated'!S55</f>
        <v>48655.6094720497</v>
      </c>
      <c r="F11" s="39"/>
      <c r="G11" s="39"/>
      <c r="H11" s="39"/>
      <c r="I11" s="39"/>
      <c r="J11" s="39"/>
      <c r="K11" s="39"/>
      <c r="L11" s="39"/>
      <c r="M11" s="39"/>
      <c r="N11" s="39"/>
      <c r="O11" s="39"/>
      <c r="P11" s="39"/>
      <c r="Q11" s="40"/>
    </row>
    <row r="12" customFormat="false" ht="15" hidden="false" customHeight="false" outlineLevel="0" collapsed="false">
      <c r="A12" s="0" t="s">
        <v>30</v>
      </c>
      <c r="B12" s="38" t="s">
        <v>31</v>
      </c>
      <c r="F12" s="39"/>
      <c r="G12" s="39"/>
      <c r="H12" s="39"/>
      <c r="I12" s="39"/>
      <c r="J12" s="39"/>
      <c r="K12" s="39"/>
      <c r="L12" s="39"/>
      <c r="M12" s="39"/>
      <c r="N12" s="39"/>
      <c r="O12" s="39"/>
      <c r="P12" s="39"/>
      <c r="Q12" s="40"/>
    </row>
    <row r="13" customFormat="false" ht="15" hidden="false" customHeight="false" outlineLevel="0" collapsed="false">
      <c r="A13" s="37" t="s">
        <v>32</v>
      </c>
      <c r="B13" s="43" t="n">
        <v>39903</v>
      </c>
      <c r="F13" s="39"/>
      <c r="G13" s="39"/>
      <c r="H13" s="39"/>
      <c r="I13" s="39"/>
      <c r="J13" s="39"/>
      <c r="K13" s="39"/>
      <c r="L13" s="39"/>
      <c r="M13" s="39"/>
      <c r="N13" s="39"/>
      <c r="O13" s="39"/>
      <c r="P13" s="39"/>
      <c r="Q13" s="40"/>
    </row>
    <row r="14" customFormat="false" ht="15" hidden="false" customHeight="false" outlineLevel="0" collapsed="false">
      <c r="A14" s="37" t="s">
        <v>33</v>
      </c>
      <c r="B14" s="38" t="s">
        <v>34</v>
      </c>
      <c r="F14" s="39"/>
      <c r="G14" s="39"/>
      <c r="H14" s="39"/>
      <c r="I14" s="39"/>
      <c r="J14" s="39"/>
      <c r="K14" s="39"/>
      <c r="L14" s="39"/>
      <c r="M14" s="39"/>
      <c r="N14" s="39"/>
      <c r="O14" s="39"/>
      <c r="P14" s="39"/>
      <c r="Q14" s="40"/>
    </row>
    <row r="15" customFormat="false" ht="15" hidden="false" customHeight="false" outlineLevel="0" collapsed="false">
      <c r="F15" s="40"/>
      <c r="G15" s="40"/>
      <c r="H15" s="40"/>
      <c r="I15" s="40"/>
      <c r="J15" s="40"/>
      <c r="K15" s="40"/>
      <c r="L15" s="40"/>
      <c r="M15" s="40"/>
      <c r="N15" s="40"/>
      <c r="O15" s="40"/>
      <c r="P15" s="40"/>
      <c r="Q15" s="40"/>
    </row>
    <row r="16" customFormat="false" ht="15" hidden="false" customHeight="false" outlineLevel="0" collapsed="false">
      <c r="F16" s="44"/>
      <c r="G16" s="44"/>
      <c r="H16" s="44"/>
      <c r="I16" s="44"/>
      <c r="J16" s="44"/>
      <c r="K16" s="44"/>
      <c r="L16" s="44"/>
      <c r="M16" s="44"/>
      <c r="N16" s="44"/>
      <c r="O16" s="44"/>
      <c r="P16" s="44"/>
      <c r="Q16" s="45"/>
    </row>
    <row r="17" customFormat="false" ht="15" hidden="false" customHeight="false" outlineLevel="0" collapsed="false">
      <c r="F17" s="33" t="s">
        <v>35</v>
      </c>
      <c r="G17" s="35"/>
      <c r="H17" s="35"/>
      <c r="I17" s="35"/>
      <c r="J17" s="35"/>
      <c r="K17" s="35"/>
      <c r="L17" s="35"/>
      <c r="M17" s="35"/>
      <c r="N17" s="35"/>
      <c r="O17" s="35"/>
      <c r="P17" s="35"/>
      <c r="Q17" s="46"/>
    </row>
    <row r="18" customFormat="false" ht="15" hidden="false" customHeight="true" outlineLevel="0" collapsed="false">
      <c r="F18" s="39" t="s">
        <v>36</v>
      </c>
      <c r="G18" s="39"/>
      <c r="H18" s="39"/>
      <c r="I18" s="39"/>
      <c r="J18" s="39"/>
      <c r="K18" s="39"/>
      <c r="L18" s="39"/>
      <c r="M18" s="39"/>
      <c r="N18" s="39"/>
      <c r="O18" s="39"/>
      <c r="P18" s="39"/>
      <c r="Q18" s="39"/>
    </row>
    <row r="19" customFormat="false" ht="15" hidden="false" customHeight="false" outlineLevel="0" collapsed="false">
      <c r="F19" s="39"/>
      <c r="G19" s="39"/>
      <c r="H19" s="39"/>
      <c r="I19" s="39"/>
      <c r="J19" s="39"/>
      <c r="K19" s="39"/>
      <c r="L19" s="39"/>
      <c r="M19" s="39"/>
      <c r="N19" s="39"/>
      <c r="O19" s="39"/>
      <c r="P19" s="39"/>
      <c r="Q19" s="39"/>
    </row>
    <row r="20" customFormat="false" ht="15" hidden="false" customHeight="false" outlineLevel="0" collapsed="false">
      <c r="F20" s="39"/>
      <c r="G20" s="39"/>
      <c r="H20" s="39"/>
      <c r="I20" s="39"/>
      <c r="J20" s="39"/>
      <c r="K20" s="39"/>
      <c r="L20" s="39"/>
      <c r="M20" s="39"/>
      <c r="N20" s="39"/>
      <c r="O20" s="39"/>
      <c r="P20" s="39"/>
      <c r="Q20" s="39"/>
    </row>
    <row r="21" customFormat="false" ht="15" hidden="false" customHeight="false" outlineLevel="0" collapsed="false">
      <c r="F21" s="39"/>
      <c r="G21" s="39"/>
      <c r="H21" s="39"/>
      <c r="I21" s="39"/>
      <c r="J21" s="39"/>
      <c r="K21" s="39"/>
      <c r="L21" s="39"/>
      <c r="M21" s="39"/>
      <c r="N21" s="39"/>
      <c r="O21" s="39"/>
      <c r="P21" s="39"/>
      <c r="Q21" s="39"/>
    </row>
    <row r="22" customFormat="false" ht="15" hidden="false" customHeight="false" outlineLevel="0" collapsed="false">
      <c r="F22" s="39"/>
      <c r="G22" s="39"/>
      <c r="H22" s="39"/>
      <c r="I22" s="39"/>
      <c r="J22" s="39"/>
      <c r="K22" s="39"/>
      <c r="L22" s="39"/>
      <c r="M22" s="39"/>
      <c r="N22" s="39"/>
      <c r="O22" s="39"/>
      <c r="P22" s="39"/>
      <c r="Q22" s="39"/>
    </row>
    <row r="23" customFormat="false" ht="15" hidden="false" customHeight="false" outlineLevel="0" collapsed="false">
      <c r="F23" s="45"/>
      <c r="G23" s="45"/>
      <c r="H23" s="45"/>
      <c r="I23" s="45"/>
      <c r="J23" s="45"/>
      <c r="K23" s="45"/>
      <c r="L23" s="45"/>
      <c r="M23" s="45"/>
      <c r="N23" s="45"/>
      <c r="O23" s="45"/>
      <c r="P23" s="45"/>
      <c r="Q23" s="45"/>
    </row>
    <row r="24" customFormat="false" ht="15" hidden="false" customHeight="false" outlineLevel="0" collapsed="false">
      <c r="F24" s="45"/>
      <c r="G24" s="45"/>
      <c r="H24" s="45"/>
      <c r="I24" s="45"/>
      <c r="J24" s="45"/>
      <c r="K24" s="45"/>
      <c r="L24" s="45"/>
      <c r="M24" s="45"/>
      <c r="N24" s="45"/>
      <c r="O24" s="45"/>
      <c r="P24" s="45"/>
      <c r="Q24" s="45"/>
    </row>
    <row r="25" customFormat="false" ht="15" hidden="false" customHeight="false" outlineLevel="0" collapsed="false">
      <c r="A25" s="33" t="s">
        <v>37</v>
      </c>
      <c r="B25" s="35"/>
      <c r="C25" s="35"/>
      <c r="D25" s="35"/>
      <c r="E25" s="35"/>
      <c r="F25" s="35"/>
      <c r="G25" s="35"/>
      <c r="H25" s="35"/>
      <c r="I25" s="35"/>
      <c r="J25" s="35"/>
      <c r="K25" s="35"/>
      <c r="L25" s="35"/>
      <c r="M25" s="35"/>
      <c r="N25" s="35"/>
      <c r="O25" s="35"/>
      <c r="P25" s="35"/>
      <c r="Q25" s="47"/>
      <c r="R25" s="47"/>
    </row>
    <row r="26" customFormat="false" ht="45.75" hidden="false" customHeight="false" outlineLevel="0" collapsed="false">
      <c r="A26" s="48" t="s">
        <v>38</v>
      </c>
      <c r="B26" s="49" t="s">
        <v>39</v>
      </c>
      <c r="C26" s="49" t="s">
        <v>40</v>
      </c>
      <c r="D26" s="49" t="s">
        <v>41</v>
      </c>
      <c r="E26" s="49" t="s">
        <v>42</v>
      </c>
      <c r="F26" s="50" t="s">
        <v>43</v>
      </c>
      <c r="G26" s="49" t="s">
        <v>44</v>
      </c>
      <c r="H26" s="51" t="s">
        <v>45</v>
      </c>
      <c r="I26" s="51" t="s">
        <v>46</v>
      </c>
      <c r="J26" s="51" t="s">
        <v>47</v>
      </c>
      <c r="K26" s="52" t="s">
        <v>48</v>
      </c>
      <c r="L26" s="53" t="s">
        <v>49</v>
      </c>
      <c r="M26" s="53" t="s">
        <v>50</v>
      </c>
      <c r="N26" s="53" t="s">
        <v>51</v>
      </c>
      <c r="O26" s="53" t="s">
        <v>52</v>
      </c>
      <c r="P26" s="52" t="s">
        <v>53</v>
      </c>
    </row>
    <row r="27" customFormat="false" ht="15.75" hidden="false" customHeight="false" outlineLevel="0" collapsed="false">
      <c r="A27" s="54" t="s">
        <v>54</v>
      </c>
      <c r="B27" s="55" t="n">
        <f aca="false">'Profit &amp; Loss Consolidated'!M52</f>
        <v>2.43</v>
      </c>
      <c r="C27" s="55" t="n">
        <f aca="false">'Profit &amp; Loss Consolidated'!N52</f>
        <v>-7.15</v>
      </c>
      <c r="D27" s="55" t="n">
        <f aca="false">'Profit &amp; Loss Consolidated'!O52</f>
        <v>6.19</v>
      </c>
      <c r="E27" s="55" t="n">
        <f aca="false">'Profit &amp; Loss Consolidated'!P52</f>
        <v>12.37</v>
      </c>
      <c r="F27" s="56" t="n">
        <f aca="false">'Profit &amp; Loss Consolidated'!Q52</f>
        <v>15.43</v>
      </c>
      <c r="G27" s="55" t="n">
        <f aca="false">'Profit &amp; Loss Consolidated'!R52</f>
        <v>25.76</v>
      </c>
      <c r="H27" s="55" t="n">
        <f aca="false">'Profit &amp; Loss Consolidated'!S52</f>
        <v>14.0379872690049</v>
      </c>
      <c r="I27" s="55" t="n">
        <f aca="false">'Profit &amp; Loss Consolidated'!T52</f>
        <v>15.3908350661502</v>
      </c>
      <c r="J27" s="55" t="n">
        <f aca="false">'Profit &amp; Loss Consolidated'!U52</f>
        <v>17.4024746105531</v>
      </c>
      <c r="K27" s="56" t="n">
        <f aca="false">'Profit &amp; Loss Consolidated'!V52</f>
        <v>72.591296945708</v>
      </c>
      <c r="L27" s="55" t="n">
        <f aca="false">'Profit &amp; Loss Consolidated'!W52</f>
        <v>22.4163158687223</v>
      </c>
      <c r="M27" s="55" t="n">
        <f aca="false">'Profit &amp; Loss Consolidated'!X52</f>
        <v>14.9459322005408</v>
      </c>
      <c r="N27" s="55" t="n">
        <f aca="false">'Profit &amp; Loss Consolidated'!Y52</f>
        <v>15.8518899890029</v>
      </c>
      <c r="O27" s="55" t="n">
        <f aca="false">'Profit &amp; Loss Consolidated'!Z52</f>
        <v>22.0972326539909</v>
      </c>
      <c r="P27" s="56" t="n">
        <f aca="false">'Profit &amp; Loss Consolidated'!AA52</f>
        <v>78.9669616747156</v>
      </c>
    </row>
    <row r="28" customFormat="false" ht="15" hidden="false" customHeight="false" outlineLevel="0" collapsed="false">
      <c r="A28" s="57" t="s">
        <v>55</v>
      </c>
      <c r="B28" s="58" t="n">
        <f aca="false">'Presentation sheet'!H45</f>
        <v>0.123728405891424</v>
      </c>
      <c r="C28" s="58" t="n">
        <f aca="false">'Presentation sheet'!I45</f>
        <v>0.13271627533071</v>
      </c>
      <c r="D28" s="58" t="n">
        <f aca="false">'Presentation sheet'!J45</f>
        <v>0.167419857818653</v>
      </c>
      <c r="E28" s="58" t="n">
        <f aca="false">'Presentation sheet'!K45</f>
        <v>0.162057019209742</v>
      </c>
      <c r="F28" s="59" t="n">
        <f aca="false">'Presentation sheet'!L45</f>
        <v>0.147571320647055</v>
      </c>
      <c r="G28" s="58" t="n">
        <f aca="false">'Presentation sheet'!M45</f>
        <v>0.196489700136686</v>
      </c>
      <c r="H28" s="58" t="n">
        <f aca="false">'Presentation sheet'!N45</f>
        <v>0.140806369376536</v>
      </c>
      <c r="I28" s="58" t="n">
        <f aca="false">'Presentation sheet'!O45</f>
        <v>0.148994314229731</v>
      </c>
      <c r="J28" s="58" t="n">
        <f aca="false">'Presentation sheet'!P45</f>
        <v>0.163397607972018</v>
      </c>
      <c r="K28" s="59" t="n">
        <f aca="false">'Presentation sheet'!Q45</f>
        <v>0.160605461161247</v>
      </c>
      <c r="L28" s="58" t="n">
        <f aca="false">'Presentation sheet'!R45</f>
        <v>0.19272118816276</v>
      </c>
      <c r="M28" s="58" t="n">
        <f aca="false">'Presentation sheet'!S45</f>
        <v>0.138835556557953</v>
      </c>
      <c r="N28" s="58" t="n">
        <f aca="false">'Presentation sheet'!T45</f>
        <v>0.137094663961782</v>
      </c>
      <c r="O28" s="58" t="n">
        <f aca="false">'Presentation sheet'!U45</f>
        <v>0.152843490268763</v>
      </c>
      <c r="P28" s="59" t="n">
        <f aca="false">'Presentation sheet'!V45</f>
        <v>0.154847514976173</v>
      </c>
    </row>
    <row r="29" customFormat="false" ht="15" hidden="false" customHeight="false" outlineLevel="0" collapsed="false">
      <c r="A29" s="54" t="s">
        <v>56</v>
      </c>
      <c r="B29" s="58" t="n">
        <f aca="false">'Presentation sheet'!H51</f>
        <v>0.164108150935921</v>
      </c>
      <c r="C29" s="58" t="n">
        <f aca="false">'Presentation sheet'!I51</f>
        <v>0.177731766239901</v>
      </c>
      <c r="D29" s="58" t="n">
        <f aca="false">'Presentation sheet'!J51</f>
        <v>0.215518380506885</v>
      </c>
      <c r="E29" s="58" t="n">
        <f aca="false">'Presentation sheet'!K51</f>
        <v>0.208671431695499</v>
      </c>
      <c r="F29" s="59" t="n">
        <f aca="false">'Presentation sheet'!L51</f>
        <v>0.192732693293652</v>
      </c>
      <c r="G29" s="58" t="n">
        <f aca="false">'Presentation sheet'!M51</f>
        <v>0.239418901428554</v>
      </c>
      <c r="H29" s="58" t="n">
        <f aca="false">'Presentation sheet'!N51</f>
        <v>0.172641086040097</v>
      </c>
      <c r="I29" s="58" t="n">
        <f aca="false">'Presentation sheet'!O51</f>
        <v>0.182333933315515</v>
      </c>
      <c r="J29" s="58" t="n">
        <f aca="false">'Presentation sheet'!P51</f>
        <v>0.196746873868201</v>
      </c>
      <c r="K29" s="59" t="n">
        <f aca="false">'Presentation sheet'!Q51</f>
        <v>0.19556523233314</v>
      </c>
      <c r="L29" s="58" t="n">
        <f aca="false">'Presentation sheet'!R51</f>
        <v>0.224744197463283</v>
      </c>
      <c r="M29" s="58" t="n">
        <f aca="false">'Presentation sheet'!S51</f>
        <v>0.171420999842006</v>
      </c>
      <c r="N29" s="58" t="n">
        <f aca="false">'Presentation sheet'!T51</f>
        <v>0.169558515937869</v>
      </c>
      <c r="O29" s="58" t="n">
        <f aca="false">'Presentation sheet'!U51</f>
        <v>0.181129522267042</v>
      </c>
      <c r="P29" s="59" t="n">
        <f aca="false">'Presentation sheet'!V51</f>
        <v>0.186050653206402</v>
      </c>
      <c r="Q29" s="58"/>
    </row>
    <row r="30" customFormat="false" ht="15" hidden="false" customHeight="false" outlineLevel="0" collapsed="false">
      <c r="A30" s="54" t="s">
        <v>57</v>
      </c>
      <c r="B30" s="58" t="n">
        <f aca="false">'Presentation sheet'!H48</f>
        <v>0.125850677004485</v>
      </c>
      <c r="C30" s="58" t="n">
        <f aca="false">'Presentation sheet'!I48</f>
        <v>0.137909839179085</v>
      </c>
      <c r="D30" s="58" t="n">
        <f aca="false">'Presentation sheet'!J48</f>
        <v>0.174449641903856</v>
      </c>
      <c r="E30" s="58" t="n">
        <f aca="false">'Presentation sheet'!K48</f>
        <v>0.168191706087497</v>
      </c>
      <c r="F30" s="59" t="n">
        <f aca="false">'Presentation sheet'!L48</f>
        <v>0.152776837120338</v>
      </c>
      <c r="G30" s="58" t="n">
        <f aca="false">'Presentation sheet'!M48</f>
        <v>0.199187139383823</v>
      </c>
      <c r="H30" s="58" t="n">
        <f aca="false">'Presentation sheet'!N48</f>
        <v>0.144433570086511</v>
      </c>
      <c r="I30" s="58" t="n">
        <f aca="false">'Presentation sheet'!O48</f>
        <v>0.154126417361929</v>
      </c>
      <c r="J30" s="58" t="n">
        <f aca="false">'Presentation sheet'!P48</f>
        <v>0.168539357914614</v>
      </c>
      <c r="K30" s="59" t="n">
        <f aca="false">'Presentation sheet'!Q48</f>
        <v>0.164832516869254</v>
      </c>
      <c r="L30" s="58" t="n">
        <f aca="false">'Presentation sheet'!R48</f>
        <v>0.194696708375205</v>
      </c>
      <c r="M30" s="58" t="n">
        <f aca="false">'Presentation sheet'!S48</f>
        <v>0.142087346130053</v>
      </c>
      <c r="N30" s="58" t="n">
        <f aca="false">'Presentation sheet'!T48</f>
        <v>0.141496193940705</v>
      </c>
      <c r="O30" s="58" t="n">
        <f aca="false">'Presentation sheet'!U48</f>
        <v>0.156684810840415</v>
      </c>
      <c r="P30" s="59" t="n">
        <f aca="false">'Presentation sheet'!V48</f>
        <v>0.158256430869727</v>
      </c>
      <c r="Q30" s="58"/>
    </row>
    <row r="31" customFormat="false" ht="15" hidden="false" customHeight="false" outlineLevel="0" collapsed="false">
      <c r="A31" s="54" t="s">
        <v>58</v>
      </c>
      <c r="B31" s="58" t="n">
        <f aca="false">'Presentation sheet'!H62</f>
        <v>0.0232317944509683</v>
      </c>
      <c r="C31" s="58" t="n">
        <f aca="false">'Presentation sheet'!I62</f>
        <v>-0.0530641336071926</v>
      </c>
      <c r="D31" s="58" t="n">
        <f aca="false">'Presentation sheet'!J62</f>
        <v>0.0552868733317478</v>
      </c>
      <c r="E31" s="58" t="n">
        <f aca="false">'Presentation sheet'!K62</f>
        <v>0.0921354004811071</v>
      </c>
      <c r="F31" s="59" t="n">
        <f aca="false">'Presentation sheet'!L62</f>
        <v>0.0326835108149431</v>
      </c>
      <c r="G31" s="58" t="n">
        <f aca="false">'Presentation sheet'!M62</f>
        <v>0.201340252325483</v>
      </c>
      <c r="H31" s="58" t="n">
        <f aca="false">'Presentation sheet'!N62</f>
        <v>0.0875037223238726</v>
      </c>
      <c r="I31" s="58" t="n">
        <f aca="false">'Presentation sheet'!O62</f>
        <v>0.0959364994534861</v>
      </c>
      <c r="J31" s="58" t="n">
        <f aca="false">'Presentation sheet'!P62</f>
        <v>0.108475757734323</v>
      </c>
      <c r="K31" s="59" t="n">
        <f aca="false">'Presentation sheet'!Q62</f>
        <v>0.119153593891923</v>
      </c>
      <c r="L31" s="58" t="n">
        <f aca="false">'Presentation sheet'!R62</f>
        <v>0.128315403182993</v>
      </c>
      <c r="M31" s="58" t="n">
        <f aca="false">'Presentation sheet'!S62</f>
        <v>0.0835209715785773</v>
      </c>
      <c r="N31" s="58" t="n">
        <f aca="false">'Presentation sheet'!T62</f>
        <v>0.0847444025794865</v>
      </c>
      <c r="O31" s="58" t="n">
        <f aca="false">'Presentation sheet'!U62</f>
        <v>0.102903269135687</v>
      </c>
      <c r="P31" s="59" t="n">
        <f aca="false">'Presentation sheet'!V62</f>
        <v>0.104531295674259</v>
      </c>
      <c r="Q31" s="58"/>
    </row>
    <row r="32" customFormat="false" ht="15" hidden="false" customHeight="false" outlineLevel="0" collapsed="false">
      <c r="A32" s="60" t="s">
        <v>59</v>
      </c>
      <c r="B32" s="61" t="n">
        <f aca="false">'Presentation sheet'!H86</f>
        <v>8.75396226415094</v>
      </c>
      <c r="C32" s="61" t="n">
        <f aca="false">'Presentation sheet'!I86</f>
        <v>8.23243761996161</v>
      </c>
      <c r="D32" s="61" t="n">
        <f aca="false">'Presentation sheet'!J86</f>
        <v>6.40361209265803</v>
      </c>
      <c r="E32" s="61" t="n">
        <f aca="false">'Presentation sheet'!K86</f>
        <v>6.78010471204189</v>
      </c>
      <c r="F32" s="62" t="n">
        <f aca="false">'Presentation sheet'!L86</f>
        <v>7.26431125909484</v>
      </c>
      <c r="G32" s="61" t="n">
        <f aca="false">'Presentation sheet'!M86</f>
        <v>8.72707231040565</v>
      </c>
      <c r="H32" s="61" t="n">
        <f aca="false">'Presentation sheet'!N86</f>
        <v>3.2895412934694</v>
      </c>
      <c r="I32" s="61" t="n">
        <f aca="false">'Presentation sheet'!O86</f>
        <v>3.4742309411954</v>
      </c>
      <c r="J32" s="61" t="n">
        <f aca="false">'Presentation sheet'!P86</f>
        <v>3.74885828626069</v>
      </c>
      <c r="K32" s="62" t="n">
        <f aca="false">'Presentation sheet'!Q86</f>
        <v>4.1414398130559</v>
      </c>
      <c r="L32" s="61" t="n">
        <f aca="false">'Presentation sheet'!R86</f>
        <v>4.76074900588277</v>
      </c>
      <c r="M32" s="61" t="n">
        <f aca="false">'Presentation sheet'!S86</f>
        <v>3.71957094719885</v>
      </c>
      <c r="N32" s="61" t="n">
        <f aca="false">'Presentation sheet'!T86</f>
        <v>3.84583800567111</v>
      </c>
      <c r="O32" s="61" t="n">
        <f aca="false">'Presentation sheet'!U86</f>
        <v>4.71627706751531</v>
      </c>
      <c r="P32" s="62" t="n">
        <f aca="false">'Presentation sheet'!V86</f>
        <v>4.26060875656701</v>
      </c>
    </row>
    <row r="33" customFormat="false" ht="15" hidden="false" customHeight="true" outlineLevel="0" collapsed="false">
      <c r="A33" s="57" t="s">
        <v>60</v>
      </c>
      <c r="B33" s="63" t="s">
        <v>61</v>
      </c>
      <c r="C33" s="63"/>
      <c r="D33" s="63"/>
      <c r="E33" s="63"/>
      <c r="F33" s="59" t="n">
        <f aca="false">'Presentation sheet'!L87</f>
        <v>0.0816177293647508</v>
      </c>
      <c r="G33" s="63" t="s">
        <v>61</v>
      </c>
      <c r="H33" s="63"/>
      <c r="I33" s="63"/>
      <c r="J33" s="63"/>
      <c r="K33" s="59" t="n">
        <f aca="false">'Presentation sheet'!Q87</f>
        <v>0.277060172349794</v>
      </c>
      <c r="L33" s="63" t="s">
        <v>61</v>
      </c>
      <c r="M33" s="63"/>
      <c r="N33" s="63"/>
      <c r="O33" s="63"/>
      <c r="P33" s="59" t="n">
        <f aca="false">'Presentation sheet'!V87</f>
        <v>0.209479930935322</v>
      </c>
    </row>
    <row r="34" customFormat="false" ht="15" hidden="false" customHeight="false" outlineLevel="0" collapsed="false">
      <c r="A34" s="57" t="s">
        <v>62</v>
      </c>
      <c r="F34" s="64"/>
      <c r="H34" s="65" t="n">
        <f aca="false">'Presentation sheet'!N88</f>
        <v>1.5507274117583</v>
      </c>
      <c r="I34" s="65" t="n">
        <f aca="false">'Presentation sheet'!O88</f>
        <v>1.5507274117583</v>
      </c>
      <c r="J34" s="65" t="n">
        <f aca="false">'Presentation sheet'!P88</f>
        <v>1.5507274117583</v>
      </c>
      <c r="K34" s="62" t="n">
        <f aca="false">'Presentation sheet'!Q88</f>
        <v>1.63341433154608</v>
      </c>
      <c r="L34" s="65" t="n">
        <f aca="false">'Presentation sheet'!R88</f>
        <v>1.42406015610379</v>
      </c>
      <c r="M34" s="65" t="n">
        <f aca="false">'Presentation sheet'!S88</f>
        <v>1.39022889272674</v>
      </c>
      <c r="N34" s="65" t="n">
        <f aca="false">'Presentation sheet'!T88</f>
        <v>1.3299758434648</v>
      </c>
      <c r="O34" s="65" t="n">
        <f aca="false">'Presentation sheet'!U88</f>
        <v>1.15852407727228</v>
      </c>
      <c r="P34" s="62" t="n">
        <f aca="false">'Presentation sheet'!V88</f>
        <v>1.31726962221458</v>
      </c>
    </row>
    <row r="35" customFormat="false" ht="15" hidden="false" customHeight="false" outlineLevel="0" collapsed="false">
      <c r="A35" s="57" t="s">
        <v>63</v>
      </c>
      <c r="F35" s="64"/>
      <c r="H35" s="65" t="n">
        <f aca="false">'Presentation sheet'!N89</f>
        <v>8.98237752859209</v>
      </c>
      <c r="I35" s="65" t="n">
        <f aca="false">'Presentation sheet'!O89</f>
        <v>8.50487555201744</v>
      </c>
      <c r="J35" s="65" t="n">
        <f aca="false">'Presentation sheet'!P89</f>
        <v>7.88184015974314</v>
      </c>
      <c r="K35" s="62" t="n">
        <f aca="false">'Presentation sheet'!Q89</f>
        <v>8.35227362276542</v>
      </c>
      <c r="L35" s="65" t="n">
        <f aca="false">'Presentation sheet'!R89</f>
        <v>6.3363600581343</v>
      </c>
      <c r="M35" s="65" t="n">
        <f aca="false">'Presentation sheet'!S89</f>
        <v>8.1100267412282</v>
      </c>
      <c r="N35" s="65" t="n">
        <f aca="false">'Presentation sheet'!T89</f>
        <v>7.84375727817847</v>
      </c>
      <c r="O35" s="65" t="n">
        <f aca="false">'Presentation sheet'!U89</f>
        <v>6.39610850165139</v>
      </c>
      <c r="P35" s="62" t="n">
        <f aca="false">'Presentation sheet'!V89</f>
        <v>7.0801666079249</v>
      </c>
    </row>
    <row r="36" customFormat="false" ht="15" hidden="false" customHeight="false" outlineLevel="0" collapsed="false">
      <c r="A36" s="57" t="s">
        <v>64</v>
      </c>
      <c r="F36" s="64"/>
      <c r="H36" s="65" t="n">
        <f aca="false">'Presentation sheet'!N90</f>
        <v>13.410042080295</v>
      </c>
      <c r="I36" s="65" t="n">
        <f aca="false">'Presentation sheet'!O90</f>
        <v>12.2313051365242</v>
      </c>
      <c r="J36" s="65" t="n">
        <f aca="false">'Presentation sheet'!P90</f>
        <v>10.8174270736096</v>
      </c>
      <c r="K36" s="62" t="n">
        <f aca="false">'Presentation sheet'!Q90</f>
        <v>10.3731443255957</v>
      </c>
      <c r="L36" s="65" t="n">
        <f aca="false">'Presentation sheet'!R90</f>
        <v>8.39790093530343</v>
      </c>
      <c r="M36" s="65" t="n">
        <f aca="false">'Presentation sheet'!S90</f>
        <v>12.5954003720951</v>
      </c>
      <c r="N36" s="65" t="n">
        <f aca="false">'Presentation sheet'!T90</f>
        <v>11.8755555413643</v>
      </c>
      <c r="O36" s="65" t="n">
        <f aca="false">'Presentation sheet'!U90</f>
        <v>8.51916631135262</v>
      </c>
      <c r="P36" s="62" t="n">
        <f aca="false">'Presentation sheet'!V90</f>
        <v>9.53563343492678</v>
      </c>
    </row>
    <row r="37" customFormat="false" ht="15" hidden="false" customHeight="false" outlineLevel="0" collapsed="false">
      <c r="A37" s="57" t="s">
        <v>65</v>
      </c>
      <c r="F37" s="66"/>
      <c r="H37" s="65" t="n">
        <f aca="false">'DCF Valuation'!$E$7/(('Profit &amp; Loss Consolidated'!S13*4)/'Profit &amp; Loss Consolidated'!S55)</f>
        <v>1.20176663264723</v>
      </c>
      <c r="I37" s="65" t="n">
        <f aca="false">'DCF Valuation'!$E$7/(('Profit &amp; Loss Consolidated'!T13*4)/'Profit &amp; Loss Consolidated'!T55)</f>
        <v>1.11122479442327</v>
      </c>
      <c r="J37" s="65" t="n">
        <f aca="false">'DCF Valuation'!$E$7/(('Profit &amp; Loss Consolidated'!U13*4)/'Profit &amp; Loss Consolidated'!U55)</f>
        <v>1.13375597401609</v>
      </c>
      <c r="K37" s="62" t="n">
        <f aca="false">'DCF Valuation'!$E$7/('Profit &amp; Loss Consolidated'!V13/'Profit &amp; Loss Consolidated'!V55)</f>
        <v>1.20660376261553</v>
      </c>
      <c r="L37" s="65" t="n">
        <f aca="false">'DCF Valuation'!$E$7/(('Profit &amp; Loss Consolidated'!W13*4)/'Profit &amp; Loss Consolidated'!W55)</f>
        <v>1.05899930439004</v>
      </c>
      <c r="M37" s="65" t="n">
        <f aca="false">'DCF Valuation'!$E$7/(('Profit &amp; Loss Consolidated'!X13*4)/'Profit &amp; Loss Consolidated'!X55)</f>
        <v>1.07831798098293</v>
      </c>
      <c r="N37" s="65" t="n">
        <f aca="false">'DCF Valuation'!$E$7/(('Profit &amp; Loss Consolidated'!Y13*4)/'Profit &amp; Loss Consolidated'!Y55)</f>
        <v>0.964034092422916</v>
      </c>
      <c r="O37" s="65" t="n">
        <f aca="false">'DCF Valuation'!$E$7/(('Profit &amp; Loss Consolidated'!Z13*4)/'Profit &amp; Loss Consolidated'!Z55)</f>
        <v>0.858892221869621</v>
      </c>
      <c r="P37" s="62" t="n">
        <f aca="false">'DCF Valuation'!$E$7/('Profit &amp; Loss Consolidated'!AA13/'Profit &amp; Loss Consolidated'!AA55)</f>
        <v>0.982015353866355</v>
      </c>
    </row>
    <row r="38" s="19" customFormat="true" ht="15" hidden="false" customHeight="true" outlineLevel="0" collapsed="false">
      <c r="A38" s="57" t="s">
        <v>66</v>
      </c>
      <c r="B38" s="57"/>
      <c r="C38" s="57"/>
      <c r="D38" s="57"/>
      <c r="E38" s="57"/>
      <c r="F38" s="67"/>
      <c r="G38" s="63" t="s">
        <v>61</v>
      </c>
      <c r="H38" s="63"/>
      <c r="I38" s="63"/>
      <c r="J38" s="63"/>
      <c r="K38" s="68" t="n">
        <f aca="false">'DCF Valuation'!$E$7/('Balance Sheet'!F15/'Profit &amp; Loss Consolidated'!V55)</f>
        <v>2.87398515465882</v>
      </c>
      <c r="L38" s="63" t="s">
        <v>61</v>
      </c>
      <c r="M38" s="63"/>
      <c r="N38" s="63"/>
      <c r="O38" s="63"/>
      <c r="P38" s="68" t="n">
        <f aca="false">'DCF Valuation'!$E$7/('Balance Sheet'!G15/'Profit &amp; Loss Consolidated'!AA55)</f>
        <v>1.99752383337301</v>
      </c>
      <c r="Q38" s="57"/>
      <c r="R38" s="57"/>
      <c r="S38" s="57"/>
      <c r="T38" s="57"/>
      <c r="U38" s="57"/>
      <c r="V38" s="57"/>
      <c r="W38" s="57"/>
      <c r="X38" s="57"/>
      <c r="Y38" s="57"/>
      <c r="Z38" s="57"/>
      <c r="AA38" s="57"/>
      <c r="AB38" s="57"/>
      <c r="AC38" s="57"/>
      <c r="AD38" s="57"/>
      <c r="AE38" s="57"/>
      <c r="AF38" s="57"/>
      <c r="AG38" s="57"/>
      <c r="AH38" s="57"/>
      <c r="AI38" s="57"/>
      <c r="AJ38" s="57"/>
      <c r="AK38" s="57"/>
    </row>
    <row r="39" customFormat="false" ht="15" hidden="false" customHeight="false" outlineLevel="0" collapsed="false">
      <c r="A39" s="57"/>
      <c r="B39" s="57"/>
      <c r="C39" s="57"/>
      <c r="D39" s="57"/>
      <c r="E39" s="57"/>
      <c r="F39" s="57"/>
      <c r="G39" s="69"/>
      <c r="H39" s="69"/>
      <c r="I39" s="69"/>
      <c r="J39" s="69"/>
      <c r="K39" s="70"/>
      <c r="L39" s="69"/>
      <c r="M39" s="69"/>
      <c r="N39" s="69"/>
      <c r="O39" s="69"/>
      <c r="P39" s="70"/>
      <c r="Q39" s="57"/>
      <c r="R39" s="57"/>
      <c r="S39" s="57"/>
      <c r="T39" s="57"/>
      <c r="U39" s="57"/>
      <c r="V39" s="57"/>
      <c r="W39" s="57"/>
      <c r="X39" s="57"/>
      <c r="Y39" s="57"/>
      <c r="Z39" s="57"/>
      <c r="AA39" s="57"/>
      <c r="AB39" s="57"/>
      <c r="AC39" s="57"/>
      <c r="AD39" s="57"/>
      <c r="AE39" s="57"/>
      <c r="AF39" s="57"/>
      <c r="AG39" s="57"/>
      <c r="AH39" s="57"/>
      <c r="AI39" s="57"/>
      <c r="AJ39" s="57"/>
      <c r="AK39" s="57"/>
    </row>
    <row r="41" customFormat="false" ht="15" hidden="false" customHeight="true" outlineLevel="0" collapsed="false">
      <c r="A41" s="71" t="s">
        <v>67</v>
      </c>
      <c r="B41" s="71"/>
      <c r="C41" s="35"/>
      <c r="D41" s="35"/>
      <c r="E41" s="35"/>
      <c r="F41" s="35"/>
      <c r="G41" s="35"/>
      <c r="I41" s="34" t="s">
        <v>68</v>
      </c>
      <c r="J41" s="34"/>
      <c r="K41" s="34"/>
      <c r="L41" s="34"/>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3" customFormat="false" ht="15" hidden="false" customHeight="false" outlineLevel="0" collapsed="false">
      <c r="A43" s="72" t="s">
        <v>69</v>
      </c>
      <c r="B43" s="73" t="n">
        <v>24443.8443149965</v>
      </c>
      <c r="I43" s="74" t="s">
        <v>70</v>
      </c>
      <c r="S43" s="74" t="s">
        <v>71</v>
      </c>
      <c r="AC43" s="74" t="s">
        <v>70</v>
      </c>
      <c r="AD43" s="75" t="n">
        <v>14098</v>
      </c>
    </row>
    <row r="44" customFormat="false" ht="15" hidden="false" customHeight="false" outlineLevel="0" collapsed="false">
      <c r="A44" s="72" t="s">
        <v>72</v>
      </c>
      <c r="B44" s="73" t="n">
        <v>366.562112319882</v>
      </c>
      <c r="I44" s="0" t="s">
        <v>73</v>
      </c>
      <c r="J44" s="76" t="n">
        <v>5584</v>
      </c>
      <c r="S44" s="0" t="s">
        <v>74</v>
      </c>
      <c r="T44" s="76" t="n">
        <v>7379</v>
      </c>
      <c r="AC44" s="74" t="s">
        <v>71</v>
      </c>
      <c r="AD44" s="75" t="n">
        <v>16466</v>
      </c>
    </row>
    <row r="45" customFormat="false" ht="15" hidden="false" customHeight="false" outlineLevel="0" collapsed="false">
      <c r="A45" s="72" t="s">
        <v>75</v>
      </c>
      <c r="B45" s="73" t="n">
        <v>6432.02357268361</v>
      </c>
      <c r="I45" s="0" t="s">
        <v>76</v>
      </c>
      <c r="J45" s="76" t="n">
        <v>1923</v>
      </c>
      <c r="S45" s="37" t="s">
        <v>77</v>
      </c>
      <c r="T45" s="76" t="n">
        <v>6344</v>
      </c>
    </row>
    <row r="46" customFormat="false" ht="15" hidden="false" customHeight="false" outlineLevel="0" collapsed="false">
      <c r="A46" s="77" t="s">
        <v>78</v>
      </c>
      <c r="B46" s="73" t="n">
        <v>31242.43</v>
      </c>
      <c r="I46" s="0" t="s">
        <v>79</v>
      </c>
      <c r="J46" s="76" t="n">
        <v>4640</v>
      </c>
      <c r="S46" s="0" t="s">
        <v>80</v>
      </c>
      <c r="T46" s="76" t="n">
        <v>2743</v>
      </c>
    </row>
    <row r="47" customFormat="false" ht="15" hidden="false" customHeight="false" outlineLevel="0" collapsed="false">
      <c r="I47" s="0" t="s">
        <v>75</v>
      </c>
      <c r="J47" s="76" t="n">
        <v>1951</v>
      </c>
      <c r="S47" s="74" t="s">
        <v>81</v>
      </c>
      <c r="T47" s="75" t="n">
        <v>16466</v>
      </c>
    </row>
    <row r="48" customFormat="false" ht="15" hidden="false" customHeight="false" outlineLevel="0" collapsed="false">
      <c r="I48" s="74" t="s">
        <v>81</v>
      </c>
      <c r="J48" s="76" t="n">
        <v>14098</v>
      </c>
    </row>
    <row r="55" customFormat="false" ht="15" hidden="false" customHeight="true" outlineLevel="0" collapsed="false">
      <c r="A55" s="33" t="s">
        <v>82</v>
      </c>
      <c r="B55" s="35"/>
      <c r="C55" s="35"/>
      <c r="D55" s="35"/>
      <c r="E55" s="35"/>
      <c r="F55" s="35"/>
      <c r="G55" s="35"/>
      <c r="H55" s="35"/>
      <c r="I55" s="35"/>
      <c r="J55" s="35"/>
      <c r="L55" s="71" t="s">
        <v>83</v>
      </c>
      <c r="M55" s="71"/>
      <c r="N55" s="71"/>
      <c r="O55" s="35"/>
      <c r="P55" s="35"/>
      <c r="Q55" s="35"/>
      <c r="R55" s="35"/>
      <c r="S55" s="35"/>
      <c r="T55" s="35"/>
    </row>
    <row r="76" customFormat="false" ht="15.75" hidden="false" customHeight="false" outlineLevel="0" collapsed="false">
      <c r="A76" s="31"/>
      <c r="B76" s="31"/>
      <c r="C76" s="31"/>
      <c r="D76" s="31"/>
      <c r="E76" s="31"/>
      <c r="F76" s="31"/>
      <c r="G76" s="31"/>
      <c r="H76" s="31"/>
      <c r="I76" s="31"/>
      <c r="J76" s="31"/>
      <c r="K76" s="31"/>
      <c r="L76" s="31"/>
      <c r="M76" s="31"/>
      <c r="N76" s="31"/>
      <c r="O76" s="31"/>
      <c r="P76" s="31"/>
      <c r="Q76" s="31"/>
      <c r="R76" s="31"/>
      <c r="S76" s="31"/>
      <c r="T76" s="31"/>
    </row>
    <row r="78" customFormat="false" ht="15" hidden="false" customHeight="false" outlineLevel="0" collapsed="false">
      <c r="A78" s="74" t="s">
        <v>84</v>
      </c>
    </row>
    <row r="79" customFormat="false" ht="15" hidden="false" customHeight="false" outlineLevel="0" collapsed="false">
      <c r="B79" s="78" t="s">
        <v>85</v>
      </c>
      <c r="C79" s="78" t="s">
        <v>86</v>
      </c>
      <c r="D79" s="78" t="s">
        <v>43</v>
      </c>
      <c r="E79" s="79" t="s">
        <v>48</v>
      </c>
      <c r="F79" s="79" t="s">
        <v>53</v>
      </c>
      <c r="G79" s="79" t="s">
        <v>87</v>
      </c>
      <c r="H79" s="79" t="s">
        <v>88</v>
      </c>
      <c r="I79" s="79" t="s">
        <v>89</v>
      </c>
      <c r="L79" s="0" t="s">
        <v>90</v>
      </c>
      <c r="M79" s="65" t="n">
        <f aca="false">SUM('DCF Valuation'!D34:H34)</f>
        <v>7583.45602084063</v>
      </c>
    </row>
    <row r="80" customFormat="false" ht="15" hidden="false" customHeight="false" outlineLevel="0" collapsed="false">
      <c r="A80" s="37" t="s">
        <v>70</v>
      </c>
      <c r="B80" s="80" t="n">
        <f aca="false">'Segment Revenue Model'!B23</f>
        <v>7196.2</v>
      </c>
      <c r="C80" s="80" t="n">
        <f aca="false">'Segment Revenue Model'!G23</f>
        <v>10048</v>
      </c>
      <c r="D80" s="80" t="n">
        <f aca="false">'Segment Revenue Model'!L23</f>
        <v>14098</v>
      </c>
      <c r="E80" s="80" t="n">
        <f aca="false">'Segment Revenue Model'!Q23</f>
        <v>21408.6194230573</v>
      </c>
      <c r="F80" s="80" t="n">
        <f aca="false">'Segment Revenue Model'!V23</f>
        <v>28084.8073262365</v>
      </c>
      <c r="G80" s="80" t="n">
        <f aca="false">'Segment Revenue Model'!AA23</f>
        <v>34825.1610845333</v>
      </c>
      <c r="H80" s="80" t="n">
        <f aca="false">'Segment Revenue Model'!AF23</f>
        <v>42486.6965231306</v>
      </c>
      <c r="I80" s="81" t="n">
        <f aca="false">'Segment Revenue Model'!AK23</f>
        <v>50984.0358277568</v>
      </c>
      <c r="L80" s="0" t="s">
        <v>91</v>
      </c>
      <c r="M80" s="65" t="n">
        <f aca="false">M79</f>
        <v>7583.45602084063</v>
      </c>
      <c r="N80" s="65" t="n">
        <f aca="false">SUM('DCF Valuation'!I34:M34)</f>
        <v>13507.8456107095</v>
      </c>
    </row>
    <row r="81" customFormat="false" ht="15" hidden="false" customHeight="false" outlineLevel="0" collapsed="false">
      <c r="A81" s="37" t="s">
        <v>71</v>
      </c>
      <c r="B81" s="80" t="n">
        <f aca="false">'Segment Revenue Model'!B24</f>
        <v>15306</v>
      </c>
      <c r="C81" s="80" t="n">
        <f aca="false">'Segment Revenue Model'!G24</f>
        <v>15476</v>
      </c>
      <c r="D81" s="80" t="n">
        <f aca="false">'Segment Revenue Model'!L24</f>
        <v>16466</v>
      </c>
      <c r="E81" s="80" t="n">
        <f aca="false">'Segment Revenue Model'!Q24</f>
        <v>17956.8423769427</v>
      </c>
      <c r="F81" s="80" t="n">
        <f aca="false">'Segment Revenue Model'!V24</f>
        <v>20728.3653057635</v>
      </c>
      <c r="G81" s="80" t="n">
        <f aca="false">'Segment Revenue Model'!AA24</f>
        <v>25703.1729791467</v>
      </c>
      <c r="H81" s="80" t="n">
        <f aca="false">'Segment Revenue Model'!AF24</f>
        <v>31357.8710345589</v>
      </c>
      <c r="I81" s="81" t="n">
        <f aca="false">'Segment Revenue Model'!AK24</f>
        <v>37629.4452414707</v>
      </c>
      <c r="L81" s="0" t="s">
        <v>92</v>
      </c>
      <c r="M81" s="65" t="n">
        <f aca="false">M80</f>
        <v>7583.45602084063</v>
      </c>
      <c r="N81" s="65" t="n">
        <f aca="false">N80</f>
        <v>13507.8456107095</v>
      </c>
      <c r="O81" s="0" t="n">
        <f aca="false">'DCF Valuation'!B55</f>
        <v>41293.4188590443</v>
      </c>
    </row>
    <row r="82" customFormat="false" ht="15" hidden="false" customHeight="false" outlineLevel="0" collapsed="false">
      <c r="A82" s="37" t="s">
        <v>93</v>
      </c>
      <c r="C82" s="82" t="n">
        <f aca="false">SUM(C80:C81)/SUM(B80:B81)-1</f>
        <v>0.134289091733253</v>
      </c>
      <c r="D82" s="82" t="n">
        <f aca="false">SUM(D80:D81)/SUM(C80:C81)-1</f>
        <v>0.197461212976022</v>
      </c>
      <c r="E82" s="82" t="n">
        <f aca="false">SUM(E80:E81)/SUM(D80:D81)-1</f>
        <v>0.287968256772674</v>
      </c>
      <c r="F82" s="82" t="n">
        <f aca="false">SUM(F80:F81)/SUM(E80:E81)-1</f>
        <v>0.24</v>
      </c>
      <c r="G82" s="82" t="n">
        <f aca="false">SUM(G80:G81)/SUM(F80:F81)-1</f>
        <v>0.24</v>
      </c>
      <c r="H82" s="82" t="n">
        <f aca="false">SUM(H80:H81)/SUM(G80:G81)-1</f>
        <v>0.22</v>
      </c>
      <c r="I82" s="83" t="n">
        <f aca="false">SUM(I80:I81)/SUM(H80:H81)-1</f>
        <v>0.2</v>
      </c>
      <c r="L82" s="74" t="s">
        <v>94</v>
      </c>
      <c r="O82" s="65" t="n">
        <f aca="false">SUM(M81:O81)</f>
        <v>62384.7204905944</v>
      </c>
    </row>
  </sheetData>
  <mergeCells count="11">
    <mergeCell ref="F5:G5"/>
    <mergeCell ref="F6:P14"/>
    <mergeCell ref="F18:Q22"/>
    <mergeCell ref="B33:E33"/>
    <mergeCell ref="G33:J33"/>
    <mergeCell ref="L33:O33"/>
    <mergeCell ref="G38:J38"/>
    <mergeCell ref="L38:O38"/>
    <mergeCell ref="A41:B41"/>
    <mergeCell ref="I41:L41"/>
    <mergeCell ref="L55:N5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defaultColWidth="8.96875" defaultRowHeight="15" zeroHeight="false" outlineLevelRow="0" outlineLevelCol="1"/>
  <cols>
    <col collapsed="false" customWidth="true" hidden="false" outlineLevel="0" max="1" min="1" style="0" width="35.99"/>
    <col collapsed="false" customWidth="true" hidden="false" outlineLevel="0" max="2" min="2" style="0" width="10.56"/>
    <col collapsed="false" customWidth="true" hidden="true" outlineLevel="1" max="6" min="3" style="0" width="9.56"/>
    <col collapsed="false" customWidth="true" hidden="false" outlineLevel="0" max="7" min="7" style="0" width="10.56"/>
    <col collapsed="false" customWidth="true" hidden="true" outlineLevel="1" max="11" min="8" style="0" width="9.56"/>
    <col collapsed="false" customWidth="true" hidden="false" outlineLevel="0" max="12" min="12" style="0" width="10.56"/>
    <col collapsed="false" customWidth="true" hidden="true" outlineLevel="1" max="13" min="13" style="0" width="9.56"/>
    <col collapsed="false" customWidth="true" hidden="true" outlineLevel="1" max="16" min="14" style="0" width="10.56"/>
    <col collapsed="false" customWidth="true" hidden="false" outlineLevel="0" max="17" min="17" style="0" width="10.56"/>
    <col collapsed="false" customWidth="true" hidden="true" outlineLevel="1" max="21" min="18" style="0" width="10.56"/>
    <col collapsed="false" customWidth="true" hidden="false" outlineLevel="0" max="22" min="22" style="0" width="10.56"/>
    <col collapsed="false" customWidth="true" hidden="true" outlineLevel="1" max="26" min="23" style="0" width="10.56"/>
    <col collapsed="false" customWidth="true" hidden="false" outlineLevel="0" max="27" min="27" style="0" width="10.56"/>
    <col collapsed="false" customWidth="true" hidden="true" outlineLevel="1" max="31" min="28" style="0" width="10.56"/>
    <col collapsed="false" customWidth="true" hidden="false" outlineLevel="0" max="32" min="32" style="0" width="10.56"/>
    <col collapsed="false" customWidth="true" hidden="true" outlineLevel="1" max="36" min="33" style="0" width="10.56"/>
    <col collapsed="false" customWidth="true" hidden="false" outlineLevel="0" max="37" min="37" style="0" width="10.56"/>
  </cols>
  <sheetData>
    <row r="1" customFormat="false" ht="18.75" hidden="false" customHeight="false" outlineLevel="0" collapsed="false">
      <c r="A1" s="29" t="s">
        <v>1</v>
      </c>
      <c r="Q1" s="73"/>
      <c r="R1" s="73"/>
      <c r="S1" s="73"/>
      <c r="T1" s="73"/>
      <c r="U1" s="73"/>
      <c r="V1" s="73"/>
    </row>
    <row r="2" customFormat="false" ht="15.75" hidden="false" customHeight="false" outlineLevel="0" collapsed="false">
      <c r="A2" s="30" t="s">
        <v>95</v>
      </c>
      <c r="Q2" s="73"/>
      <c r="R2" s="73"/>
      <c r="S2" s="73"/>
      <c r="T2" s="73"/>
      <c r="U2" s="73"/>
      <c r="V2" s="73"/>
    </row>
    <row r="3" customFormat="false" ht="15.75" hidden="false" customHeight="false" outlineLevel="0" collapsed="false">
      <c r="A3" s="31" t="s">
        <v>96</v>
      </c>
      <c r="B3" s="31"/>
      <c r="C3" s="31"/>
      <c r="D3" s="31"/>
      <c r="E3" s="31"/>
      <c r="F3" s="31"/>
      <c r="G3" s="31"/>
      <c r="H3" s="31"/>
      <c r="I3" s="31"/>
      <c r="J3" s="31"/>
      <c r="K3" s="31"/>
      <c r="L3" s="31"/>
      <c r="M3" s="31"/>
      <c r="N3" s="31"/>
      <c r="O3" s="31"/>
      <c r="P3" s="31"/>
      <c r="Q3" s="84"/>
      <c r="R3" s="84"/>
      <c r="S3" s="84"/>
      <c r="T3" s="84"/>
      <c r="U3" s="84"/>
      <c r="V3" s="84"/>
      <c r="W3" s="31"/>
      <c r="X3" s="31"/>
      <c r="Y3" s="31"/>
      <c r="Z3" s="31"/>
      <c r="AA3" s="31"/>
      <c r="AB3" s="31"/>
      <c r="AC3" s="31"/>
      <c r="AD3" s="31"/>
      <c r="AE3" s="31"/>
      <c r="AF3" s="31"/>
      <c r="AG3" s="31"/>
      <c r="AH3" s="31"/>
      <c r="AI3" s="31"/>
      <c r="AJ3" s="31"/>
      <c r="AK3" s="31"/>
    </row>
    <row r="4" customFormat="false" ht="15" hidden="false" customHeight="false" outlineLevel="0" collapsed="false">
      <c r="Q4" s="73"/>
      <c r="R4" s="73"/>
      <c r="S4" s="73"/>
      <c r="T4" s="73"/>
      <c r="U4" s="73"/>
      <c r="V4" s="73"/>
    </row>
    <row r="5" customFormat="false" ht="45" hidden="false" customHeight="false" outlineLevel="0" collapsed="false">
      <c r="A5" s="85" t="s">
        <v>38</v>
      </c>
      <c r="B5" s="86" t="s">
        <v>85</v>
      </c>
      <c r="C5" s="87" t="s">
        <v>97</v>
      </c>
      <c r="D5" s="87" t="s">
        <v>98</v>
      </c>
      <c r="E5" s="87" t="s">
        <v>99</v>
      </c>
      <c r="F5" s="87" t="s">
        <v>100</v>
      </c>
      <c r="G5" s="86" t="s">
        <v>86</v>
      </c>
      <c r="H5" s="87" t="s">
        <v>101</v>
      </c>
      <c r="I5" s="87" t="s">
        <v>40</v>
      </c>
      <c r="J5" s="87" t="s">
        <v>41</v>
      </c>
      <c r="K5" s="87" t="s">
        <v>42</v>
      </c>
      <c r="L5" s="86" t="s">
        <v>43</v>
      </c>
      <c r="M5" s="87" t="s">
        <v>44</v>
      </c>
      <c r="N5" s="88" t="s">
        <v>45</v>
      </c>
      <c r="O5" s="88" t="s">
        <v>102</v>
      </c>
      <c r="P5" s="88" t="s">
        <v>47</v>
      </c>
      <c r="Q5" s="89" t="s">
        <v>48</v>
      </c>
      <c r="R5" s="90" t="s">
        <v>103</v>
      </c>
      <c r="S5" s="90" t="s">
        <v>50</v>
      </c>
      <c r="T5" s="90" t="s">
        <v>51</v>
      </c>
      <c r="U5" s="90" t="s">
        <v>52</v>
      </c>
      <c r="V5" s="89" t="s">
        <v>53</v>
      </c>
      <c r="W5" s="88" t="s">
        <v>104</v>
      </c>
      <c r="X5" s="88" t="s">
        <v>105</v>
      </c>
      <c r="Y5" s="88" t="s">
        <v>106</v>
      </c>
      <c r="Z5" s="88" t="s">
        <v>107</v>
      </c>
      <c r="AA5" s="89" t="s">
        <v>87</v>
      </c>
      <c r="AB5" s="88" t="s">
        <v>108</v>
      </c>
      <c r="AC5" s="88" t="s">
        <v>109</v>
      </c>
      <c r="AD5" s="88" t="s">
        <v>110</v>
      </c>
      <c r="AE5" s="88" t="s">
        <v>111</v>
      </c>
      <c r="AF5" s="89" t="s">
        <v>88</v>
      </c>
      <c r="AG5" s="88" t="s">
        <v>112</v>
      </c>
      <c r="AH5" s="88" t="s">
        <v>113</v>
      </c>
      <c r="AI5" s="88" t="s">
        <v>114</v>
      </c>
      <c r="AJ5" s="88" t="s">
        <v>115</v>
      </c>
      <c r="AK5" s="89" t="s">
        <v>89</v>
      </c>
    </row>
    <row r="6" customFormat="false" ht="15" hidden="false" customHeight="false" outlineLevel="0" collapsed="false">
      <c r="B6" s="64"/>
      <c r="G6" s="64"/>
      <c r="L6" s="64"/>
      <c r="Q6" s="64"/>
      <c r="V6" s="64"/>
      <c r="AA6" s="64"/>
      <c r="AF6" s="64"/>
      <c r="AK6" s="64"/>
    </row>
    <row r="7" customFormat="false" ht="15.75" hidden="false" customHeight="false" outlineLevel="0" collapsed="false">
      <c r="A7" s="33" t="s">
        <v>116</v>
      </c>
      <c r="B7" s="91"/>
      <c r="C7" s="31"/>
      <c r="D7" s="31"/>
      <c r="E7" s="31"/>
      <c r="F7" s="31"/>
      <c r="G7" s="91"/>
      <c r="H7" s="31"/>
      <c r="I7" s="31"/>
      <c r="J7" s="31"/>
      <c r="K7" s="31"/>
      <c r="L7" s="91"/>
      <c r="M7" s="31"/>
      <c r="N7" s="31"/>
      <c r="O7" s="31"/>
      <c r="P7" s="31"/>
      <c r="Q7" s="91"/>
      <c r="R7" s="31"/>
      <c r="S7" s="31"/>
      <c r="T7" s="31"/>
      <c r="U7" s="31"/>
      <c r="V7" s="91"/>
      <c r="W7" s="31"/>
      <c r="X7" s="31"/>
      <c r="Y7" s="31"/>
      <c r="Z7" s="31"/>
      <c r="AA7" s="91"/>
      <c r="AB7" s="31"/>
      <c r="AC7" s="31"/>
      <c r="AD7" s="31"/>
      <c r="AE7" s="31"/>
      <c r="AF7" s="91"/>
      <c r="AG7" s="31"/>
      <c r="AH7" s="31"/>
      <c r="AI7" s="31"/>
      <c r="AJ7" s="31"/>
      <c r="AK7" s="91"/>
    </row>
    <row r="8" customFormat="false" ht="15" hidden="false" customHeight="true" outlineLevel="0" collapsed="false">
      <c r="A8" s="72" t="s">
        <v>69</v>
      </c>
      <c r="B8" s="66" t="n">
        <f aca="false">'Geographic Revenue Model'!D8</f>
        <v>16023.4</v>
      </c>
      <c r="C8" s="92" t="s">
        <v>61</v>
      </c>
      <c r="D8" s="92"/>
      <c r="E8" s="92"/>
      <c r="F8" s="92"/>
      <c r="G8" s="66" t="n">
        <f aca="false">'Geographic Revenue Model'!E8</f>
        <v>19058.3</v>
      </c>
      <c r="H8" s="92" t="s">
        <v>61</v>
      </c>
      <c r="I8" s="92"/>
      <c r="J8" s="92"/>
      <c r="K8" s="92"/>
      <c r="L8" s="66" t="n">
        <f aca="false">'Geographic Revenue Model'!F8</f>
        <v>24443.8443149965</v>
      </c>
      <c r="M8" s="92" t="s">
        <v>61</v>
      </c>
      <c r="N8" s="92"/>
      <c r="O8" s="92"/>
      <c r="P8" s="92"/>
      <c r="Q8" s="66" t="n">
        <f aca="false">'Geographic Revenue Model'!G8</f>
        <v>31492.36944</v>
      </c>
      <c r="R8" s="92" t="s">
        <v>61</v>
      </c>
      <c r="S8" s="92"/>
      <c r="T8" s="92"/>
      <c r="U8" s="92"/>
      <c r="V8" s="66" t="n">
        <f aca="false">'Geographic Revenue Model'!H8</f>
        <v>39538.66983192</v>
      </c>
      <c r="W8" s="92" t="s">
        <v>61</v>
      </c>
      <c r="X8" s="92"/>
      <c r="Y8" s="92"/>
      <c r="Z8" s="92"/>
      <c r="AA8" s="66" t="n">
        <f aca="false">'Geographic Revenue Model'!I8</f>
        <v>47817.3839103072</v>
      </c>
      <c r="AB8" s="92" t="s">
        <v>61</v>
      </c>
      <c r="AC8" s="92"/>
      <c r="AD8" s="92"/>
      <c r="AE8" s="92"/>
      <c r="AF8" s="66" t="n">
        <f aca="false">'Geographic Revenue Model'!J8</f>
        <v>57598.7626949979</v>
      </c>
      <c r="AG8" s="92" t="s">
        <v>61</v>
      </c>
      <c r="AH8" s="92"/>
      <c r="AI8" s="92"/>
      <c r="AJ8" s="92"/>
      <c r="AK8" s="66" t="n">
        <f aca="false">'Geographic Revenue Model'!K8</f>
        <v>70890.784855382</v>
      </c>
    </row>
    <row r="9" customFormat="false" ht="15" hidden="false" customHeight="true" outlineLevel="0" collapsed="false">
      <c r="A9" s="72" t="s">
        <v>72</v>
      </c>
      <c r="B9" s="66" t="n">
        <f aca="false">'Geographic Revenue Model'!D9</f>
        <v>976</v>
      </c>
      <c r="C9" s="92"/>
      <c r="D9" s="92"/>
      <c r="E9" s="92"/>
      <c r="F9" s="92"/>
      <c r="G9" s="66" t="n">
        <f aca="false">'Geographic Revenue Model'!E9</f>
        <v>285.8</v>
      </c>
      <c r="H9" s="92"/>
      <c r="I9" s="92"/>
      <c r="J9" s="92"/>
      <c r="K9" s="92"/>
      <c r="L9" s="66" t="n">
        <f aca="false">'Geographic Revenue Model'!F9</f>
        <v>366.562112319882</v>
      </c>
      <c r="M9" s="92"/>
      <c r="N9" s="92"/>
      <c r="O9" s="92"/>
      <c r="P9" s="92"/>
      <c r="Q9" s="66" t="n">
        <f aca="false">'Geographic Revenue Model'!G9</f>
        <v>461.868261523051</v>
      </c>
      <c r="R9" s="92"/>
      <c r="S9" s="92"/>
      <c r="T9" s="92"/>
      <c r="U9" s="92"/>
      <c r="V9" s="66" t="n">
        <f aca="false">'Geographic Revenue Model'!H9</f>
        <v>572.716644288583</v>
      </c>
      <c r="W9" s="92"/>
      <c r="X9" s="92"/>
      <c r="Y9" s="92"/>
      <c r="Z9" s="92"/>
      <c r="AA9" s="66" t="n">
        <f aca="false">'Geographic Revenue Model'!I9</f>
        <v>710.168638917843</v>
      </c>
      <c r="AB9" s="92"/>
      <c r="AC9" s="92"/>
      <c r="AD9" s="92"/>
      <c r="AE9" s="92"/>
      <c r="AF9" s="66" t="n">
        <f aca="false">'Geographic Revenue Model'!J9</f>
        <v>866.405739479769</v>
      </c>
      <c r="AG9" s="92"/>
      <c r="AH9" s="92"/>
      <c r="AI9" s="92"/>
      <c r="AJ9" s="92"/>
      <c r="AK9" s="66" t="n">
        <f aca="false">'Geographic Revenue Model'!K9</f>
        <v>1039.68688737572</v>
      </c>
    </row>
    <row r="10" customFormat="false" ht="15" hidden="false" customHeight="true" outlineLevel="0" collapsed="false">
      <c r="A10" s="72" t="s">
        <v>75</v>
      </c>
      <c r="B10" s="66" t="n">
        <f aca="false">'Geographic Revenue Model'!D10</f>
        <v>4229.8</v>
      </c>
      <c r="C10" s="92"/>
      <c r="D10" s="92"/>
      <c r="E10" s="92"/>
      <c r="F10" s="92"/>
      <c r="G10" s="66" t="n">
        <f aca="false">'Geographic Revenue Model'!E10</f>
        <v>5014.9</v>
      </c>
      <c r="H10" s="92"/>
      <c r="I10" s="92"/>
      <c r="J10" s="92"/>
      <c r="K10" s="92"/>
      <c r="L10" s="66" t="n">
        <f aca="false">'Geographic Revenue Model'!F10</f>
        <v>6432.02357268361</v>
      </c>
      <c r="M10" s="92"/>
      <c r="N10" s="92"/>
      <c r="O10" s="92"/>
      <c r="P10" s="92"/>
      <c r="Q10" s="66" t="n">
        <f aca="false">'Geographic Revenue Model'!G10</f>
        <v>7479.437742</v>
      </c>
      <c r="R10" s="92"/>
      <c r="S10" s="92"/>
      <c r="T10" s="92"/>
      <c r="U10" s="92"/>
      <c r="V10" s="66" t="n">
        <f aca="false">'Geographic Revenue Model'!H10</f>
        <v>8786.37107376</v>
      </c>
      <c r="W10" s="92"/>
      <c r="X10" s="92"/>
      <c r="Y10" s="92"/>
      <c r="Z10" s="92"/>
      <c r="AA10" s="66" t="n">
        <f aca="false">'Geographic Revenue Model'!I10</f>
        <v>12105.666812736</v>
      </c>
      <c r="AB10" s="92"/>
      <c r="AC10" s="92"/>
      <c r="AD10" s="92"/>
      <c r="AE10" s="92"/>
      <c r="AF10" s="66" t="n">
        <f aca="false">'Geographic Revenue Model'!J10</f>
        <v>15507.3591871148</v>
      </c>
      <c r="AG10" s="92"/>
      <c r="AH10" s="92"/>
      <c r="AI10" s="92"/>
      <c r="AJ10" s="92"/>
      <c r="AK10" s="66" t="n">
        <f aca="false">'Geographic Revenue Model'!K10</f>
        <v>16836.5614031532</v>
      </c>
    </row>
    <row r="11" customFormat="false" ht="15" hidden="false" customHeight="true" outlineLevel="0" collapsed="false">
      <c r="A11" s="77" t="s">
        <v>78</v>
      </c>
      <c r="B11" s="93" t="n">
        <f aca="false">'Geographic Revenue Model'!D11</f>
        <v>21229.2</v>
      </c>
      <c r="C11" s="92"/>
      <c r="D11" s="92"/>
      <c r="E11" s="92"/>
      <c r="F11" s="92"/>
      <c r="G11" s="93" t="n">
        <f aca="false">'Geographic Revenue Model'!E11</f>
        <v>24359</v>
      </c>
      <c r="H11" s="92"/>
      <c r="I11" s="92"/>
      <c r="J11" s="92"/>
      <c r="K11" s="92"/>
      <c r="L11" s="93" t="n">
        <f aca="false">'Geographic Revenue Model'!F11</f>
        <v>31242.43</v>
      </c>
      <c r="M11" s="92"/>
      <c r="N11" s="92"/>
      <c r="O11" s="92"/>
      <c r="P11" s="92"/>
      <c r="Q11" s="93" t="n">
        <f aca="false">'Geographic Revenue Model'!G11</f>
        <v>39365.4618</v>
      </c>
      <c r="R11" s="92"/>
      <c r="S11" s="92"/>
      <c r="T11" s="92"/>
      <c r="U11" s="92"/>
      <c r="V11" s="93" t="n">
        <f aca="false">'Geographic Revenue Model'!H11</f>
        <v>48813.172632</v>
      </c>
      <c r="W11" s="92"/>
      <c r="X11" s="92"/>
      <c r="Y11" s="92"/>
      <c r="Z11" s="92"/>
      <c r="AA11" s="93" t="n">
        <f aca="false">'Geographic Revenue Model'!I11</f>
        <v>60528.33406368</v>
      </c>
      <c r="AB11" s="92"/>
      <c r="AC11" s="92"/>
      <c r="AD11" s="92"/>
      <c r="AE11" s="92"/>
      <c r="AF11" s="93" t="n">
        <f aca="false">'Geographic Revenue Model'!J11</f>
        <v>73844.5675576896</v>
      </c>
      <c r="AG11" s="92"/>
      <c r="AH11" s="92"/>
      <c r="AI11" s="92"/>
      <c r="AJ11" s="92"/>
      <c r="AK11" s="93" t="n">
        <f aca="false">'Geographic Revenue Model'!K11</f>
        <v>88613.4810692275</v>
      </c>
    </row>
    <row r="12" customFormat="false" ht="15" hidden="false" customHeight="false" outlineLevel="0" collapsed="false">
      <c r="B12" s="64"/>
      <c r="G12" s="64"/>
      <c r="L12" s="64"/>
      <c r="Q12" s="64"/>
      <c r="V12" s="64"/>
      <c r="AA12" s="64"/>
      <c r="AF12" s="64"/>
      <c r="AK12" s="64"/>
    </row>
    <row r="13" customFormat="false" ht="15" hidden="false" customHeight="false" outlineLevel="0" collapsed="false">
      <c r="B13" s="64"/>
      <c r="G13" s="64"/>
      <c r="L13" s="64"/>
      <c r="Q13" s="64"/>
      <c r="V13" s="64"/>
      <c r="AA13" s="64"/>
      <c r="AF13" s="64"/>
      <c r="AK13" s="64"/>
    </row>
    <row r="14" customFormat="false" ht="15.75" hidden="false" customHeight="false" outlineLevel="0" collapsed="false">
      <c r="A14" s="33" t="s">
        <v>117</v>
      </c>
      <c r="B14" s="91"/>
      <c r="C14" s="31"/>
      <c r="D14" s="31"/>
      <c r="E14" s="31"/>
      <c r="F14" s="31"/>
      <c r="G14" s="91"/>
      <c r="H14" s="31"/>
      <c r="I14" s="31"/>
      <c r="J14" s="31"/>
      <c r="K14" s="31"/>
      <c r="L14" s="91"/>
      <c r="M14" s="31"/>
      <c r="N14" s="31"/>
      <c r="O14" s="31"/>
      <c r="P14" s="31"/>
      <c r="Q14" s="91"/>
      <c r="R14" s="31"/>
      <c r="S14" s="31"/>
      <c r="T14" s="31"/>
      <c r="U14" s="31"/>
      <c r="V14" s="91"/>
      <c r="W14" s="31"/>
      <c r="X14" s="31"/>
      <c r="Y14" s="31"/>
      <c r="Z14" s="31"/>
      <c r="AA14" s="91"/>
      <c r="AB14" s="31"/>
      <c r="AC14" s="31"/>
      <c r="AD14" s="31"/>
      <c r="AE14" s="31"/>
      <c r="AF14" s="91"/>
      <c r="AG14" s="31"/>
      <c r="AH14" s="31"/>
      <c r="AI14" s="31"/>
      <c r="AJ14" s="31"/>
      <c r="AK14" s="91"/>
    </row>
    <row r="15" customFormat="false" ht="15" hidden="false" customHeight="false" outlineLevel="0" collapsed="false">
      <c r="A15" s="72"/>
      <c r="B15" s="64"/>
      <c r="G15" s="64"/>
      <c r="L15" s="64"/>
      <c r="Q15" s="64"/>
      <c r="V15" s="64"/>
      <c r="AA15" s="64"/>
      <c r="AF15" s="64"/>
      <c r="AK15" s="64"/>
    </row>
    <row r="16" customFormat="false" ht="15" hidden="false" customHeight="false" outlineLevel="0" collapsed="false">
      <c r="A16" s="74" t="s">
        <v>70</v>
      </c>
      <c r="B16" s="64"/>
      <c r="G16" s="64"/>
      <c r="L16" s="64"/>
      <c r="Q16" s="64"/>
      <c r="V16" s="64"/>
      <c r="AA16" s="64"/>
      <c r="AF16" s="64"/>
      <c r="AK16" s="64"/>
    </row>
    <row r="17" customFormat="false" ht="15" hidden="false" customHeight="false" outlineLevel="0" collapsed="false">
      <c r="A17" s="0" t="s">
        <v>73</v>
      </c>
      <c r="B17" s="66" t="n">
        <f aca="false">'Segment Revenue Model'!B10</f>
        <v>1563</v>
      </c>
      <c r="C17" s="65" t="n">
        <f aca="false">'Segment Revenue Model'!C10</f>
        <v>546</v>
      </c>
      <c r="D17" s="65" t="n">
        <f aca="false">'Segment Revenue Model'!D10</f>
        <v>518</v>
      </c>
      <c r="E17" s="65" t="n">
        <f aca="false">'Segment Revenue Model'!E10</f>
        <v>497</v>
      </c>
      <c r="F17" s="65" t="n">
        <f aca="false">'Segment Revenue Model'!F10</f>
        <v>798</v>
      </c>
      <c r="G17" s="66" t="n">
        <f aca="false">'Segment Revenue Model'!G10</f>
        <v>2359</v>
      </c>
      <c r="H17" s="65" t="n">
        <f aca="false">'Segment Revenue Model'!H10</f>
        <v>817</v>
      </c>
      <c r="I17" s="65" t="n">
        <f aca="false">'Segment Revenue Model'!I10</f>
        <v>1051</v>
      </c>
      <c r="J17" s="65" t="n">
        <f aca="false">'Segment Revenue Model'!J10</f>
        <v>1427</v>
      </c>
      <c r="K17" s="65" t="n">
        <f aca="false">'Segment Revenue Model'!K10</f>
        <v>2289</v>
      </c>
      <c r="L17" s="66" t="n">
        <f aca="false">'Segment Revenue Model'!L10</f>
        <v>5584</v>
      </c>
      <c r="M17" s="65" t="n">
        <f aca="false">'Segment Revenue Model'!M10</f>
        <v>2310</v>
      </c>
      <c r="N17" s="65" t="n">
        <f aca="false">'Segment Revenue Model'!N10</f>
        <v>1777.77256246889</v>
      </c>
      <c r="O17" s="65" t="n">
        <f aca="false">'Segment Revenue Model'!O10</f>
        <v>2247.85716632468</v>
      </c>
      <c r="P17" s="65" t="n">
        <f aca="false">'Segment Revenue Model'!P10</f>
        <v>2943.1287035422</v>
      </c>
      <c r="Q17" s="66" t="n">
        <f aca="false">'Segment Revenue Model'!Q10</f>
        <v>9278.75843233577</v>
      </c>
      <c r="R17" s="65" t="n">
        <f aca="false">'Segment Revenue Model'!R10</f>
        <v>3265.36697756981</v>
      </c>
      <c r="S17" s="65" t="n">
        <f aca="false">'Segment Revenue Model'!S10</f>
        <v>2135.2521973175</v>
      </c>
      <c r="T17" s="65" t="n">
        <f aca="false">'Segment Revenue Model'!T10</f>
        <v>2767.4999404159</v>
      </c>
      <c r="U17" s="65" t="n">
        <f aca="false">'Segment Revenue Model'!U10</f>
        <v>4152.31378505458</v>
      </c>
      <c r="V17" s="66" t="n">
        <f aca="false">'Segment Revenue Model'!V10</f>
        <v>12320.4329003578</v>
      </c>
      <c r="W17" s="65" t="n">
        <f aca="false">'Segment Revenue Model'!W10</f>
        <v>4049.05505218656</v>
      </c>
      <c r="X17" s="65" t="n">
        <f aca="false">'Segment Revenue Model'!X10</f>
        <v>2647.7127246737</v>
      </c>
      <c r="Y17" s="65" t="n">
        <f aca="false">'Segment Revenue Model'!Y10</f>
        <v>3431.69992611572</v>
      </c>
      <c r="Z17" s="65" t="n">
        <f aca="false">'Segment Revenue Model'!Z10</f>
        <v>5148.86909346768</v>
      </c>
      <c r="AA17" s="66" t="n">
        <f aca="false">'Segment Revenue Model'!AA10</f>
        <v>15277.3367964437</v>
      </c>
      <c r="AB17" s="65" t="n">
        <f aca="false">'Segment Revenue Model'!AB10</f>
        <v>4939.84716366761</v>
      </c>
      <c r="AC17" s="65" t="n">
        <f aca="false">'Segment Revenue Model'!AC10</f>
        <v>3230.20952410192</v>
      </c>
      <c r="AD17" s="65" t="n">
        <f aca="false">'Segment Revenue Model'!AD10</f>
        <v>4186.67390986118</v>
      </c>
      <c r="AE17" s="65" t="n">
        <f aca="false">'Segment Revenue Model'!AE10</f>
        <v>6281.62029403057</v>
      </c>
      <c r="AF17" s="66" t="n">
        <f aca="false">'Segment Revenue Model'!AF10</f>
        <v>18638.3508916613</v>
      </c>
      <c r="AG17" s="65" t="n">
        <f aca="false">'Segment Revenue Model'!AG10</f>
        <v>5927.81659640113</v>
      </c>
      <c r="AH17" s="65" t="n">
        <f aca="false">'Segment Revenue Model'!AH10</f>
        <v>3876.2514289223</v>
      </c>
      <c r="AI17" s="65" t="n">
        <f aca="false">'Segment Revenue Model'!AI10</f>
        <v>5024.00869183341</v>
      </c>
      <c r="AJ17" s="65" t="n">
        <f aca="false">'Segment Revenue Model'!AJ10</f>
        <v>7537.94435283669</v>
      </c>
      <c r="AK17" s="66" t="n">
        <f aca="false">'Segment Revenue Model'!AK10</f>
        <v>22366.0210699935</v>
      </c>
    </row>
    <row r="18" customFormat="false" ht="15" hidden="false" customHeight="false" outlineLevel="0" collapsed="false">
      <c r="A18" s="0" t="s">
        <v>76</v>
      </c>
      <c r="B18" s="66" t="n">
        <f aca="false">'Segment Revenue Model'!B11</f>
        <v>1280</v>
      </c>
      <c r="C18" s="65" t="n">
        <f aca="false">'Segment Revenue Model'!C11</f>
        <v>362</v>
      </c>
      <c r="D18" s="65" t="n">
        <f aca="false">'Segment Revenue Model'!D11</f>
        <v>562</v>
      </c>
      <c r="E18" s="65" t="n">
        <f aca="false">'Segment Revenue Model'!E11</f>
        <v>641</v>
      </c>
      <c r="F18" s="65" t="n">
        <f aca="false">'Segment Revenue Model'!F11</f>
        <v>446</v>
      </c>
      <c r="G18" s="66" t="n">
        <f aca="false">'Segment Revenue Model'!G11</f>
        <v>2011</v>
      </c>
      <c r="H18" s="65" t="n">
        <f aca="false">'Segment Revenue Model'!H11</f>
        <v>447</v>
      </c>
      <c r="I18" s="65" t="n">
        <f aca="false">'Segment Revenue Model'!I11</f>
        <v>557</v>
      </c>
      <c r="J18" s="65" t="n">
        <f aca="false">'Segment Revenue Model'!J11</f>
        <v>467</v>
      </c>
      <c r="K18" s="65" t="n">
        <f aca="false">'Segment Revenue Model'!K11</f>
        <v>452</v>
      </c>
      <c r="L18" s="66" t="n">
        <f aca="false">'Segment Revenue Model'!L11</f>
        <v>1923</v>
      </c>
      <c r="M18" s="65" t="n">
        <f aca="false">'Segment Revenue Model'!M11</f>
        <v>464</v>
      </c>
      <c r="N18" s="65" t="n">
        <f aca="false">'Segment Revenue Model'!N11</f>
        <v>942.168712935463</v>
      </c>
      <c r="O18" s="65" t="n">
        <f aca="false">'Segment Revenue Model'!O11</f>
        <v>735.633704746758</v>
      </c>
      <c r="P18" s="65" t="n">
        <f aca="false">'Segment Revenue Model'!P11</f>
        <v>581.168271734852</v>
      </c>
      <c r="Q18" s="66" t="n">
        <f aca="false">'Segment Revenue Model'!Q11</f>
        <v>2722.97068941707</v>
      </c>
      <c r="R18" s="65" t="n">
        <f aca="false">'Segment Revenue Model'!R11</f>
        <v>655.9005530703</v>
      </c>
      <c r="S18" s="65" t="n">
        <f aca="false">'Segment Revenue Model'!S11</f>
        <v>1131.62271541946</v>
      </c>
      <c r="T18" s="65" t="n">
        <f aca="false">'Segment Revenue Model'!T11</f>
        <v>905.691991712842</v>
      </c>
      <c r="U18" s="65" t="n">
        <f aca="false">'Segment Revenue Model'!U11</f>
        <v>819.941385253242</v>
      </c>
      <c r="V18" s="66" t="n">
        <f aca="false">'Segment Revenue Model'!V11</f>
        <v>3513.15664545584</v>
      </c>
      <c r="W18" s="65" t="n">
        <f aca="false">'Segment Revenue Model'!W11</f>
        <v>813.316685807171</v>
      </c>
      <c r="X18" s="65" t="n">
        <f aca="false">'Segment Revenue Model'!X11</f>
        <v>1403.21216712013</v>
      </c>
      <c r="Y18" s="65" t="n">
        <f aca="false">'Segment Revenue Model'!Y11</f>
        <v>1123.05806972392</v>
      </c>
      <c r="Z18" s="65" t="n">
        <f aca="false">'Segment Revenue Model'!Z11</f>
        <v>1016.72731771402</v>
      </c>
      <c r="AA18" s="66" t="n">
        <f aca="false">'Segment Revenue Model'!AA11</f>
        <v>4356.31424036524</v>
      </c>
      <c r="AB18" s="65" t="n">
        <f aca="false">'Segment Revenue Model'!AB11</f>
        <v>992.246356684749</v>
      </c>
      <c r="AC18" s="65" t="n">
        <f aca="false">'Segment Revenue Model'!AC11</f>
        <v>1711.91884388655</v>
      </c>
      <c r="AD18" s="65" t="n">
        <f aca="false">'Segment Revenue Model'!AD11</f>
        <v>1370.13084506319</v>
      </c>
      <c r="AE18" s="65" t="n">
        <f aca="false">'Segment Revenue Model'!AE11</f>
        <v>1240.4073276111</v>
      </c>
      <c r="AF18" s="66" t="n">
        <f aca="false">'Segment Revenue Model'!AF11</f>
        <v>5314.7033732456</v>
      </c>
      <c r="AG18" s="65" t="n">
        <f aca="false">'Segment Revenue Model'!AG11</f>
        <v>1190.6956280217</v>
      </c>
      <c r="AH18" s="65" t="n">
        <f aca="false">'Segment Revenue Model'!AH11</f>
        <v>2054.30261266386</v>
      </c>
      <c r="AI18" s="65" t="n">
        <f aca="false">'Segment Revenue Model'!AI11</f>
        <v>1644.15701407583</v>
      </c>
      <c r="AJ18" s="65" t="n">
        <f aca="false">'Segment Revenue Model'!AJ11</f>
        <v>1488.48879313333</v>
      </c>
      <c r="AK18" s="66" t="n">
        <f aca="false">'Segment Revenue Model'!AK11</f>
        <v>6377.64404789471</v>
      </c>
    </row>
    <row r="19" customFormat="false" ht="15" hidden="false" customHeight="false" outlineLevel="0" collapsed="false">
      <c r="A19" s="0" t="s">
        <v>79</v>
      </c>
      <c r="B19" s="66" t="n">
        <f aca="false">'Segment Revenue Model'!B12</f>
        <v>2875</v>
      </c>
      <c r="C19" s="65" t="n">
        <f aca="false">'Segment Revenue Model'!C12</f>
        <v>642</v>
      </c>
      <c r="D19" s="65" t="n">
        <f aca="false">'Segment Revenue Model'!D12</f>
        <v>1072</v>
      </c>
      <c r="E19" s="65" t="n">
        <f aca="false">'Segment Revenue Model'!E12</f>
        <v>939</v>
      </c>
      <c r="F19" s="65" t="n">
        <f aca="false">'Segment Revenue Model'!F12</f>
        <v>1391</v>
      </c>
      <c r="G19" s="66" t="n">
        <f aca="false">'Segment Revenue Model'!G12</f>
        <v>4044</v>
      </c>
      <c r="H19" s="65" t="n">
        <f aca="false">'Segment Revenue Model'!H12</f>
        <v>1249</v>
      </c>
      <c r="I19" s="65" t="n">
        <f aca="false">'Segment Revenue Model'!I12</f>
        <v>858</v>
      </c>
      <c r="J19" s="65" t="n">
        <f aca="false">'Segment Revenue Model'!J12</f>
        <v>1215</v>
      </c>
      <c r="K19" s="65" t="n">
        <f aca="false">'Segment Revenue Model'!K12</f>
        <v>1318</v>
      </c>
      <c r="L19" s="66" t="n">
        <f aca="false">'Segment Revenue Model'!L12</f>
        <v>4640</v>
      </c>
      <c r="M19" s="65" t="n">
        <f aca="false">'Segment Revenue Model'!M12</f>
        <v>1375.1</v>
      </c>
      <c r="N19" s="65" t="n">
        <f aca="false">'Segment Revenue Model'!N12</f>
        <v>1451.31194918964</v>
      </c>
      <c r="O19" s="65" t="n">
        <f aca="false">'Segment Revenue Model'!O12</f>
        <v>1913.90781855955</v>
      </c>
      <c r="P19" s="65" t="n">
        <f aca="false">'Segment Revenue Model'!P12</f>
        <v>1694.64553572242</v>
      </c>
      <c r="Q19" s="66" t="n">
        <f aca="false">'Segment Revenue Model'!Q12</f>
        <v>6434.96530347161</v>
      </c>
      <c r="R19" s="65" t="n">
        <f aca="false">'Segment Revenue Model'!R12</f>
        <v>1943.81217785985</v>
      </c>
      <c r="S19" s="65" t="n">
        <f aca="false">'Segment Revenue Model'!S12</f>
        <v>1743.14594224397</v>
      </c>
      <c r="T19" s="65" t="n">
        <f aca="false">'Segment Revenue Model'!T12</f>
        <v>2356.35068507731</v>
      </c>
      <c r="U19" s="65" t="n">
        <f aca="false">'Segment Revenue Model'!U12</f>
        <v>2390.89103045083</v>
      </c>
      <c r="V19" s="66" t="n">
        <f aca="false">'Segment Revenue Model'!V12</f>
        <v>8434.19983563196</v>
      </c>
      <c r="W19" s="65" t="n">
        <f aca="false">'Segment Revenue Model'!W12</f>
        <v>2410.32710054621</v>
      </c>
      <c r="X19" s="65" t="n">
        <f aca="false">'Segment Revenue Model'!X12</f>
        <v>2161.50096838253</v>
      </c>
      <c r="Y19" s="65" t="n">
        <f aca="false">'Segment Revenue Model'!Y12</f>
        <v>2921.87484949586</v>
      </c>
      <c r="Z19" s="65" t="n">
        <f aca="false">'Segment Revenue Model'!Z12</f>
        <v>2964.70487775902</v>
      </c>
      <c r="AA19" s="66" t="n">
        <f aca="false">'Segment Revenue Model'!AA12</f>
        <v>10458.4077961836</v>
      </c>
      <c r="AB19" s="65" t="n">
        <f aca="false">'Segment Revenue Model'!AB12</f>
        <v>2940.59906266638</v>
      </c>
      <c r="AC19" s="65" t="n">
        <f aca="false">'Segment Revenue Model'!AC12</f>
        <v>2637.03118142668</v>
      </c>
      <c r="AD19" s="65" t="n">
        <f aca="false">'Segment Revenue Model'!AD12</f>
        <v>3564.68731638495</v>
      </c>
      <c r="AE19" s="65" t="n">
        <f aca="false">'Segment Revenue Model'!AE12</f>
        <v>3616.93995086601</v>
      </c>
      <c r="AF19" s="66" t="n">
        <f aca="false">'Segment Revenue Model'!AF12</f>
        <v>12759.257511344</v>
      </c>
      <c r="AG19" s="65" t="n">
        <f aca="false">'Segment Revenue Model'!AG12</f>
        <v>3528.71887519965</v>
      </c>
      <c r="AH19" s="65" t="n">
        <f aca="false">'Segment Revenue Model'!AH12</f>
        <v>3164.43741771202</v>
      </c>
      <c r="AI19" s="65" t="n">
        <f aca="false">'Segment Revenue Model'!AI12</f>
        <v>4277.62477966194</v>
      </c>
      <c r="AJ19" s="65" t="n">
        <f aca="false">'Segment Revenue Model'!AJ12</f>
        <v>4340.32794103921</v>
      </c>
      <c r="AK19" s="66" t="n">
        <f aca="false">'Segment Revenue Model'!AK12</f>
        <v>15311.1090136128</v>
      </c>
    </row>
    <row r="20" customFormat="false" ht="15" hidden="false" customHeight="false" outlineLevel="0" collapsed="false">
      <c r="A20" s="0" t="s">
        <v>75</v>
      </c>
      <c r="B20" s="66" t="n">
        <f aca="false">'Segment Revenue Model'!B13</f>
        <v>1478.2</v>
      </c>
      <c r="C20" s="65" t="n">
        <f aca="false">'Segment Revenue Model'!C13</f>
        <v>246</v>
      </c>
      <c r="D20" s="65" t="n">
        <f aca="false">'Segment Revenue Model'!D13</f>
        <v>245</v>
      </c>
      <c r="E20" s="65" t="n">
        <f aca="false">'Segment Revenue Model'!E13</f>
        <v>389</v>
      </c>
      <c r="F20" s="65" t="n">
        <f aca="false">'Segment Revenue Model'!F13</f>
        <v>754</v>
      </c>
      <c r="G20" s="66" t="n">
        <f aca="false">'Segment Revenue Model'!G13</f>
        <v>1634</v>
      </c>
      <c r="H20" s="65" t="n">
        <f aca="false">'Segment Revenue Model'!H13</f>
        <v>384</v>
      </c>
      <c r="I20" s="65" t="n">
        <f aca="false">'Segment Revenue Model'!I13</f>
        <v>727</v>
      </c>
      <c r="J20" s="65" t="n">
        <f aca="false">'Segment Revenue Model'!J13</f>
        <v>422</v>
      </c>
      <c r="K20" s="65" t="n">
        <f aca="false">'Segment Revenue Model'!K13</f>
        <v>418</v>
      </c>
      <c r="L20" s="66" t="n">
        <f aca="false">'Segment Revenue Model'!L13</f>
        <v>1951</v>
      </c>
      <c r="M20" s="65" t="n">
        <f aca="false">'Segment Revenue Model'!M13</f>
        <v>540</v>
      </c>
      <c r="N20" s="65" t="n">
        <f aca="false">'Segment Revenue Model'!N13</f>
        <v>1229.72469354413</v>
      </c>
      <c r="O20" s="65" t="n">
        <f aca="false">'Segment Revenue Model'!O13</f>
        <v>664.748229985293</v>
      </c>
      <c r="P20" s="65" t="n">
        <f aca="false">'Segment Revenue Model'!P13</f>
        <v>537.452074303469</v>
      </c>
      <c r="Q20" s="66" t="n">
        <f aca="false">'Segment Revenue Model'!Q13</f>
        <v>2971.92499783289</v>
      </c>
      <c r="R20" s="65" t="n">
        <f aca="false">'Segment Revenue Model'!R13</f>
        <v>763.332540211124</v>
      </c>
      <c r="S20" s="65" t="n">
        <f aca="false">'Segment Revenue Model'!S13</f>
        <v>1477.00128206453</v>
      </c>
      <c r="T20" s="65" t="n">
        <f aca="false">'Segment Revenue Model'!T13</f>
        <v>818.419744117386</v>
      </c>
      <c r="U20" s="65" t="n">
        <f aca="false">'Segment Revenue Model'!U13</f>
        <v>758.26437839791</v>
      </c>
      <c r="V20" s="66" t="n">
        <f aca="false">'Segment Revenue Model'!V13</f>
        <v>3817.01794479095</v>
      </c>
      <c r="W20" s="65" t="n">
        <f aca="false">'Segment Revenue Model'!W13</f>
        <v>946.532349861794</v>
      </c>
      <c r="X20" s="65" t="n">
        <f aca="false">'Segment Revenue Model'!X13</f>
        <v>1831.48158976002</v>
      </c>
      <c r="Y20" s="65" t="n">
        <f aca="false">'Segment Revenue Model'!Y13</f>
        <v>1014.84048270556</v>
      </c>
      <c r="Z20" s="65" t="n">
        <f aca="false">'Segment Revenue Model'!Z13</f>
        <v>940.247829213408</v>
      </c>
      <c r="AA20" s="66" t="n">
        <f aca="false">'Segment Revenue Model'!AA13</f>
        <v>4733.10225154078</v>
      </c>
      <c r="AB20" s="65" t="n">
        <f aca="false">'Segment Revenue Model'!AB13</f>
        <v>1154.76946683139</v>
      </c>
      <c r="AC20" s="65" t="n">
        <f aca="false">'Segment Revenue Model'!AC13</f>
        <v>2234.40753950722</v>
      </c>
      <c r="AD20" s="65" t="n">
        <f aca="false">'Segment Revenue Model'!AD13</f>
        <v>1238.10538890078</v>
      </c>
      <c r="AE20" s="65" t="n">
        <f aca="false">'Segment Revenue Model'!AE13</f>
        <v>1147.10235164036</v>
      </c>
      <c r="AF20" s="66" t="n">
        <f aca="false">'Segment Revenue Model'!AF13</f>
        <v>5774.38474687975</v>
      </c>
      <c r="AG20" s="65" t="n">
        <f aca="false">'Segment Revenue Model'!AG13</f>
        <v>1385.72336019767</v>
      </c>
      <c r="AH20" s="65" t="n">
        <f aca="false">'Segment Revenue Model'!AH13</f>
        <v>2681.28904740867</v>
      </c>
      <c r="AI20" s="65" t="n">
        <f aca="false">'Segment Revenue Model'!AI13</f>
        <v>1485.72646668094</v>
      </c>
      <c r="AJ20" s="65" t="n">
        <f aca="false">'Segment Revenue Model'!AJ13</f>
        <v>1376.52282196843</v>
      </c>
      <c r="AK20" s="66" t="n">
        <f aca="false">'Segment Revenue Model'!AK13</f>
        <v>6929.26169625571</v>
      </c>
    </row>
    <row r="21" customFormat="false" ht="15" hidden="false" customHeight="false" outlineLevel="0" collapsed="false">
      <c r="A21" s="74" t="s">
        <v>81</v>
      </c>
      <c r="B21" s="93" t="n">
        <f aca="false">'Segment Revenue Model'!B14</f>
        <v>7196.2</v>
      </c>
      <c r="C21" s="94" t="n">
        <f aca="false">'Segment Revenue Model'!C14</f>
        <v>1796</v>
      </c>
      <c r="D21" s="94" t="n">
        <f aca="false">'Segment Revenue Model'!D14</f>
        <v>2397</v>
      </c>
      <c r="E21" s="94" t="n">
        <f aca="false">'Segment Revenue Model'!E14</f>
        <v>2466</v>
      </c>
      <c r="F21" s="94" t="n">
        <f aca="false">'Segment Revenue Model'!F14</f>
        <v>3389</v>
      </c>
      <c r="G21" s="93" t="n">
        <f aca="false">'Segment Revenue Model'!G14</f>
        <v>10048</v>
      </c>
      <c r="H21" s="94" t="n">
        <f aca="false">'Segment Revenue Model'!H14</f>
        <v>2897</v>
      </c>
      <c r="I21" s="94" t="n">
        <f aca="false">'Segment Revenue Model'!I14</f>
        <v>3193</v>
      </c>
      <c r="J21" s="94" t="n">
        <f aca="false">'Segment Revenue Model'!J14</f>
        <v>3531</v>
      </c>
      <c r="K21" s="94" t="n">
        <f aca="false">'Segment Revenue Model'!K14</f>
        <v>4477</v>
      </c>
      <c r="L21" s="93" t="n">
        <f aca="false">'Segment Revenue Model'!L14</f>
        <v>14098</v>
      </c>
      <c r="M21" s="94" t="n">
        <f aca="false">'Segment Revenue Model'!M14</f>
        <v>4689.1</v>
      </c>
      <c r="N21" s="94" t="n">
        <f aca="false">'Segment Revenue Model'!N14</f>
        <v>5400.97791813812</v>
      </c>
      <c r="O21" s="94" t="n">
        <f aca="false">'Segment Revenue Model'!O14</f>
        <v>5562.14691961628</v>
      </c>
      <c r="P21" s="94" t="n">
        <f aca="false">'Segment Revenue Model'!P14</f>
        <v>5756.39458530295</v>
      </c>
      <c r="Q21" s="93" t="n">
        <f aca="false">'Segment Revenue Model'!Q14</f>
        <v>21408.6194230573</v>
      </c>
      <c r="R21" s="94" t="n">
        <f aca="false">'Segment Revenue Model'!R14</f>
        <v>6628.41224871108</v>
      </c>
      <c r="S21" s="94" t="n">
        <f aca="false">'Segment Revenue Model'!S14</f>
        <v>6487.02213704547</v>
      </c>
      <c r="T21" s="94" t="n">
        <f aca="false">'Segment Revenue Model'!T14</f>
        <v>6847.96236132344</v>
      </c>
      <c r="U21" s="94" t="n">
        <f aca="false">'Segment Revenue Model'!U14</f>
        <v>8121.41057915656</v>
      </c>
      <c r="V21" s="93" t="n">
        <f aca="false">'Segment Revenue Model'!V14</f>
        <v>28084.8073262365</v>
      </c>
      <c r="W21" s="94" t="n">
        <f aca="false">'Segment Revenue Model'!W14</f>
        <v>8219.23118840174</v>
      </c>
      <c r="X21" s="94" t="n">
        <f aca="false">'Segment Revenue Model'!X14</f>
        <v>8043.90744993638</v>
      </c>
      <c r="Y21" s="94" t="n">
        <f aca="false">'Segment Revenue Model'!Y14</f>
        <v>8491.47332804106</v>
      </c>
      <c r="Z21" s="94" t="n">
        <f aca="false">'Segment Revenue Model'!Z14</f>
        <v>10070.5491181541</v>
      </c>
      <c r="AA21" s="93" t="n">
        <f aca="false">'Segment Revenue Model'!AA14</f>
        <v>34825.1610845333</v>
      </c>
      <c r="AB21" s="94" t="n">
        <f aca="false">'Segment Revenue Model'!AB14</f>
        <v>10027.4620498501</v>
      </c>
      <c r="AC21" s="94" t="n">
        <f aca="false">'Segment Revenue Model'!AC14</f>
        <v>9813.56708892238</v>
      </c>
      <c r="AD21" s="94" t="n">
        <f aca="false">'Segment Revenue Model'!AD14</f>
        <v>10359.5974602101</v>
      </c>
      <c r="AE21" s="94" t="n">
        <f aca="false">'Segment Revenue Model'!AE14</f>
        <v>12286.069924148</v>
      </c>
      <c r="AF21" s="93" t="n">
        <f aca="false">'Segment Revenue Model'!AF14</f>
        <v>42486.6965231306</v>
      </c>
      <c r="AG21" s="94" t="n">
        <f aca="false">'Segment Revenue Model'!AG14</f>
        <v>12032.9544598201</v>
      </c>
      <c r="AH21" s="94" t="n">
        <f aca="false">'Segment Revenue Model'!AH14</f>
        <v>11776.2805067069</v>
      </c>
      <c r="AI21" s="94" t="n">
        <f aca="false">'Segment Revenue Model'!AI14</f>
        <v>12431.5169522521</v>
      </c>
      <c r="AJ21" s="94" t="n">
        <f aca="false">'Segment Revenue Model'!AJ14</f>
        <v>14743.2839089777</v>
      </c>
      <c r="AK21" s="93" t="n">
        <f aca="false">'Segment Revenue Model'!AK14</f>
        <v>50984.0358277568</v>
      </c>
    </row>
    <row r="22" customFormat="false" ht="15" hidden="false" customHeight="false" outlineLevel="0" collapsed="false">
      <c r="B22" s="66"/>
      <c r="C22" s="65"/>
      <c r="D22" s="65"/>
      <c r="E22" s="65"/>
      <c r="F22" s="65"/>
      <c r="G22" s="66"/>
      <c r="H22" s="65"/>
      <c r="I22" s="65"/>
      <c r="J22" s="65"/>
      <c r="K22" s="65"/>
      <c r="L22" s="66"/>
      <c r="M22" s="65"/>
      <c r="N22" s="65"/>
      <c r="O22" s="65"/>
      <c r="P22" s="65"/>
      <c r="Q22" s="66"/>
      <c r="R22" s="65"/>
      <c r="S22" s="65"/>
      <c r="T22" s="65"/>
      <c r="U22" s="65"/>
      <c r="V22" s="66"/>
      <c r="W22" s="65"/>
      <c r="X22" s="65"/>
      <c r="Y22" s="65"/>
      <c r="Z22" s="65"/>
      <c r="AA22" s="66"/>
      <c r="AB22" s="65"/>
      <c r="AC22" s="65"/>
      <c r="AD22" s="65"/>
      <c r="AE22" s="65"/>
      <c r="AF22" s="66"/>
      <c r="AG22" s="65"/>
      <c r="AH22" s="65"/>
      <c r="AI22" s="65"/>
      <c r="AJ22" s="65"/>
      <c r="AK22" s="66"/>
    </row>
    <row r="23" customFormat="false" ht="15" hidden="false" customHeight="false" outlineLevel="0" collapsed="false">
      <c r="A23" s="74" t="s">
        <v>71</v>
      </c>
      <c r="B23" s="66"/>
      <c r="C23" s="65"/>
      <c r="D23" s="65"/>
      <c r="E23" s="65"/>
      <c r="F23" s="65"/>
      <c r="G23" s="66"/>
      <c r="H23" s="65"/>
      <c r="I23" s="65"/>
      <c r="J23" s="65"/>
      <c r="K23" s="65"/>
      <c r="L23" s="66"/>
      <c r="M23" s="65"/>
      <c r="N23" s="65"/>
      <c r="O23" s="65"/>
      <c r="P23" s="65"/>
      <c r="Q23" s="66"/>
      <c r="R23" s="65"/>
      <c r="S23" s="65"/>
      <c r="T23" s="65"/>
      <c r="U23" s="65"/>
      <c r="V23" s="66"/>
      <c r="W23" s="65"/>
      <c r="X23" s="65"/>
      <c r="Y23" s="65"/>
      <c r="Z23" s="65"/>
      <c r="AA23" s="66"/>
      <c r="AB23" s="65"/>
      <c r="AC23" s="65"/>
      <c r="AD23" s="65"/>
      <c r="AE23" s="65"/>
      <c r="AF23" s="66"/>
      <c r="AG23" s="65"/>
      <c r="AH23" s="65"/>
      <c r="AI23" s="65"/>
      <c r="AJ23" s="65"/>
      <c r="AK23" s="66"/>
    </row>
    <row r="24" customFormat="false" ht="15" hidden="false" customHeight="false" outlineLevel="0" collapsed="false">
      <c r="A24" s="0" t="s">
        <v>74</v>
      </c>
      <c r="B24" s="66" t="n">
        <f aca="false">'Segment Revenue Model'!B17</f>
        <v>5913</v>
      </c>
      <c r="C24" s="65" t="n">
        <f aca="false">'Segment Revenue Model'!C17</f>
        <v>2123</v>
      </c>
      <c r="D24" s="65" t="n">
        <f aca="false">'Segment Revenue Model'!D17</f>
        <v>2278</v>
      </c>
      <c r="E24" s="65" t="n">
        <f aca="false">'Segment Revenue Model'!E17</f>
        <v>1748</v>
      </c>
      <c r="F24" s="65" t="n">
        <f aca="false">'Segment Revenue Model'!F17</f>
        <v>1892</v>
      </c>
      <c r="G24" s="66" t="n">
        <f aca="false">'Segment Revenue Model'!G17</f>
        <v>8041</v>
      </c>
      <c r="H24" s="65" t="n">
        <f aca="false">'Segment Revenue Model'!H17</f>
        <v>2140</v>
      </c>
      <c r="I24" s="65" t="n">
        <f aca="false">'Segment Revenue Model'!I17</f>
        <v>1856</v>
      </c>
      <c r="J24" s="65" t="n">
        <f aca="false">'Segment Revenue Model'!J17</f>
        <v>1744</v>
      </c>
      <c r="K24" s="65" t="n">
        <f aca="false">'Segment Revenue Model'!K17</f>
        <v>1639</v>
      </c>
      <c r="L24" s="66" t="n">
        <f aca="false">'Segment Revenue Model'!L17</f>
        <v>7379</v>
      </c>
      <c r="M24" s="65" t="n">
        <f aca="false">'Segment Revenue Model'!M17</f>
        <v>1517</v>
      </c>
      <c r="N24" s="65" t="n">
        <f aca="false">'Segment Revenue Model'!N17</f>
        <v>2277.0706245455</v>
      </c>
      <c r="O24" s="65" t="n">
        <f aca="false">'Segment Revenue Model'!O17</f>
        <v>2075.33566970255</v>
      </c>
      <c r="P24" s="65" t="n">
        <f aca="false">'Segment Revenue Model'!P17</f>
        <v>1794.19162623806</v>
      </c>
      <c r="Q24" s="66" t="n">
        <f aca="false">'Segment Revenue Model'!Q17</f>
        <v>7663.59792048612</v>
      </c>
      <c r="R24" s="65" t="n">
        <f aca="false">'Segment Revenue Model'!R17</f>
        <v>1975.64180217705</v>
      </c>
      <c r="S24" s="65" t="n">
        <f aca="false">'Segment Revenue Model'!S17</f>
        <v>2327.83844014826</v>
      </c>
      <c r="T24" s="65" t="n">
        <f aca="false">'Segment Revenue Model'!T17</f>
        <v>2263.15813207039</v>
      </c>
      <c r="U24" s="65" t="n">
        <f aca="false">'Segment Revenue Model'!U17</f>
        <v>2239.57459650359</v>
      </c>
      <c r="V24" s="66" t="n">
        <f aca="false">'Segment Revenue Model'!V17</f>
        <v>8806.21297089929</v>
      </c>
      <c r="W24" s="65" t="n">
        <f aca="false">'Segment Revenue Model'!W17</f>
        <v>2449.79583469954</v>
      </c>
      <c r="X24" s="65" t="n">
        <f aca="false">'Segment Revenue Model'!X17</f>
        <v>2886.51966578384</v>
      </c>
      <c r="Y24" s="65" t="n">
        <f aca="false">'Segment Revenue Model'!Y17</f>
        <v>2806.31608376729</v>
      </c>
      <c r="Z24" s="65" t="n">
        <f aca="false">'Segment Revenue Model'!Z17</f>
        <v>2777.07249966446</v>
      </c>
      <c r="AA24" s="66" t="n">
        <f aca="false">'Segment Revenue Model'!AA17</f>
        <v>10919.7040839151</v>
      </c>
      <c r="AB24" s="65" t="n">
        <f aca="false">'Segment Revenue Model'!AB17</f>
        <v>2988.75091833344</v>
      </c>
      <c r="AC24" s="65" t="n">
        <f aca="false">'Segment Revenue Model'!AC17</f>
        <v>3521.55399225628</v>
      </c>
      <c r="AD24" s="65" t="n">
        <f aca="false">'Segment Revenue Model'!AD17</f>
        <v>3423.70562219609</v>
      </c>
      <c r="AE24" s="65" t="n">
        <f aca="false">'Segment Revenue Model'!AE17</f>
        <v>3388.02844959064</v>
      </c>
      <c r="AF24" s="66" t="n">
        <f aca="false">'Segment Revenue Model'!AF17</f>
        <v>13322.0389823764</v>
      </c>
      <c r="AG24" s="65" t="n">
        <f aca="false">'Segment Revenue Model'!AG17</f>
        <v>3586.50110200012</v>
      </c>
      <c r="AH24" s="65" t="n">
        <f aca="false">'Segment Revenue Model'!AH17</f>
        <v>4225.86479070754</v>
      </c>
      <c r="AI24" s="65" t="n">
        <f aca="false">'Segment Revenue Model'!AI17</f>
        <v>4108.44674663531</v>
      </c>
      <c r="AJ24" s="65" t="n">
        <f aca="false">'Segment Revenue Model'!AJ17</f>
        <v>4065.63413950876</v>
      </c>
      <c r="AK24" s="66" t="n">
        <f aca="false">'Segment Revenue Model'!AK17</f>
        <v>15986.4467788517</v>
      </c>
    </row>
    <row r="25" customFormat="false" ht="15" hidden="false" customHeight="false" outlineLevel="0" collapsed="false">
      <c r="A25" s="37" t="s">
        <v>77</v>
      </c>
      <c r="B25" s="66" t="n">
        <f aca="false">'Segment Revenue Model'!B18</f>
        <v>6429</v>
      </c>
      <c r="C25" s="65" t="n">
        <f aca="false">'Segment Revenue Model'!C18</f>
        <v>1309</v>
      </c>
      <c r="D25" s="65" t="n">
        <f aca="false">'Segment Revenue Model'!D18</f>
        <v>1577</v>
      </c>
      <c r="E25" s="65" t="n">
        <f aca="false">'Segment Revenue Model'!E18</f>
        <v>1620</v>
      </c>
      <c r="F25" s="65" t="n">
        <f aca="false">'Segment Revenue Model'!F18</f>
        <v>1412</v>
      </c>
      <c r="G25" s="66" t="n">
        <f aca="false">'Segment Revenue Model'!G18</f>
        <v>5918</v>
      </c>
      <c r="H25" s="65" t="n">
        <f aca="false">'Segment Revenue Model'!H18</f>
        <v>1564</v>
      </c>
      <c r="I25" s="65" t="n">
        <f aca="false">'Segment Revenue Model'!I18</f>
        <v>1560</v>
      </c>
      <c r="J25" s="65" t="n">
        <f aca="false">'Segment Revenue Model'!J18</f>
        <v>1543</v>
      </c>
      <c r="K25" s="65" t="n">
        <f aca="false">'Segment Revenue Model'!K18</f>
        <v>1677</v>
      </c>
      <c r="L25" s="66" t="n">
        <f aca="false">'Segment Revenue Model'!L18</f>
        <v>6344</v>
      </c>
      <c r="M25" s="65" t="n">
        <f aca="false">'Segment Revenue Model'!M18</f>
        <v>1390</v>
      </c>
      <c r="N25" s="65" t="n">
        <f aca="false">'Segment Revenue Model'!N18</f>
        <v>1913.91711976885</v>
      </c>
      <c r="O25" s="65" t="n">
        <f aca="false">'Segment Revenue Model'!O18</f>
        <v>1836.14847382514</v>
      </c>
      <c r="P25" s="65" t="n">
        <f aca="false">'Segment Revenue Model'!P18</f>
        <v>1835.78972373473</v>
      </c>
      <c r="Q25" s="66" t="n">
        <f aca="false">'Segment Revenue Model'!Q18</f>
        <v>6975.85531732872</v>
      </c>
      <c r="R25" s="65" t="n">
        <f aca="false">'Segment Revenue Model'!R18</f>
        <v>1810.24529006334</v>
      </c>
      <c r="S25" s="65" t="n">
        <f aca="false">'Segment Revenue Model'!S18</f>
        <v>1956.58834409013</v>
      </c>
      <c r="T25" s="65" t="n">
        <f aca="false">'Segment Revenue Model'!T18</f>
        <v>2002.32396661962</v>
      </c>
      <c r="U25" s="65" t="n">
        <f aca="false">'Segment Revenue Model'!U18</f>
        <v>2291.49883974163</v>
      </c>
      <c r="V25" s="66" t="n">
        <f aca="false">'Segment Revenue Model'!V18</f>
        <v>8060.65644051472</v>
      </c>
      <c r="W25" s="65" t="n">
        <f aca="false">'Segment Revenue Model'!W18</f>
        <v>2244.70415967855</v>
      </c>
      <c r="X25" s="65" t="n">
        <f aca="false">'Segment Revenue Model'!X18</f>
        <v>2426.16954667176</v>
      </c>
      <c r="Y25" s="65" t="n">
        <f aca="false">'Segment Revenue Model'!Y18</f>
        <v>2482.88171860833</v>
      </c>
      <c r="Z25" s="65" t="n">
        <f aca="false">'Segment Revenue Model'!Z18</f>
        <v>2841.45856127962</v>
      </c>
      <c r="AA25" s="66" t="n">
        <f aca="false">'Segment Revenue Model'!AA18</f>
        <v>9995.21398623825</v>
      </c>
      <c r="AB25" s="65" t="n">
        <f aca="false">'Segment Revenue Model'!AB18</f>
        <v>2738.53907480783</v>
      </c>
      <c r="AC25" s="65" t="n">
        <f aca="false">'Segment Revenue Model'!AC18</f>
        <v>2959.92684693955</v>
      </c>
      <c r="AD25" s="65" t="n">
        <f aca="false">'Segment Revenue Model'!AD18</f>
        <v>3029.11569670216</v>
      </c>
      <c r="AE25" s="65" t="n">
        <f aca="false">'Segment Revenue Model'!AE18</f>
        <v>3466.57944476113</v>
      </c>
      <c r="AF25" s="66" t="n">
        <f aca="false">'Segment Revenue Model'!AF18</f>
        <v>12194.1610632107</v>
      </c>
      <c r="AG25" s="65" t="n">
        <f aca="false">'Segment Revenue Model'!AG18</f>
        <v>3286.24688976939</v>
      </c>
      <c r="AH25" s="65" t="n">
        <f aca="false">'Segment Revenue Model'!AH18</f>
        <v>3551.91221632746</v>
      </c>
      <c r="AI25" s="65" t="n">
        <f aca="false">'Segment Revenue Model'!AI18</f>
        <v>3634.93883604259</v>
      </c>
      <c r="AJ25" s="65" t="n">
        <f aca="false">'Segment Revenue Model'!AJ18</f>
        <v>4159.89533371336</v>
      </c>
      <c r="AK25" s="66" t="n">
        <f aca="false">'Segment Revenue Model'!AK18</f>
        <v>14632.9932758528</v>
      </c>
    </row>
    <row r="26" customFormat="false" ht="15" hidden="false" customHeight="false" outlineLevel="0" collapsed="false">
      <c r="A26" s="0" t="s">
        <v>80</v>
      </c>
      <c r="B26" s="66" t="n">
        <f aca="false">'Segment Revenue Model'!B19</f>
        <v>2964</v>
      </c>
      <c r="C26" s="65" t="n">
        <f aca="false">'Segment Revenue Model'!C19</f>
        <v>436</v>
      </c>
      <c r="D26" s="65" t="n">
        <f aca="false">'Segment Revenue Model'!D19</f>
        <v>418</v>
      </c>
      <c r="E26" s="65" t="n">
        <f aca="false">'Segment Revenue Model'!E19</f>
        <v>268</v>
      </c>
      <c r="F26" s="65" t="n">
        <f aca="false">'Segment Revenue Model'!F19</f>
        <v>395</v>
      </c>
      <c r="G26" s="66" t="n">
        <f aca="false">'Segment Revenue Model'!G19</f>
        <v>1517</v>
      </c>
      <c r="H26" s="65" t="n">
        <f aca="false">'Segment Revenue Model'!H19</f>
        <v>467</v>
      </c>
      <c r="I26" s="65" t="n">
        <f aca="false">'Segment Revenue Model'!I19</f>
        <v>631</v>
      </c>
      <c r="J26" s="65" t="n">
        <f aca="false">'Segment Revenue Model'!J19</f>
        <v>750</v>
      </c>
      <c r="K26" s="65" t="n">
        <f aca="false">'Segment Revenue Model'!K19</f>
        <v>895</v>
      </c>
      <c r="L26" s="66" t="n">
        <f aca="false">'Segment Revenue Model'!L19</f>
        <v>2743</v>
      </c>
      <c r="M26" s="65" t="n">
        <f aca="false">'Segment Revenue Model'!M19</f>
        <v>671</v>
      </c>
      <c r="N26" s="65" t="n">
        <f aca="false">'Segment Revenue Model'!N19</f>
        <v>774.154937547528</v>
      </c>
      <c r="O26" s="65" t="n">
        <f aca="false">'Segment Revenue Model'!O19</f>
        <v>892.489536856029</v>
      </c>
      <c r="P26" s="65" t="n">
        <f aca="false">'Segment Revenue Model'!P19</f>
        <v>979.744664724261</v>
      </c>
      <c r="Q26" s="66" t="n">
        <f aca="false">'Segment Revenue Model'!Q19</f>
        <v>3317.38913912782</v>
      </c>
      <c r="R26" s="65" t="n">
        <f aca="false">'Segment Revenue Model'!R19</f>
        <v>873.866611246406</v>
      </c>
      <c r="S26" s="65" t="n">
        <f aca="false">'Segment Revenue Model'!S19</f>
        <v>791.414900718507</v>
      </c>
      <c r="T26" s="65" t="n">
        <f aca="false">'Segment Revenue Model'!T19</f>
        <v>973.261811383484</v>
      </c>
      <c r="U26" s="65" t="n">
        <f aca="false">'Segment Revenue Model'!U19</f>
        <v>1222.95257100105</v>
      </c>
      <c r="V26" s="66" t="n">
        <f aca="false">'Segment Revenue Model'!V19</f>
        <v>3861.49589434944</v>
      </c>
      <c r="W26" s="65" t="n">
        <f aca="false">'Segment Revenue Model'!W19</f>
        <v>1083.59459794554</v>
      </c>
      <c r="X26" s="65" t="n">
        <f aca="false">'Segment Revenue Model'!X19</f>
        <v>981.354476890949</v>
      </c>
      <c r="Y26" s="65" t="n">
        <f aca="false">'Segment Revenue Model'!Y19</f>
        <v>1206.84464611552</v>
      </c>
      <c r="Z26" s="65" t="n">
        <f aca="false">'Segment Revenue Model'!Z19</f>
        <v>1516.4611880413</v>
      </c>
      <c r="AA26" s="66" t="n">
        <f aca="false">'Segment Revenue Model'!AA19</f>
        <v>4788.25490899331</v>
      </c>
      <c r="AB26" s="65" t="n">
        <f aca="false">'Segment Revenue Model'!AB19</f>
        <v>1321.98540949356</v>
      </c>
      <c r="AC26" s="65" t="n">
        <f aca="false">'Segment Revenue Model'!AC19</f>
        <v>1197.25246180696</v>
      </c>
      <c r="AD26" s="65" t="n">
        <f aca="false">'Segment Revenue Model'!AD19</f>
        <v>1472.35046826093</v>
      </c>
      <c r="AE26" s="65" t="n">
        <f aca="false">'Segment Revenue Model'!AE19</f>
        <v>1850.08264941038</v>
      </c>
      <c r="AF26" s="66" t="n">
        <f aca="false">'Segment Revenue Model'!AF19</f>
        <v>5841.67098897184</v>
      </c>
      <c r="AG26" s="65" t="n">
        <f aca="false">'Segment Revenue Model'!AG19</f>
        <v>1586.38249139228</v>
      </c>
      <c r="AH26" s="65" t="n">
        <f aca="false">'Segment Revenue Model'!AH19</f>
        <v>1436.70295416835</v>
      </c>
      <c r="AI26" s="65" t="n">
        <f aca="false">'Segment Revenue Model'!AI19</f>
        <v>1766.82056191312</v>
      </c>
      <c r="AJ26" s="65" t="n">
        <f aca="false">'Segment Revenue Model'!AJ19</f>
        <v>2220.09917929246</v>
      </c>
      <c r="AK26" s="66" t="n">
        <f aca="false">'Segment Revenue Model'!AK19</f>
        <v>7010.0051867662</v>
      </c>
    </row>
    <row r="27" customFormat="false" ht="15" hidden="false" customHeight="false" outlineLevel="0" collapsed="false">
      <c r="A27" s="74" t="s">
        <v>81</v>
      </c>
      <c r="B27" s="93" t="n">
        <f aca="false">'Segment Revenue Model'!B20</f>
        <v>15306</v>
      </c>
      <c r="C27" s="94" t="n">
        <f aca="false">'Segment Revenue Model'!C20</f>
        <v>3868</v>
      </c>
      <c r="D27" s="94" t="n">
        <f aca="false">'Segment Revenue Model'!D20</f>
        <v>4273</v>
      </c>
      <c r="E27" s="94" t="n">
        <f aca="false">'Segment Revenue Model'!E20</f>
        <v>3636</v>
      </c>
      <c r="F27" s="94" t="n">
        <f aca="false">'Segment Revenue Model'!F20</f>
        <v>3699</v>
      </c>
      <c r="G27" s="93" t="n">
        <f aca="false">'Segment Revenue Model'!G20</f>
        <v>15476</v>
      </c>
      <c r="H27" s="94" t="n">
        <f aca="false">'Segment Revenue Model'!H20</f>
        <v>4171</v>
      </c>
      <c r="I27" s="94" t="n">
        <f aca="false">'Segment Revenue Model'!I20</f>
        <v>4047</v>
      </c>
      <c r="J27" s="94" t="n">
        <f aca="false">'Segment Revenue Model'!J20</f>
        <v>4037</v>
      </c>
      <c r="K27" s="94" t="n">
        <f aca="false">'Segment Revenue Model'!K20</f>
        <v>4211</v>
      </c>
      <c r="L27" s="93" t="n">
        <f aca="false">'Segment Revenue Model'!L20</f>
        <v>16466</v>
      </c>
      <c r="M27" s="94" t="n">
        <f aca="false">'Segment Revenue Model'!M20</f>
        <v>3578</v>
      </c>
      <c r="N27" s="94" t="n">
        <f aca="false">'Segment Revenue Model'!N20</f>
        <v>4965.14268186188</v>
      </c>
      <c r="O27" s="94" t="n">
        <f aca="false">'Segment Revenue Model'!O20</f>
        <v>4803.97368038372</v>
      </c>
      <c r="P27" s="94" t="n">
        <f aca="false">'Segment Revenue Model'!P20</f>
        <v>4609.72601469705</v>
      </c>
      <c r="Q27" s="93" t="n">
        <f aca="false">'Segment Revenue Model'!Q20</f>
        <v>17956.8423769427</v>
      </c>
      <c r="R27" s="94" t="n">
        <f aca="false">'Segment Revenue Model'!R20</f>
        <v>4659.7537034868</v>
      </c>
      <c r="S27" s="94" t="n">
        <f aca="false">'Segment Revenue Model'!S20</f>
        <v>5075.84168495689</v>
      </c>
      <c r="T27" s="94" t="n">
        <f aca="false">'Segment Revenue Model'!T20</f>
        <v>5238.7439100735</v>
      </c>
      <c r="U27" s="94" t="n">
        <f aca="false">'Segment Revenue Model'!U20</f>
        <v>5754.02600724627</v>
      </c>
      <c r="V27" s="93" t="n">
        <f aca="false">'Segment Revenue Model'!V20</f>
        <v>20728.3653057635</v>
      </c>
      <c r="W27" s="94" t="n">
        <f aca="false">'Segment Revenue Model'!W20</f>
        <v>5778.09459232363</v>
      </c>
      <c r="X27" s="94" t="n">
        <f aca="false">'Segment Revenue Model'!X20</f>
        <v>6294.04368934654</v>
      </c>
      <c r="Y27" s="94" t="n">
        <f aca="false">'Segment Revenue Model'!Y20</f>
        <v>6496.04244849114</v>
      </c>
      <c r="Z27" s="94" t="n">
        <f aca="false">'Segment Revenue Model'!Z20</f>
        <v>7134.99224898537</v>
      </c>
      <c r="AA27" s="93" t="n">
        <f aca="false">'Segment Revenue Model'!AA20</f>
        <v>25703.1729791467</v>
      </c>
      <c r="AB27" s="94" t="n">
        <f aca="false">'Segment Revenue Model'!AB20</f>
        <v>7049.27540263483</v>
      </c>
      <c r="AC27" s="94" t="n">
        <f aca="false">'Segment Revenue Model'!AC20</f>
        <v>7678.73330100278</v>
      </c>
      <c r="AD27" s="94" t="n">
        <f aca="false">'Segment Revenue Model'!AD20</f>
        <v>7925.17178715919</v>
      </c>
      <c r="AE27" s="94" t="n">
        <f aca="false">'Segment Revenue Model'!AE20</f>
        <v>8704.69054376215</v>
      </c>
      <c r="AF27" s="93" t="n">
        <f aca="false">'Segment Revenue Model'!AF20</f>
        <v>31357.8710345589</v>
      </c>
      <c r="AG27" s="94" t="n">
        <f aca="false">'Segment Revenue Model'!AG20</f>
        <v>8459.13048316179</v>
      </c>
      <c r="AH27" s="94" t="n">
        <f aca="false">'Segment Revenue Model'!AH20</f>
        <v>9214.47996120334</v>
      </c>
      <c r="AI27" s="94" t="n">
        <f aca="false">'Segment Revenue Model'!AI20</f>
        <v>9510.20614459102</v>
      </c>
      <c r="AJ27" s="94" t="n">
        <f aca="false">'Segment Revenue Model'!AJ20</f>
        <v>10445.6286525146</v>
      </c>
      <c r="AK27" s="93" t="n">
        <f aca="false">'Segment Revenue Model'!AK20</f>
        <v>37629.4452414707</v>
      </c>
    </row>
    <row r="28" customFormat="false" ht="15" hidden="false" customHeight="false" outlineLevel="0" collapsed="false">
      <c r="B28" s="66"/>
      <c r="C28" s="65"/>
      <c r="D28" s="65"/>
      <c r="E28" s="65"/>
      <c r="F28" s="65"/>
      <c r="G28" s="66"/>
      <c r="H28" s="65"/>
      <c r="I28" s="65"/>
      <c r="J28" s="65"/>
      <c r="K28" s="65"/>
      <c r="L28" s="66"/>
      <c r="M28" s="65"/>
      <c r="N28" s="65"/>
      <c r="O28" s="65"/>
      <c r="P28" s="65"/>
      <c r="Q28" s="66"/>
      <c r="R28" s="65"/>
      <c r="S28" s="65"/>
      <c r="T28" s="65"/>
      <c r="U28" s="65"/>
      <c r="V28" s="66"/>
      <c r="W28" s="65"/>
      <c r="X28" s="65"/>
      <c r="Y28" s="65"/>
      <c r="Z28" s="65"/>
      <c r="AA28" s="66"/>
      <c r="AB28" s="65"/>
      <c r="AC28" s="65"/>
      <c r="AD28" s="65"/>
      <c r="AE28" s="65"/>
      <c r="AF28" s="66"/>
      <c r="AG28" s="65"/>
      <c r="AH28" s="65"/>
      <c r="AI28" s="65"/>
      <c r="AJ28" s="65"/>
      <c r="AK28" s="66"/>
    </row>
    <row r="29" customFormat="false" ht="15" hidden="false" customHeight="false" outlineLevel="0" collapsed="false">
      <c r="A29" s="37" t="s">
        <v>70</v>
      </c>
      <c r="B29" s="66" t="n">
        <f aca="false">'Segment Revenue Model'!B23</f>
        <v>7196.2</v>
      </c>
      <c r="C29" s="65" t="n">
        <f aca="false">'Segment Revenue Model'!C23</f>
        <v>1796</v>
      </c>
      <c r="D29" s="65" t="n">
        <f aca="false">'Segment Revenue Model'!D23</f>
        <v>2397</v>
      </c>
      <c r="E29" s="65" t="n">
        <f aca="false">'Segment Revenue Model'!E23</f>
        <v>2466</v>
      </c>
      <c r="F29" s="65" t="n">
        <f aca="false">'Segment Revenue Model'!F23</f>
        <v>3389</v>
      </c>
      <c r="G29" s="66" t="n">
        <f aca="false">'Segment Revenue Model'!G23</f>
        <v>10048</v>
      </c>
      <c r="H29" s="65" t="n">
        <f aca="false">'Segment Revenue Model'!H23</f>
        <v>2897</v>
      </c>
      <c r="I29" s="65" t="n">
        <f aca="false">'Segment Revenue Model'!I23</f>
        <v>3193</v>
      </c>
      <c r="J29" s="65" t="n">
        <f aca="false">'Segment Revenue Model'!J23</f>
        <v>3531</v>
      </c>
      <c r="K29" s="65" t="n">
        <f aca="false">'Segment Revenue Model'!K23</f>
        <v>4477</v>
      </c>
      <c r="L29" s="66" t="n">
        <f aca="false">'Segment Revenue Model'!L23</f>
        <v>14098</v>
      </c>
      <c r="M29" s="65" t="n">
        <f aca="false">'Segment Revenue Model'!M23</f>
        <v>4689.1</v>
      </c>
      <c r="N29" s="65" t="n">
        <f aca="false">'Segment Revenue Model'!N23</f>
        <v>5400.97791813812</v>
      </c>
      <c r="O29" s="65" t="n">
        <f aca="false">'Segment Revenue Model'!O23</f>
        <v>5562.14691961628</v>
      </c>
      <c r="P29" s="65" t="n">
        <f aca="false">'Segment Revenue Model'!P23</f>
        <v>5756.39458530295</v>
      </c>
      <c r="Q29" s="66" t="n">
        <f aca="false">'Segment Revenue Model'!Q23</f>
        <v>21408.6194230573</v>
      </c>
      <c r="R29" s="65" t="n">
        <f aca="false">'Segment Revenue Model'!R23</f>
        <v>6628.41224871108</v>
      </c>
      <c r="S29" s="65" t="n">
        <f aca="false">'Segment Revenue Model'!S23</f>
        <v>6487.02213704547</v>
      </c>
      <c r="T29" s="65" t="n">
        <f aca="false">'Segment Revenue Model'!T23</f>
        <v>6847.96236132344</v>
      </c>
      <c r="U29" s="65" t="n">
        <f aca="false">'Segment Revenue Model'!U23</f>
        <v>8121.41057915656</v>
      </c>
      <c r="V29" s="66" t="n">
        <f aca="false">'Segment Revenue Model'!V23</f>
        <v>28084.8073262365</v>
      </c>
      <c r="W29" s="65" t="n">
        <f aca="false">'Segment Revenue Model'!W23</f>
        <v>8219.23118840174</v>
      </c>
      <c r="X29" s="65" t="n">
        <f aca="false">'Segment Revenue Model'!X23</f>
        <v>8043.90744993638</v>
      </c>
      <c r="Y29" s="65" t="n">
        <f aca="false">'Segment Revenue Model'!Y23</f>
        <v>8491.47332804106</v>
      </c>
      <c r="Z29" s="65" t="n">
        <f aca="false">'Segment Revenue Model'!Z23</f>
        <v>10070.5491181541</v>
      </c>
      <c r="AA29" s="66" t="n">
        <f aca="false">'Segment Revenue Model'!AA23</f>
        <v>34825.1610845333</v>
      </c>
      <c r="AB29" s="65" t="n">
        <f aca="false">'Segment Revenue Model'!AB23</f>
        <v>10027.4620498501</v>
      </c>
      <c r="AC29" s="65" t="n">
        <f aca="false">'Segment Revenue Model'!AC23</f>
        <v>9813.56708892238</v>
      </c>
      <c r="AD29" s="65" t="n">
        <f aca="false">'Segment Revenue Model'!AD23</f>
        <v>10359.5974602101</v>
      </c>
      <c r="AE29" s="65" t="n">
        <f aca="false">'Segment Revenue Model'!AE23</f>
        <v>12286.069924148</v>
      </c>
      <c r="AF29" s="66" t="n">
        <f aca="false">'Segment Revenue Model'!AF23</f>
        <v>42486.6965231306</v>
      </c>
      <c r="AG29" s="65" t="n">
        <f aca="false">'Segment Revenue Model'!AG23</f>
        <v>12032.9544598201</v>
      </c>
      <c r="AH29" s="65" t="n">
        <f aca="false">'Segment Revenue Model'!AH23</f>
        <v>11776.2805067069</v>
      </c>
      <c r="AI29" s="65" t="n">
        <f aca="false">'Segment Revenue Model'!AI23</f>
        <v>12431.5169522521</v>
      </c>
      <c r="AJ29" s="65" t="n">
        <f aca="false">'Segment Revenue Model'!AJ23</f>
        <v>14743.2839089777</v>
      </c>
      <c r="AK29" s="66" t="n">
        <f aca="false">'Segment Revenue Model'!AK23</f>
        <v>50984.0358277568</v>
      </c>
    </row>
    <row r="30" customFormat="false" ht="15" hidden="false" customHeight="false" outlineLevel="0" collapsed="false">
      <c r="A30" s="37" t="s">
        <v>71</v>
      </c>
      <c r="B30" s="66" t="n">
        <f aca="false">'Segment Revenue Model'!B24</f>
        <v>15306</v>
      </c>
      <c r="C30" s="65" t="n">
        <f aca="false">'Segment Revenue Model'!C24</f>
        <v>3868</v>
      </c>
      <c r="D30" s="65" t="n">
        <f aca="false">'Segment Revenue Model'!D24</f>
        <v>4273</v>
      </c>
      <c r="E30" s="65" t="n">
        <f aca="false">'Segment Revenue Model'!E24</f>
        <v>3636</v>
      </c>
      <c r="F30" s="65" t="n">
        <f aca="false">'Segment Revenue Model'!F24</f>
        <v>3699</v>
      </c>
      <c r="G30" s="66" t="n">
        <f aca="false">'Segment Revenue Model'!G24</f>
        <v>15476</v>
      </c>
      <c r="H30" s="65" t="n">
        <f aca="false">'Segment Revenue Model'!H24</f>
        <v>4171</v>
      </c>
      <c r="I30" s="65" t="n">
        <f aca="false">'Segment Revenue Model'!I24</f>
        <v>4047</v>
      </c>
      <c r="J30" s="65" t="n">
        <f aca="false">'Segment Revenue Model'!J24</f>
        <v>4037</v>
      </c>
      <c r="K30" s="65" t="n">
        <f aca="false">'Segment Revenue Model'!K24</f>
        <v>4211</v>
      </c>
      <c r="L30" s="66" t="n">
        <f aca="false">'Segment Revenue Model'!L24</f>
        <v>16466</v>
      </c>
      <c r="M30" s="65" t="n">
        <f aca="false">'Segment Revenue Model'!M24</f>
        <v>3578</v>
      </c>
      <c r="N30" s="65" t="n">
        <f aca="false">'Segment Revenue Model'!N24</f>
        <v>4965.14268186188</v>
      </c>
      <c r="O30" s="65" t="n">
        <f aca="false">'Segment Revenue Model'!O24</f>
        <v>4803.97368038372</v>
      </c>
      <c r="P30" s="65" t="n">
        <f aca="false">'Segment Revenue Model'!P24</f>
        <v>4609.72601469705</v>
      </c>
      <c r="Q30" s="66" t="n">
        <f aca="false">'Segment Revenue Model'!Q24</f>
        <v>17956.8423769427</v>
      </c>
      <c r="R30" s="65" t="n">
        <f aca="false">'Segment Revenue Model'!R24</f>
        <v>4659.7537034868</v>
      </c>
      <c r="S30" s="65" t="n">
        <f aca="false">'Segment Revenue Model'!S24</f>
        <v>5075.84168495689</v>
      </c>
      <c r="T30" s="65" t="n">
        <f aca="false">'Segment Revenue Model'!T24</f>
        <v>5238.7439100735</v>
      </c>
      <c r="U30" s="65" t="n">
        <f aca="false">'Segment Revenue Model'!U24</f>
        <v>5754.02600724627</v>
      </c>
      <c r="V30" s="66" t="n">
        <f aca="false">'Segment Revenue Model'!V24</f>
        <v>20728.3653057635</v>
      </c>
      <c r="W30" s="65" t="n">
        <f aca="false">'Segment Revenue Model'!W24</f>
        <v>5778.09459232363</v>
      </c>
      <c r="X30" s="65" t="n">
        <f aca="false">'Segment Revenue Model'!X24</f>
        <v>6294.04368934654</v>
      </c>
      <c r="Y30" s="65" t="n">
        <f aca="false">'Segment Revenue Model'!Y24</f>
        <v>6496.04244849114</v>
      </c>
      <c r="Z30" s="65" t="n">
        <f aca="false">'Segment Revenue Model'!Z24</f>
        <v>7134.99224898537</v>
      </c>
      <c r="AA30" s="66" t="n">
        <f aca="false">'Segment Revenue Model'!AA24</f>
        <v>25703.1729791467</v>
      </c>
      <c r="AB30" s="65" t="n">
        <f aca="false">'Segment Revenue Model'!AB24</f>
        <v>7049.27540263483</v>
      </c>
      <c r="AC30" s="65" t="n">
        <f aca="false">'Segment Revenue Model'!AC24</f>
        <v>7678.73330100278</v>
      </c>
      <c r="AD30" s="65" t="n">
        <f aca="false">'Segment Revenue Model'!AD24</f>
        <v>7925.17178715919</v>
      </c>
      <c r="AE30" s="65" t="n">
        <f aca="false">'Segment Revenue Model'!AE24</f>
        <v>8704.69054376215</v>
      </c>
      <c r="AF30" s="66" t="n">
        <f aca="false">'Segment Revenue Model'!AF24</f>
        <v>31357.8710345589</v>
      </c>
      <c r="AG30" s="65" t="n">
        <f aca="false">'Segment Revenue Model'!AG24</f>
        <v>8459.13048316179</v>
      </c>
      <c r="AH30" s="65" t="n">
        <f aca="false">'Segment Revenue Model'!AH24</f>
        <v>9214.47996120334</v>
      </c>
      <c r="AI30" s="65" t="n">
        <f aca="false">'Segment Revenue Model'!AI24</f>
        <v>9510.20614459102</v>
      </c>
      <c r="AJ30" s="65" t="n">
        <f aca="false">'Segment Revenue Model'!AJ24</f>
        <v>10445.6286525146</v>
      </c>
      <c r="AK30" s="66" t="n">
        <f aca="false">'Segment Revenue Model'!AK24</f>
        <v>37629.4452414707</v>
      </c>
    </row>
    <row r="31" customFormat="false" ht="15" hidden="false" customHeight="false" outlineLevel="0" collapsed="false">
      <c r="A31" s="74" t="s">
        <v>81</v>
      </c>
      <c r="B31" s="93" t="n">
        <f aca="false">'Segment Revenue Model'!B25</f>
        <v>22502.2</v>
      </c>
      <c r="C31" s="94" t="n">
        <f aca="false">'Segment Revenue Model'!C25</f>
        <v>5664</v>
      </c>
      <c r="D31" s="94" t="n">
        <f aca="false">'Segment Revenue Model'!D25</f>
        <v>6670</v>
      </c>
      <c r="E31" s="94" t="n">
        <f aca="false">'Segment Revenue Model'!E25</f>
        <v>6102</v>
      </c>
      <c r="F31" s="94" t="n">
        <f aca="false">'Segment Revenue Model'!F25</f>
        <v>7088</v>
      </c>
      <c r="G31" s="93" t="n">
        <f aca="false">'Segment Revenue Model'!G25</f>
        <v>25524</v>
      </c>
      <c r="H31" s="94" t="n">
        <f aca="false">'Segment Revenue Model'!H25</f>
        <v>7068</v>
      </c>
      <c r="I31" s="94" t="n">
        <f aca="false">'Segment Revenue Model'!I25</f>
        <v>7240</v>
      </c>
      <c r="J31" s="94" t="n">
        <f aca="false">'Segment Revenue Model'!J25</f>
        <v>7568</v>
      </c>
      <c r="K31" s="94" t="n">
        <f aca="false">'Segment Revenue Model'!K25</f>
        <v>8688</v>
      </c>
      <c r="L31" s="93" t="n">
        <f aca="false">'Segment Revenue Model'!L25</f>
        <v>30564</v>
      </c>
      <c r="M31" s="94" t="n">
        <f aca="false">'Segment Revenue Model'!M25</f>
        <v>8267.1</v>
      </c>
      <c r="N31" s="94" t="n">
        <f aca="false">'Segment Revenue Model'!N25</f>
        <v>10366.1206</v>
      </c>
      <c r="O31" s="94" t="n">
        <f aca="false">'Segment Revenue Model'!O25</f>
        <v>10366.1206</v>
      </c>
      <c r="P31" s="94" t="n">
        <f aca="false">'Segment Revenue Model'!P25</f>
        <v>10366.1206</v>
      </c>
      <c r="Q31" s="93" t="n">
        <f aca="false">'Segment Revenue Model'!Q25</f>
        <v>39365.4618</v>
      </c>
      <c r="R31" s="94" t="n">
        <f aca="false">'Segment Revenue Model'!R25</f>
        <v>11288.1659521979</v>
      </c>
      <c r="S31" s="94" t="n">
        <f aca="false">'Segment Revenue Model'!S25</f>
        <v>11562.8638220024</v>
      </c>
      <c r="T31" s="94" t="n">
        <f aca="false">'Segment Revenue Model'!T25</f>
        <v>12086.7062713969</v>
      </c>
      <c r="U31" s="94" t="n">
        <f aca="false">'Segment Revenue Model'!U25</f>
        <v>13875.4365864028</v>
      </c>
      <c r="V31" s="93" t="n">
        <f aca="false">'Segment Revenue Model'!V25</f>
        <v>48813.172632</v>
      </c>
      <c r="W31" s="94" t="n">
        <f aca="false">'Segment Revenue Model'!W25</f>
        <v>13997.3257807254</v>
      </c>
      <c r="X31" s="94" t="n">
        <f aca="false">'Segment Revenue Model'!X25</f>
        <v>14337.9511392829</v>
      </c>
      <c r="Y31" s="94" t="n">
        <f aca="false">'Segment Revenue Model'!Y25</f>
        <v>14987.5157765322</v>
      </c>
      <c r="Z31" s="94" t="n">
        <f aca="false">'Segment Revenue Model'!Z25</f>
        <v>17205.5413671395</v>
      </c>
      <c r="AA31" s="93" t="n">
        <f aca="false">'Segment Revenue Model'!AA25</f>
        <v>60528.33406368</v>
      </c>
      <c r="AB31" s="94" t="n">
        <f aca="false">'Segment Revenue Model'!AB25</f>
        <v>17076.7374524849</v>
      </c>
      <c r="AC31" s="94" t="n">
        <f aca="false">'Segment Revenue Model'!AC25</f>
        <v>17492.3003899252</v>
      </c>
      <c r="AD31" s="94" t="n">
        <f aca="false">'Segment Revenue Model'!AD25</f>
        <v>18284.7692473693</v>
      </c>
      <c r="AE31" s="94" t="n">
        <f aca="false">'Segment Revenue Model'!AE25</f>
        <v>20990.7604679102</v>
      </c>
      <c r="AF31" s="93" t="n">
        <f aca="false">'Segment Revenue Model'!AF25</f>
        <v>73844.5675576896</v>
      </c>
      <c r="AG31" s="94" t="n">
        <f aca="false">'Segment Revenue Model'!AG25</f>
        <v>20492.0849429819</v>
      </c>
      <c r="AH31" s="94" t="n">
        <f aca="false">'Segment Revenue Model'!AH25</f>
        <v>20990.7604679102</v>
      </c>
      <c r="AI31" s="94" t="n">
        <f aca="false">'Segment Revenue Model'!AI25</f>
        <v>21941.7230968431</v>
      </c>
      <c r="AJ31" s="94" t="n">
        <f aca="false">'Segment Revenue Model'!AJ25</f>
        <v>25188.9125614922</v>
      </c>
      <c r="AK31" s="93" t="n">
        <f aca="false">'Segment Revenue Model'!AK25</f>
        <v>88613.4810692275</v>
      </c>
    </row>
    <row r="32" customFormat="false" ht="15" hidden="false" customHeight="false" outlineLevel="0" collapsed="false">
      <c r="B32" s="64"/>
      <c r="G32" s="64"/>
      <c r="L32" s="64"/>
      <c r="Q32" s="64"/>
      <c r="V32" s="64"/>
      <c r="AA32" s="64"/>
      <c r="AF32" s="64"/>
      <c r="AK32" s="64"/>
    </row>
    <row r="33" customFormat="false" ht="15" hidden="false" customHeight="false" outlineLevel="0" collapsed="false">
      <c r="B33" s="64"/>
      <c r="G33" s="64"/>
      <c r="L33" s="64"/>
      <c r="Q33" s="64"/>
      <c r="V33" s="64"/>
      <c r="AA33" s="64"/>
      <c r="AF33" s="64"/>
      <c r="AK33" s="64"/>
    </row>
    <row r="34" customFormat="false" ht="15.75" hidden="false" customHeight="false" outlineLevel="0" collapsed="false">
      <c r="A34" s="33" t="s">
        <v>118</v>
      </c>
      <c r="B34" s="91"/>
      <c r="C34" s="31"/>
      <c r="D34" s="31"/>
      <c r="E34" s="31"/>
      <c r="F34" s="31"/>
      <c r="G34" s="91"/>
      <c r="H34" s="31"/>
      <c r="I34" s="31"/>
      <c r="J34" s="31"/>
      <c r="K34" s="31"/>
      <c r="L34" s="91"/>
      <c r="M34" s="31"/>
      <c r="N34" s="31"/>
      <c r="O34" s="31"/>
      <c r="P34" s="31"/>
      <c r="Q34" s="91"/>
      <c r="R34" s="31"/>
      <c r="S34" s="31"/>
      <c r="T34" s="31"/>
      <c r="U34" s="31"/>
      <c r="V34" s="91"/>
      <c r="W34" s="31"/>
      <c r="X34" s="31"/>
      <c r="Y34" s="31"/>
      <c r="Z34" s="31"/>
      <c r="AA34" s="91"/>
      <c r="AB34" s="31"/>
      <c r="AC34" s="31"/>
      <c r="AD34" s="31"/>
      <c r="AE34" s="31"/>
      <c r="AF34" s="91"/>
      <c r="AG34" s="31"/>
      <c r="AH34" s="31"/>
      <c r="AI34" s="31"/>
      <c r="AJ34" s="31"/>
      <c r="AK34" s="91"/>
    </row>
    <row r="35" customFormat="false" ht="15" hidden="false" customHeight="false" outlineLevel="0" collapsed="false">
      <c r="A35" s="37"/>
      <c r="B35" s="64"/>
      <c r="G35" s="64"/>
      <c r="L35" s="64"/>
      <c r="Q35" s="64"/>
      <c r="V35" s="64"/>
      <c r="AA35" s="64"/>
      <c r="AF35" s="64"/>
      <c r="AK35" s="64"/>
    </row>
    <row r="36" customFormat="false" ht="15" hidden="false" customHeight="false" outlineLevel="0" collapsed="false">
      <c r="A36" s="74" t="s">
        <v>119</v>
      </c>
      <c r="B36" s="66" t="n">
        <f aca="false">'Profit &amp; Loss Consolidated'!G13</f>
        <v>21229.2</v>
      </c>
      <c r="C36" s="65" t="n">
        <f aca="false">'Profit &amp; Loss Consolidated'!H13</f>
        <v>5323.4</v>
      </c>
      <c r="D36" s="65" t="n">
        <f aca="false">'Profit &amp; Loss Consolidated'!I13</f>
        <v>6302</v>
      </c>
      <c r="E36" s="65" t="n">
        <f aca="false">'Profit &amp; Loss Consolidated'!J13</f>
        <v>5695.6</v>
      </c>
      <c r="F36" s="65" t="n">
        <f aca="false">'Profit &amp; Loss Consolidated'!K13</f>
        <v>7056.2</v>
      </c>
      <c r="G36" s="66" t="n">
        <f aca="false">'Profit &amp; Loss Consolidated'!L13</f>
        <v>24359</v>
      </c>
      <c r="H36" s="65" t="n">
        <f aca="false">'Profit &amp; Loss Consolidated'!M13</f>
        <v>6832.4</v>
      </c>
      <c r="I36" s="65" t="n">
        <f aca="false">'Profit &amp; Loss Consolidated'!N13</f>
        <v>7094.53</v>
      </c>
      <c r="J36" s="65" t="n">
        <f aca="false">'Profit &amp; Loss Consolidated'!O13</f>
        <v>8228.2</v>
      </c>
      <c r="K36" s="65" t="n">
        <f aca="false">'Profit &amp; Loss Consolidated'!P13</f>
        <v>9087.3</v>
      </c>
      <c r="L36" s="66" t="n">
        <f aca="false">'Profit &amp; Loss Consolidated'!Q13</f>
        <v>31242.43</v>
      </c>
      <c r="M36" s="65" t="n">
        <f aca="false">'Profit &amp; Loss Consolidated'!R13</f>
        <v>8527.5</v>
      </c>
      <c r="N36" s="65" t="n">
        <f aca="false">'Profit &amp; Loss Consolidated'!S13</f>
        <v>10121.6842251794</v>
      </c>
      <c r="O36" s="65" t="n">
        <f aca="false">'Profit &amp; Loss Consolidated'!T13</f>
        <v>10946.3921513069</v>
      </c>
      <c r="P36" s="65" t="n">
        <f aca="false">'Profit &amp; Loss Consolidated'!U13</f>
        <v>10728.8540451297</v>
      </c>
      <c r="Q36" s="66" t="n">
        <f aca="false">'Profit &amp; Loss Consolidated'!V13</f>
        <v>40324.4304216159</v>
      </c>
      <c r="R36" s="65" t="n">
        <f aca="false">'Profit &amp; Loss Consolidated'!W13</f>
        <v>11486.2231897485</v>
      </c>
      <c r="S36" s="65" t="n">
        <f aca="false">'Profit &amp; Loss Consolidated'!X13</f>
        <v>11280.4410039834</v>
      </c>
      <c r="T36" s="65" t="n">
        <f aca="false">'Profit &amp; Loss Consolidated'!Y13</f>
        <v>12617.7097507421</v>
      </c>
      <c r="U36" s="65" t="n">
        <f aca="false">'Profit &amp; Loss Consolidated'!Z13</f>
        <v>14162.3151989132</v>
      </c>
      <c r="V36" s="66" t="n">
        <f aca="false">'Profit &amp; Loss Consolidated'!AA13</f>
        <v>49546.6891433872</v>
      </c>
      <c r="W36" s="65" t="n">
        <f aca="false">'Profit &amp; Loss Consolidated'!AB13</f>
        <v>14139.4767552882</v>
      </c>
      <c r="X36" s="65" t="n">
        <f aca="false">'Profit &amp; Loss Consolidated'!AC13</f>
        <v>13967.4428449395</v>
      </c>
      <c r="Y36" s="65" t="n">
        <f aca="false">'Profit &amp; Loss Consolidated'!AD13</f>
        <v>15435.4560909202</v>
      </c>
      <c r="Z36" s="65" t="n">
        <f aca="false">'Profit &amp; Loss Consolidated'!AE13</f>
        <v>17420.4388466523</v>
      </c>
      <c r="AA36" s="66" t="n">
        <f aca="false">'Profit &amp; Loss Consolidated'!AF13</f>
        <v>60962.8145378002</v>
      </c>
      <c r="AB36" s="65" t="n">
        <f aca="false">'Profit &amp; Loss Consolidated'!AG13</f>
        <v>17155.3416414516</v>
      </c>
      <c r="AC36" s="65" t="n">
        <f aca="false">'Profit &amp; Loss Consolidated'!AH13</f>
        <v>17021.6682708261</v>
      </c>
      <c r="AD36" s="65" t="n">
        <f aca="false">'Profit &amp; Loss Consolidated'!AI13</f>
        <v>18638.2944309226</v>
      </c>
      <c r="AE36" s="65" t="n">
        <f aca="false">'Profit &amp; Loss Consolidated'!AJ13</f>
        <v>21123.8393929158</v>
      </c>
      <c r="AF36" s="66" t="n">
        <f aca="false">'Profit &amp; Loss Consolidated'!AK13</f>
        <v>73939.1437361162</v>
      </c>
      <c r="AG36" s="65" t="n">
        <f aca="false">'Profit &amp; Loss Consolidated'!AL13</f>
        <v>20500.2099697419</v>
      </c>
      <c r="AH36" s="65" t="n">
        <f aca="false">'Profit &amp; Loss Consolidated'!AM13</f>
        <v>20409.0819249914</v>
      </c>
      <c r="AI36" s="65" t="n">
        <f aca="false">'Profit &amp; Loss Consolidated'!AN13</f>
        <v>22190.5333171072</v>
      </c>
      <c r="AJ36" s="65" t="n">
        <f aca="false">'Profit &amp; Loss Consolidated'!AO13</f>
        <v>25231.247271499</v>
      </c>
      <c r="AK36" s="66" t="n">
        <f aca="false">'Profit &amp; Loss Consolidated'!AP13</f>
        <v>88331.0724833394</v>
      </c>
    </row>
    <row r="37" customFormat="false" ht="15" hidden="false" customHeight="false" outlineLevel="0" collapsed="false">
      <c r="B37" s="64"/>
      <c r="G37" s="64"/>
      <c r="L37" s="64"/>
      <c r="Q37" s="64"/>
      <c r="V37" s="64"/>
      <c r="AA37" s="64"/>
      <c r="AF37" s="64"/>
      <c r="AK37" s="64"/>
    </row>
    <row r="38" customFormat="false" ht="15" hidden="false" customHeight="false" outlineLevel="0" collapsed="false">
      <c r="A38" s="95" t="s">
        <v>120</v>
      </c>
      <c r="B38" s="66" t="n">
        <f aca="false">'Profit &amp; Loss Consolidated'!G17</f>
        <v>11755.7</v>
      </c>
      <c r="C38" s="65" t="n">
        <f aca="false">'Profit &amp; Loss Consolidated'!H17</f>
        <v>3036.9</v>
      </c>
      <c r="D38" s="65" t="n">
        <f aca="false">'Profit &amp; Loss Consolidated'!I17</f>
        <v>3309.3</v>
      </c>
      <c r="E38" s="65" t="n">
        <f aca="false">'Profit &amp; Loss Consolidated'!J17</f>
        <v>2974.7</v>
      </c>
      <c r="F38" s="65" t="n">
        <f aca="false">'Profit &amp; Loss Consolidated'!K17</f>
        <v>3290.8</v>
      </c>
      <c r="G38" s="66" t="n">
        <f aca="false">'Profit &amp; Loss Consolidated'!L17</f>
        <v>12611.7</v>
      </c>
      <c r="H38" s="65" t="n">
        <f aca="false">'Profit &amp; Loss Consolidated'!M17</f>
        <v>3572.4</v>
      </c>
      <c r="I38" s="65" t="n">
        <f aca="false">'Profit &amp; Loss Consolidated'!N17</f>
        <v>3995</v>
      </c>
      <c r="J38" s="65" t="n">
        <f aca="false">'Profit &amp; Loss Consolidated'!O17</f>
        <v>4281.4</v>
      </c>
      <c r="K38" s="65" t="n">
        <f aca="false">'Profit &amp; Loss Consolidated'!P17</f>
        <v>3650.2</v>
      </c>
      <c r="L38" s="66" t="n">
        <f aca="false">'Profit &amp; Loss Consolidated'!Q17</f>
        <v>15499</v>
      </c>
      <c r="M38" s="65" t="n">
        <f aca="false">'Profit &amp; Loss Consolidated'!R17</f>
        <v>4013.1</v>
      </c>
      <c r="N38" s="65" t="n">
        <f aca="false">'Profit &amp; Loss Consolidated'!S17</f>
        <v>5720.1928520815</v>
      </c>
      <c r="O38" s="65" t="n">
        <f aca="false">'Profit &amp; Loss Consolidated'!T17</f>
        <v>5864.51924427707</v>
      </c>
      <c r="P38" s="65" t="n">
        <f aca="false">'Profit &amp; Loss Consolidated'!U17</f>
        <v>4355.09977948736</v>
      </c>
      <c r="Q38" s="66" t="n">
        <f aca="false">'Profit &amp; Loss Consolidated'!V17</f>
        <v>19952.9118758459</v>
      </c>
      <c r="R38" s="65" t="n">
        <f aca="false">'Profit &amp; Loss Consolidated'!W17</f>
        <v>5479.61664704253</v>
      </c>
      <c r="S38" s="65" t="n">
        <f aca="false">'Profit &amp; Loss Consolidated'!X17</f>
        <v>6380.57510002437</v>
      </c>
      <c r="T38" s="65" t="n">
        <f aca="false">'Profit &amp; Loss Consolidated'!Y17</f>
        <v>6837.92175141505</v>
      </c>
      <c r="U38" s="65" t="n">
        <f aca="false">'Profit &amp; Loss Consolidated'!Z17</f>
        <v>5829.46245268782</v>
      </c>
      <c r="V38" s="66" t="n">
        <f aca="false">'Profit &amp; Loss Consolidated'!AA17</f>
        <v>24527.5759511698</v>
      </c>
      <c r="W38" s="65" t="n">
        <f aca="false">'Profit &amp; Loss Consolidated'!AB17</f>
        <v>6794.72464233274</v>
      </c>
      <c r="X38" s="65" t="n">
        <f aca="false">'Profit &amp; Loss Consolidated'!AC17</f>
        <v>7911.91312403022</v>
      </c>
      <c r="Y38" s="65" t="n">
        <f aca="false">'Profit &amp; Loss Consolidated'!AD17</f>
        <v>8479.02297175467</v>
      </c>
      <c r="Z38" s="65" t="n">
        <f aca="false">'Profit &amp; Loss Consolidated'!AE17</f>
        <v>7228.5334413329</v>
      </c>
      <c r="AA38" s="66" t="n">
        <f aca="false">'Profit &amp; Loss Consolidated'!AF17</f>
        <v>30414.1941794505</v>
      </c>
      <c r="AB38" s="65" t="n">
        <f aca="false">'Profit &amp; Loss Consolidated'!AG17</f>
        <v>8289.56406364594</v>
      </c>
      <c r="AC38" s="65" t="n">
        <f aca="false">'Profit &amp; Loss Consolidated'!AH17</f>
        <v>9652.53401131686</v>
      </c>
      <c r="AD38" s="65" t="n">
        <f aca="false">'Profit &amp; Loss Consolidated'!AI17</f>
        <v>10344.4080255407</v>
      </c>
      <c r="AE38" s="65" t="n">
        <f aca="false">'Profit &amp; Loss Consolidated'!AJ17</f>
        <v>8818.81079842614</v>
      </c>
      <c r="AF38" s="66" t="n">
        <f aca="false">'Profit &amp; Loss Consolidated'!AK17</f>
        <v>37105.3168989296</v>
      </c>
      <c r="AG38" s="65" t="n">
        <f aca="false">'Profit &amp; Loss Consolidated'!AL17</f>
        <v>9947.47687637513</v>
      </c>
      <c r="AH38" s="65" t="n">
        <f aca="false">'Profit &amp; Loss Consolidated'!AM17</f>
        <v>11583.0408135802</v>
      </c>
      <c r="AI38" s="65" t="n">
        <f aca="false">'Profit &amp; Loss Consolidated'!AN17</f>
        <v>12413.2896306488</v>
      </c>
      <c r="AJ38" s="65" t="n">
        <f aca="false">'Profit &amp; Loss Consolidated'!AO17</f>
        <v>10582.5729581114</v>
      </c>
      <c r="AK38" s="66" t="n">
        <f aca="false">'Profit &amp; Loss Consolidated'!AP17</f>
        <v>44526.3802787156</v>
      </c>
    </row>
    <row r="39" customFormat="false" ht="15" hidden="false" customHeight="false" outlineLevel="0" collapsed="false">
      <c r="A39" s="95" t="s">
        <v>121</v>
      </c>
      <c r="B39" s="66" t="n">
        <f aca="false">'Profit &amp; Loss Consolidated'!G19</f>
        <v>1504.2</v>
      </c>
      <c r="C39" s="65" t="n">
        <f aca="false">'Profit &amp; Loss Consolidated'!H19</f>
        <v>442.3</v>
      </c>
      <c r="D39" s="65" t="n">
        <f aca="false">'Profit &amp; Loss Consolidated'!I19</f>
        <v>492.9</v>
      </c>
      <c r="E39" s="65" t="n">
        <f aca="false">'Profit &amp; Loss Consolidated'!J19</f>
        <v>497.9</v>
      </c>
      <c r="F39" s="65" t="n">
        <f aca="false">'Profit &amp; Loss Consolidated'!K19</f>
        <v>496.9</v>
      </c>
      <c r="G39" s="66" t="n">
        <f aca="false">'Profit &amp; Loss Consolidated'!L19</f>
        <v>1930</v>
      </c>
      <c r="H39" s="65" t="n">
        <f aca="false">'Profit &amp; Loss Consolidated'!M19</f>
        <v>573.7</v>
      </c>
      <c r="I39" s="65" t="n">
        <f aca="false">'Profit &amp; Loss Consolidated'!N19</f>
        <v>589.6</v>
      </c>
      <c r="J39" s="65" t="n">
        <f aca="false">'Profit &amp; Loss Consolidated'!O19</f>
        <v>653.6</v>
      </c>
      <c r="K39" s="65" t="n">
        <f aca="false">'Profit &amp; Loss Consolidated'!P19</f>
        <v>617.8</v>
      </c>
      <c r="L39" s="66" t="n">
        <f aca="false">'Profit &amp; Loss Consolidated'!Q19</f>
        <v>2434.7</v>
      </c>
      <c r="M39" s="65" t="n">
        <f aca="false">'Profit &amp; Loss Consolidated'!R19</f>
        <v>690.6</v>
      </c>
      <c r="N39" s="65" t="n">
        <f aca="false">'Profit &amp; Loss Consolidated'!S19</f>
        <v>844.211691010577</v>
      </c>
      <c r="O39" s="65" t="n">
        <f aca="false">'Profit &amp; Loss Consolidated'!T19</f>
        <v>895.279529607019</v>
      </c>
      <c r="P39" s="65" t="n">
        <f aca="false">'Profit &amp; Loss Consolidated'!U19</f>
        <v>737.104992539392</v>
      </c>
      <c r="Q39" s="66" t="n">
        <f aca="false">'Profit &amp; Loss Consolidated'!V19</f>
        <v>3167.19621315699</v>
      </c>
      <c r="R39" s="65" t="n">
        <f aca="false">'Profit &amp; Loss Consolidated'!W19</f>
        <v>942.96759523749</v>
      </c>
      <c r="S39" s="65" t="n">
        <f aca="false">'Profit &amp; Loss Consolidated'!X19</f>
        <v>941.673862071181</v>
      </c>
      <c r="T39" s="65" t="n">
        <f aca="false">'Profit &amp; Loss Consolidated'!Y19</f>
        <v>1043.87949192434</v>
      </c>
      <c r="U39" s="65" t="n">
        <f aca="false">'Profit &amp; Loss Consolidated'!Z19</f>
        <v>986.642349260461</v>
      </c>
      <c r="V39" s="66" t="n">
        <f aca="false">'Profit &amp; Loss Consolidated'!AA19</f>
        <v>3915.16329849347</v>
      </c>
      <c r="W39" s="65" t="n">
        <f aca="false">'Profit &amp; Loss Consolidated'!AB19</f>
        <v>1169.27981809449</v>
      </c>
      <c r="X39" s="65" t="n">
        <f aca="false">'Profit &amp; Loss Consolidated'!AC19</f>
        <v>1167.67558896826</v>
      </c>
      <c r="Y39" s="65" t="n">
        <f aca="false">'Profit &amp; Loss Consolidated'!AD19</f>
        <v>1294.41056998618</v>
      </c>
      <c r="Z39" s="65" t="n">
        <f aca="false">'Profit &amp; Loss Consolidated'!AE19</f>
        <v>1223.43651308297</v>
      </c>
      <c r="AA39" s="66" t="n">
        <f aca="false">'Profit &amp; Loss Consolidated'!AF19</f>
        <v>4854.80249013191</v>
      </c>
      <c r="AB39" s="65" t="n">
        <f aca="false">'Profit &amp; Loss Consolidated'!AG19</f>
        <v>1426.52137807528</v>
      </c>
      <c r="AC39" s="65" t="n">
        <f aca="false">'Profit &amp; Loss Consolidated'!AH19</f>
        <v>1424.56421854128</v>
      </c>
      <c r="AD39" s="65" t="n">
        <f aca="false">'Profit &amp; Loss Consolidated'!AI19</f>
        <v>1579.18089538314</v>
      </c>
      <c r="AE39" s="65" t="n">
        <f aca="false">'Profit &amp; Loss Consolidated'!AJ19</f>
        <v>1492.59254596123</v>
      </c>
      <c r="AF39" s="66" t="n">
        <f aca="false">'Profit &amp; Loss Consolidated'!AK19</f>
        <v>5922.85903796093</v>
      </c>
      <c r="AG39" s="65" t="n">
        <f aca="false">'Profit &amp; Loss Consolidated'!AL19</f>
        <v>1711.82565369033</v>
      </c>
      <c r="AH39" s="65" t="n">
        <f aca="false">'Profit &amp; Loss Consolidated'!AM19</f>
        <v>1709.47706224954</v>
      </c>
      <c r="AI39" s="65" t="n">
        <f aca="false">'Profit &amp; Loss Consolidated'!AN19</f>
        <v>1895.01707445977</v>
      </c>
      <c r="AJ39" s="65" t="n">
        <f aca="false">'Profit &amp; Loss Consolidated'!AO19</f>
        <v>1791.11105515347</v>
      </c>
      <c r="AK39" s="66" t="n">
        <f aca="false">'Profit &amp; Loss Consolidated'!AP19</f>
        <v>7107.43084555311</v>
      </c>
    </row>
    <row r="40" customFormat="false" ht="15" hidden="false" customHeight="false" outlineLevel="0" collapsed="false">
      <c r="A40" s="95" t="s">
        <v>122</v>
      </c>
      <c r="B40" s="66" t="n">
        <f aca="false">'Profit &amp; Loss Consolidated'!G21</f>
        <v>4486.8</v>
      </c>
      <c r="C40" s="65" t="n">
        <f aca="false">'Profit &amp; Loss Consolidated'!H21</f>
        <v>1258.7</v>
      </c>
      <c r="D40" s="65" t="n">
        <f aca="false">'Profit &amp; Loss Consolidated'!I21</f>
        <v>1422.6</v>
      </c>
      <c r="E40" s="65" t="n">
        <f aca="false">'Profit &amp; Loss Consolidated'!J21</f>
        <v>1380.6</v>
      </c>
      <c r="F40" s="65" t="n">
        <f aca="false">'Profit &amp; Loss Consolidated'!K21</f>
        <v>1441.7</v>
      </c>
      <c r="G40" s="66" t="n">
        <f aca="false">'Profit &amp; Loss Consolidated'!L21</f>
        <v>5503.6</v>
      </c>
      <c r="H40" s="65" t="n">
        <f aca="false">'Profit &amp; Loss Consolidated'!M21</f>
        <v>1424.7</v>
      </c>
      <c r="I40" s="65" t="n">
        <f aca="false">'Profit &amp; Loss Consolidated'!N21</f>
        <v>1641.1</v>
      </c>
      <c r="J40" s="65" t="n">
        <f aca="false">'Profit &amp; Loss Consolidated'!O21</f>
        <v>1728.9</v>
      </c>
      <c r="K40" s="65" t="n">
        <f aca="false">'Profit &amp; Loss Consolidated'!P21</f>
        <v>1998.1</v>
      </c>
      <c r="L40" s="66" t="n">
        <f aca="false">'Profit &amp; Loss Consolidated'!Q21</f>
        <v>6792.8</v>
      </c>
      <c r="M40" s="65" t="n">
        <f aca="false">'Profit &amp; Loss Consolidated'!R21</f>
        <v>1666.1</v>
      </c>
      <c r="N40" s="65" t="n">
        <f aca="false">'Profit &amp; Loss Consolidated'!S21</f>
        <v>2349.7893590866</v>
      </c>
      <c r="O40" s="65" t="n">
        <f aca="false">'Profit &amp; Loss Consolidated'!T21</f>
        <v>2368.189685951</v>
      </c>
      <c r="P40" s="65" t="n">
        <f aca="false">'Profit &amp; Loss Consolidated'!U21</f>
        <v>2383.95837745704</v>
      </c>
      <c r="Q40" s="66" t="n">
        <f aca="false">'Profit &amp; Loss Consolidated'!V21</f>
        <v>8768.03742249464</v>
      </c>
      <c r="R40" s="65" t="n">
        <f aca="false">'Profit &amp; Loss Consolidated'!W21</f>
        <v>2274.94687290064</v>
      </c>
      <c r="S40" s="65" t="n">
        <f aca="false">'Profit &amp; Loss Consolidated'!X21</f>
        <v>2621.0667826408</v>
      </c>
      <c r="T40" s="65" t="n">
        <f aca="false">'Profit &amp; Loss Consolidated'!Y21</f>
        <v>2761.26568786413</v>
      </c>
      <c r="U40" s="65" t="n">
        <f aca="false">'Profit &amp; Loss Consolidated'!Z21</f>
        <v>3191.01663654472</v>
      </c>
      <c r="V40" s="66" t="n">
        <f aca="false">'Profit &amp; Loss Consolidated'!AA21</f>
        <v>10848.2959799503</v>
      </c>
      <c r="W40" s="65" t="n">
        <f aca="false">'Profit &amp; Loss Consolidated'!AB21</f>
        <v>2820.93412239679</v>
      </c>
      <c r="X40" s="65" t="n">
        <f aca="false">'Profit &amp; Loss Consolidated'!AC21</f>
        <v>3250.12281047459</v>
      </c>
      <c r="Y40" s="65" t="n">
        <f aca="false">'Profit &amp; Loss Consolidated'!AD21</f>
        <v>3423.96945295152</v>
      </c>
      <c r="Z40" s="65" t="n">
        <f aca="false">'Profit &amp; Loss Consolidated'!AE21</f>
        <v>3956.86062931545</v>
      </c>
      <c r="AA40" s="66" t="n">
        <f aca="false">'Profit &amp; Loss Consolidated'!AF21</f>
        <v>13451.8870151384</v>
      </c>
      <c r="AB40" s="65" t="n">
        <f aca="false">'Profit &amp; Loss Consolidated'!AG21</f>
        <v>3441.53962932409</v>
      </c>
      <c r="AC40" s="65" t="n">
        <f aca="false">'Profit &amp; Loss Consolidated'!AH21</f>
        <v>3965.149828779</v>
      </c>
      <c r="AD40" s="65" t="n">
        <f aca="false">'Profit &amp; Loss Consolidated'!AI21</f>
        <v>4177.24273260086</v>
      </c>
      <c r="AE40" s="65" t="n">
        <f aca="false">'Profit &amp; Loss Consolidated'!AJ21</f>
        <v>4827.36996776485</v>
      </c>
      <c r="AF40" s="66" t="n">
        <f aca="false">'Profit &amp; Loss Consolidated'!AK21</f>
        <v>16411.3021584688</v>
      </c>
      <c r="AG40" s="65" t="n">
        <f aca="false">'Profit &amp; Loss Consolidated'!AL21</f>
        <v>4129.84755518891</v>
      </c>
      <c r="AH40" s="65" t="n">
        <f aca="false">'Profit &amp; Loss Consolidated'!AM21</f>
        <v>4758.1797945348</v>
      </c>
      <c r="AI40" s="65" t="n">
        <f aca="false">'Profit &amp; Loss Consolidated'!AN21</f>
        <v>5012.69127912103</v>
      </c>
      <c r="AJ40" s="65" t="n">
        <f aca="false">'Profit &amp; Loss Consolidated'!AO21</f>
        <v>5792.84396131782</v>
      </c>
      <c r="AK40" s="66" t="n">
        <f aca="false">'Profit &amp; Loss Consolidated'!AP21</f>
        <v>19693.5625901626</v>
      </c>
    </row>
    <row r="41" customFormat="false" ht="15" hidden="false" customHeight="false" outlineLevel="0" collapsed="false">
      <c r="A41" s="95" t="s">
        <v>123</v>
      </c>
      <c r="B41" s="66" t="n">
        <f aca="false">'Profit &amp; Loss Consolidated'!G20</f>
        <v>997.2</v>
      </c>
      <c r="C41" s="65" t="n">
        <f aca="false">'Profit &amp; Loss Consolidated'!H20</f>
        <v>233.5</v>
      </c>
      <c r="D41" s="65" t="n">
        <f aca="false">'Profit &amp; Loss Consolidated'!I20</f>
        <v>249.5</v>
      </c>
      <c r="E41" s="65" t="n">
        <f aca="false">'Profit &amp; Loss Consolidated'!J20</f>
        <v>256</v>
      </c>
      <c r="F41" s="65" t="n">
        <f aca="false">'Profit &amp; Loss Consolidated'!K20</f>
        <v>264.8</v>
      </c>
      <c r="G41" s="66" t="n">
        <f aca="false">'Profit &amp; Loss Consolidated'!L20</f>
        <v>1003.8</v>
      </c>
      <c r="H41" s="65" t="n">
        <f aca="false">'Profit &amp; Loss Consolidated'!M20</f>
        <v>270.4</v>
      </c>
      <c r="I41" s="65" t="n">
        <f aca="false">'Profit &amp; Loss Consolidated'!N20</f>
        <v>288.3</v>
      </c>
      <c r="J41" s="65" t="n">
        <f aca="false">'Profit &amp; Loss Consolidated'!O20</f>
        <v>310.8</v>
      </c>
      <c r="K41" s="65" t="n">
        <f aca="false">'Profit &amp; Loss Consolidated'!P20</f>
        <v>351.7</v>
      </c>
      <c r="L41" s="66" t="n">
        <f aca="false">'Profit &amp; Loss Consolidated'!Q20</f>
        <v>1221.2</v>
      </c>
      <c r="M41" s="65" t="n">
        <f aca="false">'Profit &amp; Loss Consolidated'!R20</f>
        <v>332.6</v>
      </c>
      <c r="N41" s="65" t="n">
        <f aca="false">'Profit &amp; Loss Consolidated'!S20</f>
        <v>292.402512201303</v>
      </c>
      <c r="O41" s="65" t="n">
        <f aca="false">'Profit &amp; Loss Consolidated'!T20</f>
        <v>292.402512201303</v>
      </c>
      <c r="P41" s="65" t="n">
        <f aca="false">'Profit &amp; Loss Consolidated'!U20</f>
        <v>292.402512201303</v>
      </c>
      <c r="Q41" s="66" t="n">
        <f aca="false">'Profit &amp; Loss Consolidated'!V20</f>
        <v>1209.80753660391</v>
      </c>
      <c r="R41" s="65" t="n">
        <f aca="false">'Profit &amp; Loss Consolidated'!W20</f>
        <v>339.181043273079</v>
      </c>
      <c r="S41" s="65" t="n">
        <f aca="false">'Profit &amp; Loss Consolidated'!X20</f>
        <v>339.181043273079</v>
      </c>
      <c r="T41" s="65" t="n">
        <f aca="false">'Profit &amp; Loss Consolidated'!Y20</f>
        <v>339.181043273079</v>
      </c>
      <c r="U41" s="65" t="n">
        <f aca="false">'Profit &amp; Loss Consolidated'!Z20</f>
        <v>339.181043273079</v>
      </c>
      <c r="V41" s="66" t="n">
        <f aca="false">'Profit &amp; Loss Consolidated'!AA20</f>
        <v>1356.72417309232</v>
      </c>
      <c r="W41" s="65" t="n">
        <f aca="false">'Profit &amp; Loss Consolidated'!AB20</f>
        <v>381.608963032208</v>
      </c>
      <c r="X41" s="65" t="n">
        <f aca="false">'Profit &amp; Loss Consolidated'!AC20</f>
        <v>381.608963032208</v>
      </c>
      <c r="Y41" s="65" t="n">
        <f aca="false">'Profit &amp; Loss Consolidated'!AD20</f>
        <v>381.608963032208</v>
      </c>
      <c r="Z41" s="65" t="n">
        <f aca="false">'Profit &amp; Loss Consolidated'!AE20</f>
        <v>381.608963032208</v>
      </c>
      <c r="AA41" s="66" t="n">
        <f aca="false">'Profit &amp; Loss Consolidated'!AF20</f>
        <v>1526.43585212883</v>
      </c>
      <c r="AB41" s="65" t="n">
        <f aca="false">'Profit &amp; Loss Consolidated'!AG20</f>
        <v>430.636470638241</v>
      </c>
      <c r="AC41" s="65" t="n">
        <f aca="false">'Profit &amp; Loss Consolidated'!AH20</f>
        <v>430.636470638241</v>
      </c>
      <c r="AD41" s="65" t="n">
        <f aca="false">'Profit &amp; Loss Consolidated'!AI20</f>
        <v>430.636470638241</v>
      </c>
      <c r="AE41" s="65" t="n">
        <f aca="false">'Profit &amp; Loss Consolidated'!AJ20</f>
        <v>430.636470638241</v>
      </c>
      <c r="AF41" s="66" t="n">
        <f aca="false">'Profit &amp; Loss Consolidated'!AK20</f>
        <v>1722.54588255296</v>
      </c>
      <c r="AG41" s="65" t="n">
        <f aca="false">'Profit &amp; Loss Consolidated'!AL20</f>
        <v>492.317353473248</v>
      </c>
      <c r="AH41" s="65" t="n">
        <f aca="false">'Profit &amp; Loss Consolidated'!AM20</f>
        <v>492.317353473248</v>
      </c>
      <c r="AI41" s="65" t="n">
        <f aca="false">'Profit &amp; Loss Consolidated'!AN20</f>
        <v>492.317353473248</v>
      </c>
      <c r="AJ41" s="65" t="n">
        <f aca="false">'Profit &amp; Loss Consolidated'!AO20</f>
        <v>492.317353473248</v>
      </c>
      <c r="AK41" s="66" t="n">
        <f aca="false">'Profit &amp; Loss Consolidated'!AP20</f>
        <v>1969.26941389299</v>
      </c>
    </row>
    <row r="42" customFormat="false" ht="15" hidden="false" customHeight="false" outlineLevel="0" collapsed="false">
      <c r="A42" s="96" t="s">
        <v>124</v>
      </c>
      <c r="B42" s="66" t="n">
        <f aca="false">'Profit &amp; Loss Consolidated'!G22</f>
        <v>19204.5</v>
      </c>
      <c r="C42" s="65" t="n">
        <f aca="false">'Profit &amp; Loss Consolidated'!H22</f>
        <v>4862</v>
      </c>
      <c r="D42" s="65" t="n">
        <f aca="false">'Profit &amp; Loss Consolidated'!I22</f>
        <v>5599.5</v>
      </c>
      <c r="E42" s="65" t="n">
        <f aca="false">'Profit &amp; Loss Consolidated'!J22</f>
        <v>5163.7</v>
      </c>
      <c r="F42" s="65" t="n">
        <f aca="false">'Profit &amp; Loss Consolidated'!K22</f>
        <v>6326.2</v>
      </c>
      <c r="G42" s="66" t="n">
        <f aca="false">'Profit &amp; Loss Consolidated'!L22</f>
        <v>21951.4</v>
      </c>
      <c r="H42" s="65" t="n">
        <f aca="false">'Profit &amp; Loss Consolidated'!M22</f>
        <v>5957.9</v>
      </c>
      <c r="I42" s="65" t="n">
        <f aca="false">'Profit &amp; Loss Consolidated'!N22</f>
        <v>6133.7</v>
      </c>
      <c r="J42" s="65" t="n">
        <f aca="false">'Profit &amp; Loss Consolidated'!O22</f>
        <v>6961.2</v>
      </c>
      <c r="K42" s="65" t="n">
        <f aca="false">'Profit &amp; Loss Consolidated'!P22</f>
        <v>7679.3</v>
      </c>
      <c r="L42" s="66" t="n">
        <f aca="false">'Profit &amp; Loss Consolidated'!Q22</f>
        <v>26732.1</v>
      </c>
      <c r="M42" s="65" t="n">
        <f aca="false">'Profit &amp; Loss Consolidated'!R22</f>
        <v>6903.1</v>
      </c>
      <c r="N42" s="65" t="n">
        <f aca="false">'Profit &amp; Loss Consolidated'!S22</f>
        <v>8662.06841897407</v>
      </c>
      <c r="O42" s="65" t="n">
        <f aca="false">'Profit &amp; Loss Consolidated'!T22</f>
        <v>9401.89912128717</v>
      </c>
      <c r="P42" s="65" t="n">
        <f aca="false">'Profit &amp; Loss Consolidated'!U22</f>
        <v>9035.0547351402</v>
      </c>
      <c r="Q42" s="66" t="n">
        <f aca="false">'Profit &amp; Loss Consolidated'!V22</f>
        <v>34002.1222754014</v>
      </c>
      <c r="R42" s="65" t="n">
        <f aca="false">'Profit &amp; Loss Consolidated'!W22</f>
        <v>9310.75443526255</v>
      </c>
      <c r="S42" s="65" t="n">
        <f aca="false">'Profit &amp; Loss Consolidated'!X22</f>
        <v>9675.10436985191</v>
      </c>
      <c r="T42" s="65" t="n">
        <f aca="false">'Profit &amp; Loss Consolidated'!Y22</f>
        <v>10960.6868160602</v>
      </c>
      <c r="U42" s="65" t="n">
        <f aca="false">'Profit &amp; Loss Consolidated'!Z22</f>
        <v>12041.5450420445</v>
      </c>
      <c r="V42" s="66" t="n">
        <f aca="false">'Profit &amp; Loss Consolidated'!AA22</f>
        <v>41988.0906632191</v>
      </c>
      <c r="W42" s="65" t="n">
        <f aca="false">'Profit &amp; Loss Consolidated'!AB22</f>
        <v>11506.3599690992</v>
      </c>
      <c r="X42" s="65" t="n">
        <f aca="false">'Profit &amp; Loss Consolidated'!AC22</f>
        <v>11958.15388799</v>
      </c>
      <c r="Y42" s="65" t="n">
        <f aca="false">'Profit &amp; Loss Consolidated'!AD22</f>
        <v>13552.2761212882</v>
      </c>
      <c r="Z42" s="65" t="n">
        <f aca="false">'Profit &amp; Loss Consolidated'!AE22</f>
        <v>14892.5403215087</v>
      </c>
      <c r="AA42" s="66" t="n">
        <f aca="false">'Profit &amp; Loss Consolidated'!AF22</f>
        <v>51909.330299886</v>
      </c>
      <c r="AB42" s="65" t="n">
        <f aca="false">'Profit &amp; Loss Consolidated'!AG22</f>
        <v>14002.8326980399</v>
      </c>
      <c r="AC42" s="65" t="n">
        <f aca="false">'Profit &amp; Loss Consolidated'!AH22</f>
        <v>14554.0212790867</v>
      </c>
      <c r="AD42" s="65" t="n">
        <f aca="false">'Profit &amp; Loss Consolidated'!AI22</f>
        <v>16498.8504037106</v>
      </c>
      <c r="AE42" s="65" t="n">
        <f aca="false">'Profit &amp; Loss Consolidated'!AJ22</f>
        <v>18133.9727279796</v>
      </c>
      <c r="AF42" s="66" t="n">
        <f aca="false">'Profit &amp; Loss Consolidated'!AK22</f>
        <v>63189.6771088167</v>
      </c>
      <c r="AG42" s="65" t="n">
        <f aca="false">'Profit &amp; Loss Consolidated'!AL22</f>
        <v>16778.9528263553</v>
      </c>
      <c r="AH42" s="65" t="n">
        <f aca="false">'Profit &amp; Loss Consolidated'!AM22</f>
        <v>17440.3791236114</v>
      </c>
      <c r="AI42" s="65" t="n">
        <f aca="false">'Profit &amp; Loss Consolidated'!AN22</f>
        <v>19774.17407316</v>
      </c>
      <c r="AJ42" s="65" t="n">
        <f aca="false">'Profit &amp; Loss Consolidated'!AO22</f>
        <v>21736.3208622829</v>
      </c>
      <c r="AK42" s="66" t="n">
        <f aca="false">'Profit &amp; Loss Consolidated'!AP22</f>
        <v>75729.8268854095</v>
      </c>
    </row>
    <row r="43" customFormat="false" ht="15" hidden="false" customHeight="false" outlineLevel="0" collapsed="false">
      <c r="A43" s="97"/>
      <c r="B43" s="64"/>
      <c r="G43" s="64"/>
      <c r="L43" s="64"/>
      <c r="Q43" s="64"/>
      <c r="V43" s="64"/>
      <c r="AA43" s="64"/>
      <c r="AF43" s="64"/>
      <c r="AK43" s="64"/>
    </row>
    <row r="44" customFormat="false" ht="15" hidden="false" customHeight="false" outlineLevel="0" collapsed="false">
      <c r="A44" s="98" t="s">
        <v>125</v>
      </c>
      <c r="B44" s="66" t="n">
        <f aca="false">'Profit &amp; Loss Consolidated'!G23</f>
        <v>2024.7</v>
      </c>
      <c r="C44" s="65" t="n">
        <f aca="false">'Profit &amp; Loss Consolidated'!H23</f>
        <v>461.4</v>
      </c>
      <c r="D44" s="65" t="n">
        <f aca="false">'Profit &amp; Loss Consolidated'!I23</f>
        <v>702.5</v>
      </c>
      <c r="E44" s="65" t="n">
        <f aca="false">'Profit &amp; Loss Consolidated'!J23</f>
        <v>531.9</v>
      </c>
      <c r="F44" s="65" t="n">
        <f aca="false">'Profit &amp; Loss Consolidated'!K23</f>
        <v>711.799999999999</v>
      </c>
      <c r="G44" s="66" t="n">
        <f aca="false">'Profit &amp; Loss Consolidated'!L23</f>
        <v>2407.6</v>
      </c>
      <c r="H44" s="65" t="n">
        <f aca="false">'Profit &amp; Loss Consolidated'!M23</f>
        <v>874.499999999999</v>
      </c>
      <c r="I44" s="65" t="n">
        <f aca="false">'Profit &amp; Loss Consolidated'!N23</f>
        <v>960.83</v>
      </c>
      <c r="J44" s="65" t="n">
        <f aca="false">'Profit &amp; Loss Consolidated'!O23</f>
        <v>1267</v>
      </c>
      <c r="K44" s="65" t="n">
        <f aca="false">'Profit &amp; Loss Consolidated'!P23</f>
        <v>1408</v>
      </c>
      <c r="L44" s="66" t="n">
        <f aca="false">'Profit &amp; Loss Consolidated'!Q23</f>
        <v>4510.33</v>
      </c>
      <c r="M44" s="65" t="n">
        <f aca="false">'Profit &amp; Loss Consolidated'!R23</f>
        <v>1624.4</v>
      </c>
      <c r="N44" s="65" t="n">
        <f aca="false">'Profit &amp; Loss Consolidated'!S23</f>
        <v>1459.61580620532</v>
      </c>
      <c r="O44" s="65" t="n">
        <f aca="false">'Profit &amp; Loss Consolidated'!T23</f>
        <v>1544.49303001968</v>
      </c>
      <c r="P44" s="65" t="n">
        <f aca="false">'Profit &amp; Loss Consolidated'!U23</f>
        <v>1693.79930998946</v>
      </c>
      <c r="Q44" s="66" t="n">
        <f aca="false">'Profit &amp; Loss Consolidated'!V23</f>
        <v>6322.30814621446</v>
      </c>
      <c r="R44" s="65" t="n">
        <f aca="false">'Profit &amp; Loss Consolidated'!W23</f>
        <v>2175.46875448599</v>
      </c>
      <c r="S44" s="65" t="n">
        <f aca="false">'Profit &amp; Loss Consolidated'!X23</f>
        <v>1605.33663413152</v>
      </c>
      <c r="T44" s="65" t="n">
        <f aca="false">'Profit &amp; Loss Consolidated'!Y23</f>
        <v>1657.02293468192</v>
      </c>
      <c r="U44" s="65" t="n">
        <f aca="false">'Profit &amp; Loss Consolidated'!Z23</f>
        <v>2120.7701568687</v>
      </c>
      <c r="V44" s="66" t="n">
        <f aca="false">'Profit &amp; Loss Consolidated'!AA23</f>
        <v>7558.59848016813</v>
      </c>
      <c r="W44" s="65" t="n">
        <f aca="false">'Profit &amp; Loss Consolidated'!AB23</f>
        <v>2633.11678618903</v>
      </c>
      <c r="X44" s="65" t="n">
        <f aca="false">'Profit &amp; Loss Consolidated'!AC23</f>
        <v>2009.28895694949</v>
      </c>
      <c r="Y44" s="65" t="n">
        <f aca="false">'Profit &amp; Loss Consolidated'!AD23</f>
        <v>1883.17996963199</v>
      </c>
      <c r="Z44" s="65" t="n">
        <f aca="false">'Profit &amp; Loss Consolidated'!AE23</f>
        <v>2527.8985251436</v>
      </c>
      <c r="AA44" s="66" t="n">
        <f aca="false">'Profit &amp; Loss Consolidated'!AF23</f>
        <v>9053.48423791412</v>
      </c>
      <c r="AB44" s="65" t="n">
        <f aca="false">'Profit &amp; Loss Consolidated'!AG23</f>
        <v>3152.50894341167</v>
      </c>
      <c r="AC44" s="65" t="n">
        <f aca="false">'Profit &amp; Loss Consolidated'!AH23</f>
        <v>2467.64699173944</v>
      </c>
      <c r="AD44" s="65" t="n">
        <f aca="false">'Profit &amp; Loss Consolidated'!AI23</f>
        <v>2139.44402721208</v>
      </c>
      <c r="AE44" s="65" t="n">
        <f aca="false">'Profit &amp; Loss Consolidated'!AJ23</f>
        <v>2989.86666493625</v>
      </c>
      <c r="AF44" s="66" t="n">
        <f aca="false">'Profit &amp; Loss Consolidated'!AK23</f>
        <v>10749.4666272994</v>
      </c>
      <c r="AG44" s="65" t="n">
        <f aca="false">'Profit &amp; Loss Consolidated'!AL23</f>
        <v>3721.25714338665</v>
      </c>
      <c r="AH44" s="65" t="n">
        <f aca="false">'Profit &amp; Loss Consolidated'!AM23</f>
        <v>2968.70280137996</v>
      </c>
      <c r="AI44" s="65" t="n">
        <f aca="false">'Profit &amp; Loss Consolidated'!AN23</f>
        <v>2416.35924394714</v>
      </c>
      <c r="AJ44" s="65" t="n">
        <f aca="false">'Profit &amp; Loss Consolidated'!AO23</f>
        <v>3494.92640921614</v>
      </c>
      <c r="AK44" s="66" t="n">
        <f aca="false">'Profit &amp; Loss Consolidated'!AP23</f>
        <v>12601.2455979299</v>
      </c>
    </row>
    <row r="45" s="102" customFormat="true" ht="15" hidden="false" customHeight="false" outlineLevel="0" collapsed="false">
      <c r="A45" s="99" t="s">
        <v>126</v>
      </c>
      <c r="B45" s="100" t="n">
        <f aca="false">'Profit &amp; Loss Consolidated'!G23/'Profit &amp; Loss Consolidated'!G9</f>
        <v>0.0899778688306033</v>
      </c>
      <c r="C45" s="101" t="n">
        <f aca="false">'Profit &amp; Loss Consolidated'!H23/'Profit &amp; Loss Consolidated'!H9</f>
        <v>0.0814561118565073</v>
      </c>
      <c r="D45" s="101" t="n">
        <f aca="false">'Profit &amp; Loss Consolidated'!I23/'Profit &amp; Loss Consolidated'!I9</f>
        <v>0.105328655391628</v>
      </c>
      <c r="E45" s="101" t="n">
        <f aca="false">'Profit &amp; Loss Consolidated'!J23/'Profit &amp; Loss Consolidated'!J9</f>
        <v>0.0871695701338927</v>
      </c>
      <c r="F45" s="101" t="n">
        <f aca="false">'Profit &amp; Loss Consolidated'!K23/'Profit &amp; Loss Consolidated'!K9</f>
        <v>0.100437420629321</v>
      </c>
      <c r="G45" s="100" t="n">
        <f aca="false">'Profit &amp; Loss Consolidated'!L23/'Profit &amp; Loss Consolidated'!L9</f>
        <v>0.0943309733611775</v>
      </c>
      <c r="H45" s="101" t="n">
        <f aca="false">'Profit &amp; Loss Consolidated'!M23/'Profit &amp; Loss Consolidated'!M9</f>
        <v>0.123728405891424</v>
      </c>
      <c r="I45" s="101" t="n">
        <f aca="false">'Profit &amp; Loss Consolidated'!N23/'Profit &amp; Loss Consolidated'!N9</f>
        <v>0.13271627533071</v>
      </c>
      <c r="J45" s="101" t="n">
        <f aca="false">'Profit &amp; Loss Consolidated'!O23/'Profit &amp; Loss Consolidated'!O9</f>
        <v>0.167419857818653</v>
      </c>
      <c r="K45" s="101" t="n">
        <f aca="false">'Profit &amp; Loss Consolidated'!P23/'Profit &amp; Loss Consolidated'!P9</f>
        <v>0.162057019209742</v>
      </c>
      <c r="L45" s="100" t="n">
        <f aca="false">'Profit &amp; Loss Consolidated'!Q23/'Profit &amp; Loss Consolidated'!Q9</f>
        <v>0.147571320647055</v>
      </c>
      <c r="M45" s="101" t="n">
        <f aca="false">'Profit &amp; Loss Consolidated'!R23/'Profit &amp; Loss Consolidated'!R9</f>
        <v>0.196489700136686</v>
      </c>
      <c r="N45" s="101" t="n">
        <f aca="false">'Profit &amp; Loss Consolidated'!S23/'Profit &amp; Loss Consolidated'!S9</f>
        <v>0.140806369376536</v>
      </c>
      <c r="O45" s="101" t="n">
        <f aca="false">'Profit &amp; Loss Consolidated'!T23/'Profit &amp; Loss Consolidated'!T9</f>
        <v>0.148994314229731</v>
      </c>
      <c r="P45" s="101" t="n">
        <f aca="false">'Profit &amp; Loss Consolidated'!U23/'Profit &amp; Loss Consolidated'!U9</f>
        <v>0.163397607972018</v>
      </c>
      <c r="Q45" s="100" t="n">
        <f aca="false">'Profit &amp; Loss Consolidated'!V23/'Profit &amp; Loss Consolidated'!V9</f>
        <v>0.160605461161247</v>
      </c>
      <c r="R45" s="101" t="n">
        <f aca="false">'Profit &amp; Loss Consolidated'!W23/'Profit &amp; Loss Consolidated'!W9</f>
        <v>0.19272118816276</v>
      </c>
      <c r="S45" s="101" t="n">
        <f aca="false">'Profit &amp; Loss Consolidated'!X23/'Profit &amp; Loss Consolidated'!X9</f>
        <v>0.138835556557953</v>
      </c>
      <c r="T45" s="101" t="n">
        <f aca="false">'Profit &amp; Loss Consolidated'!Y23/'Profit &amp; Loss Consolidated'!Y9</f>
        <v>0.137094663961782</v>
      </c>
      <c r="U45" s="101" t="n">
        <f aca="false">'Profit &amp; Loss Consolidated'!Z23/'Profit &amp; Loss Consolidated'!Z9</f>
        <v>0.152843490268763</v>
      </c>
      <c r="V45" s="100" t="n">
        <f aca="false">'Profit &amp; Loss Consolidated'!AA23/'Profit &amp; Loss Consolidated'!AA9</f>
        <v>0.154847514976173</v>
      </c>
      <c r="W45" s="101" t="n">
        <f aca="false">'Profit &amp; Loss Consolidated'!AB23/'Profit &amp; Loss Consolidated'!AB9</f>
        <v>0.188115703487797</v>
      </c>
      <c r="X45" s="101" t="n">
        <f aca="false">'Profit &amp; Loss Consolidated'!AC23/'Profit &amp; Loss Consolidated'!AC9</f>
        <v>0.140137801937717</v>
      </c>
      <c r="Y45" s="101" t="n">
        <f aca="false">'Profit &amp; Loss Consolidated'!AD23/'Profit &amp; Loss Consolidated'!AD9</f>
        <v>0.125649907410321</v>
      </c>
      <c r="Z45" s="101" t="n">
        <f aca="false">'Profit &amp; Loss Consolidated'!AE23/'Profit &amp; Loss Consolidated'!AE9</f>
        <v>0.14692350976945</v>
      </c>
      <c r="AA45" s="100" t="n">
        <f aca="false">'Profit &amp; Loss Consolidated'!AF23/'Profit &amp; Loss Consolidated'!AF9</f>
        <v>0.149574317184894</v>
      </c>
      <c r="AB45" s="101" t="n">
        <f aca="false">'Profit &amp; Loss Consolidated'!AG23/'Profit &amp; Loss Consolidated'!AG9</f>
        <v>0.184608386243763</v>
      </c>
      <c r="AC45" s="101" t="n">
        <f aca="false">'Profit &amp; Loss Consolidated'!AH23/'Profit &amp; Loss Consolidated'!AH9</f>
        <v>0.141070467390367</v>
      </c>
      <c r="AD45" s="101" t="n">
        <f aca="false">'Profit &amp; Loss Consolidated'!AI23/'Profit &amp; Loss Consolidated'!AI9</f>
        <v>0.117006892363156</v>
      </c>
      <c r="AE45" s="101" t="n">
        <f aca="false">'Profit &amp; Loss Consolidated'!AJ23/'Profit &amp; Loss Consolidated'!AJ9</f>
        <v>0.142437272318315</v>
      </c>
      <c r="AF45" s="100" t="n">
        <f aca="false">'Profit &amp; Loss Consolidated'!AK23/'Profit &amp; Loss Consolidated'!AK9</f>
        <v>0.145568820873677</v>
      </c>
      <c r="AG45" s="101" t="n">
        <f aca="false">'Profit &amp; Loss Consolidated'!AL23/'Profit &amp; Loss Consolidated'!AL9</f>
        <v>0.18159485253652</v>
      </c>
      <c r="AH45" s="101" t="n">
        <f aca="false">'Profit &amp; Loss Consolidated'!AM23/'Profit &amp; Loss Consolidated'!AM9</f>
        <v>0.141429025685772</v>
      </c>
      <c r="AI45" s="101" t="n">
        <f aca="false">'Profit &amp; Loss Consolidated'!AN23/'Profit &amp; Loss Consolidated'!AN9</f>
        <v>0.110126229981217</v>
      </c>
      <c r="AJ45" s="101" t="n">
        <f aca="false">'Profit &amp; Loss Consolidated'!AO23/'Profit &amp; Loss Consolidated'!AO9</f>
        <v>0.138748602214732</v>
      </c>
      <c r="AK45" s="100" t="n">
        <f aca="false">'Profit &amp; Loss Consolidated'!AP23/'Profit &amp; Loss Consolidated'!AP9</f>
        <v>0.14220461092241</v>
      </c>
    </row>
    <row r="46" customFormat="false" ht="15" hidden="false" customHeight="false" outlineLevel="0" collapsed="false">
      <c r="A46" s="97"/>
      <c r="B46" s="64"/>
      <c r="G46" s="64"/>
      <c r="L46" s="64"/>
      <c r="Q46" s="64"/>
      <c r="V46" s="64"/>
      <c r="AA46" s="64"/>
      <c r="AF46" s="64"/>
      <c r="AK46" s="64"/>
    </row>
    <row r="47" customFormat="false" ht="15" hidden="false" customHeight="false" outlineLevel="0" collapsed="false">
      <c r="A47" s="96" t="s">
        <v>127</v>
      </c>
      <c r="B47" s="66" t="n">
        <f aca="false">'Profit &amp; Loss Consolidated'!G25</f>
        <v>2517.8</v>
      </c>
      <c r="C47" s="65" t="n">
        <f aca="false">'Profit &amp; Loss Consolidated'!H25</f>
        <v>796.7</v>
      </c>
      <c r="D47" s="65" t="n">
        <f aca="false">'Profit &amp; Loss Consolidated'!I25</f>
        <v>728.6</v>
      </c>
      <c r="E47" s="65" t="n">
        <f aca="false">'Profit &amp; Loss Consolidated'!J25</f>
        <v>707.1</v>
      </c>
      <c r="F47" s="65" t="n">
        <f aca="false">'Profit &amp; Loss Consolidated'!K25</f>
        <v>1117.6</v>
      </c>
      <c r="G47" s="66" t="n">
        <f aca="false">'Profit &amp; Loss Consolidated'!L25</f>
        <v>3350</v>
      </c>
      <c r="H47" s="65" t="n">
        <f aca="false">'Profit &amp; Loss Consolidated'!M25</f>
        <v>889.499999999999</v>
      </c>
      <c r="I47" s="65" t="n">
        <f aca="false">'Profit &amp; Loss Consolidated'!N25</f>
        <v>998.43</v>
      </c>
      <c r="J47" s="65" t="n">
        <f aca="false">'Profit &amp; Loss Consolidated'!O25</f>
        <v>1320.2</v>
      </c>
      <c r="K47" s="65" t="n">
        <f aca="false">'Profit &amp; Loss Consolidated'!P25</f>
        <v>1461.3</v>
      </c>
      <c r="L47" s="66" t="n">
        <f aca="false">'Profit &amp; Loss Consolidated'!Q25</f>
        <v>4669.43</v>
      </c>
      <c r="M47" s="65" t="n">
        <f aca="false">'Profit &amp; Loss Consolidated'!R25</f>
        <v>1646.7</v>
      </c>
      <c r="N47" s="65" t="n">
        <f aca="false">'Profit &amp; Loss Consolidated'!S25</f>
        <v>1497.21580620532</v>
      </c>
      <c r="O47" s="65" t="n">
        <f aca="false">'Profit &amp; Loss Consolidated'!T25</f>
        <v>1597.69303001968</v>
      </c>
      <c r="P47" s="65" t="n">
        <f aca="false">'Profit &amp; Loss Consolidated'!U25</f>
        <v>1747.09930998946</v>
      </c>
      <c r="Q47" s="66" t="n">
        <f aca="false">'Profit &amp; Loss Consolidated'!V25</f>
        <v>6488.70814621445</v>
      </c>
      <c r="R47" s="65" t="n">
        <f aca="false">'Profit &amp; Loss Consolidated'!W25</f>
        <v>2197.76875448599</v>
      </c>
      <c r="S47" s="65" t="n">
        <f aca="false">'Profit &amp; Loss Consolidated'!X25</f>
        <v>1642.93663413152</v>
      </c>
      <c r="T47" s="65" t="n">
        <f aca="false">'Profit &amp; Loss Consolidated'!Y25</f>
        <v>1710.22293468192</v>
      </c>
      <c r="U47" s="65" t="n">
        <f aca="false">'Profit &amp; Loss Consolidated'!Z25</f>
        <v>2174.0701568687</v>
      </c>
      <c r="V47" s="66" t="n">
        <f aca="false">'Profit &amp; Loss Consolidated'!AA25</f>
        <v>7724.99848016813</v>
      </c>
      <c r="W47" s="65" t="n">
        <f aca="false">'Profit &amp; Loss Consolidated'!AB25</f>
        <v>2655.41678618903</v>
      </c>
      <c r="X47" s="65" t="n">
        <f aca="false">'Profit &amp; Loss Consolidated'!AC25</f>
        <v>2046.88895694949</v>
      </c>
      <c r="Y47" s="65" t="n">
        <f aca="false">'Profit &amp; Loss Consolidated'!AD25</f>
        <v>1936.37996963199</v>
      </c>
      <c r="Z47" s="65" t="n">
        <f aca="false">'Profit &amp; Loss Consolidated'!AE25</f>
        <v>2581.1985251436</v>
      </c>
      <c r="AA47" s="66" t="n">
        <f aca="false">'Profit &amp; Loss Consolidated'!AF25</f>
        <v>9219.88423791412</v>
      </c>
      <c r="AB47" s="65" t="n">
        <f aca="false">'Profit &amp; Loss Consolidated'!AG25</f>
        <v>3174.80894341167</v>
      </c>
      <c r="AC47" s="65" t="n">
        <f aca="false">'Profit &amp; Loss Consolidated'!AH25</f>
        <v>2505.24699173944</v>
      </c>
      <c r="AD47" s="65" t="n">
        <f aca="false">'Profit &amp; Loss Consolidated'!AI25</f>
        <v>2192.64402721208</v>
      </c>
      <c r="AE47" s="65" t="n">
        <f aca="false">'Profit &amp; Loss Consolidated'!AJ25</f>
        <v>3043.16666493625</v>
      </c>
      <c r="AF47" s="66" t="n">
        <f aca="false">'Profit &amp; Loss Consolidated'!AK25</f>
        <v>10915.8666272994</v>
      </c>
      <c r="AG47" s="65" t="n">
        <f aca="false">'Profit &amp; Loss Consolidated'!AL25</f>
        <v>3743.55714338665</v>
      </c>
      <c r="AH47" s="65" t="n">
        <f aca="false">'Profit &amp; Loss Consolidated'!AM25</f>
        <v>3006.30280137996</v>
      </c>
      <c r="AI47" s="65" t="n">
        <f aca="false">'Profit &amp; Loss Consolidated'!AN25</f>
        <v>2469.55924394714</v>
      </c>
      <c r="AJ47" s="65" t="n">
        <f aca="false">'Profit &amp; Loss Consolidated'!AO25</f>
        <v>3548.22640921614</v>
      </c>
      <c r="AK47" s="66" t="n">
        <f aca="false">'Profit &amp; Loss Consolidated'!AP25</f>
        <v>12767.6455979299</v>
      </c>
    </row>
    <row r="48" s="102" customFormat="true" ht="15" hidden="false" customHeight="false" outlineLevel="0" collapsed="false">
      <c r="A48" s="101" t="s">
        <v>128</v>
      </c>
      <c r="B48" s="103" t="n">
        <f aca="false">'Profit &amp; Loss Consolidated'!G27</f>
        <v>0.111891281741341</v>
      </c>
      <c r="C48" s="104" t="n">
        <f aca="false">'Profit &amp; Loss Consolidated'!H27</f>
        <v>0.140650377798178</v>
      </c>
      <c r="D48" s="104" t="n">
        <f aca="false">'Profit &amp; Loss Consolidated'!I27</f>
        <v>0.109241933549238</v>
      </c>
      <c r="E48" s="104" t="n">
        <f aca="false">'Profit &amp; Loss Consolidated'!J27</f>
        <v>0.115881938412626</v>
      </c>
      <c r="F48" s="104" t="n">
        <f aca="false">'Profit &amp; Loss Consolidated'!K27</f>
        <v>0.157697192041766</v>
      </c>
      <c r="G48" s="103" t="n">
        <f aca="false">'Profit &amp; Loss Consolidated'!L27</f>
        <v>0.131254677172265</v>
      </c>
      <c r="H48" s="104" t="n">
        <f aca="false">'Profit &amp; Loss Consolidated'!M27</f>
        <v>0.125850677004485</v>
      </c>
      <c r="I48" s="104" t="n">
        <f aca="false">'Profit &amp; Loss Consolidated'!N27</f>
        <v>0.137909839179085</v>
      </c>
      <c r="J48" s="104" t="n">
        <f aca="false">'Profit &amp; Loss Consolidated'!O27</f>
        <v>0.174449641903856</v>
      </c>
      <c r="K48" s="104" t="n">
        <f aca="false">'Profit &amp; Loss Consolidated'!P27</f>
        <v>0.168191706087497</v>
      </c>
      <c r="L48" s="103" t="n">
        <f aca="false">'Profit &amp; Loss Consolidated'!Q27</f>
        <v>0.152776837120338</v>
      </c>
      <c r="M48" s="104" t="n">
        <f aca="false">'Profit &amp; Loss Consolidated'!R27</f>
        <v>0.199187139383823</v>
      </c>
      <c r="N48" s="104" t="n">
        <f aca="false">'Profit &amp; Loss Consolidated'!S27</f>
        <v>0.144433570086511</v>
      </c>
      <c r="O48" s="104" t="n">
        <f aca="false">'Profit &amp; Loss Consolidated'!T27</f>
        <v>0.154126417361929</v>
      </c>
      <c r="P48" s="104" t="n">
        <f aca="false">'Profit &amp; Loss Consolidated'!U27</f>
        <v>0.168539357914614</v>
      </c>
      <c r="Q48" s="103" t="n">
        <f aca="false">'Profit &amp; Loss Consolidated'!V27</f>
        <v>0.164832516869254</v>
      </c>
      <c r="R48" s="104" t="n">
        <f aca="false">'Profit &amp; Loss Consolidated'!W27</f>
        <v>0.194696708375205</v>
      </c>
      <c r="S48" s="104" t="n">
        <f aca="false">'Profit &amp; Loss Consolidated'!X27</f>
        <v>0.142087346130053</v>
      </c>
      <c r="T48" s="104" t="n">
        <f aca="false">'Profit &amp; Loss Consolidated'!Y27</f>
        <v>0.141496193940705</v>
      </c>
      <c r="U48" s="104" t="n">
        <f aca="false">'Profit &amp; Loss Consolidated'!Z27</f>
        <v>0.156684810840415</v>
      </c>
      <c r="V48" s="103" t="n">
        <f aca="false">'Profit &amp; Loss Consolidated'!AA27</f>
        <v>0.158256430869727</v>
      </c>
      <c r="W48" s="104" t="n">
        <f aca="false">'Profit &amp; Loss Consolidated'!AB27</f>
        <v>0.189708864949446</v>
      </c>
      <c r="X48" s="104" t="n">
        <f aca="false">'Profit &amp; Loss Consolidated'!AC27</f>
        <v>0.142760212882959</v>
      </c>
      <c r="Y48" s="104" t="n">
        <f aca="false">'Profit &amp; Loss Consolidated'!AD27</f>
        <v>0.129199528361066</v>
      </c>
      <c r="Z48" s="104" t="n">
        <f aca="false">'Profit &amp; Loss Consolidated'!AE27</f>
        <v>0.150021348940137</v>
      </c>
      <c r="AA48" s="103" t="n">
        <f aca="false">'Profit &amp; Loss Consolidated'!AF27</f>
        <v>0.152323442905502</v>
      </c>
      <c r="AB48" s="104" t="n">
        <f aca="false">'Profit &amp; Loss Consolidated'!AG27</f>
        <v>0.185914256294295</v>
      </c>
      <c r="AC48" s="104" t="n">
        <f aca="false">'Profit &amp; Loss Consolidated'!AH27</f>
        <v>0.143219984558598</v>
      </c>
      <c r="AD48" s="104" t="n">
        <f aca="false">'Profit &amp; Loss Consolidated'!AI27</f>
        <v>0.119916417732619</v>
      </c>
      <c r="AE48" s="104" t="n">
        <f aca="false">'Profit &amp; Loss Consolidated'!AJ27</f>
        <v>0.144976484753305</v>
      </c>
      <c r="AF48" s="103" t="n">
        <f aca="false">'Profit &amp; Loss Consolidated'!AK27</f>
        <v>0.14782220261188</v>
      </c>
      <c r="AG48" s="104" t="n">
        <f aca="false">'Profit &amp; Loss Consolidated'!AL27</f>
        <v>0.18268307757863</v>
      </c>
      <c r="AH48" s="104" t="n">
        <f aca="false">'Profit &amp; Loss Consolidated'!AM27</f>
        <v>0.143220289992631</v>
      </c>
      <c r="AI48" s="104" t="n">
        <f aca="false">'Profit &amp; Loss Consolidated'!AN27</f>
        <v>0.11255083445577</v>
      </c>
      <c r="AJ48" s="104" t="n">
        <f aca="false">'Profit &amp; Loss Consolidated'!AO27</f>
        <v>0.140864612577223</v>
      </c>
      <c r="AK48" s="103" t="n">
        <f aca="false">'Profit &amp; Loss Consolidated'!AP27</f>
        <v>0.14408242903758</v>
      </c>
    </row>
    <row r="49" customFormat="false" ht="15" hidden="false" customHeight="false" outlineLevel="0" collapsed="false">
      <c r="A49" s="105"/>
      <c r="B49" s="64"/>
      <c r="G49" s="64"/>
      <c r="L49" s="64"/>
      <c r="Q49" s="64"/>
      <c r="V49" s="64"/>
      <c r="AA49" s="64"/>
      <c r="AF49" s="64"/>
      <c r="AK49" s="64"/>
    </row>
    <row r="50" customFormat="false" ht="15" hidden="false" customHeight="false" outlineLevel="0" collapsed="false">
      <c r="A50" s="106" t="s">
        <v>129</v>
      </c>
      <c r="B50" s="66" t="n">
        <f aca="false">'Profit &amp; Loss Consolidated'!G25+'Profit &amp; Loss Consolidated'!G20</f>
        <v>3515</v>
      </c>
      <c r="C50" s="65" t="n">
        <f aca="false">'Profit &amp; Loss Consolidated'!H25+'Profit &amp; Loss Consolidated'!H20</f>
        <v>1030.2</v>
      </c>
      <c r="D50" s="65" t="n">
        <f aca="false">'Profit &amp; Loss Consolidated'!I25+'Profit &amp; Loss Consolidated'!I20</f>
        <v>978.1</v>
      </c>
      <c r="E50" s="65" t="n">
        <f aca="false">'Profit &amp; Loss Consolidated'!J25+'Profit &amp; Loss Consolidated'!J20</f>
        <v>963.1</v>
      </c>
      <c r="F50" s="65" t="n">
        <f aca="false">'Profit &amp; Loss Consolidated'!K25+'Profit &amp; Loss Consolidated'!K20</f>
        <v>1382.4</v>
      </c>
      <c r="G50" s="66" t="n">
        <f aca="false">'Profit &amp; Loss Consolidated'!L25+'Profit &amp; Loss Consolidated'!L20</f>
        <v>4353.8</v>
      </c>
      <c r="H50" s="65" t="n">
        <f aca="false">'Profit &amp; Loss Consolidated'!M25+'Profit &amp; Loss Consolidated'!M20</f>
        <v>1159.9</v>
      </c>
      <c r="I50" s="65" t="n">
        <f aca="false">'Profit &amp; Loss Consolidated'!N25+'Profit &amp; Loss Consolidated'!N20</f>
        <v>1286.73</v>
      </c>
      <c r="J50" s="65" t="n">
        <f aca="false">'Profit &amp; Loss Consolidated'!O25+'Profit &amp; Loss Consolidated'!O20</f>
        <v>1631</v>
      </c>
      <c r="K50" s="65" t="n">
        <f aca="false">'Profit &amp; Loss Consolidated'!P25+'Profit &amp; Loss Consolidated'!P20</f>
        <v>1813</v>
      </c>
      <c r="L50" s="66" t="n">
        <f aca="false">'Profit &amp; Loss Consolidated'!Q25+'Profit &amp; Loss Consolidated'!Q20</f>
        <v>5890.63</v>
      </c>
      <c r="M50" s="65" t="n">
        <f aca="false">'Profit &amp; Loss Consolidated'!R25+'Profit &amp; Loss Consolidated'!R20</f>
        <v>1979.3</v>
      </c>
      <c r="N50" s="65" t="n">
        <f aca="false">'Profit &amp; Loss Consolidated'!S25+'Profit &amp; Loss Consolidated'!S20</f>
        <v>1789.61831840663</v>
      </c>
      <c r="O50" s="65" t="n">
        <f aca="false">'Profit &amp; Loss Consolidated'!T25+'Profit &amp; Loss Consolidated'!T20</f>
        <v>1890.09554222099</v>
      </c>
      <c r="P50" s="65" t="n">
        <f aca="false">'Profit &amp; Loss Consolidated'!U25+'Profit &amp; Loss Consolidated'!U20</f>
        <v>2039.50182219076</v>
      </c>
      <c r="Q50" s="66" t="n">
        <f aca="false">'Profit &amp; Loss Consolidated'!V25+'Profit &amp; Loss Consolidated'!V20</f>
        <v>7698.51568281836</v>
      </c>
      <c r="R50" s="65" t="n">
        <f aca="false">'Profit &amp; Loss Consolidated'!W25+'Profit &amp; Loss Consolidated'!W20</f>
        <v>2536.94979775907</v>
      </c>
      <c r="S50" s="65" t="n">
        <f aca="false">'Profit &amp; Loss Consolidated'!X25+'Profit &amp; Loss Consolidated'!X20</f>
        <v>1982.1176774046</v>
      </c>
      <c r="T50" s="65" t="n">
        <f aca="false">'Profit &amp; Loss Consolidated'!Y25+'Profit &amp; Loss Consolidated'!Y20</f>
        <v>2049.403977955</v>
      </c>
      <c r="U50" s="65" t="n">
        <f aca="false">'Profit &amp; Loss Consolidated'!Z25+'Profit &amp; Loss Consolidated'!Z20</f>
        <v>2513.25120014178</v>
      </c>
      <c r="V50" s="66" t="n">
        <f aca="false">'Profit &amp; Loss Consolidated'!AA25+'Profit &amp; Loss Consolidated'!AA20</f>
        <v>9081.72265326045</v>
      </c>
      <c r="W50" s="65" t="n">
        <f aca="false">'Profit &amp; Loss Consolidated'!AB25+'Profit &amp; Loss Consolidated'!AB20</f>
        <v>3037.02574922124</v>
      </c>
      <c r="X50" s="65" t="n">
        <f aca="false">'Profit &amp; Loss Consolidated'!AC25+'Profit &amp; Loss Consolidated'!AC20</f>
        <v>2428.4979199817</v>
      </c>
      <c r="Y50" s="65" t="n">
        <f aca="false">'Profit &amp; Loss Consolidated'!AD25+'Profit &amp; Loss Consolidated'!AD20</f>
        <v>2317.9889326642</v>
      </c>
      <c r="Z50" s="65" t="n">
        <f aca="false">'Profit &amp; Loss Consolidated'!AE25+'Profit &amp; Loss Consolidated'!AE20</f>
        <v>2962.80748817581</v>
      </c>
      <c r="AA50" s="66" t="n">
        <f aca="false">'Profit &amp; Loss Consolidated'!AF25+'Profit &amp; Loss Consolidated'!AF20</f>
        <v>10746.320090043</v>
      </c>
      <c r="AB50" s="65" t="n">
        <f aca="false">'Profit &amp; Loss Consolidated'!AG25+'Profit &amp; Loss Consolidated'!AG20</f>
        <v>3605.44541404991</v>
      </c>
      <c r="AC50" s="65" t="n">
        <f aca="false">'Profit &amp; Loss Consolidated'!AH25+'Profit &amp; Loss Consolidated'!AH20</f>
        <v>2935.88346237768</v>
      </c>
      <c r="AD50" s="65" t="n">
        <f aca="false">'Profit &amp; Loss Consolidated'!AI25+'Profit &amp; Loss Consolidated'!AI20</f>
        <v>2623.28049785032</v>
      </c>
      <c r="AE50" s="65" t="n">
        <f aca="false">'Profit &amp; Loss Consolidated'!AJ25+'Profit &amp; Loss Consolidated'!AJ20</f>
        <v>3473.80313557449</v>
      </c>
      <c r="AF50" s="66" t="n">
        <f aca="false">'Profit &amp; Loss Consolidated'!AK25+'Profit &amp; Loss Consolidated'!AK20</f>
        <v>12638.4125098524</v>
      </c>
      <c r="AG50" s="65" t="n">
        <f aca="false">'Profit &amp; Loss Consolidated'!AL25+'Profit &amp; Loss Consolidated'!AL20</f>
        <v>4235.8744968599</v>
      </c>
      <c r="AH50" s="65" t="n">
        <f aca="false">'Profit &amp; Loss Consolidated'!AM25+'Profit &amp; Loss Consolidated'!AM20</f>
        <v>3498.62015485321</v>
      </c>
      <c r="AI50" s="65" t="n">
        <f aca="false">'Profit &amp; Loss Consolidated'!AN25+'Profit &amp; Loss Consolidated'!AN20</f>
        <v>2961.87659742038</v>
      </c>
      <c r="AJ50" s="65" t="n">
        <f aca="false">'Profit &amp; Loss Consolidated'!AO25+'Profit &amp; Loss Consolidated'!AO20</f>
        <v>4040.54376268939</v>
      </c>
      <c r="AK50" s="66" t="n">
        <f aca="false">'Profit &amp; Loss Consolidated'!AP25+'Profit &amp; Loss Consolidated'!AP20</f>
        <v>14736.9150118229</v>
      </c>
    </row>
    <row r="51" s="102" customFormat="true" ht="15" hidden="false" customHeight="false" outlineLevel="0" collapsed="false">
      <c r="A51" s="107" t="s">
        <v>130</v>
      </c>
      <c r="B51" s="100" t="n">
        <f aca="false">B50/'Profit &amp; Loss Consolidated'!G9</f>
        <v>0.156206948653909</v>
      </c>
      <c r="C51" s="101" t="n">
        <f aca="false">C50/'Profit &amp; Loss Consolidated'!H9</f>
        <v>0.18187274909964</v>
      </c>
      <c r="D51" s="101" t="n">
        <f aca="false">D50/'Profit &amp; Loss Consolidated'!I9</f>
        <v>0.146650473791532</v>
      </c>
      <c r="E51" s="101" t="n">
        <f aca="false">E50/'Profit &amp; Loss Consolidated'!J9</f>
        <v>0.157836083842737</v>
      </c>
      <c r="F51" s="101" t="n">
        <f aca="false">F50/'Profit &amp; Loss Consolidated'!K9</f>
        <v>0.195061379991534</v>
      </c>
      <c r="G51" s="100" t="n">
        <f aca="false">G50/'Profit &amp; Loss Consolidated'!L9</f>
        <v>0.170584063723166</v>
      </c>
      <c r="H51" s="101" t="n">
        <f aca="false">H50/'Profit &amp; Loss Consolidated'!M9</f>
        <v>0.164108150935921</v>
      </c>
      <c r="I51" s="101" t="n">
        <f aca="false">I50/'Profit &amp; Loss Consolidated'!N9</f>
        <v>0.177731766239901</v>
      </c>
      <c r="J51" s="101" t="n">
        <f aca="false">J50/'Profit &amp; Loss Consolidated'!O9</f>
        <v>0.215518380506885</v>
      </c>
      <c r="K51" s="101" t="n">
        <f aca="false">K50/'Profit &amp; Loss Consolidated'!P9</f>
        <v>0.208671431695499</v>
      </c>
      <c r="L51" s="100" t="n">
        <f aca="false">L50/'Profit &amp; Loss Consolidated'!Q9</f>
        <v>0.192732693293652</v>
      </c>
      <c r="M51" s="101" t="n">
        <f aca="false">M50/'Profit &amp; Loss Consolidated'!R9</f>
        <v>0.239418901428554</v>
      </c>
      <c r="N51" s="101" t="n">
        <f aca="false">N50/'Profit &amp; Loss Consolidated'!S9</f>
        <v>0.172641086040097</v>
      </c>
      <c r="O51" s="101" t="n">
        <f aca="false">O50/'Profit &amp; Loss Consolidated'!T9</f>
        <v>0.182333933315515</v>
      </c>
      <c r="P51" s="101" t="n">
        <f aca="false">P50/'Profit &amp; Loss Consolidated'!U9</f>
        <v>0.196746873868201</v>
      </c>
      <c r="Q51" s="100" t="n">
        <f aca="false">Q50/'Profit &amp; Loss Consolidated'!V9</f>
        <v>0.19556523233314</v>
      </c>
      <c r="R51" s="101" t="n">
        <f aca="false">R50/'Profit &amp; Loss Consolidated'!W9</f>
        <v>0.224744197463283</v>
      </c>
      <c r="S51" s="101" t="n">
        <f aca="false">S50/'Profit &amp; Loss Consolidated'!X9</f>
        <v>0.171420999842006</v>
      </c>
      <c r="T51" s="101" t="n">
        <f aca="false">T50/'Profit &amp; Loss Consolidated'!Y9</f>
        <v>0.169558515937869</v>
      </c>
      <c r="U51" s="101" t="n">
        <f aca="false">U50/'Profit &amp; Loss Consolidated'!Z9</f>
        <v>0.181129522267042</v>
      </c>
      <c r="V51" s="100" t="n">
        <f aca="false">V50/'Profit &amp; Loss Consolidated'!AA9</f>
        <v>0.186050653206402</v>
      </c>
      <c r="W51" s="101" t="n">
        <f aca="false">W50/'Profit &amp; Loss Consolidated'!AB9</f>
        <v>0.216971855681411</v>
      </c>
      <c r="X51" s="101" t="n">
        <f aca="false">X50/'Profit &amp; Loss Consolidated'!AC9</f>
        <v>0.169375519304717</v>
      </c>
      <c r="Y51" s="101" t="n">
        <f aca="false">Y50/'Profit &amp; Loss Consolidated'!AD9</f>
        <v>0.154661317274058</v>
      </c>
      <c r="Z51" s="101" t="n">
        <f aca="false">Z50/'Profit &amp; Loss Consolidated'!AE9</f>
        <v>0.172200770958269</v>
      </c>
      <c r="AA51" s="100" t="n">
        <f aca="false">AA50/'Profit &amp; Loss Consolidated'!AF9</f>
        <v>0.177541976931615</v>
      </c>
      <c r="AB51" s="101" t="n">
        <f aca="false">AB50/'Profit &amp; Loss Consolidated'!AG9</f>
        <v>0.211131981391754</v>
      </c>
      <c r="AC51" s="101" t="n">
        <f aca="false">AC50/'Profit &amp; Loss Consolidated'!AH9</f>
        <v>0.167838614529432</v>
      </c>
      <c r="AD51" s="101" t="n">
        <f aca="false">AD50/'Profit &amp; Loss Consolidated'!AI9</f>
        <v>0.143468066911905</v>
      </c>
      <c r="AE51" s="101" t="n">
        <f aca="false">AE50/'Profit &amp; Loss Consolidated'!AJ9</f>
        <v>0.165492009728999</v>
      </c>
      <c r="AF51" s="100" t="n">
        <f aca="false">AF50/'Profit &amp; Loss Consolidated'!AK9</f>
        <v>0.171148845850832</v>
      </c>
      <c r="AG51" s="101" t="n">
        <f aca="false">AG50/'Profit &amp; Loss Consolidated'!AL9</f>
        <v>0.206707834202619</v>
      </c>
      <c r="AH51" s="101" t="n">
        <f aca="false">AH50/'Profit &amp; Loss Consolidated'!AM9</f>
        <v>0.166674292729973</v>
      </c>
      <c r="AI51" s="101" t="n">
        <f aca="false">AI50/'Profit &amp; Loss Consolidated'!AN9</f>
        <v>0.134988331789062</v>
      </c>
      <c r="AJ51" s="101" t="n">
        <f aca="false">AJ50/'Profit &amp; Loss Consolidated'!AO9</f>
        <v>0.160409614858341</v>
      </c>
      <c r="AK51" s="100" t="n">
        <f aca="false">AK50/'Profit &amp; Loss Consolidated'!AP9</f>
        <v>0.166305564729028</v>
      </c>
    </row>
    <row r="52" customFormat="false" ht="15" hidden="false" customHeight="false" outlineLevel="0" collapsed="false">
      <c r="A52" s="107"/>
      <c r="B52" s="64"/>
      <c r="G52" s="64"/>
      <c r="L52" s="64"/>
      <c r="Q52" s="64"/>
      <c r="V52" s="62"/>
      <c r="AA52" s="64"/>
      <c r="AF52" s="64"/>
      <c r="AK52" s="64"/>
    </row>
    <row r="53" customFormat="false" ht="15" hidden="false" customHeight="false" outlineLevel="0" collapsed="false">
      <c r="A53" s="0" t="s">
        <v>131</v>
      </c>
      <c r="B53" s="66" t="n">
        <f aca="false">'Profit &amp; Loss Consolidated'!G29</f>
        <v>453.6</v>
      </c>
      <c r="C53" s="65" t="n">
        <f aca="false">'Profit &amp; Loss Consolidated'!H29</f>
        <v>106.3</v>
      </c>
      <c r="D53" s="65" t="n">
        <f aca="false">'Profit &amp; Loss Consolidated'!I29</f>
        <v>116.1</v>
      </c>
      <c r="E53" s="65" t="n">
        <f aca="false">'Profit &amp; Loss Consolidated'!J29</f>
        <v>101</v>
      </c>
      <c r="F53" s="65" t="n">
        <f aca="false">'Profit &amp; Loss Consolidated'!K29</f>
        <v>109</v>
      </c>
      <c r="G53" s="66" t="n">
        <f aca="false">'Profit &amp; Loss Consolidated'!L29</f>
        <v>432.4</v>
      </c>
      <c r="H53" s="65" t="n">
        <f aca="false">'Profit &amp; Loss Consolidated'!M29</f>
        <v>132.5</v>
      </c>
      <c r="I53" s="65" t="n">
        <f aca="false">'Profit &amp; Loss Consolidated'!N29</f>
        <v>156.3</v>
      </c>
      <c r="J53" s="65" t="n">
        <f aca="false">'Profit &amp; Loss Consolidated'!O29</f>
        <v>254.7</v>
      </c>
      <c r="K53" s="65" t="n">
        <f aca="false">'Profit &amp; Loss Consolidated'!P29</f>
        <v>267.4</v>
      </c>
      <c r="L53" s="66" t="n">
        <f aca="false">'Profit &amp; Loss Consolidated'!Q29</f>
        <v>810.9</v>
      </c>
      <c r="M53" s="65" t="n">
        <f aca="false">'Profit &amp; Loss Consolidated'!R29</f>
        <v>226.8</v>
      </c>
      <c r="N53" s="65" t="n">
        <f aca="false">'Profit &amp; Loss Consolidated'!S29</f>
        <v>544.032787172936</v>
      </c>
      <c r="O53" s="65" t="n">
        <f aca="false">'Profit &amp; Loss Consolidated'!T29</f>
        <v>544.032787172936</v>
      </c>
      <c r="P53" s="65" t="n">
        <f aca="false">'Profit &amp; Loss Consolidated'!U29</f>
        <v>544.032787172936</v>
      </c>
      <c r="Q53" s="66" t="n">
        <f aca="false">'Profit &amp; Loss Consolidated'!V29</f>
        <v>1858.89836151881</v>
      </c>
      <c r="R53" s="65" t="n">
        <f aca="false">'Profit &amp; Loss Consolidated'!W29</f>
        <v>532.888794310349</v>
      </c>
      <c r="S53" s="65" t="n">
        <f aca="false">'Profit &amp; Loss Consolidated'!X29</f>
        <v>532.888794310349</v>
      </c>
      <c r="T53" s="65" t="n">
        <f aca="false">'Profit &amp; Loss Consolidated'!Y29</f>
        <v>532.888794310349</v>
      </c>
      <c r="U53" s="65" t="n">
        <f aca="false">'Profit &amp; Loss Consolidated'!Z29</f>
        <v>532.888794310349</v>
      </c>
      <c r="V53" s="66" t="n">
        <f aca="false">'Profit &amp; Loss Consolidated'!AA29</f>
        <v>2131.5551772414</v>
      </c>
      <c r="W53" s="65" t="n">
        <f aca="false">'Profit &amp; Loss Consolidated'!AB29</f>
        <v>656.913178832481</v>
      </c>
      <c r="X53" s="65" t="n">
        <f aca="false">'Profit &amp; Loss Consolidated'!AC29</f>
        <v>656.913178832481</v>
      </c>
      <c r="Y53" s="65" t="n">
        <f aca="false">'Profit &amp; Loss Consolidated'!AD29</f>
        <v>656.913178832481</v>
      </c>
      <c r="Z53" s="65" t="n">
        <f aca="false">'Profit &amp; Loss Consolidated'!AE29</f>
        <v>656.913178832481</v>
      </c>
      <c r="AA53" s="66" t="n">
        <f aca="false">'Profit &amp; Loss Consolidated'!AF29</f>
        <v>2627.65271532993</v>
      </c>
      <c r="AB53" s="65" t="n">
        <f aca="false">'Profit &amp; Loss Consolidated'!AG29</f>
        <v>435.008810775486</v>
      </c>
      <c r="AC53" s="65" t="n">
        <f aca="false">'Profit &amp; Loss Consolidated'!AH29</f>
        <v>435.008810775486</v>
      </c>
      <c r="AD53" s="65" t="n">
        <f aca="false">'Profit &amp; Loss Consolidated'!AI29</f>
        <v>435.008810775486</v>
      </c>
      <c r="AE53" s="65" t="n">
        <f aca="false">'Profit &amp; Loss Consolidated'!AJ29</f>
        <v>435.008810775486</v>
      </c>
      <c r="AF53" s="66" t="n">
        <f aca="false">'Profit &amp; Loss Consolidated'!AK29</f>
        <v>1740.03524310194</v>
      </c>
      <c r="AG53" s="65" t="n">
        <f aca="false">'Profit &amp; Loss Consolidated'!AL29</f>
        <v>423.963948558768</v>
      </c>
      <c r="AH53" s="65" t="n">
        <f aca="false">'Profit &amp; Loss Consolidated'!AM29</f>
        <v>423.963948558768</v>
      </c>
      <c r="AI53" s="65" t="n">
        <f aca="false">'Profit &amp; Loss Consolidated'!AN29</f>
        <v>423.963948558768</v>
      </c>
      <c r="AJ53" s="65" t="n">
        <f aca="false">'Profit &amp; Loss Consolidated'!AO29</f>
        <v>423.963948558768</v>
      </c>
      <c r="AK53" s="66" t="n">
        <f aca="false">'Profit &amp; Loss Consolidated'!AP29</f>
        <v>1695.85579423507</v>
      </c>
    </row>
    <row r="54" customFormat="false" ht="15" hidden="false" customHeight="false" outlineLevel="0" collapsed="false">
      <c r="B54" s="64"/>
      <c r="G54" s="64"/>
      <c r="L54" s="64"/>
      <c r="Q54" s="64"/>
      <c r="V54" s="108"/>
      <c r="AA54" s="64"/>
      <c r="AF54" s="64"/>
      <c r="AK54" s="64"/>
    </row>
    <row r="55" customFormat="false" ht="30" hidden="false" customHeight="false" outlineLevel="0" collapsed="false">
      <c r="A55" s="109" t="s">
        <v>132</v>
      </c>
      <c r="B55" s="66" t="n">
        <f aca="false">'Profit &amp; Loss Consolidated'!G32</f>
        <v>2064.2</v>
      </c>
      <c r="C55" s="65" t="n">
        <f aca="false">'Profit &amp; Loss Consolidated'!H32</f>
        <v>690.4</v>
      </c>
      <c r="D55" s="65" t="n">
        <f aca="false">'Profit &amp; Loss Consolidated'!I32</f>
        <v>838.2</v>
      </c>
      <c r="E55" s="65" t="n">
        <f aca="false">'Profit &amp; Loss Consolidated'!J32</f>
        <v>606.1</v>
      </c>
      <c r="F55" s="65" t="n">
        <f aca="false">'Profit &amp; Loss Consolidated'!K32</f>
        <v>782.899999999999</v>
      </c>
      <c r="G55" s="66" t="n">
        <f aca="false">'Profit &amp; Loss Consolidated'!L32</f>
        <v>2917.6</v>
      </c>
      <c r="H55" s="65" t="n">
        <f aca="false">'Profit &amp; Loss Consolidated'!M32</f>
        <v>219.899999999999</v>
      </c>
      <c r="I55" s="65" t="n">
        <f aca="false">'Profit &amp; Loss Consolidated'!N32</f>
        <v>-208.87</v>
      </c>
      <c r="J55" s="65" t="n">
        <f aca="false">'Profit &amp; Loss Consolidated'!O32</f>
        <v>495.000000000001</v>
      </c>
      <c r="K55" s="65" t="n">
        <f aca="false">'Profit &amp; Loss Consolidated'!P32</f>
        <v>805.800000000002</v>
      </c>
      <c r="L55" s="66" t="n">
        <f aca="false">'Profit &amp; Loss Consolidated'!Q32</f>
        <v>1311.83</v>
      </c>
      <c r="M55" s="65" t="n">
        <f aca="false">'Profit &amp; Loss Consolidated'!R32</f>
        <v>1995.3</v>
      </c>
      <c r="N55" s="65" t="n">
        <f aca="false">'Profit &amp; Loss Consolidated'!S32</f>
        <v>1042.61395236572</v>
      </c>
      <c r="O55" s="65" t="n">
        <f aca="false">'Profit &amp; Loss Consolidated'!T32</f>
        <v>1143.09117618008</v>
      </c>
      <c r="P55" s="65" t="n">
        <f aca="false">'Profit &amp; Loss Consolidated'!U32</f>
        <v>1292.49745614985</v>
      </c>
      <c r="Q55" s="66" t="n">
        <f aca="false">'Profit &amp; Loss Consolidated'!V32</f>
        <v>5473.50258469565</v>
      </c>
      <c r="R55" s="65" t="n">
        <f aca="false">'Profit &amp; Loss Consolidated'!W32</f>
        <v>1664.87996017564</v>
      </c>
      <c r="S55" s="65" t="n">
        <f aca="false">'Profit &amp; Loss Consolidated'!X32</f>
        <v>1110.04783982117</v>
      </c>
      <c r="T55" s="65" t="n">
        <f aca="false">'Profit &amp; Loss Consolidated'!Y32</f>
        <v>1177.33414037157</v>
      </c>
      <c r="U55" s="65" t="n">
        <f aca="false">'Profit &amp; Loss Consolidated'!Z32</f>
        <v>1641.18136255836</v>
      </c>
      <c r="V55" s="66" t="n">
        <f aca="false">'Profit &amp; Loss Consolidated'!AA32</f>
        <v>5829.65181057474</v>
      </c>
      <c r="W55" s="65" t="n">
        <f aca="false">'Profit &amp; Loss Consolidated'!AB32</f>
        <v>1998.50360735655</v>
      </c>
      <c r="X55" s="65" t="n">
        <f aca="false">'Profit &amp; Loss Consolidated'!AC32</f>
        <v>1389.97577811701</v>
      </c>
      <c r="Y55" s="65" t="n">
        <f aca="false">'Profit &amp; Loss Consolidated'!AD32</f>
        <v>1279.46679079951</v>
      </c>
      <c r="Z55" s="65" t="n">
        <f aca="false">'Profit &amp; Loss Consolidated'!AE32</f>
        <v>1924.28534631112</v>
      </c>
      <c r="AA55" s="66" t="n">
        <f aca="false">'Profit &amp; Loss Consolidated'!AF32</f>
        <v>6592.23152258419</v>
      </c>
      <c r="AB55" s="65" t="n">
        <f aca="false">'Profit &amp; Loss Consolidated'!AG32</f>
        <v>2739.80013263619</v>
      </c>
      <c r="AC55" s="65" t="n">
        <f aca="false">'Profit &amp; Loss Consolidated'!AH32</f>
        <v>2070.23818096395</v>
      </c>
      <c r="AD55" s="65" t="n">
        <f aca="false">'Profit &amp; Loss Consolidated'!AI32</f>
        <v>1757.6352164366</v>
      </c>
      <c r="AE55" s="65" t="n">
        <f aca="false">'Profit &amp; Loss Consolidated'!AJ32</f>
        <v>2608.15785416076</v>
      </c>
      <c r="AF55" s="66" t="n">
        <f aca="false">'Profit &amp; Loss Consolidated'!AK32</f>
        <v>9175.83138419749</v>
      </c>
      <c r="AG55" s="65" t="n">
        <f aca="false">'Profit &amp; Loss Consolidated'!AL32</f>
        <v>3319.59319482788</v>
      </c>
      <c r="AH55" s="65" t="n">
        <f aca="false">'Profit &amp; Loss Consolidated'!AM32</f>
        <v>2582.33885282119</v>
      </c>
      <c r="AI55" s="65" t="n">
        <f aca="false">'Profit &amp; Loss Consolidated'!AN32</f>
        <v>2045.59529538837</v>
      </c>
      <c r="AJ55" s="65" t="n">
        <f aca="false">'Profit &amp; Loss Consolidated'!AO32</f>
        <v>3124.26246065737</v>
      </c>
      <c r="AK55" s="66" t="n">
        <f aca="false">'Profit &amp; Loss Consolidated'!AP32</f>
        <v>11071.7898036948</v>
      </c>
    </row>
    <row r="56" s="102" customFormat="true" ht="15" hidden="false" customHeight="false" outlineLevel="0" collapsed="false">
      <c r="A56" s="110" t="s">
        <v>133</v>
      </c>
      <c r="B56" s="103" t="n">
        <f aca="false">'Profit &amp; Loss Consolidated'!G34</f>
        <v>0.0917332527486202</v>
      </c>
      <c r="C56" s="104" t="n">
        <f aca="false">'Profit &amp; Loss Consolidated'!H34</f>
        <v>0.121884047736742</v>
      </c>
      <c r="D56" s="104" t="n">
        <f aca="false">'Profit &amp; Loss Consolidated'!I34</f>
        <v>0.125674703130623</v>
      </c>
      <c r="E56" s="104" t="n">
        <f aca="false">'Profit &amp; Loss Consolidated'!J34</f>
        <v>0.0993297169734017</v>
      </c>
      <c r="F56" s="104" t="n">
        <f aca="false">'Profit &amp; Loss Consolidated'!K34</f>
        <v>0.110469874417948</v>
      </c>
      <c r="G56" s="103" t="n">
        <f aca="false">'Profit &amp; Loss Consolidated'!L34</f>
        <v>0.114313028691881</v>
      </c>
      <c r="H56" s="104" t="n">
        <f aca="false">'Profit &amp; Loss Consolidated'!M34</f>
        <v>0.0311124945174662</v>
      </c>
      <c r="I56" s="104" t="n">
        <f aca="false">'Profit &amp; Loss Consolidated'!N34</f>
        <v>-0.0288505234311225</v>
      </c>
      <c r="J56" s="104" t="n">
        <f aca="false">'Profit &amp; Loss Consolidated'!O34</f>
        <v>0.0654087053040515</v>
      </c>
      <c r="K56" s="104" t="n">
        <f aca="false">'Profit &amp; Loss Consolidated'!P34</f>
        <v>0.0927454162494392</v>
      </c>
      <c r="L56" s="103" t="n">
        <f aca="false">'Profit &amp; Loss Consolidated'!Q34</f>
        <v>0.0429211356074668</v>
      </c>
      <c r="M56" s="104" t="n">
        <f aca="false">'Profit &amp; Loss Consolidated'!R34</f>
        <v>0.241354283848024</v>
      </c>
      <c r="N56" s="104" t="n">
        <f aca="false">'Profit &amp; Loss Consolidated'!S34</f>
        <v>0.100578991176865</v>
      </c>
      <c r="O56" s="104" t="n">
        <f aca="false">'Profit &amp; Loss Consolidated'!T34</f>
        <v>0.110271838452283</v>
      </c>
      <c r="P56" s="104" t="n">
        <f aca="false">'Profit &amp; Loss Consolidated'!U34</f>
        <v>0.124684779004969</v>
      </c>
      <c r="Q56" s="103" t="n">
        <f aca="false">'Profit &amp; Loss Consolidated'!V34</f>
        <v>0.139043271294626</v>
      </c>
      <c r="R56" s="104" t="n">
        <f aca="false">'Profit &amp; Loss Consolidated'!W34</f>
        <v>0.147488969175854</v>
      </c>
      <c r="S56" s="104" t="n">
        <f aca="false">'Profit &amp; Loss Consolidated'!X34</f>
        <v>0.0960011167569854</v>
      </c>
      <c r="T56" s="104" t="n">
        <f aca="false">'Profit &amp; Loss Consolidated'!Y34</f>
        <v>0.0974073592867661</v>
      </c>
      <c r="U56" s="104" t="n">
        <f aca="false">'Profit &amp; Loss Consolidated'!Z34</f>
        <v>0.118279619696192</v>
      </c>
      <c r="V56" s="103" t="n">
        <f aca="false">'Profit &amp; Loss Consolidated'!AA34</f>
        <v>0.119427840811008</v>
      </c>
      <c r="W56" s="104" t="n">
        <f aca="false">'Profit &amp; Loss Consolidated'!AB34</f>
        <v>0.142777530412883</v>
      </c>
      <c r="X56" s="104" t="n">
        <f aca="false">'Profit &amp; Loss Consolidated'!AC34</f>
        <v>0.0969438216530657</v>
      </c>
      <c r="Y56" s="104" t="n">
        <f aca="false">'Profit &amp; Loss Consolidated'!AD34</f>
        <v>0.0853688369624889</v>
      </c>
      <c r="Z56" s="104" t="n">
        <f aca="false">'Profit &amp; Loss Consolidated'!AE34</f>
        <v>0.111841022915226</v>
      </c>
      <c r="AA56" s="103" t="n">
        <f aca="false">'Profit &amp; Loss Consolidated'!AF34</f>
        <v>0.108911497806114</v>
      </c>
      <c r="AB56" s="104" t="n">
        <f aca="false">'Profit &amp; Loss Consolidated'!AG34</f>
        <v>0.160440490477735</v>
      </c>
      <c r="AC56" s="104" t="n">
        <f aca="false">'Profit &amp; Loss Consolidated'!AH34</f>
        <v>0.118351396603978</v>
      </c>
      <c r="AD56" s="104" t="n">
        <f aca="false">'Profit &amp; Loss Consolidated'!AI34</f>
        <v>0.0961256438436856</v>
      </c>
      <c r="AE56" s="104" t="n">
        <f aca="false">'Profit &amp; Loss Consolidated'!AJ34</f>
        <v>0.124252661457788</v>
      </c>
      <c r="AF56" s="103" t="n">
        <f aca="false">'Profit &amp; Loss Consolidated'!AK34</f>
        <v>0.124258719194598</v>
      </c>
      <c r="AG56" s="104" t="n">
        <f aca="false">'Profit &amp; Loss Consolidated'!AL34</f>
        <v>0.161993921265916</v>
      </c>
      <c r="AH56" s="104" t="n">
        <f aca="false">'Profit &amp; Loss Consolidated'!AM34</f>
        <v>0.123022644023258</v>
      </c>
      <c r="AI56" s="104" t="n">
        <f aca="false">'Profit &amp; Loss Consolidated'!AN34</f>
        <v>0.093228562148917</v>
      </c>
      <c r="AJ56" s="104" t="n">
        <f aca="false">'Profit &amp; Loss Consolidated'!AO34</f>
        <v>0.124033240936078</v>
      </c>
      <c r="AK56" s="103" t="n">
        <f aca="false">'Profit &amp; Loss Consolidated'!AP34</f>
        <v>0.124944756374543</v>
      </c>
    </row>
    <row r="57" customFormat="false" ht="15" hidden="false" customHeight="false" outlineLevel="0" collapsed="false">
      <c r="A57" s="110"/>
      <c r="B57" s="64"/>
      <c r="G57" s="64"/>
      <c r="L57" s="64"/>
      <c r="Q57" s="64"/>
      <c r="V57" s="64"/>
      <c r="AA57" s="64"/>
      <c r="AF57" s="64"/>
      <c r="AK57" s="64"/>
    </row>
    <row r="58" customFormat="false" ht="15" hidden="false" customHeight="false" outlineLevel="0" collapsed="false">
      <c r="A58" s="37" t="s">
        <v>134</v>
      </c>
      <c r="B58" s="66" t="n">
        <f aca="false">'Profit &amp; Loss Consolidated'!G42</f>
        <v>43.7</v>
      </c>
      <c r="C58" s="65" t="n">
        <f aca="false">'Profit &amp; Loss Consolidated'!H42</f>
        <v>70.1</v>
      </c>
      <c r="D58" s="65" t="n">
        <f aca="false">'Profit &amp; Loss Consolidated'!I42</f>
        <v>215</v>
      </c>
      <c r="E58" s="65" t="n">
        <f aca="false">'Profit &amp; Loss Consolidated'!J42</f>
        <v>161.7</v>
      </c>
      <c r="F58" s="65" t="n">
        <f aca="false">'Profit &amp; Loss Consolidated'!K42</f>
        <v>89.2</v>
      </c>
      <c r="G58" s="66" t="n">
        <f aca="false">'Profit &amp; Loss Consolidated'!L42</f>
        <v>536</v>
      </c>
      <c r="H58" s="65" t="n">
        <f aca="false">'Profit &amp; Loss Consolidated'!M42</f>
        <v>55.3</v>
      </c>
      <c r="I58" s="65" t="n">
        <f aca="false">'Profit &amp; Loss Consolidated'!N42</f>
        <v>173.3</v>
      </c>
      <c r="J58" s="65" t="n">
        <f aca="false">'Profit &amp; Loss Consolidated'!O42</f>
        <v>78.6</v>
      </c>
      <c r="K58" s="65" t="n">
        <f aca="false">'Profit &amp; Loss Consolidated'!P42</f>
        <v>5.69999999999999</v>
      </c>
      <c r="L58" s="66" t="n">
        <f aca="false">'Profit &amp; Loss Consolidated'!Q42</f>
        <v>312.9</v>
      </c>
      <c r="M58" s="65" t="n">
        <f aca="false">'Profit &amp; Loss Consolidated'!R42</f>
        <v>330.8</v>
      </c>
      <c r="N58" s="65" t="n">
        <f aca="false">'Profit &amp; Loss Consolidated'!S42</f>
        <v>135.539813807543</v>
      </c>
      <c r="O58" s="65" t="n">
        <f aca="false">'Profit &amp; Loss Consolidated'!T42</f>
        <v>148.601852903411</v>
      </c>
      <c r="P58" s="65" t="n">
        <f aca="false">'Profit &amp; Loss Consolidated'!U42</f>
        <v>168.024669299481</v>
      </c>
      <c r="Q58" s="66" t="n">
        <f aca="false">'Profit &amp; Loss Consolidated'!V42</f>
        <v>782.966336010435</v>
      </c>
      <c r="R58" s="65" t="n">
        <f aca="false">'Profit &amp; Loss Consolidated'!W42</f>
        <v>216.434394822833</v>
      </c>
      <c r="S58" s="65" t="n">
        <f aca="false">'Profit &amp; Loss Consolidated'!X42</f>
        <v>144.306219176752</v>
      </c>
      <c r="T58" s="65" t="n">
        <f aca="false">'Profit &amp; Loss Consolidated'!Y42</f>
        <v>153.053438248304</v>
      </c>
      <c r="U58" s="65" t="n">
        <f aca="false">'Profit &amp; Loss Consolidated'!Z42</f>
        <v>213.353577132586</v>
      </c>
      <c r="V58" s="66" t="n">
        <f aca="false">'Profit &amp; Loss Consolidated'!AA42</f>
        <v>727.147629380475</v>
      </c>
      <c r="W58" s="65" t="n">
        <f aca="false">'Profit &amp; Loss Consolidated'!AB42</f>
        <v>259.805468956352</v>
      </c>
      <c r="X58" s="65" t="n">
        <f aca="false">'Profit &amp; Loss Consolidated'!AC42</f>
        <v>180.696851155212</v>
      </c>
      <c r="Y58" s="65" t="n">
        <f aca="false">'Profit &amp; Loss Consolidated'!AD42</f>
        <v>166.330682803936</v>
      </c>
      <c r="Z58" s="65" t="n">
        <f aca="false">'Profit &amp; Loss Consolidated'!AE42</f>
        <v>250.157095020446</v>
      </c>
      <c r="AA58" s="66" t="n">
        <f aca="false">'Profit &amp; Loss Consolidated'!AF42</f>
        <v>856.990097935946</v>
      </c>
      <c r="AB58" s="65" t="n">
        <f aca="false">'Profit &amp; Loss Consolidated'!AG42</f>
        <v>356.174017242704</v>
      </c>
      <c r="AC58" s="65" t="n">
        <f aca="false">'Profit &amp; Loss Consolidated'!AH42</f>
        <v>269.130963525313</v>
      </c>
      <c r="AD58" s="65" t="n">
        <f aca="false">'Profit &amp; Loss Consolidated'!AI42</f>
        <v>228.492578136757</v>
      </c>
      <c r="AE58" s="65" t="n">
        <f aca="false">'Profit &amp; Loss Consolidated'!AJ42</f>
        <v>339.060521040899</v>
      </c>
      <c r="AF58" s="66" t="n">
        <f aca="false">'Profit &amp; Loss Consolidated'!AK42</f>
        <v>1192.85807994567</v>
      </c>
      <c r="AG58" s="65" t="n">
        <f aca="false">'Profit &amp; Loss Consolidated'!AL42</f>
        <v>431.547115327624</v>
      </c>
      <c r="AH58" s="65" t="n">
        <f aca="false">'Profit &amp; Loss Consolidated'!AM42</f>
        <v>335.704050866755</v>
      </c>
      <c r="AI58" s="65" t="n">
        <f aca="false">'Profit &amp; Loss Consolidated'!AN42</f>
        <v>265.927388400488</v>
      </c>
      <c r="AJ58" s="65" t="n">
        <f aca="false">'Profit &amp; Loss Consolidated'!AO42</f>
        <v>406.154119885458</v>
      </c>
      <c r="AK58" s="66" t="n">
        <f aca="false">'Profit &amp; Loss Consolidated'!AP42</f>
        <v>1439.33267448033</v>
      </c>
    </row>
    <row r="59" s="102" customFormat="true" ht="15" hidden="false" customHeight="false" outlineLevel="0" collapsed="false">
      <c r="A59" s="102" t="s">
        <v>135</v>
      </c>
      <c r="B59" s="100" t="n">
        <f aca="false">'Cost Model'!G20</f>
        <v>0.0211704292219746</v>
      </c>
      <c r="C59" s="101" t="n">
        <f aca="false">'Cost Model'!H20</f>
        <v>0.101535341830823</v>
      </c>
      <c r="D59" s="101" t="n">
        <f aca="false">'Cost Model'!I20</f>
        <v>0.256502028155571</v>
      </c>
      <c r="E59" s="101" t="n">
        <f aca="false">'Cost Model'!J20</f>
        <v>0.266787658802178</v>
      </c>
      <c r="F59" s="101" t="n">
        <f aca="false">'Cost Model'!K20</f>
        <v>0.113935368501724</v>
      </c>
      <c r="G59" s="100" t="n">
        <f aca="false">'Cost Model'!L20</f>
        <v>0.18371264052646</v>
      </c>
      <c r="H59" s="101" t="n">
        <f aca="false">'Cost Model'!M20</f>
        <v>0.251477944520238</v>
      </c>
      <c r="I59" s="101" t="n">
        <f aca="false">'Cost Model'!N20</f>
        <v>-0.82970268588117</v>
      </c>
      <c r="J59" s="101" t="n">
        <f aca="false">'Cost Model'!O20</f>
        <v>0.158787878787878</v>
      </c>
      <c r="K59" s="101" t="n">
        <f aca="false">'Cost Model'!P20</f>
        <v>0.0070737155621742</v>
      </c>
      <c r="L59" s="100" t="n">
        <f aca="false">'Cost Model'!Q20</f>
        <v>0.238521759679226</v>
      </c>
      <c r="M59" s="101" t="n">
        <f aca="false">'Cost Model'!R20</f>
        <v>0.165789605573097</v>
      </c>
      <c r="N59" s="101" t="n">
        <f aca="false">'Cost Model'!S20</f>
        <v>0.13</v>
      </c>
      <c r="O59" s="101" t="n">
        <f aca="false">'Cost Model'!T20</f>
        <v>0.13</v>
      </c>
      <c r="P59" s="101" t="n">
        <f aca="false">'Cost Model'!U20</f>
        <v>0.13</v>
      </c>
      <c r="Q59" s="100" t="n">
        <f aca="false">'Cost Model'!V20</f>
        <v>0.14304667329466</v>
      </c>
      <c r="R59" s="101" t="n">
        <f aca="false">'Cost Model'!W20</f>
        <v>0.13</v>
      </c>
      <c r="S59" s="101" t="n">
        <f aca="false">'Cost Model'!X20</f>
        <v>0.13</v>
      </c>
      <c r="T59" s="101" t="n">
        <f aca="false">'Cost Model'!Y20</f>
        <v>0.13</v>
      </c>
      <c r="U59" s="101" t="n">
        <f aca="false">'Cost Model'!Z20</f>
        <v>0.13</v>
      </c>
      <c r="V59" s="100" t="n">
        <f aca="false">'Cost Model'!AA20</f>
        <v>0.124732600334974</v>
      </c>
      <c r="W59" s="101" t="n">
        <f aca="false">'Cost Model'!AB20</f>
        <v>0.13</v>
      </c>
      <c r="X59" s="101" t="n">
        <f aca="false">'Cost Model'!AC20</f>
        <v>0.13</v>
      </c>
      <c r="Y59" s="101" t="n">
        <f aca="false">'Cost Model'!AD20</f>
        <v>0.13</v>
      </c>
      <c r="Z59" s="101" t="n">
        <f aca="false">'Cost Model'!AE20</f>
        <v>0.13</v>
      </c>
      <c r="AA59" s="100" t="n">
        <f aca="false">'Cost Model'!AF20</f>
        <v>0.13</v>
      </c>
      <c r="AB59" s="101" t="n">
        <f aca="false">'Cost Model'!AG20</f>
        <v>0.13</v>
      </c>
      <c r="AC59" s="101" t="n">
        <f aca="false">'Cost Model'!AH20</f>
        <v>0.13</v>
      </c>
      <c r="AD59" s="101" t="n">
        <f aca="false">'Cost Model'!AI20</f>
        <v>0.13</v>
      </c>
      <c r="AE59" s="101" t="n">
        <f aca="false">'Cost Model'!AJ20</f>
        <v>0.13</v>
      </c>
      <c r="AF59" s="100" t="n">
        <f aca="false">'Cost Model'!AK20</f>
        <v>0.13</v>
      </c>
      <c r="AG59" s="101" t="n">
        <f aca="false">'Cost Model'!AL20</f>
        <v>0.13</v>
      </c>
      <c r="AH59" s="101" t="n">
        <f aca="false">'Cost Model'!AM20</f>
        <v>0.13</v>
      </c>
      <c r="AI59" s="101" t="n">
        <f aca="false">'Cost Model'!AN20</f>
        <v>0.13</v>
      </c>
      <c r="AJ59" s="101" t="n">
        <f aca="false">'Cost Model'!AO20</f>
        <v>0.13</v>
      </c>
      <c r="AK59" s="100" t="n">
        <f aca="false">'Cost Model'!AP20</f>
        <v>0.13</v>
      </c>
    </row>
    <row r="60" customFormat="false" ht="15" hidden="false" customHeight="false" outlineLevel="0" collapsed="false">
      <c r="B60" s="64"/>
      <c r="G60" s="64"/>
      <c r="L60" s="64"/>
      <c r="Q60" s="64"/>
      <c r="V60" s="64"/>
      <c r="AA60" s="64"/>
      <c r="AF60" s="64"/>
      <c r="AK60" s="64"/>
    </row>
    <row r="61" customFormat="false" ht="15" hidden="false" customHeight="false" outlineLevel="0" collapsed="false">
      <c r="A61" s="96" t="s">
        <v>136</v>
      </c>
      <c r="B61" s="66" t="n">
        <f aca="false">'Profit &amp; Loss Consolidated'!G45</f>
        <v>2009.5</v>
      </c>
      <c r="C61" s="65" t="n">
        <f aca="false">'Profit &amp; Loss Consolidated'!H45</f>
        <v>617.4</v>
      </c>
      <c r="D61" s="65" t="n">
        <f aca="false">'Profit &amp; Loss Consolidated'!I45</f>
        <v>620.6</v>
      </c>
      <c r="E61" s="65" t="n">
        <f aca="false">'Profit &amp; Loss Consolidated'!J45</f>
        <v>445.7</v>
      </c>
      <c r="F61" s="65" t="n">
        <f aca="false">'Profit &amp; Loss Consolidated'!K45</f>
        <v>701.299999999999</v>
      </c>
      <c r="G61" s="66" t="n">
        <f aca="false">'Profit &amp; Loss Consolidated'!L45</f>
        <v>2385</v>
      </c>
      <c r="H61" s="65" t="n">
        <f aca="false">'Profit &amp; Loss Consolidated'!M45</f>
        <v>164.199999999999</v>
      </c>
      <c r="I61" s="65" t="n">
        <f aca="false">'Profit &amp; Loss Consolidated'!N45</f>
        <v>-384.17</v>
      </c>
      <c r="J61" s="65" t="n">
        <f aca="false">'Profit &amp; Loss Consolidated'!O45</f>
        <v>418.400000000001</v>
      </c>
      <c r="K61" s="65" t="n">
        <f aca="false">'Profit &amp; Loss Consolidated'!P45</f>
        <v>800.500000000002</v>
      </c>
      <c r="L61" s="66" t="n">
        <f aca="false">'Profit &amp; Loss Consolidated'!Q45</f>
        <v>998.930000000002</v>
      </c>
      <c r="M61" s="65" t="n">
        <f aca="false">'Profit &amp; Loss Consolidated'!R45</f>
        <v>1664.5</v>
      </c>
      <c r="N61" s="65" t="n">
        <f aca="false">'Profit &amp; Loss Consolidated'!S45</f>
        <v>907.074138558176</v>
      </c>
      <c r="O61" s="65" t="n">
        <f aca="false">'Profit &amp; Loss Consolidated'!T45</f>
        <v>994.489323276671</v>
      </c>
      <c r="P61" s="65" t="n">
        <f aca="false">'Profit &amp; Loss Consolidated'!U45</f>
        <v>1124.47278685037</v>
      </c>
      <c r="Q61" s="66" t="n">
        <f aca="false">'Profit &amp; Loss Consolidated'!V45</f>
        <v>4690.53624868521</v>
      </c>
      <c r="R61" s="65" t="n">
        <f aca="false">'Profit &amp; Loss Consolidated'!W45</f>
        <v>1448.4455653528</v>
      </c>
      <c r="S61" s="65" t="n">
        <f aca="false">'Profit &amp; Loss Consolidated'!X45</f>
        <v>965.741620644418</v>
      </c>
      <c r="T61" s="65" t="n">
        <f aca="false">'Profit &amp; Loss Consolidated'!Y45</f>
        <v>1024.28070212327</v>
      </c>
      <c r="U61" s="65" t="n">
        <f aca="false">'Profit &amp; Loss Consolidated'!Z45</f>
        <v>1427.82778542577</v>
      </c>
      <c r="V61" s="66" t="n">
        <f aca="false">'Profit &amp; Loss Consolidated'!AA45</f>
        <v>5102.50418119426</v>
      </c>
      <c r="W61" s="65" t="n">
        <f aca="false">'Profit &amp; Loss Consolidated'!AB45</f>
        <v>1738.6981384002</v>
      </c>
      <c r="X61" s="65" t="n">
        <f aca="false">'Profit &amp; Loss Consolidated'!AC45</f>
        <v>1209.2789269618</v>
      </c>
      <c r="Y61" s="65" t="n">
        <f aca="false">'Profit &amp; Loss Consolidated'!AD45</f>
        <v>1113.13610799557</v>
      </c>
      <c r="Z61" s="65" t="n">
        <f aca="false">'Profit &amp; Loss Consolidated'!AE45</f>
        <v>1674.12825129068</v>
      </c>
      <c r="AA61" s="66" t="n">
        <f aca="false">'Profit &amp; Loss Consolidated'!AF45</f>
        <v>5735.24142464825</v>
      </c>
      <c r="AB61" s="65" t="n">
        <f aca="false">'Profit &amp; Loss Consolidated'!AG45</f>
        <v>2383.62611539348</v>
      </c>
      <c r="AC61" s="65" t="n">
        <f aca="false">'Profit &amp; Loss Consolidated'!AH45</f>
        <v>1801.10721743864</v>
      </c>
      <c r="AD61" s="65" t="n">
        <f aca="false">'Profit &amp; Loss Consolidated'!AI45</f>
        <v>1529.14263829984</v>
      </c>
      <c r="AE61" s="65" t="n">
        <f aca="false">'Profit &amp; Loss Consolidated'!AJ45</f>
        <v>2269.09733311986</v>
      </c>
      <c r="AF61" s="66" t="n">
        <f aca="false">'Profit &amp; Loss Consolidated'!AK45</f>
        <v>7982.97330425182</v>
      </c>
      <c r="AG61" s="65" t="n">
        <f aca="false">'Profit &amp; Loss Consolidated'!AL45</f>
        <v>2888.04607950025</v>
      </c>
      <c r="AH61" s="65" t="n">
        <f aca="false">'Profit &amp; Loss Consolidated'!AM45</f>
        <v>2246.63480195444</v>
      </c>
      <c r="AI61" s="65" t="n">
        <f aca="false">'Profit &amp; Loss Consolidated'!AN45</f>
        <v>1779.66790698788</v>
      </c>
      <c r="AJ61" s="65" t="n">
        <f aca="false">'Profit &amp; Loss Consolidated'!AO45</f>
        <v>2718.10834077191</v>
      </c>
      <c r="AK61" s="66" t="n">
        <f aca="false">'Profit &amp; Loss Consolidated'!AP45</f>
        <v>9632.45712921449</v>
      </c>
    </row>
    <row r="62" customFormat="false" ht="15" hidden="false" customHeight="false" outlineLevel="0" collapsed="false">
      <c r="A62" s="111" t="s">
        <v>137</v>
      </c>
      <c r="B62" s="100" t="n">
        <f aca="false">'Profit &amp; Loss Consolidated'!G46</f>
        <v>0.0893023793229107</v>
      </c>
      <c r="C62" s="101" t="n">
        <f aca="false">'Profit &amp; Loss Consolidated'!H46</f>
        <v>0.108996539792387</v>
      </c>
      <c r="D62" s="101" t="n">
        <f aca="false">'Profit &amp; Loss Consolidated'!I46</f>
        <v>0.0930490584142977</v>
      </c>
      <c r="E62" s="101" t="n">
        <f aca="false">'Profit &amp; Loss Consolidated'!J46</f>
        <v>0.0730428227273472</v>
      </c>
      <c r="F62" s="101" t="n">
        <f aca="false">'Profit &amp; Loss Consolidated'!K46</f>
        <v>0.0989558346267813</v>
      </c>
      <c r="G62" s="100" t="n">
        <f aca="false">'Profit &amp; Loss Consolidated'!L46</f>
        <v>0.0934454940465229</v>
      </c>
      <c r="H62" s="101" t="n">
        <f aca="false">'Profit &amp; Loss Consolidated'!M46</f>
        <v>0.0232317944509683</v>
      </c>
      <c r="I62" s="101" t="n">
        <f aca="false">'Profit &amp; Loss Consolidated'!N46</f>
        <v>-0.0530641336071926</v>
      </c>
      <c r="J62" s="101" t="n">
        <f aca="false">'Profit &amp; Loss Consolidated'!O46</f>
        <v>0.0552868733317478</v>
      </c>
      <c r="K62" s="101" t="n">
        <f aca="false">'Profit &amp; Loss Consolidated'!P46</f>
        <v>0.0921354004811071</v>
      </c>
      <c r="L62" s="100" t="n">
        <f aca="false">'Profit &amp; Loss Consolidated'!Q46</f>
        <v>0.0326835108149431</v>
      </c>
      <c r="M62" s="101" t="n">
        <f aca="false">'Profit &amp; Loss Consolidated'!R46</f>
        <v>0.201340252325483</v>
      </c>
      <c r="N62" s="101" t="n">
        <f aca="false">'Profit &amp; Loss Consolidated'!S46</f>
        <v>0.0875037223238726</v>
      </c>
      <c r="O62" s="101" t="n">
        <f aca="false">'Profit &amp; Loss Consolidated'!T46</f>
        <v>0.0959364994534861</v>
      </c>
      <c r="P62" s="101" t="n">
        <f aca="false">'Profit &amp; Loss Consolidated'!U46</f>
        <v>0.108475757734323</v>
      </c>
      <c r="Q62" s="100" t="n">
        <f aca="false">'Profit &amp; Loss Consolidated'!V46</f>
        <v>0.119153593891923</v>
      </c>
      <c r="R62" s="101" t="n">
        <f aca="false">'Profit &amp; Loss Consolidated'!W46</f>
        <v>0.128315403182993</v>
      </c>
      <c r="S62" s="101" t="n">
        <f aca="false">'Profit &amp; Loss Consolidated'!X46</f>
        <v>0.0835209715785773</v>
      </c>
      <c r="T62" s="101" t="n">
        <f aca="false">'Profit &amp; Loss Consolidated'!Y46</f>
        <v>0.0847444025794865</v>
      </c>
      <c r="U62" s="101" t="n">
        <f aca="false">'Profit &amp; Loss Consolidated'!Z46</f>
        <v>0.102903269135687</v>
      </c>
      <c r="V62" s="100" t="n">
        <f aca="false">'Profit &amp; Loss Consolidated'!AA46</f>
        <v>0.104531295674259</v>
      </c>
      <c r="W62" s="101" t="n">
        <f aca="false">'Profit &amp; Loss Consolidated'!AB46</f>
        <v>0.124216451459209</v>
      </c>
      <c r="X62" s="101" t="n">
        <f aca="false">'Profit &amp; Loss Consolidated'!AC46</f>
        <v>0.0843411248381671</v>
      </c>
      <c r="Y62" s="101" t="n">
        <f aca="false">'Profit &amp; Loss Consolidated'!AD46</f>
        <v>0.0742708881573653</v>
      </c>
      <c r="Z62" s="101" t="n">
        <f aca="false">'Profit &amp; Loss Consolidated'!AE46</f>
        <v>0.0973016899362469</v>
      </c>
      <c r="AA62" s="100" t="n">
        <f aca="false">'Profit &amp; Loss Consolidated'!AF46</f>
        <v>0.0947530030913188</v>
      </c>
      <c r="AB62" s="101" t="n">
        <f aca="false">'Profit &amp; Loss Consolidated'!AG46</f>
        <v>0.139583226715629</v>
      </c>
      <c r="AC62" s="101" t="n">
        <f aca="false">'Profit &amp; Loss Consolidated'!AH46</f>
        <v>0.102965715045461</v>
      </c>
      <c r="AD62" s="101" t="n">
        <f aca="false">'Profit &amp; Loss Consolidated'!AI46</f>
        <v>0.0836293101440065</v>
      </c>
      <c r="AE62" s="101" t="n">
        <f aca="false">'Profit &amp; Loss Consolidated'!AJ46</f>
        <v>0.108099815468276</v>
      </c>
      <c r="AF62" s="100" t="n">
        <f aca="false">'Profit &amp; Loss Consolidated'!AK46</f>
        <v>0.108105085699301</v>
      </c>
      <c r="AG62" s="101" t="n">
        <f aca="false">'Profit &amp; Loss Consolidated'!AL46</f>
        <v>0.140934711501347</v>
      </c>
      <c r="AH62" s="101" t="n">
        <f aca="false">'Profit &amp; Loss Consolidated'!AM46</f>
        <v>0.107029700300234</v>
      </c>
      <c r="AI62" s="101" t="n">
        <f aca="false">'Profit &amp; Loss Consolidated'!AN46</f>
        <v>0.0811088490695578</v>
      </c>
      <c r="AJ62" s="101" t="n">
        <f aca="false">'Profit &amp; Loss Consolidated'!AO46</f>
        <v>0.107908919614388</v>
      </c>
      <c r="AK62" s="100" t="n">
        <f aca="false">'Profit &amp; Loss Consolidated'!AP46</f>
        <v>0.108701938045852</v>
      </c>
    </row>
    <row r="63" customFormat="false" ht="15" hidden="false" customHeight="false" outlineLevel="0" collapsed="false">
      <c r="A63" s="74" t="s">
        <v>138</v>
      </c>
      <c r="B63" s="66" t="n">
        <f aca="false">'Profit &amp; Loss Consolidated'!G52</f>
        <v>30.27</v>
      </c>
      <c r="C63" s="65" t="n">
        <f aca="false">'Profit &amp; Loss Consolidated'!H52</f>
        <v>9.13</v>
      </c>
      <c r="D63" s="65" t="n">
        <f aca="false">'Profit &amp; Loss Consolidated'!I52</f>
        <v>9.19</v>
      </c>
      <c r="E63" s="65" t="n">
        <f aca="false">'Profit &amp; Loss Consolidated'!J52</f>
        <v>6.59</v>
      </c>
      <c r="F63" s="65" t="n">
        <f aca="false">'Profit &amp; Loss Consolidated'!K52</f>
        <v>10.37</v>
      </c>
      <c r="G63" s="66" t="n">
        <f aca="false">'Profit &amp; Loss Consolidated'!L52</f>
        <v>35.33</v>
      </c>
      <c r="H63" s="65" t="n">
        <f aca="false">'Profit &amp; Loss Consolidated'!M52</f>
        <v>2.43</v>
      </c>
      <c r="I63" s="65" t="n">
        <f aca="false">'Profit &amp; Loss Consolidated'!N52</f>
        <v>-7.15</v>
      </c>
      <c r="J63" s="65" t="n">
        <f aca="false">'Profit &amp; Loss Consolidated'!O52</f>
        <v>6.19</v>
      </c>
      <c r="K63" s="65" t="n">
        <f aca="false">'Profit &amp; Loss Consolidated'!P52</f>
        <v>12.37</v>
      </c>
      <c r="L63" s="66" t="n">
        <f aca="false">'Profit &amp; Loss Consolidated'!Q52</f>
        <v>15.43</v>
      </c>
      <c r="M63" s="65" t="n">
        <f aca="false">'Profit &amp; Loss Consolidated'!R52</f>
        <v>25.76</v>
      </c>
      <c r="N63" s="65" t="n">
        <f aca="false">'Profit &amp; Loss Consolidated'!S52</f>
        <v>14.0379872690049</v>
      </c>
      <c r="O63" s="65" t="n">
        <f aca="false">'Profit &amp; Loss Consolidated'!T52</f>
        <v>15.3908350661502</v>
      </c>
      <c r="P63" s="65" t="n">
        <f aca="false">'Profit &amp; Loss Consolidated'!U52</f>
        <v>17.4024746105531</v>
      </c>
      <c r="Q63" s="66" t="n">
        <f aca="false">'Profit &amp; Loss Consolidated'!V52</f>
        <v>72.591296945708</v>
      </c>
      <c r="R63" s="65" t="n">
        <f aca="false">'Profit &amp; Loss Consolidated'!W52</f>
        <v>22.4163158687223</v>
      </c>
      <c r="S63" s="65" t="n">
        <f aca="false">'Profit &amp; Loss Consolidated'!X52</f>
        <v>14.9459322005408</v>
      </c>
      <c r="T63" s="65" t="n">
        <f aca="false">'Profit &amp; Loss Consolidated'!Y52</f>
        <v>15.8518899890029</v>
      </c>
      <c r="U63" s="65" t="n">
        <f aca="false">'Profit &amp; Loss Consolidated'!Z52</f>
        <v>22.0972326539909</v>
      </c>
      <c r="V63" s="66" t="n">
        <f aca="false">'Profit &amp; Loss Consolidated'!AA52</f>
        <v>78.9669616747156</v>
      </c>
      <c r="W63" s="65" t="n">
        <f aca="false">'Profit &amp; Loss Consolidated'!AB52</f>
        <v>29.8830393382253</v>
      </c>
      <c r="X63" s="65" t="n">
        <f aca="false">'Profit &amp; Loss Consolidated'!AC52</f>
        <v>20.7839008665049</v>
      </c>
      <c r="Y63" s="65" t="n">
        <f aca="false">'Profit &amp; Loss Consolidated'!AD52</f>
        <v>19.1314923328999</v>
      </c>
      <c r="Z63" s="65" t="n">
        <f aca="false">'Profit &amp; Loss Consolidated'!AE52</f>
        <v>28.7732754097184</v>
      </c>
      <c r="AA63" s="66" t="n">
        <f aca="false">'Profit &amp; Loss Consolidated'!AF52</f>
        <v>98.5717079473484</v>
      </c>
      <c r="AB63" s="65" t="n">
        <f aca="false">'Profit &amp; Loss Consolidated'!AG52</f>
        <v>40.9674292510972</v>
      </c>
      <c r="AC63" s="65" t="n">
        <f aca="false">'Profit &amp; Loss Consolidated'!AH52</f>
        <v>30.9556654156213</v>
      </c>
      <c r="AD63" s="65" t="n">
        <f aca="false">'Profit &amp; Loss Consolidated'!AI52</f>
        <v>26.2814048079195</v>
      </c>
      <c r="AE63" s="65" t="n">
        <f aca="false">'Profit &amp; Loss Consolidated'!AJ52</f>
        <v>38.9990208020086</v>
      </c>
      <c r="AF63" s="66" t="n">
        <f aca="false">'Profit &amp; Loss Consolidated'!AK52</f>
        <v>137.203520276647</v>
      </c>
      <c r="AG63" s="65" t="n">
        <f aca="false">'Profit &amp; Loss Consolidated'!AL52</f>
        <v>49.6369051638386</v>
      </c>
      <c r="AH63" s="65" t="n">
        <f aca="false">'Profit &amp; Loss Consolidated'!AM52</f>
        <v>38.6129568340158</v>
      </c>
      <c r="AI63" s="65" t="n">
        <f aca="false">'Profit &amp; Loss Consolidated'!AN52</f>
        <v>30.5871875623156</v>
      </c>
      <c r="AJ63" s="65" t="n">
        <f aca="false">'Profit &amp; Loss Consolidated'!AO52</f>
        <v>46.7161818828321</v>
      </c>
      <c r="AK63" s="66" t="n">
        <f aca="false">'Profit &amp; Loss Consolidated'!AP52</f>
        <v>165.553231443002</v>
      </c>
    </row>
    <row r="64" s="19" customFormat="true" ht="15" hidden="false" customHeight="false" outlineLevel="0" collapsed="false">
      <c r="A64" s="32"/>
      <c r="B64" s="112"/>
      <c r="C64" s="32"/>
      <c r="D64" s="32"/>
      <c r="E64" s="32"/>
      <c r="F64" s="32"/>
      <c r="G64" s="112"/>
      <c r="H64" s="32"/>
      <c r="I64" s="32"/>
      <c r="J64" s="32"/>
      <c r="K64" s="32"/>
      <c r="L64" s="112"/>
      <c r="M64" s="32"/>
      <c r="N64" s="32"/>
      <c r="O64" s="32"/>
      <c r="P64" s="32"/>
      <c r="Q64" s="112"/>
      <c r="R64" s="32"/>
      <c r="S64" s="32"/>
      <c r="T64" s="32"/>
      <c r="U64" s="32"/>
      <c r="V64" s="112"/>
      <c r="W64" s="32"/>
      <c r="X64" s="32"/>
      <c r="Y64" s="32"/>
      <c r="Z64" s="32"/>
      <c r="AA64" s="112"/>
      <c r="AB64" s="32"/>
      <c r="AC64" s="32"/>
      <c r="AD64" s="32"/>
      <c r="AE64" s="32"/>
      <c r="AF64" s="112"/>
      <c r="AG64" s="32"/>
      <c r="AH64" s="32"/>
      <c r="AI64" s="32"/>
      <c r="AJ64" s="32"/>
      <c r="AK64" s="112"/>
    </row>
    <row r="65" customFormat="false" ht="15" hidden="false" customHeight="false" outlineLevel="0" collapsed="false">
      <c r="B65" s="64"/>
      <c r="G65" s="64"/>
      <c r="L65" s="64"/>
      <c r="Q65" s="64"/>
      <c r="V65" s="64"/>
      <c r="AA65" s="64"/>
      <c r="AF65" s="64"/>
      <c r="AK65" s="64"/>
    </row>
    <row r="66" customFormat="false" ht="15.75" hidden="false" customHeight="false" outlineLevel="0" collapsed="false">
      <c r="A66" s="33" t="s">
        <v>139</v>
      </c>
      <c r="B66" s="91"/>
      <c r="C66" s="31"/>
      <c r="D66" s="31"/>
      <c r="E66" s="31"/>
      <c r="F66" s="31"/>
      <c r="G66" s="91"/>
      <c r="H66" s="31"/>
      <c r="I66" s="31"/>
      <c r="J66" s="31"/>
      <c r="K66" s="31"/>
      <c r="L66" s="91"/>
      <c r="M66" s="31"/>
      <c r="N66" s="31"/>
      <c r="O66" s="31"/>
      <c r="P66" s="31"/>
      <c r="Q66" s="91"/>
      <c r="R66" s="31"/>
      <c r="S66" s="31"/>
      <c r="T66" s="31"/>
      <c r="U66" s="31"/>
      <c r="V66" s="91"/>
      <c r="W66" s="31"/>
      <c r="X66" s="31"/>
      <c r="Y66" s="31"/>
      <c r="Z66" s="31"/>
      <c r="AA66" s="91"/>
      <c r="AB66" s="31"/>
      <c r="AC66" s="31"/>
      <c r="AD66" s="31"/>
      <c r="AE66" s="31"/>
      <c r="AF66" s="91"/>
      <c r="AG66" s="31"/>
      <c r="AH66" s="31"/>
      <c r="AI66" s="31"/>
      <c r="AJ66" s="31"/>
      <c r="AK66" s="91"/>
    </row>
    <row r="67" customFormat="false" ht="15" hidden="false" customHeight="false" outlineLevel="0" collapsed="false">
      <c r="B67" s="64"/>
      <c r="G67" s="64"/>
      <c r="L67" s="64"/>
      <c r="Q67" s="64"/>
      <c r="V67" s="64"/>
      <c r="AA67" s="64"/>
      <c r="AF67" s="64"/>
      <c r="AK67" s="64"/>
    </row>
    <row r="68" customFormat="false" ht="15" hidden="false" customHeight="true" outlineLevel="0" collapsed="false">
      <c r="A68" s="57" t="s">
        <v>140</v>
      </c>
      <c r="B68" s="66" t="n">
        <f aca="false">'Balance Sheet'!C42</f>
        <v>5824.6</v>
      </c>
      <c r="C68" s="113" t="s">
        <v>61</v>
      </c>
      <c r="D68" s="113"/>
      <c r="E68" s="113"/>
      <c r="F68" s="113"/>
      <c r="G68" s="66" t="n">
        <f aca="false">'Balance Sheet'!D42</f>
        <v>2825.7</v>
      </c>
      <c r="H68" s="113" t="s">
        <v>61</v>
      </c>
      <c r="I68" s="113"/>
      <c r="J68" s="113"/>
      <c r="K68" s="113"/>
      <c r="L68" s="66" t="n">
        <f aca="false">'Balance Sheet'!E42</f>
        <v>1594.63478286004</v>
      </c>
      <c r="M68" s="113" t="s">
        <v>61</v>
      </c>
      <c r="N68" s="113"/>
      <c r="O68" s="113"/>
      <c r="P68" s="113"/>
      <c r="Q68" s="66" t="n">
        <f aca="false">'Balance Sheet'!F42</f>
        <v>869.293820356131</v>
      </c>
      <c r="R68" s="113" t="s">
        <v>61</v>
      </c>
      <c r="S68" s="113"/>
      <c r="T68" s="113"/>
      <c r="U68" s="113"/>
      <c r="V68" s="66" t="n">
        <f aca="false">'Balance Sheet'!G42</f>
        <v>2450.1651719119</v>
      </c>
      <c r="W68" s="113" t="s">
        <v>61</v>
      </c>
      <c r="X68" s="113"/>
      <c r="Y68" s="113"/>
      <c r="Z68" s="113"/>
      <c r="AA68" s="66" t="n">
        <f aca="false">'Balance Sheet'!H42</f>
        <v>747.332476921988</v>
      </c>
      <c r="AB68" s="113" t="s">
        <v>61</v>
      </c>
      <c r="AC68" s="113"/>
      <c r="AD68" s="113"/>
      <c r="AE68" s="113"/>
      <c r="AF68" s="66" t="n">
        <f aca="false">'Balance Sheet'!I42</f>
        <v>1555.52099216655</v>
      </c>
      <c r="AG68" s="113" t="s">
        <v>61</v>
      </c>
      <c r="AH68" s="113"/>
      <c r="AI68" s="113"/>
      <c r="AJ68" s="113"/>
      <c r="AK68" s="66" t="n">
        <f aca="false">'Balance Sheet'!J42</f>
        <v>2886.51042195621</v>
      </c>
    </row>
    <row r="69" customFormat="false" ht="15" hidden="false" customHeight="false" outlineLevel="0" collapsed="false">
      <c r="A69" s="57" t="s">
        <v>141</v>
      </c>
      <c r="B69" s="66" t="n">
        <f aca="false">'Fixed Asset'!E17</f>
        <v>1809.5</v>
      </c>
      <c r="C69" s="113"/>
      <c r="D69" s="113"/>
      <c r="E69" s="113"/>
      <c r="F69" s="113"/>
      <c r="G69" s="66" t="n">
        <f aca="false">'Fixed Asset'!F17</f>
        <v>2456.9</v>
      </c>
      <c r="H69" s="113"/>
      <c r="I69" s="113"/>
      <c r="J69" s="113"/>
      <c r="K69" s="113"/>
      <c r="L69" s="66" t="n">
        <f aca="false">'Fixed Asset'!G17</f>
        <v>2292.27975</v>
      </c>
      <c r="M69" s="113"/>
      <c r="N69" s="113"/>
      <c r="O69" s="113"/>
      <c r="P69" s="113"/>
      <c r="Q69" s="66" t="n">
        <f aca="false">'Fixed Asset'!H17</f>
        <v>2755.582326</v>
      </c>
      <c r="R69" s="113"/>
      <c r="S69" s="113"/>
      <c r="T69" s="113"/>
      <c r="U69" s="113"/>
      <c r="V69" s="66" t="n">
        <f aca="false">'Fixed Asset'!I17</f>
        <v>3416.92208424</v>
      </c>
      <c r="W69" s="113"/>
      <c r="X69" s="113"/>
      <c r="Y69" s="113"/>
      <c r="Z69" s="113"/>
      <c r="AA69" s="66" t="n">
        <f aca="false">'Fixed Asset'!J17</f>
        <v>3631.7000438208</v>
      </c>
      <c r="AB69" s="113"/>
      <c r="AC69" s="113"/>
      <c r="AD69" s="113"/>
      <c r="AE69" s="113"/>
      <c r="AF69" s="66" t="n">
        <f aca="false">'Fixed Asset'!K17</f>
        <v>4430.67405346138</v>
      </c>
      <c r="AG69" s="113"/>
      <c r="AH69" s="113"/>
      <c r="AI69" s="113"/>
      <c r="AJ69" s="113"/>
      <c r="AK69" s="66" t="n">
        <f aca="false">'Fixed Asset'!L17</f>
        <v>5316.80886415365</v>
      </c>
      <c r="AL69" s="32"/>
      <c r="AM69" s="32"/>
      <c r="AN69" s="32"/>
      <c r="AO69" s="19"/>
      <c r="AP69" s="19"/>
      <c r="AQ69" s="19"/>
    </row>
    <row r="70" customFormat="false" ht="15" hidden="false" customHeight="false" outlineLevel="0" collapsed="false">
      <c r="A70" s="57" t="s">
        <v>142</v>
      </c>
      <c r="B70" s="66" t="n">
        <f aca="false">'Balance Sheet'!C62</f>
        <v>20781.4</v>
      </c>
      <c r="C70" s="113"/>
      <c r="D70" s="113"/>
      <c r="E70" s="113"/>
      <c r="F70" s="113"/>
      <c r="G70" s="66" t="n">
        <f aca="false">'Balance Sheet'!D62</f>
        <v>18470.2</v>
      </c>
      <c r="H70" s="113"/>
      <c r="I70" s="113"/>
      <c r="J70" s="113"/>
      <c r="K70" s="113"/>
      <c r="L70" s="66" t="n">
        <f aca="false">'Balance Sheet'!E62</f>
        <v>18470.2</v>
      </c>
      <c r="M70" s="113"/>
      <c r="N70" s="113"/>
      <c r="O70" s="113"/>
      <c r="P70" s="113"/>
      <c r="Q70" s="66" t="n">
        <f aca="false">'Balance Sheet'!F62</f>
        <v>17534.9304</v>
      </c>
      <c r="R70" s="113"/>
      <c r="S70" s="113"/>
      <c r="T70" s="113"/>
      <c r="U70" s="113"/>
      <c r="V70" s="66" t="n">
        <f aca="false">'Balance Sheet'!G62</f>
        <v>16972.9304</v>
      </c>
      <c r="W70" s="113"/>
      <c r="X70" s="113"/>
      <c r="Y70" s="113"/>
      <c r="Z70" s="113"/>
      <c r="AA70" s="66" t="n">
        <f aca="false">'Balance Sheet'!H62</f>
        <v>15569.7304</v>
      </c>
      <c r="AB70" s="113"/>
      <c r="AC70" s="113"/>
      <c r="AD70" s="113"/>
      <c r="AE70" s="113"/>
      <c r="AF70" s="66" t="n">
        <f aca="false">'Balance Sheet'!I62</f>
        <v>15569.7304</v>
      </c>
      <c r="AG70" s="113"/>
      <c r="AH70" s="113"/>
      <c r="AI70" s="113"/>
      <c r="AJ70" s="113"/>
      <c r="AK70" s="66" t="n">
        <f aca="false">'Balance Sheet'!J62</f>
        <v>15569.7304</v>
      </c>
      <c r="AL70" s="32"/>
      <c r="AM70" s="32"/>
      <c r="AN70" s="32"/>
      <c r="AO70" s="32"/>
      <c r="AP70" s="32"/>
      <c r="AQ70" s="19"/>
    </row>
    <row r="71" customFormat="false" ht="15" hidden="false" customHeight="false" outlineLevel="0" collapsed="false">
      <c r="A71" s="57" t="s">
        <v>143</v>
      </c>
      <c r="B71" s="66" t="n">
        <f aca="false">'Balance Sheet'!C15</f>
        <v>8860.1</v>
      </c>
      <c r="C71" s="113"/>
      <c r="D71" s="113"/>
      <c r="E71" s="113"/>
      <c r="F71" s="113"/>
      <c r="G71" s="66" t="n">
        <f aca="false">'Balance Sheet'!D15</f>
        <v>11240.2</v>
      </c>
      <c r="H71" s="113"/>
      <c r="I71" s="113"/>
      <c r="J71" s="113"/>
      <c r="K71" s="113"/>
      <c r="L71" s="66" t="n">
        <f aca="false">'Balance Sheet'!E15</f>
        <v>12239.13</v>
      </c>
      <c r="M71" s="113"/>
      <c r="N71" s="113"/>
      <c r="O71" s="113"/>
      <c r="P71" s="113"/>
      <c r="Q71" s="66" t="n">
        <f aca="false">'Balance Sheet'!F15</f>
        <v>16929.6662486852</v>
      </c>
      <c r="R71" s="113"/>
      <c r="S71" s="113"/>
      <c r="T71" s="113"/>
      <c r="U71" s="113"/>
      <c r="V71" s="66" t="n">
        <f aca="false">'Balance Sheet'!G15</f>
        <v>24357.9619222315</v>
      </c>
      <c r="W71" s="113"/>
      <c r="X71" s="113"/>
      <c r="Y71" s="113"/>
      <c r="Z71" s="113"/>
      <c r="AA71" s="66" t="n">
        <f aca="false">'Balance Sheet'!H15</f>
        <v>30093.2033468797</v>
      </c>
      <c r="AB71" s="113"/>
      <c r="AC71" s="113"/>
      <c r="AD71" s="113"/>
      <c r="AE71" s="113"/>
      <c r="AF71" s="66" t="n">
        <f aca="false">'Balance Sheet'!I15</f>
        <v>38076.1766511315</v>
      </c>
      <c r="AG71" s="113"/>
      <c r="AH71" s="113"/>
      <c r="AI71" s="113"/>
      <c r="AJ71" s="113"/>
      <c r="AK71" s="66" t="n">
        <f aca="false">'Balance Sheet'!J15</f>
        <v>47708.633780346</v>
      </c>
      <c r="AL71" s="19"/>
      <c r="AM71" s="19"/>
      <c r="AN71" s="19"/>
      <c r="AO71" s="19"/>
      <c r="AP71" s="19"/>
      <c r="AQ71" s="19"/>
    </row>
    <row r="72" customFormat="false" ht="15" hidden="false" customHeight="false" outlineLevel="0" collapsed="false">
      <c r="A72" s="57" t="s">
        <v>144</v>
      </c>
      <c r="B72" s="114" t="n">
        <f aca="false">'Balance Sheet'!C42/'Balance Sheet'!C46</f>
        <v>1.31113812353683</v>
      </c>
      <c r="C72" s="113"/>
      <c r="D72" s="113"/>
      <c r="E72" s="113"/>
      <c r="F72" s="113"/>
      <c r="G72" s="114" t="n">
        <f aca="false">'Balance Sheet'!D42/'Balance Sheet'!D46</f>
        <v>0.509502344031735</v>
      </c>
      <c r="H72" s="113"/>
      <c r="I72" s="113"/>
      <c r="J72" s="113"/>
      <c r="K72" s="113"/>
      <c r="L72" s="114" t="n">
        <f aca="false">'Balance Sheet'!E42/'Balance Sheet'!E46</f>
        <v>0.248050396544306</v>
      </c>
      <c r="M72" s="113"/>
      <c r="N72" s="113"/>
      <c r="O72" s="113"/>
      <c r="P72" s="113"/>
      <c r="Q72" s="114" t="n">
        <f aca="false">'Balance Sheet'!F42/'Balance Sheet'!F46</f>
        <v>0.104906173131219</v>
      </c>
      <c r="R72" s="113"/>
      <c r="S72" s="113"/>
      <c r="T72" s="113"/>
      <c r="U72" s="113"/>
      <c r="V72" s="114" t="n">
        <f aca="false">'Balance Sheet'!G42/'Balance Sheet'!G46</f>
        <v>0.240083827120803</v>
      </c>
      <c r="W72" s="113"/>
      <c r="X72" s="113"/>
      <c r="Y72" s="113"/>
      <c r="Z72" s="113"/>
      <c r="AA72" s="114" t="n">
        <f aca="false">'Balance Sheet'!H42/'Balance Sheet'!H46</f>
        <v>0.0590554133853307</v>
      </c>
      <c r="AB72" s="113"/>
      <c r="AC72" s="113"/>
      <c r="AD72" s="113"/>
      <c r="AE72" s="113"/>
      <c r="AF72" s="114" t="n">
        <f aca="false">'Balance Sheet'!I42/'Balance Sheet'!I46</f>
        <v>0.100753908788816</v>
      </c>
      <c r="AG72" s="113"/>
      <c r="AH72" s="113"/>
      <c r="AI72" s="113"/>
      <c r="AJ72" s="113"/>
      <c r="AK72" s="114" t="n">
        <f aca="false">'Balance Sheet'!J42/'Balance Sheet'!J46</f>
        <v>0.15580375173137</v>
      </c>
      <c r="AL72" s="19"/>
      <c r="AM72" s="19"/>
      <c r="AN72" s="19"/>
      <c r="AO72" s="19"/>
      <c r="AP72" s="19"/>
      <c r="AQ72" s="19"/>
    </row>
    <row r="73" customFormat="false" ht="15" hidden="false" customHeight="false" outlineLevel="0" collapsed="false">
      <c r="A73" s="57" t="s">
        <v>145</v>
      </c>
      <c r="B73" s="66" t="n">
        <f aca="false">'Balance Sheet'!C59</f>
        <v>101.559025339745</v>
      </c>
      <c r="C73" s="113"/>
      <c r="D73" s="113"/>
      <c r="E73" s="113"/>
      <c r="F73" s="113"/>
      <c r="G73" s="66" t="n">
        <f aca="false">'Balance Sheet'!D59</f>
        <v>95.1023002871931</v>
      </c>
      <c r="H73" s="113"/>
      <c r="I73" s="113"/>
      <c r="J73" s="113"/>
      <c r="K73" s="113"/>
      <c r="L73" s="66" t="n">
        <f aca="false">'Balance Sheet'!E59</f>
        <v>95.1023002871931</v>
      </c>
      <c r="M73" s="113"/>
      <c r="N73" s="113"/>
      <c r="O73" s="113"/>
      <c r="P73" s="113"/>
      <c r="Q73" s="66" t="n">
        <f aca="false">'Balance Sheet'!F59</f>
        <v>95.1023002871931</v>
      </c>
      <c r="R73" s="113"/>
      <c r="S73" s="113"/>
      <c r="T73" s="113"/>
      <c r="U73" s="113"/>
      <c r="V73" s="66" t="n">
        <f aca="false">'Balance Sheet'!G59</f>
        <v>95.1023002871931</v>
      </c>
      <c r="W73" s="113"/>
      <c r="X73" s="113"/>
      <c r="Y73" s="113"/>
      <c r="Z73" s="113"/>
      <c r="AA73" s="66" t="n">
        <f aca="false">'Balance Sheet'!H59</f>
        <v>95.1023002871931</v>
      </c>
      <c r="AB73" s="113"/>
      <c r="AC73" s="113"/>
      <c r="AD73" s="113"/>
      <c r="AE73" s="113"/>
      <c r="AF73" s="66" t="n">
        <f aca="false">'Balance Sheet'!I59</f>
        <v>95.1023002871931</v>
      </c>
      <c r="AG73" s="113"/>
      <c r="AH73" s="113"/>
      <c r="AI73" s="113"/>
      <c r="AJ73" s="113"/>
      <c r="AK73" s="66" t="n">
        <f aca="false">'Balance Sheet'!J59</f>
        <v>95.1023002871931</v>
      </c>
      <c r="AL73" s="19"/>
      <c r="AM73" s="19"/>
      <c r="AN73" s="19"/>
      <c r="AO73" s="19"/>
      <c r="AP73" s="19"/>
      <c r="AQ73" s="19"/>
    </row>
    <row r="74" customFormat="false" ht="15" hidden="false" customHeight="false" outlineLevel="0" collapsed="false">
      <c r="A74" s="57" t="s">
        <v>146</v>
      </c>
      <c r="B74" s="66" t="n">
        <f aca="false">'Balance Sheet'!C60</f>
        <v>91.3392134991245</v>
      </c>
      <c r="C74" s="113"/>
      <c r="D74" s="113"/>
      <c r="E74" s="113"/>
      <c r="F74" s="113"/>
      <c r="G74" s="66" t="n">
        <f aca="false">'Balance Sheet'!D60</f>
        <v>103.640642325128</v>
      </c>
      <c r="H74" s="113"/>
      <c r="I74" s="113"/>
      <c r="J74" s="113"/>
      <c r="K74" s="113"/>
      <c r="L74" s="66" t="n">
        <f aca="false">'Balance Sheet'!E60</f>
        <v>103.640642325128</v>
      </c>
      <c r="M74" s="113"/>
      <c r="N74" s="113"/>
      <c r="O74" s="113"/>
      <c r="P74" s="113"/>
      <c r="Q74" s="66" t="n">
        <f aca="false">'Balance Sheet'!F60</f>
        <v>103.640642325128</v>
      </c>
      <c r="R74" s="113"/>
      <c r="S74" s="113"/>
      <c r="T74" s="113"/>
      <c r="U74" s="113"/>
      <c r="V74" s="66" t="n">
        <f aca="false">'Balance Sheet'!G60</f>
        <v>103.640642325128</v>
      </c>
      <c r="W74" s="113"/>
      <c r="X74" s="113"/>
      <c r="Y74" s="113"/>
      <c r="Z74" s="113"/>
      <c r="AA74" s="66" t="n">
        <f aca="false">'Balance Sheet'!H60</f>
        <v>103.640642325128</v>
      </c>
      <c r="AB74" s="113"/>
      <c r="AC74" s="113"/>
      <c r="AD74" s="113"/>
      <c r="AE74" s="113"/>
      <c r="AF74" s="66" t="n">
        <f aca="false">'Balance Sheet'!I60</f>
        <v>103.640642325128</v>
      </c>
      <c r="AG74" s="113"/>
      <c r="AH74" s="113"/>
      <c r="AI74" s="113"/>
      <c r="AJ74" s="113"/>
      <c r="AK74" s="66" t="n">
        <f aca="false">'Balance Sheet'!J60</f>
        <v>103.640642325128</v>
      </c>
      <c r="AL74" s="19"/>
      <c r="AM74" s="19"/>
      <c r="AN74" s="19"/>
      <c r="AO74" s="19"/>
      <c r="AP74" s="19"/>
      <c r="AQ74" s="19"/>
    </row>
    <row r="75" customFormat="false" ht="15" hidden="false" customHeight="false" outlineLevel="0" collapsed="false">
      <c r="A75" s="57" t="s">
        <v>147</v>
      </c>
      <c r="B75" s="66" t="n">
        <f aca="false">'Balance Sheet'!C61</f>
        <v>123.712576677755</v>
      </c>
      <c r="C75" s="113"/>
      <c r="D75" s="113"/>
      <c r="E75" s="113"/>
      <c r="F75" s="113"/>
      <c r="G75" s="66" t="n">
        <f aca="false">'Balance Sheet'!D61</f>
        <v>142.291092616544</v>
      </c>
      <c r="H75" s="113"/>
      <c r="I75" s="113"/>
      <c r="J75" s="113"/>
      <c r="K75" s="113"/>
      <c r="L75" s="66" t="n">
        <f aca="false">'Balance Sheet'!E61</f>
        <v>142.291092616544</v>
      </c>
      <c r="M75" s="113"/>
      <c r="N75" s="113"/>
      <c r="O75" s="113"/>
      <c r="P75" s="113"/>
      <c r="Q75" s="66" t="n">
        <f aca="false">'Balance Sheet'!F61</f>
        <v>142.291092616544</v>
      </c>
      <c r="R75" s="113"/>
      <c r="S75" s="113"/>
      <c r="T75" s="113"/>
      <c r="U75" s="113"/>
      <c r="V75" s="66" t="n">
        <f aca="false">'Balance Sheet'!G61</f>
        <v>142.291092616544</v>
      </c>
      <c r="W75" s="113"/>
      <c r="X75" s="113"/>
      <c r="Y75" s="113"/>
      <c r="Z75" s="113"/>
      <c r="AA75" s="66" t="n">
        <f aca="false">'Balance Sheet'!H61</f>
        <v>142.291092616544</v>
      </c>
      <c r="AB75" s="113"/>
      <c r="AC75" s="113"/>
      <c r="AD75" s="113"/>
      <c r="AE75" s="113"/>
      <c r="AF75" s="66" t="n">
        <f aca="false">'Balance Sheet'!I61</f>
        <v>142.291092616544</v>
      </c>
      <c r="AG75" s="113"/>
      <c r="AH75" s="113"/>
      <c r="AI75" s="113"/>
      <c r="AJ75" s="113"/>
      <c r="AK75" s="66" t="n">
        <f aca="false">'Balance Sheet'!J61</f>
        <v>142.291092616544</v>
      </c>
      <c r="AL75" s="19"/>
      <c r="AM75" s="19"/>
      <c r="AN75" s="19"/>
      <c r="AO75" s="19"/>
      <c r="AP75" s="19"/>
      <c r="AQ75" s="19"/>
    </row>
    <row r="76" customFormat="false" ht="15" hidden="false" customHeight="false" outlineLevel="0" collapsed="false">
      <c r="A76" s="57" t="s">
        <v>148</v>
      </c>
      <c r="B76" s="66" t="n">
        <f aca="false">'Balance Sheet'!C64</f>
        <v>133.463661109729</v>
      </c>
      <c r="C76" s="113"/>
      <c r="D76" s="113"/>
      <c r="E76" s="113"/>
      <c r="F76" s="113"/>
      <c r="G76" s="66" t="n">
        <f aca="false">'Balance Sheet'!D64</f>
        <v>166.505771907757</v>
      </c>
      <c r="H76" s="113"/>
      <c r="I76" s="113"/>
      <c r="J76" s="113"/>
      <c r="K76" s="113"/>
      <c r="L76" s="66" t="n">
        <f aca="false">'Balance Sheet'!E64</f>
        <v>189.052061605918</v>
      </c>
      <c r="M76" s="113"/>
      <c r="N76" s="113"/>
      <c r="O76" s="113"/>
      <c r="P76" s="113"/>
      <c r="Q76" s="66" t="n">
        <f aca="false">'Balance Sheet'!F64</f>
        <v>262.005528727024</v>
      </c>
      <c r="R76" s="113"/>
      <c r="S76" s="113"/>
      <c r="T76" s="113"/>
      <c r="U76" s="113"/>
      <c r="V76" s="66" t="n">
        <f aca="false">'Balance Sheet'!G64</f>
        <v>376.966716201071</v>
      </c>
      <c r="W76" s="113"/>
      <c r="X76" s="113"/>
      <c r="Y76" s="113"/>
      <c r="Z76" s="113"/>
      <c r="AA76" s="66" t="n">
        <f aca="false">'Balance Sheet'!H64</f>
        <v>517.212481894906</v>
      </c>
      <c r="AB76" s="113"/>
      <c r="AC76" s="113"/>
      <c r="AD76" s="113"/>
      <c r="AE76" s="113"/>
      <c r="AF76" s="66" t="n">
        <f aca="false">'Balance Sheet'!I64</f>
        <v>654.416002171553</v>
      </c>
      <c r="AG76" s="113"/>
      <c r="AH76" s="113"/>
      <c r="AI76" s="113"/>
      <c r="AJ76" s="113"/>
      <c r="AK76" s="66" t="n">
        <f aca="false">'Balance Sheet'!J64</f>
        <v>819.969233614555</v>
      </c>
    </row>
    <row r="77" customFormat="false" ht="15" hidden="false" customHeight="false" outlineLevel="0" collapsed="false">
      <c r="A77" s="57" t="s">
        <v>149</v>
      </c>
      <c r="B77" s="66" t="n">
        <f aca="false">'Balance Sheet'!C42/'Profit &amp; Loss Consolidated'!G55</f>
        <v>87.7385628265738</v>
      </c>
      <c r="C77" s="113"/>
      <c r="D77" s="113"/>
      <c r="E77" s="113"/>
      <c r="F77" s="113"/>
      <c r="G77" s="66" t="n">
        <f aca="false">'Balance Sheet'!D42/'Profit &amp; Loss Consolidated'!L55</f>
        <v>41.8582729559749</v>
      </c>
      <c r="H77" s="113"/>
      <c r="I77" s="113"/>
      <c r="J77" s="113"/>
      <c r="K77" s="113"/>
      <c r="L77" s="66" t="n">
        <f aca="false">'Balance Sheet'!E42/'Profit &amp; Loss Consolidated'!Q55</f>
        <v>24.6315704799439</v>
      </c>
      <c r="M77" s="113"/>
      <c r="N77" s="113"/>
      <c r="O77" s="113"/>
      <c r="P77" s="113"/>
      <c r="Q77" s="66" t="n">
        <f aca="false">'Balance Sheet'!F42/'Profit &amp; Loss Consolidated'!V55</f>
        <v>13.4532945703658</v>
      </c>
      <c r="R77" s="113"/>
      <c r="S77" s="113"/>
      <c r="T77" s="113"/>
      <c r="U77" s="113"/>
      <c r="V77" s="66" t="n">
        <f aca="false">'Balance Sheet'!G42/'Profit &amp; Loss Consolidated'!AA55</f>
        <v>37.919047659027</v>
      </c>
      <c r="W77" s="113"/>
      <c r="X77" s="113"/>
      <c r="Y77" s="113"/>
      <c r="Z77" s="113"/>
      <c r="AA77" s="66" t="n">
        <f aca="false">'Balance Sheet'!H42/'Profit &amp; Loss Consolidated'!AF55</f>
        <v>12.8444180811867</v>
      </c>
      <c r="AB77" s="113"/>
      <c r="AC77" s="113"/>
      <c r="AD77" s="113"/>
      <c r="AE77" s="113"/>
      <c r="AF77" s="66" t="n">
        <f aca="false">'Balance Sheet'!I42/'Profit &amp; Loss Consolidated'!AK55</f>
        <v>26.7347700982291</v>
      </c>
      <c r="AG77" s="113"/>
      <c r="AH77" s="113"/>
      <c r="AI77" s="113"/>
      <c r="AJ77" s="113"/>
      <c r="AK77" s="66" t="n">
        <f aca="false">'Balance Sheet'!J42/'Profit &amp; Loss Consolidated'!AP55</f>
        <v>49.6105117872167</v>
      </c>
    </row>
    <row r="78" customFormat="false" ht="15" hidden="false" customHeight="false" outlineLevel="0" collapsed="false">
      <c r="B78" s="64"/>
      <c r="G78" s="64"/>
      <c r="L78" s="64"/>
      <c r="Q78" s="64"/>
      <c r="V78" s="64"/>
      <c r="AA78" s="64"/>
      <c r="AF78" s="64"/>
      <c r="AK78" s="64"/>
    </row>
    <row r="79" customFormat="false" ht="15" hidden="false" customHeight="false" outlineLevel="0" collapsed="false">
      <c r="B79" s="64"/>
      <c r="G79" s="64"/>
      <c r="L79" s="64"/>
      <c r="Q79" s="64"/>
      <c r="V79" s="64"/>
      <c r="AA79" s="64"/>
      <c r="AF79" s="64"/>
      <c r="AK79" s="64"/>
    </row>
    <row r="80" customFormat="false" ht="15.75" hidden="false" customHeight="false" outlineLevel="0" collapsed="false">
      <c r="A80" s="33" t="s">
        <v>150</v>
      </c>
      <c r="B80" s="91"/>
      <c r="C80" s="31"/>
      <c r="D80" s="31"/>
      <c r="E80" s="31"/>
      <c r="F80" s="31"/>
      <c r="G80" s="91"/>
      <c r="H80" s="31"/>
      <c r="I80" s="31"/>
      <c r="J80" s="31"/>
      <c r="K80" s="31"/>
      <c r="L80" s="91"/>
      <c r="M80" s="31"/>
      <c r="N80" s="31"/>
      <c r="O80" s="31"/>
      <c r="P80" s="31"/>
      <c r="Q80" s="91"/>
      <c r="R80" s="31"/>
      <c r="S80" s="31"/>
      <c r="T80" s="31"/>
      <c r="U80" s="31"/>
      <c r="V80" s="91"/>
      <c r="W80" s="31"/>
      <c r="X80" s="31"/>
      <c r="Y80" s="31"/>
      <c r="Z80" s="31"/>
      <c r="AA80" s="91"/>
      <c r="AB80" s="31"/>
      <c r="AC80" s="31"/>
      <c r="AD80" s="31"/>
      <c r="AE80" s="31"/>
      <c r="AF80" s="91"/>
      <c r="AG80" s="31"/>
      <c r="AH80" s="31"/>
      <c r="AI80" s="31"/>
      <c r="AJ80" s="31"/>
      <c r="AK80" s="91"/>
    </row>
    <row r="81" customFormat="false" ht="15" hidden="false" customHeight="false" outlineLevel="0" collapsed="false">
      <c r="A81" s="37"/>
      <c r="B81" s="64"/>
      <c r="G81" s="64"/>
      <c r="L81" s="64"/>
      <c r="Q81" s="64"/>
      <c r="V81" s="64"/>
      <c r="AA81" s="64"/>
      <c r="AF81" s="64"/>
      <c r="AK81" s="64"/>
    </row>
    <row r="82" s="102" customFormat="true" ht="15" hidden="false" customHeight="false" outlineLevel="0" collapsed="false">
      <c r="A82" s="107" t="s">
        <v>130</v>
      </c>
      <c r="B82" s="103" t="n">
        <f aca="false">B51</f>
        <v>0.156206948653909</v>
      </c>
      <c r="C82" s="104" t="n">
        <f aca="false">C51</f>
        <v>0.18187274909964</v>
      </c>
      <c r="D82" s="104" t="n">
        <f aca="false">D51</f>
        <v>0.146650473791532</v>
      </c>
      <c r="E82" s="104" t="n">
        <f aca="false">E51</f>
        <v>0.157836083842737</v>
      </c>
      <c r="F82" s="104" t="n">
        <f aca="false">F51</f>
        <v>0.195061379991534</v>
      </c>
      <c r="G82" s="103" t="n">
        <f aca="false">G51</f>
        <v>0.170584063723166</v>
      </c>
      <c r="H82" s="104" t="n">
        <f aca="false">H51</f>
        <v>0.164108150935921</v>
      </c>
      <c r="I82" s="104" t="n">
        <f aca="false">I51</f>
        <v>0.177731766239901</v>
      </c>
      <c r="J82" s="104" t="n">
        <f aca="false">J51</f>
        <v>0.215518380506885</v>
      </c>
      <c r="K82" s="104" t="n">
        <f aca="false">K51</f>
        <v>0.208671431695499</v>
      </c>
      <c r="L82" s="103" t="n">
        <f aca="false">L51</f>
        <v>0.192732693293652</v>
      </c>
      <c r="M82" s="104" t="n">
        <f aca="false">M51</f>
        <v>0.239418901428554</v>
      </c>
      <c r="N82" s="104" t="n">
        <f aca="false">N51</f>
        <v>0.172641086040097</v>
      </c>
      <c r="O82" s="104" t="n">
        <f aca="false">O51</f>
        <v>0.182333933315515</v>
      </c>
      <c r="P82" s="104" t="n">
        <f aca="false">P51</f>
        <v>0.196746873868201</v>
      </c>
      <c r="Q82" s="103" t="n">
        <f aca="false">Q51</f>
        <v>0.19556523233314</v>
      </c>
      <c r="R82" s="104" t="n">
        <f aca="false">R51</f>
        <v>0.224744197463283</v>
      </c>
      <c r="S82" s="104" t="n">
        <f aca="false">S51</f>
        <v>0.171420999842006</v>
      </c>
      <c r="T82" s="104" t="n">
        <f aca="false">T51</f>
        <v>0.169558515937869</v>
      </c>
      <c r="U82" s="104" t="n">
        <f aca="false">U51</f>
        <v>0.181129522267042</v>
      </c>
      <c r="V82" s="103" t="n">
        <f aca="false">V51</f>
        <v>0.186050653206402</v>
      </c>
      <c r="W82" s="104" t="n">
        <f aca="false">W51</f>
        <v>0.216971855681411</v>
      </c>
      <c r="X82" s="104" t="n">
        <f aca="false">X51</f>
        <v>0.169375519304717</v>
      </c>
      <c r="Y82" s="104" t="n">
        <f aca="false">Y51</f>
        <v>0.154661317274058</v>
      </c>
      <c r="Z82" s="104" t="n">
        <f aca="false">Z51</f>
        <v>0.172200770958269</v>
      </c>
      <c r="AA82" s="103" t="n">
        <f aca="false">AA51</f>
        <v>0.177541976931615</v>
      </c>
      <c r="AB82" s="104" t="n">
        <f aca="false">AB51</f>
        <v>0.211131981391754</v>
      </c>
      <c r="AC82" s="104" t="n">
        <f aca="false">AC51</f>
        <v>0.167838614529432</v>
      </c>
      <c r="AD82" s="104" t="n">
        <f aca="false">AD51</f>
        <v>0.143468066911905</v>
      </c>
      <c r="AE82" s="104" t="n">
        <f aca="false">AE51</f>
        <v>0.165492009728999</v>
      </c>
      <c r="AF82" s="103" t="n">
        <f aca="false">AF51</f>
        <v>0.171148845850832</v>
      </c>
      <c r="AG82" s="104" t="n">
        <f aca="false">AG51</f>
        <v>0.206707834202619</v>
      </c>
      <c r="AH82" s="104" t="n">
        <f aca="false">AH51</f>
        <v>0.166674292729973</v>
      </c>
      <c r="AI82" s="104" t="n">
        <f aca="false">AI51</f>
        <v>0.134988331789062</v>
      </c>
      <c r="AJ82" s="104" t="n">
        <f aca="false">AJ51</f>
        <v>0.160409614858341</v>
      </c>
      <c r="AK82" s="103" t="n">
        <f aca="false">AK51</f>
        <v>0.166305564729028</v>
      </c>
    </row>
    <row r="83" s="102" customFormat="true" ht="15" hidden="false" customHeight="false" outlineLevel="0" collapsed="false">
      <c r="A83" s="107" t="s">
        <v>151</v>
      </c>
      <c r="B83" s="103" t="n">
        <f aca="false">B48</f>
        <v>0.111891281741341</v>
      </c>
      <c r="C83" s="104" t="n">
        <f aca="false">C48</f>
        <v>0.140650377798178</v>
      </c>
      <c r="D83" s="104" t="n">
        <f aca="false">D48</f>
        <v>0.109241933549238</v>
      </c>
      <c r="E83" s="104" t="n">
        <f aca="false">E48</f>
        <v>0.115881938412626</v>
      </c>
      <c r="F83" s="104" t="n">
        <f aca="false">F48</f>
        <v>0.157697192041766</v>
      </c>
      <c r="G83" s="103" t="n">
        <f aca="false">G48</f>
        <v>0.131254677172265</v>
      </c>
      <c r="H83" s="104" t="n">
        <f aca="false">H48</f>
        <v>0.125850677004485</v>
      </c>
      <c r="I83" s="104" t="n">
        <f aca="false">I48</f>
        <v>0.137909839179085</v>
      </c>
      <c r="J83" s="104" t="n">
        <f aca="false">J48</f>
        <v>0.174449641903856</v>
      </c>
      <c r="K83" s="104" t="n">
        <f aca="false">K48</f>
        <v>0.168191706087497</v>
      </c>
      <c r="L83" s="103" t="n">
        <f aca="false">L48</f>
        <v>0.152776837120338</v>
      </c>
      <c r="M83" s="104" t="n">
        <f aca="false">M48</f>
        <v>0.199187139383823</v>
      </c>
      <c r="N83" s="104" t="n">
        <f aca="false">N48</f>
        <v>0.144433570086511</v>
      </c>
      <c r="O83" s="104" t="n">
        <f aca="false">O48</f>
        <v>0.154126417361929</v>
      </c>
      <c r="P83" s="104" t="n">
        <f aca="false">P48</f>
        <v>0.168539357914614</v>
      </c>
      <c r="Q83" s="103" t="n">
        <f aca="false">Q48</f>
        <v>0.164832516869254</v>
      </c>
      <c r="R83" s="104" t="n">
        <f aca="false">R48</f>
        <v>0.194696708375205</v>
      </c>
      <c r="S83" s="104" t="n">
        <f aca="false">S48</f>
        <v>0.142087346130053</v>
      </c>
      <c r="T83" s="104" t="n">
        <f aca="false">T48</f>
        <v>0.141496193940705</v>
      </c>
      <c r="U83" s="104" t="n">
        <f aca="false">U48</f>
        <v>0.156684810840415</v>
      </c>
      <c r="V83" s="103" t="n">
        <f aca="false">V48</f>
        <v>0.158256430869727</v>
      </c>
      <c r="W83" s="104" t="n">
        <f aca="false">W48</f>
        <v>0.189708864949446</v>
      </c>
      <c r="X83" s="104" t="n">
        <f aca="false">X48</f>
        <v>0.142760212882959</v>
      </c>
      <c r="Y83" s="104" t="n">
        <f aca="false">Y48</f>
        <v>0.129199528361066</v>
      </c>
      <c r="Z83" s="104" t="n">
        <f aca="false">Z48</f>
        <v>0.150021348940137</v>
      </c>
      <c r="AA83" s="103" t="n">
        <f aca="false">AA48</f>
        <v>0.152323442905502</v>
      </c>
      <c r="AB83" s="104" t="n">
        <f aca="false">AB48</f>
        <v>0.185914256294295</v>
      </c>
      <c r="AC83" s="104" t="n">
        <f aca="false">AC48</f>
        <v>0.143219984558598</v>
      </c>
      <c r="AD83" s="104" t="n">
        <f aca="false">AD48</f>
        <v>0.119916417732619</v>
      </c>
      <c r="AE83" s="104" t="n">
        <f aca="false">AE48</f>
        <v>0.144976484753305</v>
      </c>
      <c r="AF83" s="103" t="n">
        <f aca="false">AF48</f>
        <v>0.14782220261188</v>
      </c>
      <c r="AG83" s="104" t="n">
        <f aca="false">AG48</f>
        <v>0.18268307757863</v>
      </c>
      <c r="AH83" s="104" t="n">
        <f aca="false">AH48</f>
        <v>0.143220289992631</v>
      </c>
      <c r="AI83" s="104" t="n">
        <f aca="false">AI48</f>
        <v>0.11255083445577</v>
      </c>
      <c r="AJ83" s="104" t="n">
        <f aca="false">AJ48</f>
        <v>0.140864612577223</v>
      </c>
      <c r="AK83" s="103" t="n">
        <f aca="false">AK48</f>
        <v>0.14408242903758</v>
      </c>
    </row>
    <row r="84" s="102" customFormat="true" ht="15" hidden="false" customHeight="false" outlineLevel="0" collapsed="false">
      <c r="A84" s="107" t="s">
        <v>137</v>
      </c>
      <c r="B84" s="103" t="n">
        <f aca="false">B62</f>
        <v>0.0893023793229107</v>
      </c>
      <c r="C84" s="104" t="n">
        <f aca="false">C62</f>
        <v>0.108996539792387</v>
      </c>
      <c r="D84" s="104" t="n">
        <f aca="false">D62</f>
        <v>0.0930490584142977</v>
      </c>
      <c r="E84" s="104" t="n">
        <f aca="false">E62</f>
        <v>0.0730428227273472</v>
      </c>
      <c r="F84" s="104" t="n">
        <f aca="false">F62</f>
        <v>0.0989558346267813</v>
      </c>
      <c r="G84" s="103" t="n">
        <f aca="false">G62</f>
        <v>0.0934454940465229</v>
      </c>
      <c r="H84" s="104" t="n">
        <f aca="false">H62</f>
        <v>0.0232317944509683</v>
      </c>
      <c r="I84" s="104" t="n">
        <f aca="false">I62</f>
        <v>-0.0530641336071926</v>
      </c>
      <c r="J84" s="104" t="n">
        <f aca="false">J62</f>
        <v>0.0552868733317478</v>
      </c>
      <c r="K84" s="104" t="n">
        <f aca="false">K62</f>
        <v>0.0921354004811071</v>
      </c>
      <c r="L84" s="103" t="n">
        <f aca="false">L62</f>
        <v>0.0326835108149431</v>
      </c>
      <c r="M84" s="104" t="n">
        <f aca="false">M62</f>
        <v>0.201340252325483</v>
      </c>
      <c r="N84" s="104" t="n">
        <f aca="false">N62</f>
        <v>0.0875037223238726</v>
      </c>
      <c r="O84" s="104" t="n">
        <f aca="false">O62</f>
        <v>0.0959364994534861</v>
      </c>
      <c r="P84" s="104" t="n">
        <f aca="false">P62</f>
        <v>0.108475757734323</v>
      </c>
      <c r="Q84" s="103" t="n">
        <f aca="false">Q62</f>
        <v>0.119153593891923</v>
      </c>
      <c r="R84" s="104" t="n">
        <f aca="false">R62</f>
        <v>0.128315403182993</v>
      </c>
      <c r="S84" s="104" t="n">
        <f aca="false">S62</f>
        <v>0.0835209715785773</v>
      </c>
      <c r="T84" s="104" t="n">
        <f aca="false">T62</f>
        <v>0.0847444025794865</v>
      </c>
      <c r="U84" s="104" t="n">
        <f aca="false">U62</f>
        <v>0.102903269135687</v>
      </c>
      <c r="V84" s="103" t="n">
        <f aca="false">V62</f>
        <v>0.104531295674259</v>
      </c>
      <c r="W84" s="104" t="n">
        <f aca="false">W62</f>
        <v>0.124216451459209</v>
      </c>
      <c r="X84" s="104" t="n">
        <f aca="false">X62</f>
        <v>0.0843411248381671</v>
      </c>
      <c r="Y84" s="104" t="n">
        <f aca="false">Y62</f>
        <v>0.0742708881573653</v>
      </c>
      <c r="Z84" s="104" t="n">
        <f aca="false">Z62</f>
        <v>0.0973016899362469</v>
      </c>
      <c r="AA84" s="103" t="n">
        <f aca="false">AA62</f>
        <v>0.0947530030913188</v>
      </c>
      <c r="AB84" s="104" t="n">
        <f aca="false">AB62</f>
        <v>0.139583226715629</v>
      </c>
      <c r="AC84" s="104" t="n">
        <f aca="false">AC62</f>
        <v>0.102965715045461</v>
      </c>
      <c r="AD84" s="104" t="n">
        <f aca="false">AD62</f>
        <v>0.0836293101440065</v>
      </c>
      <c r="AE84" s="104" t="n">
        <f aca="false">AE62</f>
        <v>0.108099815468276</v>
      </c>
      <c r="AF84" s="103" t="n">
        <f aca="false">AF62</f>
        <v>0.108105085699301</v>
      </c>
      <c r="AG84" s="104" t="n">
        <f aca="false">AG62</f>
        <v>0.140934711501347</v>
      </c>
      <c r="AH84" s="104" t="n">
        <f aca="false">AH62</f>
        <v>0.107029700300234</v>
      </c>
      <c r="AI84" s="104" t="n">
        <f aca="false">AI62</f>
        <v>0.0811088490695578</v>
      </c>
      <c r="AJ84" s="104" t="n">
        <f aca="false">AJ62</f>
        <v>0.107908919614388</v>
      </c>
      <c r="AK84" s="103" t="n">
        <f aca="false">AK62</f>
        <v>0.108701938045852</v>
      </c>
    </row>
    <row r="85" customFormat="false" ht="15" hidden="false" customHeight="false" outlineLevel="0" collapsed="false">
      <c r="A85" s="57"/>
      <c r="B85" s="64"/>
      <c r="G85" s="64"/>
      <c r="L85" s="64"/>
      <c r="Q85" s="64"/>
      <c r="V85" s="64"/>
      <c r="AA85" s="64"/>
      <c r="AF85" s="64"/>
      <c r="AK85" s="64"/>
    </row>
    <row r="86" customFormat="false" ht="15" hidden="false" customHeight="false" outlineLevel="0" collapsed="false">
      <c r="A86" s="60" t="s">
        <v>59</v>
      </c>
      <c r="B86" s="62" t="n">
        <f aca="false">B50/B53</f>
        <v>7.74911816578483</v>
      </c>
      <c r="C86" s="61" t="n">
        <f aca="false">C50/C53</f>
        <v>9.69143932267168</v>
      </c>
      <c r="D86" s="61" t="n">
        <f aca="false">D50/D53</f>
        <v>8.42463393626184</v>
      </c>
      <c r="E86" s="61" t="n">
        <f aca="false">E50/E53</f>
        <v>9.53564356435643</v>
      </c>
      <c r="F86" s="61" t="n">
        <f aca="false">F50/F53</f>
        <v>12.6825688073394</v>
      </c>
      <c r="G86" s="62" t="n">
        <f aca="false">G50/G53</f>
        <v>10.0689176688252</v>
      </c>
      <c r="H86" s="61" t="n">
        <f aca="false">H50/H53</f>
        <v>8.75396226415094</v>
      </c>
      <c r="I86" s="61" t="n">
        <f aca="false">I50/I53</f>
        <v>8.23243761996161</v>
      </c>
      <c r="J86" s="61" t="n">
        <f aca="false">J50/J53</f>
        <v>6.40361209265803</v>
      </c>
      <c r="K86" s="61" t="n">
        <f aca="false">K50/K53</f>
        <v>6.78010471204189</v>
      </c>
      <c r="L86" s="62" t="n">
        <f aca="false">L50/L53</f>
        <v>7.26431125909484</v>
      </c>
      <c r="M86" s="61" t="n">
        <f aca="false">M50/M53</f>
        <v>8.72707231040565</v>
      </c>
      <c r="N86" s="61" t="n">
        <f aca="false">N50/N53</f>
        <v>3.2895412934694</v>
      </c>
      <c r="O86" s="61" t="n">
        <f aca="false">O50/O53</f>
        <v>3.4742309411954</v>
      </c>
      <c r="P86" s="61" t="n">
        <f aca="false">P50/P53</f>
        <v>3.74885828626069</v>
      </c>
      <c r="Q86" s="62" t="n">
        <f aca="false">Q50/Q53</f>
        <v>4.1414398130559</v>
      </c>
      <c r="R86" s="61" t="n">
        <f aca="false">R50/R53</f>
        <v>4.76074900588277</v>
      </c>
      <c r="S86" s="61" t="n">
        <f aca="false">S50/S53</f>
        <v>3.71957094719885</v>
      </c>
      <c r="T86" s="61" t="n">
        <f aca="false">T50/T53</f>
        <v>3.84583800567111</v>
      </c>
      <c r="U86" s="61" t="n">
        <f aca="false">U50/U53</f>
        <v>4.71627706751531</v>
      </c>
      <c r="V86" s="62" t="n">
        <f aca="false">V50/V53</f>
        <v>4.26060875656701</v>
      </c>
      <c r="W86" s="61" t="n">
        <f aca="false">W50/W53</f>
        <v>4.62317677142493</v>
      </c>
      <c r="X86" s="61" t="n">
        <f aca="false">X50/X53</f>
        <v>3.69683239465194</v>
      </c>
      <c r="Y86" s="61" t="n">
        <f aca="false">Y50/Y53</f>
        <v>3.52860774811051</v>
      </c>
      <c r="Z86" s="61" t="n">
        <f aca="false">Z50/Z53</f>
        <v>4.51019645159433</v>
      </c>
      <c r="AA86" s="62" t="n">
        <f aca="false">AA50/AA53</f>
        <v>4.08970334144543</v>
      </c>
      <c r="AB86" s="61" t="n">
        <f aca="false">AB50/AB53</f>
        <v>8.28821238729055</v>
      </c>
      <c r="AC86" s="61" t="n">
        <f aca="false">AC50/AC53</f>
        <v>6.74902068568199</v>
      </c>
      <c r="AD86" s="61" t="n">
        <f aca="false">AD50/AD53</f>
        <v>6.0304077362797</v>
      </c>
      <c r="AE86" s="61" t="n">
        <f aca="false">AE50/AE53</f>
        <v>7.98559258922085</v>
      </c>
      <c r="AF86" s="62" t="n">
        <f aca="false">AF50/AF53</f>
        <v>7.26330834961827</v>
      </c>
      <c r="AG86" s="61" t="n">
        <f aca="false">AG50/AG53</f>
        <v>9.99111955452678</v>
      </c>
      <c r="AH86" s="61" t="n">
        <f aca="false">AH50/AH53</f>
        <v>8.25216428601179</v>
      </c>
      <c r="AI86" s="61" t="n">
        <f aca="false">AI50/AI53</f>
        <v>6.98615202422057</v>
      </c>
      <c r="AJ86" s="61" t="n">
        <f aca="false">AJ50/AJ53</f>
        <v>9.53039468668243</v>
      </c>
      <c r="AK86" s="62" t="n">
        <f aca="false">AK50/AK53</f>
        <v>8.68995763786039</v>
      </c>
    </row>
    <row r="87" customFormat="false" ht="15" hidden="false" customHeight="true" outlineLevel="0" collapsed="false">
      <c r="A87" s="115" t="s">
        <v>60</v>
      </c>
      <c r="B87" s="116" t="n">
        <f aca="false">B61/B71</f>
        <v>0.226803309217729</v>
      </c>
      <c r="C87" s="63" t="s">
        <v>61</v>
      </c>
      <c r="D87" s="63"/>
      <c r="E87" s="63"/>
      <c r="F87" s="63"/>
      <c r="G87" s="116" t="n">
        <f aca="false">G61/G71</f>
        <v>0.212184836568744</v>
      </c>
      <c r="H87" s="63" t="s">
        <v>61</v>
      </c>
      <c r="I87" s="63"/>
      <c r="J87" s="63"/>
      <c r="K87" s="63"/>
      <c r="L87" s="116" t="n">
        <f aca="false">L61/L71</f>
        <v>0.0816177293647508</v>
      </c>
      <c r="M87" s="63" t="s">
        <v>61</v>
      </c>
      <c r="N87" s="63"/>
      <c r="O87" s="63"/>
      <c r="P87" s="63"/>
      <c r="Q87" s="116" t="n">
        <f aca="false">Q61/Q71</f>
        <v>0.277060172349794</v>
      </c>
      <c r="R87" s="63" t="s">
        <v>61</v>
      </c>
      <c r="S87" s="63"/>
      <c r="T87" s="63"/>
      <c r="U87" s="63"/>
      <c r="V87" s="116" t="n">
        <f aca="false">V61/V71</f>
        <v>0.209479930935322</v>
      </c>
      <c r="W87" s="63" t="s">
        <v>61</v>
      </c>
      <c r="X87" s="63"/>
      <c r="Y87" s="63"/>
      <c r="Z87" s="63"/>
      <c r="AA87" s="116" t="n">
        <f aca="false">AA61/AA71</f>
        <v>0.190582616231945</v>
      </c>
      <c r="AB87" s="63" t="s">
        <v>61</v>
      </c>
      <c r="AC87" s="63"/>
      <c r="AD87" s="63"/>
      <c r="AE87" s="63"/>
      <c r="AF87" s="116" t="n">
        <f aca="false">AF61/AF71</f>
        <v>0.209657954300267</v>
      </c>
      <c r="AG87" s="63" t="s">
        <v>61</v>
      </c>
      <c r="AH87" s="63"/>
      <c r="AI87" s="63"/>
      <c r="AJ87" s="63"/>
      <c r="AK87" s="116" t="n">
        <f aca="false">AK61/AK71</f>
        <v>0.201901760037041</v>
      </c>
    </row>
    <row r="88" customFormat="false" ht="15" hidden="false" customHeight="false" outlineLevel="0" collapsed="false">
      <c r="A88" s="57" t="s">
        <v>62</v>
      </c>
      <c r="B88" s="64"/>
      <c r="G88" s="64"/>
      <c r="L88" s="64"/>
      <c r="N88" s="65" t="n">
        <f aca="false">'DCF Valuation'!$E$13/(N31*4)</f>
        <v>1.5507274117583</v>
      </c>
      <c r="O88" s="65" t="n">
        <f aca="false">'DCF Valuation'!$E$13/(O31*4)</f>
        <v>1.5507274117583</v>
      </c>
      <c r="P88" s="65" t="n">
        <f aca="false">'DCF Valuation'!$E$13/(P31*4)</f>
        <v>1.5507274117583</v>
      </c>
      <c r="Q88" s="117" t="n">
        <f aca="false">'DCF Valuation'!$E$13/(Q31)</f>
        <v>1.63341433154608</v>
      </c>
      <c r="R88" s="73" t="n">
        <f aca="false">'DCF Valuation'!$E$13/(R31*4)</f>
        <v>1.42406015610379</v>
      </c>
      <c r="S88" s="73" t="n">
        <f aca="false">'DCF Valuation'!$E$13/(S31*4)</f>
        <v>1.39022889272674</v>
      </c>
      <c r="T88" s="73" t="n">
        <f aca="false">'DCF Valuation'!$E$13/(T31*4)</f>
        <v>1.3299758434648</v>
      </c>
      <c r="U88" s="73" t="n">
        <f aca="false">'DCF Valuation'!$E$13/(U31*4)</f>
        <v>1.15852407727228</v>
      </c>
      <c r="V88" s="117" t="n">
        <f aca="false">'DCF Valuation'!$E$13/(V31)</f>
        <v>1.31726962221458</v>
      </c>
      <c r="W88" s="73" t="n">
        <f aca="false">'DCF Valuation'!$E$13/(W31*4)</f>
        <v>1.14843560976112</v>
      </c>
      <c r="X88" s="73" t="n">
        <f aca="false">'DCF Valuation'!$E$13/(X31*4)</f>
        <v>1.12115233284415</v>
      </c>
      <c r="Y88" s="73" t="n">
        <f aca="false">'DCF Valuation'!$E$13/(Y31*4)</f>
        <v>1.07256116408452</v>
      </c>
      <c r="Z88" s="73" t="n">
        <f aca="false">'DCF Valuation'!$E$13/(Z31*4)</f>
        <v>0.934293610703455</v>
      </c>
      <c r="AA88" s="117" t="n">
        <f aca="false">'DCF Valuation'!$E$13/(AA31)</f>
        <v>1.06231421146337</v>
      </c>
      <c r="AB88" s="73" t="n">
        <f aca="false">'DCF Valuation'!$E$13/(AB31*4)</f>
        <v>0.941340663738626</v>
      </c>
      <c r="AC88" s="73" t="n">
        <f aca="false">'DCF Valuation'!$E$13/(AC31*4)</f>
        <v>0.918977322003398</v>
      </c>
      <c r="AD88" s="73" t="n">
        <f aca="false">'DCF Valuation'!$E$13/(AD31*4)</f>
        <v>0.879148495151243</v>
      </c>
      <c r="AE88" s="73" t="n">
        <f aca="false">'DCF Valuation'!$E$13/(AE31*4)</f>
        <v>0.765814435002832</v>
      </c>
      <c r="AF88" s="117" t="n">
        <f aca="false">'DCF Valuation'!$E$13/(AF31)</f>
        <v>0.870749353658501</v>
      </c>
      <c r="AG88" s="73" t="n">
        <f aca="false">'DCF Valuation'!$E$13/(AG31*4)</f>
        <v>0.784450553115521</v>
      </c>
      <c r="AH88" s="73" t="n">
        <f aca="false">'DCF Valuation'!$E$13/(AH31*4)</f>
        <v>0.765814435002832</v>
      </c>
      <c r="AI88" s="73" t="n">
        <f aca="false">'DCF Valuation'!$E$13/(AI31*4)</f>
        <v>0.732623745959369</v>
      </c>
      <c r="AJ88" s="73" t="n">
        <f aca="false">'DCF Valuation'!$E$13/(AJ31*4)</f>
        <v>0.638178695835693</v>
      </c>
      <c r="AK88" s="117" t="n">
        <f aca="false">'DCF Valuation'!$E$13/(AK31)</f>
        <v>0.725624461382084</v>
      </c>
      <c r="AL88" s="65"/>
    </row>
    <row r="89" customFormat="false" ht="15" hidden="false" customHeight="false" outlineLevel="0" collapsed="false">
      <c r="A89" s="57" t="s">
        <v>63</v>
      </c>
      <c r="B89" s="64"/>
      <c r="G89" s="64"/>
      <c r="L89" s="64"/>
      <c r="N89" s="65" t="n">
        <f aca="false">'DCF Valuation'!$E$13/(N50*4)</f>
        <v>8.98237752859209</v>
      </c>
      <c r="O89" s="65" t="n">
        <f aca="false">'DCF Valuation'!$E$13/(O50*4)</f>
        <v>8.50487555201744</v>
      </c>
      <c r="P89" s="65" t="n">
        <f aca="false">'DCF Valuation'!$E$13/(P50*4)</f>
        <v>7.88184015974314</v>
      </c>
      <c r="Q89" s="117" t="n">
        <f aca="false">'DCF Valuation'!$E$13/(Q50)</f>
        <v>8.35227362276542</v>
      </c>
      <c r="R89" s="73" t="n">
        <f aca="false">'DCF Valuation'!$E$13/(R50*4)</f>
        <v>6.3363600581343</v>
      </c>
      <c r="S89" s="73" t="n">
        <f aca="false">'DCF Valuation'!$E$13/(S50*4)</f>
        <v>8.1100267412282</v>
      </c>
      <c r="T89" s="73" t="n">
        <f aca="false">'DCF Valuation'!$E$13/(T50*4)</f>
        <v>7.84375727817847</v>
      </c>
      <c r="U89" s="73" t="n">
        <f aca="false">'DCF Valuation'!$E$13/(U50*4)</f>
        <v>6.39610850165139</v>
      </c>
      <c r="V89" s="117" t="n">
        <f aca="false">'DCF Valuation'!$E$13/(V50)</f>
        <v>7.0801666079249</v>
      </c>
      <c r="W89" s="73" t="n">
        <f aca="false">'DCF Valuation'!$E$13/(W50*4)</f>
        <v>5.29301648895615</v>
      </c>
      <c r="X89" s="73" t="n">
        <f aca="false">'DCF Valuation'!$E$13/(X50*4)</f>
        <v>6.61932927170617</v>
      </c>
      <c r="Y89" s="73" t="n">
        <f aca="false">'DCF Valuation'!$E$13/(Y50*4)</f>
        <v>6.93490255345459</v>
      </c>
      <c r="Z89" s="73" t="n">
        <f aca="false">'DCF Valuation'!$E$13/(Z50*4)</f>
        <v>5.4256064331435</v>
      </c>
      <c r="AA89" s="117" t="n">
        <f aca="false">'DCF Valuation'!$E$13/(AA50)</f>
        <v>5.98345377145682</v>
      </c>
      <c r="AB89" s="73" t="n">
        <f aca="false">'DCF Valuation'!$E$13/(AB50*4)</f>
        <v>4.45854132345766</v>
      </c>
      <c r="AC89" s="73" t="n">
        <f aca="false">'DCF Valuation'!$E$13/(AC50*4)</f>
        <v>5.47536289297866</v>
      </c>
      <c r="AD89" s="73" t="n">
        <f aca="false">'DCF Valuation'!$E$13/(AD50*4)</f>
        <v>6.12783397779433</v>
      </c>
      <c r="AE89" s="73" t="n">
        <f aca="false">'DCF Valuation'!$E$13/(AE50*4)</f>
        <v>4.6275009667046</v>
      </c>
      <c r="AF89" s="117" t="n">
        <f aca="false">'DCF Valuation'!$E$13/(AF50)</f>
        <v>5.08767295116566</v>
      </c>
      <c r="AG89" s="73" t="n">
        <f aca="false">'DCF Valuation'!$E$13/(AG50*4)</f>
        <v>3.7949725328097</v>
      </c>
      <c r="AH89" s="73" t="n">
        <f aca="false">'DCF Valuation'!$E$13/(AH50*4)</f>
        <v>4.59467637425958</v>
      </c>
      <c r="AI89" s="73" t="n">
        <f aca="false">'DCF Valuation'!$E$13/(AI50*4)</f>
        <v>5.42731165167813</v>
      </c>
      <c r="AJ89" s="73" t="n">
        <f aca="false">'DCF Valuation'!$E$13/(AJ50*4)</f>
        <v>3.97843169437989</v>
      </c>
      <c r="AK89" s="117" t="n">
        <f aca="false">'DCF Valuation'!$E$13/(AK50)</f>
        <v>4.36320012841657</v>
      </c>
    </row>
    <row r="90" customFormat="false" ht="15" hidden="false" customHeight="false" outlineLevel="0" collapsed="false">
      <c r="A90" s="57" t="s">
        <v>64</v>
      </c>
      <c r="B90" s="64"/>
      <c r="G90" s="64"/>
      <c r="L90" s="64"/>
      <c r="N90" s="65" t="n">
        <f aca="false">'DCF Valuation'!$E$7/(N63*4)</f>
        <v>13.410042080295</v>
      </c>
      <c r="O90" s="65" t="n">
        <f aca="false">'DCF Valuation'!$E$7/(O63*4)</f>
        <v>12.2313051365242</v>
      </c>
      <c r="P90" s="65" t="n">
        <f aca="false">'DCF Valuation'!$E$7/(P63*4)</f>
        <v>10.8174270736096</v>
      </c>
      <c r="Q90" s="117" t="n">
        <f aca="false">'DCF Valuation'!$E$7/(Q63)</f>
        <v>10.3731443255957</v>
      </c>
      <c r="R90" s="73" t="n">
        <f aca="false">'DCF Valuation'!$E$7/(R63*4)</f>
        <v>8.39790093530343</v>
      </c>
      <c r="S90" s="73" t="n">
        <f aca="false">'DCF Valuation'!$E$7/(S63*4)</f>
        <v>12.5954003720951</v>
      </c>
      <c r="T90" s="73" t="n">
        <f aca="false">'DCF Valuation'!$E$7/(T63*4)</f>
        <v>11.8755555413643</v>
      </c>
      <c r="U90" s="73" t="n">
        <f aca="false">'DCF Valuation'!$E$7/(U63*4)</f>
        <v>8.51916631135262</v>
      </c>
      <c r="V90" s="117" t="n">
        <f aca="false">'DCF Valuation'!$E$7/(V63)</f>
        <v>9.53563343492678</v>
      </c>
      <c r="W90" s="73" t="n">
        <f aca="false">'DCF Valuation'!$E$7/(W63*4)</f>
        <v>6.29956002364182</v>
      </c>
      <c r="X90" s="73" t="n">
        <f aca="false">'DCF Valuation'!$E$7/(X63*4)</f>
        <v>9.05749123848938</v>
      </c>
      <c r="Y90" s="73" t="n">
        <f aca="false">'DCF Valuation'!$E$7/(Y63*4)</f>
        <v>9.83979695490206</v>
      </c>
      <c r="Z90" s="73" t="n">
        <f aca="false">'DCF Valuation'!$E$7/(Z63*4)</f>
        <v>6.54252938949095</v>
      </c>
      <c r="AA90" s="117" t="n">
        <f aca="false">'DCF Valuation'!$E$7/(AA63)</f>
        <v>7.63910878365029</v>
      </c>
      <c r="AB90" s="73" t="n">
        <f aca="false">'DCF Valuation'!$E$7/(AB63*4)</f>
        <v>4.59511381215013</v>
      </c>
      <c r="AC90" s="73" t="n">
        <f aca="false">'DCF Valuation'!$E$7/(AC63*4)</f>
        <v>6.08127777169352</v>
      </c>
      <c r="AD90" s="73" t="n">
        <f aca="false">'DCF Valuation'!$E$7/(AD63*4)</f>
        <v>7.16285911563121</v>
      </c>
      <c r="AE90" s="73" t="n">
        <f aca="false">'DCF Valuation'!$E$7/(AE63*4)</f>
        <v>4.82704427261682</v>
      </c>
      <c r="AF90" s="117" t="n">
        <f aca="false">'DCF Valuation'!$E$7/(AF63)</f>
        <v>5.48819737628968</v>
      </c>
      <c r="AG90" s="73" t="n">
        <f aca="false">'DCF Valuation'!$E$7/(AG63*4)</f>
        <v>3.79254104136097</v>
      </c>
      <c r="AH90" s="73" t="n">
        <f aca="false">'DCF Valuation'!$E$7/(AH63*4)</f>
        <v>4.8753065145781</v>
      </c>
      <c r="AI90" s="73" t="n">
        <f aca="false">'DCF Valuation'!$E$7/(AI63*4)</f>
        <v>6.15453773304513</v>
      </c>
      <c r="AJ90" s="73" t="n">
        <f aca="false">'DCF Valuation'!$E$7/(AJ63*4)</f>
        <v>4.02965294706973</v>
      </c>
      <c r="AK90" s="117" t="n">
        <f aca="false">'DCF Valuation'!$E$7/(AK63)</f>
        <v>4.54838599909328</v>
      </c>
    </row>
    <row r="91" customFormat="false" ht="15.75" hidden="false" customHeight="false" outlineLevel="0" collapsed="false">
      <c r="A91" s="118"/>
      <c r="B91" s="119"/>
      <c r="C91" s="120"/>
      <c r="D91" s="120"/>
      <c r="E91" s="120"/>
      <c r="F91" s="120"/>
      <c r="G91" s="119"/>
      <c r="H91" s="120"/>
      <c r="I91" s="120"/>
      <c r="J91" s="120"/>
      <c r="K91" s="120"/>
      <c r="L91" s="119"/>
      <c r="M91" s="120"/>
      <c r="N91" s="120"/>
      <c r="O91" s="120"/>
      <c r="P91" s="120"/>
      <c r="Q91" s="119"/>
      <c r="R91" s="120"/>
      <c r="S91" s="120"/>
      <c r="T91" s="120"/>
      <c r="U91" s="120"/>
      <c r="V91" s="119"/>
      <c r="W91" s="120"/>
      <c r="X91" s="120"/>
      <c r="Y91" s="120"/>
      <c r="Z91" s="120"/>
      <c r="AA91" s="119"/>
      <c r="AB91" s="120"/>
      <c r="AC91" s="120"/>
      <c r="AD91" s="120"/>
      <c r="AE91" s="120"/>
      <c r="AF91" s="119"/>
      <c r="AG91" s="120"/>
      <c r="AH91" s="120"/>
      <c r="AI91" s="120"/>
      <c r="AJ91" s="120"/>
      <c r="AK91" s="119"/>
      <c r="AL91" s="120"/>
      <c r="AM91" s="120"/>
      <c r="AN91" s="120"/>
      <c r="AO91" s="120"/>
      <c r="AP91" s="121"/>
    </row>
  </sheetData>
  <mergeCells count="21">
    <mergeCell ref="C8:F11"/>
    <mergeCell ref="H8:K11"/>
    <mergeCell ref="M8:P11"/>
    <mergeCell ref="R8:U11"/>
    <mergeCell ref="W8:Z11"/>
    <mergeCell ref="AB8:AE11"/>
    <mergeCell ref="AG8:AJ11"/>
    <mergeCell ref="C68:F77"/>
    <mergeCell ref="H68:K77"/>
    <mergeCell ref="M68:P77"/>
    <mergeCell ref="R68:U77"/>
    <mergeCell ref="W68:Z77"/>
    <mergeCell ref="AB68:AE77"/>
    <mergeCell ref="AG68:AJ77"/>
    <mergeCell ref="C87:F87"/>
    <mergeCell ref="H87:K87"/>
    <mergeCell ref="M87:P87"/>
    <mergeCell ref="R87:U87"/>
    <mergeCell ref="W87:Z87"/>
    <mergeCell ref="AB87:AE87"/>
    <mergeCell ref="AG87:AJ8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defaultColWidth="8.96875" defaultRowHeight="15" zeroHeight="false" outlineLevelRow="0" outlineLevelCol="1"/>
  <cols>
    <col collapsed="false" customWidth="true" hidden="false" outlineLevel="0" max="1" min="1" style="0" width="43.71"/>
    <col collapsed="false" customWidth="true" hidden="false" outlineLevel="0" max="2" min="2" style="72" width="10.56"/>
    <col collapsed="false" customWidth="true" hidden="true" outlineLevel="1" max="5" min="3" style="0" width="9.56"/>
    <col collapsed="false" customWidth="true" hidden="true" outlineLevel="1" max="6" min="6" style="0" width="12.42"/>
    <col collapsed="false" customWidth="true" hidden="false" outlineLevel="0" max="7" min="7" style="72" width="10.56"/>
    <col collapsed="false" customWidth="true" hidden="true" outlineLevel="1" max="8" min="8" style="0" width="10.28"/>
    <col collapsed="false" customWidth="true" hidden="true" outlineLevel="1" max="9" min="9" style="0" width="10.85"/>
    <col collapsed="false" customWidth="true" hidden="true" outlineLevel="1" max="11" min="10" style="0" width="9.56"/>
    <col collapsed="false" customWidth="true" hidden="false" outlineLevel="0" max="12" min="12" style="72" width="11.28"/>
    <col collapsed="false" customWidth="true" hidden="true" outlineLevel="1" max="14" min="13" style="0" width="9.56"/>
    <col collapsed="false" customWidth="true" hidden="true" outlineLevel="1" max="15" min="15" style="0" width="9.71"/>
    <col collapsed="false" customWidth="true" hidden="true" outlineLevel="1" max="16" min="16" style="0" width="11.28"/>
    <col collapsed="false" customWidth="true" hidden="false" outlineLevel="0" max="17" min="17" style="72" width="11.56"/>
    <col collapsed="false" customWidth="true" hidden="true" outlineLevel="1" max="18" min="18" style="38" width="9.56"/>
    <col collapsed="false" customWidth="true" hidden="true" outlineLevel="1" max="21" min="19" style="0" width="10.56"/>
    <col collapsed="false" customWidth="true" hidden="false" outlineLevel="0" max="22" min="22" style="72" width="10.56"/>
    <col collapsed="false" customWidth="true" hidden="true" outlineLevel="1" max="26" min="23" style="0" width="10.56"/>
    <col collapsed="false" customWidth="true" hidden="false" outlineLevel="0" max="27" min="27" style="72" width="10.56"/>
    <col collapsed="false" customWidth="true" hidden="true" outlineLevel="1" max="31" min="28" style="0" width="10.56"/>
    <col collapsed="false" customWidth="true" hidden="false" outlineLevel="0" max="32" min="32" style="72" width="10.56"/>
    <col collapsed="false" customWidth="true" hidden="true" outlineLevel="1" max="36" min="33" style="0" width="10.56"/>
    <col collapsed="false" customWidth="true" hidden="false" outlineLevel="0" max="37" min="37" style="72" width="10.56"/>
    <col collapsed="false" customWidth="true" hidden="true" outlineLevel="1" max="41" min="38" style="0" width="10.56"/>
    <col collapsed="false" customWidth="true" hidden="false" outlineLevel="0" max="42" min="42" style="72" width="10.56"/>
  </cols>
  <sheetData>
    <row r="1" customFormat="false" ht="18.75" hidden="false" customHeight="false" outlineLevel="0" collapsed="false">
      <c r="A1" s="29" t="s">
        <v>1</v>
      </c>
      <c r="C1" s="122"/>
      <c r="E1" s="122"/>
    </row>
    <row r="2" customFormat="false" ht="15.75" hidden="false" customHeight="false" outlineLevel="0" collapsed="false">
      <c r="A2" s="30" t="s">
        <v>152</v>
      </c>
      <c r="B2" s="123"/>
      <c r="C2" s="124"/>
      <c r="D2" s="38"/>
      <c r="E2" s="125"/>
      <c r="F2" s="38"/>
      <c r="G2" s="126"/>
      <c r="J2" s="65"/>
      <c r="T2" s="127"/>
    </row>
    <row r="3" customFormat="false" ht="15.75" hidden="false" customHeight="false" outlineLevel="0" collapsed="false">
      <c r="A3" s="31" t="s">
        <v>96</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row>
    <row r="4" customFormat="false" ht="45" hidden="false" customHeight="false" outlineLevel="0" collapsed="false">
      <c r="A4" s="85" t="s">
        <v>38</v>
      </c>
      <c r="B4" s="86" t="s">
        <v>153</v>
      </c>
      <c r="C4" s="87" t="s">
        <v>154</v>
      </c>
      <c r="D4" s="87" t="s">
        <v>155</v>
      </c>
      <c r="E4" s="87" t="s">
        <v>156</v>
      </c>
      <c r="F4" s="87" t="s">
        <v>157</v>
      </c>
      <c r="G4" s="86" t="s">
        <v>85</v>
      </c>
      <c r="H4" s="87" t="s">
        <v>97</v>
      </c>
      <c r="I4" s="87" t="s">
        <v>98</v>
      </c>
      <c r="J4" s="87" t="s">
        <v>99</v>
      </c>
      <c r="K4" s="87" t="s">
        <v>100</v>
      </c>
      <c r="L4" s="86" t="s">
        <v>86</v>
      </c>
      <c r="M4" s="87" t="s">
        <v>101</v>
      </c>
      <c r="N4" s="87" t="s">
        <v>40</v>
      </c>
      <c r="O4" s="87" t="s">
        <v>41</v>
      </c>
      <c r="P4" s="87" t="s">
        <v>42</v>
      </c>
      <c r="Q4" s="86" t="s">
        <v>43</v>
      </c>
      <c r="R4" s="87" t="s">
        <v>44</v>
      </c>
      <c r="S4" s="88" t="s">
        <v>45</v>
      </c>
      <c r="T4" s="88" t="s">
        <v>102</v>
      </c>
      <c r="U4" s="88" t="s">
        <v>47</v>
      </c>
      <c r="V4" s="89" t="s">
        <v>48</v>
      </c>
      <c r="W4" s="88" t="s">
        <v>103</v>
      </c>
      <c r="X4" s="88" t="s">
        <v>50</v>
      </c>
      <c r="Y4" s="88" t="s">
        <v>51</v>
      </c>
      <c r="Z4" s="88" t="s">
        <v>52</v>
      </c>
      <c r="AA4" s="89" t="s">
        <v>53</v>
      </c>
      <c r="AB4" s="88" t="s">
        <v>104</v>
      </c>
      <c r="AC4" s="88" t="s">
        <v>105</v>
      </c>
      <c r="AD4" s="88" t="s">
        <v>106</v>
      </c>
      <c r="AE4" s="88" t="s">
        <v>107</v>
      </c>
      <c r="AF4" s="89" t="s">
        <v>87</v>
      </c>
      <c r="AG4" s="88" t="s">
        <v>108</v>
      </c>
      <c r="AH4" s="88" t="s">
        <v>109</v>
      </c>
      <c r="AI4" s="88" t="s">
        <v>110</v>
      </c>
      <c r="AJ4" s="88" t="s">
        <v>111</v>
      </c>
      <c r="AK4" s="89" t="s">
        <v>88</v>
      </c>
      <c r="AL4" s="88" t="s">
        <v>112</v>
      </c>
      <c r="AM4" s="88" t="s">
        <v>113</v>
      </c>
      <c r="AN4" s="88" t="s">
        <v>114</v>
      </c>
      <c r="AO4" s="88" t="s">
        <v>115</v>
      </c>
      <c r="AP4" s="89" t="s">
        <v>89</v>
      </c>
    </row>
    <row r="5" customFormat="false" ht="15" hidden="false" customHeight="false" outlineLevel="0" collapsed="false">
      <c r="B5" s="86"/>
      <c r="G5" s="86"/>
      <c r="L5" s="86"/>
      <c r="Q5" s="86"/>
      <c r="V5" s="86"/>
      <c r="AA5" s="86"/>
      <c r="AF5" s="86"/>
      <c r="AK5" s="86"/>
      <c r="AP5" s="86"/>
    </row>
    <row r="6" s="72" customFormat="true" ht="15" hidden="false" customHeight="false" outlineLevel="0" collapsed="false">
      <c r="A6" s="128"/>
      <c r="B6" s="64"/>
      <c r="G6" s="64"/>
      <c r="L6" s="64"/>
      <c r="Q6" s="64"/>
      <c r="R6" s="123"/>
      <c r="V6" s="64"/>
      <c r="AA6" s="64"/>
      <c r="AF6" s="64"/>
      <c r="AK6" s="64"/>
      <c r="AP6" s="64"/>
    </row>
    <row r="7" customFormat="false" ht="15" hidden="false" customHeight="true" outlineLevel="0" collapsed="false">
      <c r="A7" s="33" t="s">
        <v>158</v>
      </c>
      <c r="B7" s="64"/>
      <c r="C7" s="129" t="s">
        <v>159</v>
      </c>
      <c r="D7" s="129"/>
      <c r="E7" s="129"/>
      <c r="F7" s="72"/>
      <c r="G7" s="64"/>
      <c r="H7" s="72"/>
      <c r="I7" s="72"/>
      <c r="J7" s="72"/>
      <c r="K7" s="130"/>
      <c r="L7" s="64"/>
      <c r="M7" s="72"/>
      <c r="N7" s="72"/>
      <c r="O7" s="72"/>
      <c r="P7" s="72"/>
      <c r="Q7" s="108"/>
      <c r="R7" s="73"/>
      <c r="S7" s="72"/>
      <c r="T7" s="72"/>
      <c r="U7" s="72"/>
      <c r="V7" s="131"/>
      <c r="W7" s="72"/>
      <c r="X7" s="72"/>
      <c r="Y7" s="72"/>
      <c r="Z7" s="72"/>
      <c r="AA7" s="132"/>
      <c r="AB7" s="72"/>
      <c r="AC7" s="72"/>
      <c r="AF7" s="64"/>
      <c r="AK7" s="64"/>
      <c r="AP7" s="64"/>
    </row>
    <row r="8" s="72" customFormat="true" ht="15" hidden="false" customHeight="true" outlineLevel="0" collapsed="false">
      <c r="A8" s="128"/>
      <c r="B8" s="64"/>
      <c r="C8" s="129"/>
      <c r="D8" s="129"/>
      <c r="E8" s="129"/>
      <c r="G8" s="64"/>
      <c r="L8" s="64"/>
      <c r="Q8" s="64"/>
      <c r="R8" s="73"/>
      <c r="V8" s="131"/>
      <c r="AA8" s="64"/>
      <c r="AF8" s="64"/>
      <c r="AK8" s="64"/>
      <c r="AP8" s="64"/>
    </row>
    <row r="9" customFormat="false" ht="15" hidden="false" customHeight="true" outlineLevel="0" collapsed="false">
      <c r="A9" s="0" t="s">
        <v>160</v>
      </c>
      <c r="B9" s="133" t="n">
        <v>16955</v>
      </c>
      <c r="C9" s="129"/>
      <c r="D9" s="129"/>
      <c r="E9" s="129"/>
      <c r="F9" s="134" t="n">
        <v>5611</v>
      </c>
      <c r="G9" s="133" t="n">
        <f aca="false">'Segment Revenue Model'!B25</f>
        <v>22502.2</v>
      </c>
      <c r="H9" s="73" t="n">
        <f aca="false">'Segment Revenue Model'!C25+0.4</f>
        <v>5664.4</v>
      </c>
      <c r="I9" s="73" t="n">
        <f aca="false">'Segment Revenue Model'!D25-0.4</f>
        <v>6669.6</v>
      </c>
      <c r="J9" s="73" t="n">
        <f aca="false">'Segment Revenue Model'!E25-0.1</f>
        <v>6101.9</v>
      </c>
      <c r="K9" s="130" t="n">
        <f aca="false">L9-SUM(H9:J9)</f>
        <v>7087</v>
      </c>
      <c r="L9" s="133" t="n">
        <f aca="false">'Segment Revenue Model'!G25-1.1</f>
        <v>25522.9</v>
      </c>
      <c r="M9" s="73" t="n">
        <f aca="false">'Segment Revenue Model'!H25-0.1</f>
        <v>7067.9</v>
      </c>
      <c r="N9" s="73" t="n">
        <f aca="false">'Segment Revenue Model'!I25-0.27</f>
        <v>7239.73</v>
      </c>
      <c r="O9" s="73" t="n">
        <f aca="false">'Segment Revenue Model'!J25-0.2</f>
        <v>7567.8</v>
      </c>
      <c r="P9" s="130" t="n">
        <f aca="false">Q9-SUM(M9:O9)</f>
        <v>8688.3</v>
      </c>
      <c r="Q9" s="133" t="n">
        <f aca="false">'Segment Revenue Model'!L25-0.27</f>
        <v>30563.73</v>
      </c>
      <c r="R9" s="73" t="n">
        <f aca="false">'Segment Revenue Model'!M25</f>
        <v>8267.1</v>
      </c>
      <c r="S9" s="73" t="n">
        <f aca="false">'Segment Revenue Model'!N25</f>
        <v>10366.1206</v>
      </c>
      <c r="T9" s="73" t="n">
        <f aca="false">'Segment Revenue Model'!O25</f>
        <v>10366.1206</v>
      </c>
      <c r="U9" s="73" t="n">
        <f aca="false">'Segment Revenue Model'!P25</f>
        <v>10366.1206</v>
      </c>
      <c r="V9" s="135" t="n">
        <f aca="false">'Segment Revenue Model'!Q25</f>
        <v>39365.4618</v>
      </c>
      <c r="W9" s="73" t="n">
        <f aca="false">'Segment Revenue Model'!R25</f>
        <v>11288.1659521979</v>
      </c>
      <c r="X9" s="73" t="n">
        <f aca="false">'Segment Revenue Model'!S25</f>
        <v>11562.8638220024</v>
      </c>
      <c r="Y9" s="73" t="n">
        <f aca="false">'Segment Revenue Model'!T25</f>
        <v>12086.7062713969</v>
      </c>
      <c r="Z9" s="73" t="n">
        <f aca="false">'Segment Revenue Model'!U25</f>
        <v>13875.4365864028</v>
      </c>
      <c r="AA9" s="135" t="n">
        <f aca="false">'Segment Revenue Model'!V25</f>
        <v>48813.172632</v>
      </c>
      <c r="AB9" s="73" t="n">
        <f aca="false">'Segment Revenue Model'!W25</f>
        <v>13997.3257807254</v>
      </c>
      <c r="AC9" s="73" t="n">
        <f aca="false">'Segment Revenue Model'!X25</f>
        <v>14337.9511392829</v>
      </c>
      <c r="AD9" s="73" t="n">
        <f aca="false">'Segment Revenue Model'!Y25</f>
        <v>14987.5157765322</v>
      </c>
      <c r="AE9" s="73" t="n">
        <f aca="false">'Segment Revenue Model'!Z25</f>
        <v>17205.5413671395</v>
      </c>
      <c r="AF9" s="135" t="n">
        <f aca="false">'Segment Revenue Model'!AA25</f>
        <v>60528.33406368</v>
      </c>
      <c r="AG9" s="73" t="n">
        <f aca="false">'Segment Revenue Model'!AB25</f>
        <v>17076.7374524849</v>
      </c>
      <c r="AH9" s="73" t="n">
        <f aca="false">'Segment Revenue Model'!AC25</f>
        <v>17492.3003899252</v>
      </c>
      <c r="AI9" s="73" t="n">
        <f aca="false">'Segment Revenue Model'!AD25</f>
        <v>18284.7692473693</v>
      </c>
      <c r="AJ9" s="73" t="n">
        <f aca="false">'Segment Revenue Model'!AE25</f>
        <v>20990.7604679102</v>
      </c>
      <c r="AK9" s="135" t="n">
        <f aca="false">'Segment Revenue Model'!AF25</f>
        <v>73844.5675576896</v>
      </c>
      <c r="AL9" s="73" t="n">
        <f aca="false">'Segment Revenue Model'!AG25</f>
        <v>20492.0849429819</v>
      </c>
      <c r="AM9" s="73" t="n">
        <f aca="false">'Segment Revenue Model'!AH25</f>
        <v>20990.7604679102</v>
      </c>
      <c r="AN9" s="73" t="n">
        <f aca="false">'Segment Revenue Model'!AI25</f>
        <v>21941.7230968431</v>
      </c>
      <c r="AO9" s="73" t="n">
        <f aca="false">'Segment Revenue Model'!AJ25</f>
        <v>25188.9125614922</v>
      </c>
      <c r="AP9" s="135" t="n">
        <f aca="false">'Segment Revenue Model'!AK25</f>
        <v>88613.4810692275</v>
      </c>
    </row>
    <row r="10" customFormat="false" ht="15" hidden="false" customHeight="false" outlineLevel="0" collapsed="false">
      <c r="A10" s="136" t="s">
        <v>161</v>
      </c>
      <c r="B10" s="133" t="n">
        <v>1018.9</v>
      </c>
      <c r="C10" s="129"/>
      <c r="D10" s="129"/>
      <c r="E10" s="129"/>
      <c r="F10" s="134" t="n">
        <v>288</v>
      </c>
      <c r="G10" s="133" t="n">
        <v>1273</v>
      </c>
      <c r="H10" s="134" t="n">
        <v>341</v>
      </c>
      <c r="I10" s="134" t="n">
        <v>385.8</v>
      </c>
      <c r="J10" s="134" t="n">
        <v>406.3</v>
      </c>
      <c r="K10" s="134" t="n">
        <f aca="false">L10-SUM(H10:J10)</f>
        <v>30.8000000000002</v>
      </c>
      <c r="L10" s="133" t="n">
        <v>1163.9</v>
      </c>
      <c r="M10" s="134" t="n">
        <v>271.3</v>
      </c>
      <c r="N10" s="134" t="n">
        <v>229.8</v>
      </c>
      <c r="O10" s="134" t="n">
        <v>216.7</v>
      </c>
      <c r="P10" s="137" t="n">
        <f aca="false">Q10-SUM(M10:O10)</f>
        <v>187.8</v>
      </c>
      <c r="Q10" s="133" t="n">
        <v>905.6</v>
      </c>
      <c r="R10" s="134" t="n">
        <v>170.6</v>
      </c>
      <c r="S10" s="138" t="n">
        <f aca="false">S9*'Cost Model'!S10</f>
        <v>329.036374820608</v>
      </c>
      <c r="T10" s="138" t="n">
        <f aca="false">T9*'Cost Model'!T10</f>
        <v>296.828448693147</v>
      </c>
      <c r="U10" s="138" t="n">
        <f aca="false">U9*'Cost Model'!U10</f>
        <v>224.066554870343</v>
      </c>
      <c r="V10" s="135" t="n">
        <f aca="false">SUM(R10:U10)</f>
        <v>1020.5313783841</v>
      </c>
      <c r="W10" s="65" t="n">
        <f aca="false">W9*'Cost Model'!W10</f>
        <v>232.942762449342</v>
      </c>
      <c r="X10" s="65" t="n">
        <f aca="false">X9*'Cost Model'!X10</f>
        <v>367.022818018924</v>
      </c>
      <c r="Y10" s="65" t="n">
        <f aca="false">Y9*'Cost Model'!Y10</f>
        <v>346.096520654842</v>
      </c>
      <c r="Z10" s="65" t="n">
        <f aca="false">Z9*'Cost Model'!Z10</f>
        <v>299.921387489665</v>
      </c>
      <c r="AA10" s="135" t="n">
        <f aca="false">SUM(W10:Z10)</f>
        <v>1245.98348861277</v>
      </c>
      <c r="AB10" s="65" t="n">
        <f aca="false">AB9*'Cost Model'!AB10</f>
        <v>288.849025437185</v>
      </c>
      <c r="AC10" s="65" t="n">
        <f aca="false">AC9*'Cost Model'!AC10</f>
        <v>455.108294343465</v>
      </c>
      <c r="AD10" s="65" t="n">
        <f aca="false">AD9*'Cost Model'!AD10</f>
        <v>429.159685612004</v>
      </c>
      <c r="AE10" s="65" t="n">
        <f aca="false">AE9*'Cost Model'!AE10</f>
        <v>371.902520487184</v>
      </c>
      <c r="AF10" s="135" t="n">
        <f aca="false">SUM(AB10:AE10)</f>
        <v>1545.01952587984</v>
      </c>
      <c r="AG10" s="65" t="n">
        <f aca="false">AG9*'Cost Model'!AG10</f>
        <v>352.395811033365</v>
      </c>
      <c r="AH10" s="65" t="n">
        <f aca="false">AH9*'Cost Model'!AH10</f>
        <v>555.232119099028</v>
      </c>
      <c r="AI10" s="65" t="n">
        <f aca="false">AI9*'Cost Model'!AI10</f>
        <v>523.574816446645</v>
      </c>
      <c r="AJ10" s="65" t="n">
        <f aca="false">AJ9*'Cost Model'!AJ10</f>
        <v>453.721074994364</v>
      </c>
      <c r="AK10" s="135" t="n">
        <f aca="false">SUM(AG10:AJ10)</f>
        <v>1884.9238215734</v>
      </c>
      <c r="AL10" s="65" t="n">
        <f aca="false">AL9*'Cost Model'!AL10</f>
        <v>422.874973240038</v>
      </c>
      <c r="AM10" s="65" t="n">
        <f aca="false">AM9*'Cost Model'!AM10</f>
        <v>666.278542918833</v>
      </c>
      <c r="AN10" s="65" t="n">
        <f aca="false">AN9*'Cost Model'!AN10</f>
        <v>628.289779735974</v>
      </c>
      <c r="AO10" s="65" t="n">
        <f aca="false">AO9*'Cost Model'!AO10</f>
        <v>544.465289993237</v>
      </c>
      <c r="AP10" s="135" t="n">
        <f aca="false">SUM(AL10:AO10)</f>
        <v>2261.90858588808</v>
      </c>
    </row>
    <row r="11" s="37" customFormat="true" ht="15" hidden="false" customHeight="false" outlineLevel="0" collapsed="false">
      <c r="A11" s="74" t="s">
        <v>162</v>
      </c>
      <c r="B11" s="117" t="n">
        <f aca="false">B9-B10</f>
        <v>15936.1</v>
      </c>
      <c r="C11" s="73" t="n">
        <v>4385.6</v>
      </c>
      <c r="D11" s="73" t="n">
        <v>4800</v>
      </c>
      <c r="E11" s="73" t="n">
        <v>5284</v>
      </c>
      <c r="F11" s="73" t="n">
        <f aca="false">F9-F10</f>
        <v>5323</v>
      </c>
      <c r="G11" s="117" t="n">
        <f aca="false">G9-G10</f>
        <v>21229.2</v>
      </c>
      <c r="H11" s="73" t="n">
        <f aca="false">H9-H10</f>
        <v>5323.4</v>
      </c>
      <c r="I11" s="73" t="n">
        <f aca="false">I9-I10</f>
        <v>6283.8</v>
      </c>
      <c r="J11" s="73" t="n">
        <f aca="false">J9-J10</f>
        <v>5695.6</v>
      </c>
      <c r="K11" s="73" t="n">
        <f aca="false">L11-SUM(H11:J11)</f>
        <v>7056.2</v>
      </c>
      <c r="L11" s="117" t="n">
        <f aca="false">L9-L10</f>
        <v>24359</v>
      </c>
      <c r="M11" s="73" t="n">
        <f aca="false">M9-M10</f>
        <v>6796.6</v>
      </c>
      <c r="N11" s="73" t="n">
        <f aca="false">N9-N10</f>
        <v>7009.93</v>
      </c>
      <c r="O11" s="73" t="n">
        <f aca="false">O9-O10</f>
        <v>7351.1</v>
      </c>
      <c r="P11" s="139" t="n">
        <f aca="false">Q11-SUM(M11:O11)</f>
        <v>8500.5</v>
      </c>
      <c r="Q11" s="117" t="n">
        <f aca="false">Q9-Q10</f>
        <v>29658.13</v>
      </c>
      <c r="R11" s="73" t="n">
        <f aca="false">R9-R10</f>
        <v>8096.5</v>
      </c>
      <c r="S11" s="73" t="n">
        <f aca="false">S9-S10</f>
        <v>10037.0842251794</v>
      </c>
      <c r="T11" s="73" t="n">
        <f aca="false">T9-T10</f>
        <v>10069.2921513069</v>
      </c>
      <c r="U11" s="73" t="n">
        <f aca="false">U9-U10</f>
        <v>10142.0540451297</v>
      </c>
      <c r="V11" s="135" t="n">
        <f aca="false">V9-V10</f>
        <v>38344.9304216159</v>
      </c>
      <c r="W11" s="73" t="n">
        <f aca="false">W9-W10</f>
        <v>11055.2231897485</v>
      </c>
      <c r="X11" s="73" t="n">
        <f aca="false">X9-X10</f>
        <v>11195.8410039834</v>
      </c>
      <c r="Y11" s="73" t="n">
        <f aca="false">Y9-Y10</f>
        <v>11740.6097507421</v>
      </c>
      <c r="Z11" s="73" t="n">
        <f aca="false">Z9-Z10</f>
        <v>13575.5151989132</v>
      </c>
      <c r="AA11" s="135" t="n">
        <f aca="false">AA9-AA10</f>
        <v>47567.1891433872</v>
      </c>
      <c r="AB11" s="73" t="n">
        <f aca="false">AB9-AB10</f>
        <v>13708.4767552882</v>
      </c>
      <c r="AC11" s="73" t="n">
        <f aca="false">AC9-AC10</f>
        <v>13882.8428449395</v>
      </c>
      <c r="AD11" s="73" t="n">
        <f aca="false">AD9-AD10</f>
        <v>14558.3560909202</v>
      </c>
      <c r="AE11" s="73" t="n">
        <f aca="false">AE9-AE10</f>
        <v>16833.6388466523</v>
      </c>
      <c r="AF11" s="135" t="n">
        <f aca="false">AF9-AF10</f>
        <v>58983.3145378002</v>
      </c>
      <c r="AG11" s="73" t="n">
        <f aca="false">AG9-AG10</f>
        <v>16724.3416414516</v>
      </c>
      <c r="AH11" s="73" t="n">
        <f aca="false">AH9-AH10</f>
        <v>16937.0682708261</v>
      </c>
      <c r="AI11" s="73" t="n">
        <f aca="false">AI9-AI10</f>
        <v>17761.1944309226</v>
      </c>
      <c r="AJ11" s="73" t="n">
        <f aca="false">AJ9-AJ10</f>
        <v>20537.0393929158</v>
      </c>
      <c r="AK11" s="135" t="n">
        <f aca="false">AK9-AK10</f>
        <v>71959.6437361162</v>
      </c>
      <c r="AL11" s="73" t="n">
        <f aca="false">AL9-AL10</f>
        <v>20069.2099697419</v>
      </c>
      <c r="AM11" s="73" t="n">
        <f aca="false">AM9-AM10</f>
        <v>20324.4819249914</v>
      </c>
      <c r="AN11" s="73" t="n">
        <f aca="false">AN9-AN10</f>
        <v>21313.4333171072</v>
      </c>
      <c r="AO11" s="73" t="n">
        <f aca="false">AO9-AO10</f>
        <v>24644.447271499</v>
      </c>
      <c r="AP11" s="135" t="n">
        <f aca="false">AP9-AP10</f>
        <v>86351.5724833394</v>
      </c>
    </row>
    <row r="12" s="37" customFormat="true" ht="15" hidden="false" customHeight="false" outlineLevel="0" collapsed="false">
      <c r="A12" s="136" t="s">
        <v>163</v>
      </c>
      <c r="B12" s="117" t="n">
        <v>0</v>
      </c>
      <c r="C12" s="73" t="n">
        <v>0</v>
      </c>
      <c r="D12" s="73" t="n">
        <v>0</v>
      </c>
      <c r="E12" s="73"/>
      <c r="F12" s="134" t="n">
        <v>33</v>
      </c>
      <c r="G12" s="117" t="n">
        <v>0</v>
      </c>
      <c r="H12" s="73" t="n">
        <v>0</v>
      </c>
      <c r="I12" s="134" t="n">
        <v>18.2</v>
      </c>
      <c r="J12" s="73" t="n">
        <v>0</v>
      </c>
      <c r="K12" s="73" t="n">
        <v>0</v>
      </c>
      <c r="L12" s="117" t="n">
        <v>0</v>
      </c>
      <c r="M12" s="134" t="n">
        <v>35.8</v>
      </c>
      <c r="N12" s="134" t="n">
        <v>84.6</v>
      </c>
      <c r="O12" s="134" t="n">
        <v>877.1</v>
      </c>
      <c r="P12" s="139" t="n">
        <f aca="false">Q12-SUM(M12:O12)</f>
        <v>586.8</v>
      </c>
      <c r="Q12" s="117" t="n">
        <v>1584.3</v>
      </c>
      <c r="R12" s="134" t="n">
        <v>431</v>
      </c>
      <c r="S12" s="140" t="n">
        <f aca="false">N12</f>
        <v>84.6</v>
      </c>
      <c r="T12" s="140" t="n">
        <f aca="false">O12</f>
        <v>877.1</v>
      </c>
      <c r="U12" s="140" t="n">
        <f aca="false">P12</f>
        <v>586.8</v>
      </c>
      <c r="V12" s="135" t="n">
        <f aca="false">SUM(R12:U12)</f>
        <v>1979.5</v>
      </c>
      <c r="W12" s="140" t="n">
        <f aca="false">R12</f>
        <v>431</v>
      </c>
      <c r="X12" s="140" t="n">
        <f aca="false">S12</f>
        <v>84.6</v>
      </c>
      <c r="Y12" s="140" t="n">
        <f aca="false">T12</f>
        <v>877.1</v>
      </c>
      <c r="Z12" s="140" t="n">
        <f aca="false">U12</f>
        <v>586.8</v>
      </c>
      <c r="AA12" s="135" t="n">
        <f aca="false">SUM(W12:Z12)</f>
        <v>1979.5</v>
      </c>
      <c r="AB12" s="140" t="n">
        <f aca="false">W12</f>
        <v>431</v>
      </c>
      <c r="AC12" s="140" t="n">
        <f aca="false">X12</f>
        <v>84.6</v>
      </c>
      <c r="AD12" s="140" t="n">
        <f aca="false">Y12</f>
        <v>877.1</v>
      </c>
      <c r="AE12" s="140" t="n">
        <f aca="false">Z12</f>
        <v>586.8</v>
      </c>
      <c r="AF12" s="135" t="n">
        <f aca="false">SUM(AB12:AE12)</f>
        <v>1979.5</v>
      </c>
      <c r="AG12" s="140" t="n">
        <f aca="false">AB12</f>
        <v>431</v>
      </c>
      <c r="AH12" s="140" t="n">
        <f aca="false">AC12</f>
        <v>84.6</v>
      </c>
      <c r="AI12" s="140" t="n">
        <f aca="false">AD12</f>
        <v>877.1</v>
      </c>
      <c r="AJ12" s="140" t="n">
        <f aca="false">AE12</f>
        <v>586.8</v>
      </c>
      <c r="AK12" s="135" t="n">
        <f aca="false">SUM(AG12:AJ12)</f>
        <v>1979.5</v>
      </c>
      <c r="AL12" s="140" t="n">
        <f aca="false">AG12</f>
        <v>431</v>
      </c>
      <c r="AM12" s="140" t="n">
        <f aca="false">AH12</f>
        <v>84.6</v>
      </c>
      <c r="AN12" s="140" t="n">
        <f aca="false">AI12</f>
        <v>877.1</v>
      </c>
      <c r="AO12" s="140" t="n">
        <f aca="false">AJ12</f>
        <v>586.8</v>
      </c>
      <c r="AP12" s="135" t="n">
        <f aca="false">SUM(AL12:AO12)</f>
        <v>1979.5</v>
      </c>
    </row>
    <row r="13" s="74" customFormat="true" ht="15" hidden="false" customHeight="false" outlineLevel="0" collapsed="false">
      <c r="A13" s="74" t="s">
        <v>119</v>
      </c>
      <c r="B13" s="141" t="n">
        <f aca="false">B11+B12</f>
        <v>15936.1</v>
      </c>
      <c r="C13" s="142" t="n">
        <f aca="false">C11+C12</f>
        <v>4385.6</v>
      </c>
      <c r="D13" s="142" t="n">
        <f aca="false">D11+D12</f>
        <v>4800</v>
      </c>
      <c r="E13" s="142" t="n">
        <f aca="false">E11+E12</f>
        <v>5284</v>
      </c>
      <c r="F13" s="142" t="n">
        <f aca="false">F11+F12</f>
        <v>5356</v>
      </c>
      <c r="G13" s="141" t="n">
        <f aca="false">G11+G12</f>
        <v>21229.2</v>
      </c>
      <c r="H13" s="142" t="n">
        <f aca="false">H11+H12</f>
        <v>5323.4</v>
      </c>
      <c r="I13" s="142" t="n">
        <f aca="false">I11+I12</f>
        <v>6302</v>
      </c>
      <c r="J13" s="142" t="n">
        <f aca="false">J11+J12</f>
        <v>5695.6</v>
      </c>
      <c r="K13" s="142" t="n">
        <f aca="false">K11+K12</f>
        <v>7056.2</v>
      </c>
      <c r="L13" s="141" t="n">
        <f aca="false">L11+L12</f>
        <v>24359</v>
      </c>
      <c r="M13" s="142" t="n">
        <f aca="false">SUM(M11:M12)</f>
        <v>6832.4</v>
      </c>
      <c r="N13" s="142" t="n">
        <f aca="false">N11+N12</f>
        <v>7094.53</v>
      </c>
      <c r="O13" s="142" t="n">
        <f aca="false">O11+O12</f>
        <v>8228.2</v>
      </c>
      <c r="P13" s="143" t="n">
        <f aca="false">Q13-SUM(M13:O13)</f>
        <v>9087.3</v>
      </c>
      <c r="Q13" s="141" t="n">
        <f aca="false">SUM(Q11:Q12)</f>
        <v>31242.43</v>
      </c>
      <c r="R13" s="142" t="n">
        <f aca="false">SUM(R11:R12)</f>
        <v>8527.5</v>
      </c>
      <c r="S13" s="142" t="n">
        <f aca="false">SUM(S11:S12)</f>
        <v>10121.6842251794</v>
      </c>
      <c r="T13" s="142" t="n">
        <f aca="false">SUM(T11:T12)</f>
        <v>10946.3921513069</v>
      </c>
      <c r="U13" s="142" t="n">
        <f aca="false">SUM(U11:U12)</f>
        <v>10728.8540451297</v>
      </c>
      <c r="V13" s="144" t="n">
        <f aca="false">SUM(V11:V12)</f>
        <v>40324.4304216159</v>
      </c>
      <c r="W13" s="142" t="n">
        <f aca="false">SUM(W11:W12)</f>
        <v>11486.2231897485</v>
      </c>
      <c r="X13" s="142" t="n">
        <f aca="false">SUM(X11:X12)</f>
        <v>11280.4410039834</v>
      </c>
      <c r="Y13" s="142" t="n">
        <f aca="false">SUM(Y11:Y12)</f>
        <v>12617.7097507421</v>
      </c>
      <c r="Z13" s="142" t="n">
        <f aca="false">SUM(Z11:Z12)</f>
        <v>14162.3151989132</v>
      </c>
      <c r="AA13" s="144" t="n">
        <f aca="false">SUM(AA11:AA12)</f>
        <v>49546.6891433872</v>
      </c>
      <c r="AB13" s="142" t="n">
        <f aca="false">SUM(AB11:AB12)</f>
        <v>14139.4767552882</v>
      </c>
      <c r="AC13" s="142" t="n">
        <f aca="false">SUM(AC11:AC12)</f>
        <v>13967.4428449395</v>
      </c>
      <c r="AD13" s="142" t="n">
        <f aca="false">SUM(AD11:AD12)</f>
        <v>15435.4560909202</v>
      </c>
      <c r="AE13" s="142" t="n">
        <f aca="false">SUM(AE11:AE12)</f>
        <v>17420.4388466523</v>
      </c>
      <c r="AF13" s="144" t="n">
        <f aca="false">SUM(AF11:AF12)</f>
        <v>60962.8145378002</v>
      </c>
      <c r="AG13" s="142" t="n">
        <f aca="false">SUM(AG11:AG12)</f>
        <v>17155.3416414516</v>
      </c>
      <c r="AH13" s="142" t="n">
        <f aca="false">SUM(AH11:AH12)</f>
        <v>17021.6682708261</v>
      </c>
      <c r="AI13" s="142" t="n">
        <f aca="false">SUM(AI11:AI12)</f>
        <v>18638.2944309226</v>
      </c>
      <c r="AJ13" s="142" t="n">
        <f aca="false">SUM(AJ11:AJ12)</f>
        <v>21123.8393929158</v>
      </c>
      <c r="AK13" s="144" t="n">
        <f aca="false">SUM(AK11:AK12)</f>
        <v>73939.1437361162</v>
      </c>
      <c r="AL13" s="142" t="n">
        <f aca="false">SUM(AL11:AL12)</f>
        <v>20500.2099697419</v>
      </c>
      <c r="AM13" s="142" t="n">
        <f aca="false">SUM(AM11:AM12)</f>
        <v>20409.0819249914</v>
      </c>
      <c r="AN13" s="142" t="n">
        <f aca="false">SUM(AN11:AN12)</f>
        <v>22190.5333171072</v>
      </c>
      <c r="AO13" s="142" t="n">
        <f aca="false">SUM(AO11:AO12)</f>
        <v>25231.247271499</v>
      </c>
      <c r="AP13" s="144" t="n">
        <f aca="false">SUM(AP11:AP12)</f>
        <v>88331.0724833394</v>
      </c>
    </row>
    <row r="14" customFormat="false" ht="15" hidden="false" customHeight="false" outlineLevel="0" collapsed="false">
      <c r="B14" s="141"/>
      <c r="C14" s="73"/>
      <c r="D14" s="73"/>
      <c r="E14" s="73"/>
      <c r="F14" s="145"/>
      <c r="G14" s="146"/>
      <c r="H14" s="73"/>
      <c r="I14" s="145"/>
      <c r="J14" s="73"/>
      <c r="K14" s="73"/>
      <c r="L14" s="141"/>
      <c r="M14" s="145"/>
      <c r="N14" s="145"/>
      <c r="O14" s="145"/>
      <c r="P14" s="145"/>
      <c r="Q14" s="141"/>
      <c r="R14" s="145"/>
      <c r="S14" s="145"/>
      <c r="T14" s="145"/>
      <c r="U14" s="145"/>
      <c r="V14" s="144"/>
      <c r="AA14" s="144"/>
      <c r="AF14" s="144"/>
      <c r="AK14" s="144"/>
      <c r="AP14" s="144"/>
    </row>
    <row r="15" customFormat="false" ht="15" hidden="false" customHeight="false" outlineLevel="0" collapsed="false">
      <c r="A15" s="74" t="s">
        <v>164</v>
      </c>
      <c r="B15" s="117"/>
      <c r="C15" s="73"/>
      <c r="D15" s="73"/>
      <c r="E15" s="73"/>
      <c r="F15" s="73"/>
      <c r="G15" s="117"/>
      <c r="H15" s="73"/>
      <c r="I15" s="73"/>
      <c r="J15" s="73"/>
      <c r="K15" s="73"/>
      <c r="L15" s="117"/>
      <c r="M15" s="73"/>
      <c r="N15" s="73"/>
      <c r="O15" s="73"/>
      <c r="P15" s="73"/>
      <c r="Q15" s="117"/>
      <c r="R15" s="73"/>
      <c r="S15" s="65"/>
      <c r="V15" s="135"/>
      <c r="AA15" s="135"/>
      <c r="AF15" s="135"/>
      <c r="AK15" s="135"/>
      <c r="AP15" s="135"/>
    </row>
    <row r="16" customFormat="false" ht="15" hidden="false" customHeight="false" outlineLevel="0" collapsed="false">
      <c r="A16" s="136" t="s">
        <v>165</v>
      </c>
      <c r="B16" s="133" t="n">
        <v>-518.3</v>
      </c>
      <c r="C16" s="134" t="n">
        <v>-445.1</v>
      </c>
      <c r="D16" s="134" t="n">
        <v>84.4</v>
      </c>
      <c r="E16" s="134" t="n">
        <v>-222.9</v>
      </c>
      <c r="F16" s="134" t="n">
        <v>-440</v>
      </c>
      <c r="G16" s="133" t="n">
        <v>-890.5</v>
      </c>
      <c r="H16" s="134" t="n">
        <v>-439.6</v>
      </c>
      <c r="I16" s="134" t="n">
        <v>-327.4</v>
      </c>
      <c r="J16" s="134" t="n">
        <v>-433.5</v>
      </c>
      <c r="K16" s="73" t="n">
        <f aca="false">L16-SUM(H16:J16)</f>
        <v>488.1</v>
      </c>
      <c r="L16" s="133" t="n">
        <v>-712.4</v>
      </c>
      <c r="M16" s="134" t="n">
        <v>-99.7</v>
      </c>
      <c r="N16" s="134" t="n">
        <v>-580.7</v>
      </c>
      <c r="O16" s="134" t="n">
        <v>-170.9</v>
      </c>
      <c r="P16" s="65" t="n">
        <f aca="false">Q16-SUM(M16:O16)</f>
        <v>644.1</v>
      </c>
      <c r="Q16" s="133" t="n">
        <v>-207.2</v>
      </c>
      <c r="R16" s="134" t="n">
        <v>-101.8</v>
      </c>
      <c r="S16" s="138" t="n">
        <f aca="false">S9*'Cost Model'!S12</f>
        <v>-831.468332716828</v>
      </c>
      <c r="T16" s="138" t="n">
        <f aca="false">T9*'Cost Model'!T12</f>
        <v>-234.093132817992</v>
      </c>
      <c r="U16" s="138" t="n">
        <f aca="false">U9*'Cost Model'!U12</f>
        <v>768.483855122406</v>
      </c>
      <c r="V16" s="135" t="n">
        <f aca="false">SUM(R16:U16)</f>
        <v>-398.877610412414</v>
      </c>
      <c r="W16" s="65" t="n">
        <f aca="false">W9*'Cost Model'!W12</f>
        <v>-139.001015341987</v>
      </c>
      <c r="X16" s="65" t="n">
        <f aca="false">X9*'Cost Model'!X12</f>
        <v>-927.459314288899</v>
      </c>
      <c r="Y16" s="65" t="n">
        <f aca="false">Y9*'Cost Model'!Y12</f>
        <v>-272.948294323547</v>
      </c>
      <c r="Z16" s="65" t="n">
        <f aca="false">Z9*'Cost Model'!Z12</f>
        <v>1028.64411971295</v>
      </c>
      <c r="AA16" s="135" t="n">
        <f aca="false">SUM(W16:Z16)</f>
        <v>-310.764504241478</v>
      </c>
      <c r="AB16" s="65" t="n">
        <f aca="false">AB9*'Cost Model'!AB12</f>
        <v>-172.361259024064</v>
      </c>
      <c r="AC16" s="65" t="n">
        <f aca="false">AC9*'Cost Model'!AC12</f>
        <v>-1150.04954971823</v>
      </c>
      <c r="AD16" s="65" t="n">
        <f aca="false">AD9*'Cost Model'!AD12</f>
        <v>-338.455884961198</v>
      </c>
      <c r="AE16" s="65" t="n">
        <f aca="false">AE9*'Cost Model'!AE12</f>
        <v>1275.51870844406</v>
      </c>
      <c r="AF16" s="135" t="n">
        <f aca="false">SUM(AB16:AE16)</f>
        <v>-385.347985259433</v>
      </c>
      <c r="AG16" s="65" t="n">
        <f aca="false">AG9*'Cost Model'!AG12</f>
        <v>-210.280736009359</v>
      </c>
      <c r="AH16" s="65" t="n">
        <f aca="false">AH9*'Cost Model'!AH12</f>
        <v>-1403.06045065625</v>
      </c>
      <c r="AI16" s="65" t="n">
        <f aca="false">AI9*'Cost Model'!AI12</f>
        <v>-412.916179652661</v>
      </c>
      <c r="AJ16" s="65" t="n">
        <f aca="false">AJ9*'Cost Model'!AJ12</f>
        <v>1556.13282430176</v>
      </c>
      <c r="AK16" s="135" t="n">
        <f aca="false">SUM(AG16:AJ16)</f>
        <v>-470.124542016508</v>
      </c>
      <c r="AL16" s="65" t="n">
        <f aca="false">AL9*'Cost Model'!AL12</f>
        <v>-252.33688321123</v>
      </c>
      <c r="AM16" s="65" t="n">
        <f aca="false">AM9*'Cost Model'!AM12</f>
        <v>-1683.67254078749</v>
      </c>
      <c r="AN16" s="65" t="n">
        <f aca="false">AN9*'Cost Model'!AN12</f>
        <v>-495.499415583194</v>
      </c>
      <c r="AO16" s="65" t="n">
        <f aca="false">AO9*'Cost Model'!AO12</f>
        <v>1867.35938916211</v>
      </c>
      <c r="AP16" s="135" t="n">
        <f aca="false">SUM(AL16:AO16)</f>
        <v>-564.14945041981</v>
      </c>
    </row>
    <row r="17" customFormat="false" ht="15" hidden="false" customHeight="false" outlineLevel="0" collapsed="false">
      <c r="A17" s="136" t="s">
        <v>166</v>
      </c>
      <c r="B17" s="133" t="n">
        <v>9146.3</v>
      </c>
      <c r="C17" s="134" t="n">
        <v>2921.2</v>
      </c>
      <c r="D17" s="134" t="n">
        <v>2541.7</v>
      </c>
      <c r="E17" s="134" t="n">
        <v>3284.6</v>
      </c>
      <c r="F17" s="134" t="n">
        <v>3037</v>
      </c>
      <c r="G17" s="133" t="n">
        <v>11755.7</v>
      </c>
      <c r="H17" s="134" t="n">
        <v>3036.9</v>
      </c>
      <c r="I17" s="134" t="n">
        <v>3309.3</v>
      </c>
      <c r="J17" s="134" t="n">
        <v>2974.7</v>
      </c>
      <c r="K17" s="73" t="n">
        <f aca="false">L17-SUM(H17:J17)</f>
        <v>3290.8</v>
      </c>
      <c r="L17" s="133" t="n">
        <v>12611.7</v>
      </c>
      <c r="M17" s="134" t="n">
        <v>3572.4</v>
      </c>
      <c r="N17" s="134" t="n">
        <v>3995</v>
      </c>
      <c r="O17" s="134" t="n">
        <v>4281.4</v>
      </c>
      <c r="P17" s="65" t="n">
        <f aca="false">Q17-SUM(M17:O17)</f>
        <v>3650.2</v>
      </c>
      <c r="Q17" s="133" t="n">
        <v>15499</v>
      </c>
      <c r="R17" s="134" t="n">
        <v>4013.1</v>
      </c>
      <c r="S17" s="73" t="n">
        <f aca="false">S9*'Cost Model'!S13</f>
        <v>5720.1928520815</v>
      </c>
      <c r="T17" s="73" t="n">
        <f aca="false">T9*'Cost Model'!T13</f>
        <v>5864.51924427707</v>
      </c>
      <c r="U17" s="73" t="n">
        <f aca="false">U9*'Cost Model'!U13</f>
        <v>4355.09977948736</v>
      </c>
      <c r="V17" s="135" t="n">
        <f aca="false">SUM(R17:U17)</f>
        <v>19952.9118758459</v>
      </c>
      <c r="W17" s="65" t="n">
        <f aca="false">W9*'Cost Model'!W13</f>
        <v>5479.61664704253</v>
      </c>
      <c r="X17" s="65" t="n">
        <f aca="false">X9*'Cost Model'!X13</f>
        <v>6380.57510002437</v>
      </c>
      <c r="Y17" s="65" t="n">
        <f aca="false">Y9*'Cost Model'!Y13</f>
        <v>6837.92175141505</v>
      </c>
      <c r="Z17" s="65" t="n">
        <f aca="false">Z9*'Cost Model'!Z13</f>
        <v>5829.46245268782</v>
      </c>
      <c r="AA17" s="135" t="n">
        <f aca="false">SUM(W17:Z17)</f>
        <v>24527.5759511698</v>
      </c>
      <c r="AB17" s="65" t="n">
        <f aca="false">AB9*'Cost Model'!AB13</f>
        <v>6794.72464233274</v>
      </c>
      <c r="AC17" s="65" t="n">
        <f aca="false">AC9*'Cost Model'!AC13</f>
        <v>7911.91312403022</v>
      </c>
      <c r="AD17" s="65" t="n">
        <f aca="false">AD9*'Cost Model'!AD13</f>
        <v>8479.02297175467</v>
      </c>
      <c r="AE17" s="65" t="n">
        <f aca="false">AE9*'Cost Model'!AE13</f>
        <v>7228.5334413329</v>
      </c>
      <c r="AF17" s="135" t="n">
        <f aca="false">SUM(AB17:AE17)</f>
        <v>30414.1941794505</v>
      </c>
      <c r="AG17" s="65" t="n">
        <f aca="false">AG9*'Cost Model'!AG13</f>
        <v>8289.56406364594</v>
      </c>
      <c r="AH17" s="65" t="n">
        <f aca="false">AH9*'Cost Model'!AH13</f>
        <v>9652.53401131686</v>
      </c>
      <c r="AI17" s="65" t="n">
        <f aca="false">AI9*'Cost Model'!AI13</f>
        <v>10344.4080255407</v>
      </c>
      <c r="AJ17" s="65" t="n">
        <f aca="false">AJ9*'Cost Model'!AJ13</f>
        <v>8818.81079842614</v>
      </c>
      <c r="AK17" s="135" t="n">
        <f aca="false">SUM(AG17:AJ17)</f>
        <v>37105.3168989296</v>
      </c>
      <c r="AL17" s="65" t="n">
        <f aca="false">AL9*'Cost Model'!AL13</f>
        <v>9947.47687637513</v>
      </c>
      <c r="AM17" s="65" t="n">
        <f aca="false">AM9*'Cost Model'!AM13</f>
        <v>11583.0408135802</v>
      </c>
      <c r="AN17" s="65" t="n">
        <f aca="false">AN9*'Cost Model'!AN13</f>
        <v>12413.2896306488</v>
      </c>
      <c r="AO17" s="65" t="n">
        <f aca="false">AO9*'Cost Model'!AO13</f>
        <v>10582.5729581114</v>
      </c>
      <c r="AP17" s="135" t="n">
        <f aca="false">SUM(AL17:AO17)</f>
        <v>44526.3802787156</v>
      </c>
    </row>
    <row r="18" customFormat="false" ht="15" hidden="false" customHeight="false" outlineLevel="0" collapsed="false">
      <c r="A18" s="136" t="s">
        <v>167</v>
      </c>
      <c r="B18" s="133" t="n">
        <v>908.5</v>
      </c>
      <c r="C18" s="134" t="n">
        <v>0</v>
      </c>
      <c r="D18" s="134" t="n">
        <v>0</v>
      </c>
      <c r="E18" s="134" t="n">
        <v>0</v>
      </c>
      <c r="F18" s="134" t="n">
        <v>330</v>
      </c>
      <c r="G18" s="133" t="n">
        <v>1351.1</v>
      </c>
      <c r="H18" s="134" t="n">
        <v>330.2</v>
      </c>
      <c r="I18" s="134" t="n">
        <v>452.6</v>
      </c>
      <c r="J18" s="134" t="n">
        <v>488</v>
      </c>
      <c r="K18" s="73" t="n">
        <f aca="false">L18-SUM(H18:J18)</f>
        <v>343.9</v>
      </c>
      <c r="L18" s="133" t="n">
        <v>1614.7</v>
      </c>
      <c r="M18" s="134" t="n">
        <v>216.4</v>
      </c>
      <c r="N18" s="134" t="n">
        <v>200.4</v>
      </c>
      <c r="O18" s="134" t="n">
        <v>157.4</v>
      </c>
      <c r="P18" s="65" t="n">
        <f aca="false">Q18-SUM(M18:O18)</f>
        <v>417.4</v>
      </c>
      <c r="Q18" s="133" t="n">
        <v>991.6</v>
      </c>
      <c r="R18" s="134" t="n">
        <v>302.5</v>
      </c>
      <c r="S18" s="73" t="n">
        <f aca="false">S9*'Cost Model'!S14</f>
        <v>286.940337310922</v>
      </c>
      <c r="T18" s="73" t="n">
        <f aca="false">T9*'Cost Model'!T14</f>
        <v>215.601282068765</v>
      </c>
      <c r="U18" s="73" t="n">
        <f aca="false">U9*'Cost Model'!U14</f>
        <v>498.0052183327</v>
      </c>
      <c r="V18" s="135" t="n">
        <f aca="false">SUM(R18:U18)</f>
        <v>1303.04683771239</v>
      </c>
      <c r="W18" s="65" t="n">
        <f aca="false">W9*'Cost Model'!W14</f>
        <v>413.043292150798</v>
      </c>
      <c r="X18" s="65" t="n">
        <f aca="false">X9*'Cost Model'!X14</f>
        <v>320.066896131385</v>
      </c>
      <c r="Y18" s="65" t="n">
        <f aca="false">Y9*'Cost Model'!Y14</f>
        <v>251.387135907117</v>
      </c>
      <c r="Z18" s="65" t="n">
        <f aca="false">Z9*'Cost Model'!Z14</f>
        <v>666.59844056542</v>
      </c>
      <c r="AA18" s="135" t="n">
        <f aca="false">SUM(W18:Z18)</f>
        <v>1651.09576475472</v>
      </c>
      <c r="AB18" s="65" t="n">
        <f aca="false">AB9*'Cost Model'!AB14</f>
        <v>512.173682266989</v>
      </c>
      <c r="AC18" s="65" t="n">
        <f aca="false">AC9*'Cost Model'!AC14</f>
        <v>396.882951202917</v>
      </c>
      <c r="AD18" s="65" t="n">
        <f aca="false">AD9*'Cost Model'!AD14</f>
        <v>311.720048524825</v>
      </c>
      <c r="AE18" s="65" t="n">
        <f aca="false">AE9*'Cost Model'!AE14</f>
        <v>826.582066301121</v>
      </c>
      <c r="AF18" s="135" t="n">
        <f aca="false">SUM(AB18:AE18)</f>
        <v>2047.35874829585</v>
      </c>
      <c r="AG18" s="65" t="n">
        <f aca="false">AG9*'Cost Model'!AG14</f>
        <v>624.851892365726</v>
      </c>
      <c r="AH18" s="65" t="n">
        <f aca="false">AH9*'Cost Model'!AH14</f>
        <v>484.197200467559</v>
      </c>
      <c r="AI18" s="65" t="n">
        <f aca="false">AI9*'Cost Model'!AI14</f>
        <v>380.298459200286</v>
      </c>
      <c r="AJ18" s="65" t="n">
        <f aca="false">AJ9*'Cost Model'!AJ14</f>
        <v>1008.43012088737</v>
      </c>
      <c r="AK18" s="135" t="n">
        <f aca="false">SUM(AG18:AJ18)</f>
        <v>2497.77767292094</v>
      </c>
      <c r="AL18" s="65" t="n">
        <f aca="false">AL9*'Cost Model'!AL14</f>
        <v>749.822270838872</v>
      </c>
      <c r="AM18" s="65" t="n">
        <f aca="false">AM9*'Cost Model'!AM14</f>
        <v>581.036640561071</v>
      </c>
      <c r="AN18" s="65" t="n">
        <f aca="false">AN9*'Cost Model'!AN14</f>
        <v>456.358151040343</v>
      </c>
      <c r="AO18" s="65" t="n">
        <f aca="false">AO9*'Cost Model'!AO14</f>
        <v>1210.11614506484</v>
      </c>
      <c r="AP18" s="135" t="n">
        <f aca="false">SUM(AL18:AO18)</f>
        <v>2997.33320750513</v>
      </c>
    </row>
    <row r="19" customFormat="false" ht="15" hidden="false" customHeight="false" outlineLevel="0" collapsed="false">
      <c r="A19" s="136" t="s">
        <v>168</v>
      </c>
      <c r="B19" s="133" t="n">
        <v>1024.2</v>
      </c>
      <c r="C19" s="134" t="n">
        <v>258</v>
      </c>
      <c r="D19" s="134" t="n">
        <v>288.1</v>
      </c>
      <c r="E19" s="134" t="n">
        <v>262.7</v>
      </c>
      <c r="F19" s="134" t="n">
        <v>442</v>
      </c>
      <c r="G19" s="133" t="n">
        <v>1504.2</v>
      </c>
      <c r="H19" s="134" t="n">
        <v>442.3</v>
      </c>
      <c r="I19" s="134" t="n">
        <v>492.9</v>
      </c>
      <c r="J19" s="134" t="n">
        <v>497.9</v>
      </c>
      <c r="K19" s="73" t="n">
        <f aca="false">L19-SUM(H19:J19)</f>
        <v>496.9</v>
      </c>
      <c r="L19" s="133" t="n">
        <v>1930</v>
      </c>
      <c r="M19" s="134" t="n">
        <v>573.7</v>
      </c>
      <c r="N19" s="134" t="n">
        <v>589.6</v>
      </c>
      <c r="O19" s="134" t="n">
        <v>653.6</v>
      </c>
      <c r="P19" s="65" t="n">
        <f aca="false">Q19-SUM(M19:O19)</f>
        <v>617.8</v>
      </c>
      <c r="Q19" s="133" t="n">
        <v>2434.7</v>
      </c>
      <c r="R19" s="134" t="n">
        <v>690.6</v>
      </c>
      <c r="S19" s="73" t="n">
        <f aca="false">S9*'Cost Model'!S15</f>
        <v>844.211691010577</v>
      </c>
      <c r="T19" s="73" t="n">
        <f aca="false">T9*'Cost Model'!T15</f>
        <v>895.279529607019</v>
      </c>
      <c r="U19" s="73" t="n">
        <f aca="false">U9*'Cost Model'!U15</f>
        <v>737.104992539392</v>
      </c>
      <c r="V19" s="135" t="n">
        <f aca="false">SUM(R19:U19)</f>
        <v>3167.19621315699</v>
      </c>
      <c r="W19" s="65" t="n">
        <f aca="false">W9*'Cost Model'!W15</f>
        <v>942.96759523749</v>
      </c>
      <c r="X19" s="65" t="n">
        <f aca="false">X9*'Cost Model'!X15</f>
        <v>941.673862071181</v>
      </c>
      <c r="Y19" s="65" t="n">
        <f aca="false">Y9*'Cost Model'!Y15</f>
        <v>1043.87949192434</v>
      </c>
      <c r="Z19" s="65" t="n">
        <f aca="false">Z9*'Cost Model'!Z15</f>
        <v>986.642349260461</v>
      </c>
      <c r="AA19" s="135" t="n">
        <f aca="false">SUM(W19:Z19)</f>
        <v>3915.16329849347</v>
      </c>
      <c r="AB19" s="65" t="n">
        <f aca="false">AB9*'Cost Model'!AB15</f>
        <v>1169.27981809449</v>
      </c>
      <c r="AC19" s="65" t="n">
        <f aca="false">AC9*'Cost Model'!AC15</f>
        <v>1167.67558896826</v>
      </c>
      <c r="AD19" s="65" t="n">
        <f aca="false">AD9*'Cost Model'!AD15</f>
        <v>1294.41056998618</v>
      </c>
      <c r="AE19" s="65" t="n">
        <f aca="false">AE9*'Cost Model'!AE15</f>
        <v>1223.43651308297</v>
      </c>
      <c r="AF19" s="135" t="n">
        <f aca="false">SUM(AB19:AE19)</f>
        <v>4854.80249013191</v>
      </c>
      <c r="AG19" s="65" t="n">
        <f aca="false">AG9*'Cost Model'!AG15</f>
        <v>1426.52137807528</v>
      </c>
      <c r="AH19" s="65" t="n">
        <f aca="false">AH9*'Cost Model'!AH15</f>
        <v>1424.56421854128</v>
      </c>
      <c r="AI19" s="65" t="n">
        <f aca="false">AI9*'Cost Model'!AI15</f>
        <v>1579.18089538314</v>
      </c>
      <c r="AJ19" s="65" t="n">
        <f aca="false">AJ9*'Cost Model'!AJ15</f>
        <v>1492.59254596123</v>
      </c>
      <c r="AK19" s="135" t="n">
        <f aca="false">SUM(AG19:AJ19)</f>
        <v>5922.85903796093</v>
      </c>
      <c r="AL19" s="65" t="n">
        <f aca="false">AL9*'Cost Model'!AL15</f>
        <v>1711.82565369033</v>
      </c>
      <c r="AM19" s="65" t="n">
        <f aca="false">AM9*'Cost Model'!AM15</f>
        <v>1709.47706224954</v>
      </c>
      <c r="AN19" s="65" t="n">
        <f aca="false">AN9*'Cost Model'!AN15</f>
        <v>1895.01707445977</v>
      </c>
      <c r="AO19" s="65" t="n">
        <f aca="false">AO9*'Cost Model'!AO15</f>
        <v>1791.11105515347</v>
      </c>
      <c r="AP19" s="135" t="n">
        <f aca="false">SUM(AL19:AO19)</f>
        <v>7107.43084555311</v>
      </c>
    </row>
    <row r="20" customFormat="false" ht="15" hidden="false" customHeight="false" outlineLevel="0" collapsed="false">
      <c r="A20" s="136" t="s">
        <v>169</v>
      </c>
      <c r="B20" s="133" t="n">
        <v>721.3</v>
      </c>
      <c r="C20" s="134" t="n">
        <v>142.8</v>
      </c>
      <c r="D20" s="134" t="n">
        <v>149.9</v>
      </c>
      <c r="E20" s="134" t="n">
        <v>162.9</v>
      </c>
      <c r="F20" s="134" t="n">
        <v>234</v>
      </c>
      <c r="G20" s="133" t="n">
        <v>997.2</v>
      </c>
      <c r="H20" s="134" t="n">
        <v>233.5</v>
      </c>
      <c r="I20" s="134" t="n">
        <v>249.5</v>
      </c>
      <c r="J20" s="134" t="n">
        <v>256</v>
      </c>
      <c r="K20" s="73" t="n">
        <f aca="false">L20-SUM(H20:J20)</f>
        <v>264.8</v>
      </c>
      <c r="L20" s="133" t="n">
        <v>1003.8</v>
      </c>
      <c r="M20" s="134" t="n">
        <v>270.4</v>
      </c>
      <c r="N20" s="134" t="n">
        <v>288.3</v>
      </c>
      <c r="O20" s="134" t="n">
        <v>310.8</v>
      </c>
      <c r="P20" s="65" t="n">
        <f aca="false">Q20-SUM(M20:O20)</f>
        <v>351.7</v>
      </c>
      <c r="Q20" s="133" t="n">
        <v>1221.2</v>
      </c>
      <c r="R20" s="134" t="n">
        <v>332.6</v>
      </c>
      <c r="S20" s="73" t="n">
        <f aca="false">($V$20-$R$20)/3</f>
        <v>292.402512201303</v>
      </c>
      <c r="T20" s="73" t="n">
        <f aca="false">($V$20-$R$20)/3</f>
        <v>292.402512201303</v>
      </c>
      <c r="U20" s="73" t="n">
        <f aca="false">($V$20-$R$20)/3</f>
        <v>292.402512201303</v>
      </c>
      <c r="V20" s="135" t="n">
        <f aca="false">'Fixed Asset'!H13</f>
        <v>1209.80753660391</v>
      </c>
      <c r="W20" s="65" t="n">
        <f aca="false">$AA$20/4</f>
        <v>339.181043273079</v>
      </c>
      <c r="X20" s="65" t="n">
        <f aca="false">$AA$20/4</f>
        <v>339.181043273079</v>
      </c>
      <c r="Y20" s="65" t="n">
        <f aca="false">$AA$20/4</f>
        <v>339.181043273079</v>
      </c>
      <c r="Z20" s="65" t="n">
        <f aca="false">$AA$20/4</f>
        <v>339.181043273079</v>
      </c>
      <c r="AA20" s="135" t="n">
        <f aca="false">'Fixed Asset'!I13</f>
        <v>1356.72417309232</v>
      </c>
      <c r="AB20" s="65" t="n">
        <f aca="false">$AF$20/4</f>
        <v>381.608963032208</v>
      </c>
      <c r="AC20" s="65" t="n">
        <f aca="false">$AF$20/4</f>
        <v>381.608963032208</v>
      </c>
      <c r="AD20" s="65" t="n">
        <f aca="false">$AF$20/4</f>
        <v>381.608963032208</v>
      </c>
      <c r="AE20" s="65" t="n">
        <f aca="false">$AF$20/4</f>
        <v>381.608963032208</v>
      </c>
      <c r="AF20" s="135" t="n">
        <f aca="false">'Fixed Asset'!J13</f>
        <v>1526.43585212883</v>
      </c>
      <c r="AG20" s="65" t="n">
        <f aca="false">$AK$20/4</f>
        <v>430.636470638241</v>
      </c>
      <c r="AH20" s="65" t="n">
        <f aca="false">$AK$20/4</f>
        <v>430.636470638241</v>
      </c>
      <c r="AI20" s="65" t="n">
        <f aca="false">$AK$20/4</f>
        <v>430.636470638241</v>
      </c>
      <c r="AJ20" s="65" t="n">
        <f aca="false">$AK$20/4</f>
        <v>430.636470638241</v>
      </c>
      <c r="AK20" s="135" t="n">
        <f aca="false">'Fixed Asset'!K13</f>
        <v>1722.54588255296</v>
      </c>
      <c r="AL20" s="65" t="n">
        <f aca="false">$AP$20/4</f>
        <v>492.317353473248</v>
      </c>
      <c r="AM20" s="65" t="n">
        <f aca="false">$AP$20/4</f>
        <v>492.317353473248</v>
      </c>
      <c r="AN20" s="65" t="n">
        <f aca="false">$AP$20/4</f>
        <v>492.317353473248</v>
      </c>
      <c r="AO20" s="65" t="n">
        <f aca="false">$AP$20/4</f>
        <v>492.317353473248</v>
      </c>
      <c r="AP20" s="135" t="n">
        <f aca="false">'Fixed Asset'!L13</f>
        <v>1969.26941389299</v>
      </c>
    </row>
    <row r="21" customFormat="false" ht="15" hidden="false" customHeight="false" outlineLevel="0" collapsed="false">
      <c r="A21" s="136" t="s">
        <v>170</v>
      </c>
      <c r="B21" s="133" t="n">
        <v>3600.5</v>
      </c>
      <c r="C21" s="134" t="n">
        <v>992.7</v>
      </c>
      <c r="D21" s="134" t="n">
        <v>1194.9</v>
      </c>
      <c r="E21" s="134" t="n">
        <v>1174.9</v>
      </c>
      <c r="F21" s="134" t="n">
        <v>1259</v>
      </c>
      <c r="G21" s="133" t="n">
        <v>4486.8</v>
      </c>
      <c r="H21" s="134" t="n">
        <v>1258.7</v>
      </c>
      <c r="I21" s="134" t="n">
        <v>1422.6</v>
      </c>
      <c r="J21" s="134" t="n">
        <v>1380.6</v>
      </c>
      <c r="K21" s="73" t="n">
        <f aca="false">L21-SUM(H21:J21)</f>
        <v>1441.7</v>
      </c>
      <c r="L21" s="133" t="n">
        <v>5503.6</v>
      </c>
      <c r="M21" s="134" t="n">
        <v>1424.7</v>
      </c>
      <c r="N21" s="134" t="n">
        <v>1641.1</v>
      </c>
      <c r="O21" s="134" t="n">
        <v>1728.9</v>
      </c>
      <c r="P21" s="65" t="n">
        <f aca="false">Q21-SUM(M21:O21)</f>
        <v>1998.1</v>
      </c>
      <c r="Q21" s="133" t="n">
        <v>6792.8</v>
      </c>
      <c r="R21" s="134" t="n">
        <v>1666.1</v>
      </c>
      <c r="S21" s="73" t="n">
        <f aca="false">S9*'Cost Model'!S17</f>
        <v>2349.7893590866</v>
      </c>
      <c r="T21" s="73" t="n">
        <f aca="false">T9*'Cost Model'!T17</f>
        <v>2368.189685951</v>
      </c>
      <c r="U21" s="73" t="n">
        <f aca="false">U9*'Cost Model'!U17</f>
        <v>2383.95837745704</v>
      </c>
      <c r="V21" s="135" t="n">
        <f aca="false">SUM(R21:U21)</f>
        <v>8768.03742249464</v>
      </c>
      <c r="W21" s="65" t="n">
        <f aca="false">W9*'Cost Model'!W17</f>
        <v>2274.94687290064</v>
      </c>
      <c r="X21" s="65" t="n">
        <f aca="false">X9*'Cost Model'!X17</f>
        <v>2621.0667826408</v>
      </c>
      <c r="Y21" s="65" t="n">
        <f aca="false">Y9*'Cost Model'!Y17</f>
        <v>2761.26568786413</v>
      </c>
      <c r="Z21" s="65" t="n">
        <f aca="false">Z9*'Cost Model'!Z17</f>
        <v>3191.01663654472</v>
      </c>
      <c r="AA21" s="135" t="n">
        <f aca="false">SUM(W21:Z21)</f>
        <v>10848.2959799503</v>
      </c>
      <c r="AB21" s="65" t="n">
        <f aca="false">AB9*'Cost Model'!AB17</f>
        <v>2820.93412239679</v>
      </c>
      <c r="AC21" s="65" t="n">
        <f aca="false">AC9*'Cost Model'!AC17</f>
        <v>3250.12281047459</v>
      </c>
      <c r="AD21" s="65" t="n">
        <f aca="false">AD9*'Cost Model'!AD17</f>
        <v>3423.96945295152</v>
      </c>
      <c r="AE21" s="65" t="n">
        <f aca="false">AE9*'Cost Model'!AE17</f>
        <v>3956.86062931545</v>
      </c>
      <c r="AF21" s="135" t="n">
        <f aca="false">SUM(AB21:AE21)</f>
        <v>13451.8870151384</v>
      </c>
      <c r="AG21" s="65" t="n">
        <f aca="false">AG9*'Cost Model'!AG17</f>
        <v>3441.53962932409</v>
      </c>
      <c r="AH21" s="65" t="n">
        <f aca="false">AH9*'Cost Model'!AH17</f>
        <v>3965.149828779</v>
      </c>
      <c r="AI21" s="65" t="n">
        <f aca="false">AI9*'Cost Model'!AI17</f>
        <v>4177.24273260086</v>
      </c>
      <c r="AJ21" s="65" t="n">
        <f aca="false">AJ9*'Cost Model'!AJ17</f>
        <v>4827.36996776485</v>
      </c>
      <c r="AK21" s="135" t="n">
        <f aca="false">SUM(AG21:AJ21)</f>
        <v>16411.3021584688</v>
      </c>
      <c r="AL21" s="65" t="n">
        <f aca="false">AL9*'Cost Model'!AL17</f>
        <v>4129.84755518891</v>
      </c>
      <c r="AM21" s="65" t="n">
        <f aca="false">AM9*'Cost Model'!AM17</f>
        <v>4758.1797945348</v>
      </c>
      <c r="AN21" s="65" t="n">
        <f aca="false">AN9*'Cost Model'!AN17</f>
        <v>5012.69127912103</v>
      </c>
      <c r="AO21" s="65" t="n">
        <f aca="false">AO9*'Cost Model'!AO17</f>
        <v>5792.84396131782</v>
      </c>
      <c r="AP21" s="135" t="n">
        <f aca="false">SUM(AL21:AO21)</f>
        <v>19693.5625901626</v>
      </c>
    </row>
    <row r="22" s="74" customFormat="true" ht="15" hidden="false" customHeight="false" outlineLevel="0" collapsed="false">
      <c r="A22" s="96" t="s">
        <v>124</v>
      </c>
      <c r="B22" s="141" t="n">
        <f aca="false">SUM(B16:B21)</f>
        <v>14882.5</v>
      </c>
      <c r="C22" s="142" t="n">
        <f aca="false">SUM(C16:C21)</f>
        <v>3869.6</v>
      </c>
      <c r="D22" s="142" t="n">
        <f aca="false">SUM(D16:D21)</f>
        <v>4259</v>
      </c>
      <c r="E22" s="142" t="n">
        <f aca="false">SUM(E16:E21)</f>
        <v>4662.2</v>
      </c>
      <c r="F22" s="142" t="n">
        <f aca="false">SUM(F16:F21)</f>
        <v>4862</v>
      </c>
      <c r="G22" s="141" t="n">
        <f aca="false">SUM(G16:G21)</f>
        <v>19204.5</v>
      </c>
      <c r="H22" s="142" t="n">
        <f aca="false">SUM(H16:H21)</f>
        <v>4862</v>
      </c>
      <c r="I22" s="142" t="n">
        <f aca="false">SUM(I16:I21)</f>
        <v>5599.5</v>
      </c>
      <c r="J22" s="142" t="n">
        <f aca="false">SUM(J16:J21)</f>
        <v>5163.7</v>
      </c>
      <c r="K22" s="142" t="n">
        <f aca="false">L22-SUM(H22:J22)</f>
        <v>6326.2</v>
      </c>
      <c r="L22" s="141" t="n">
        <f aca="false">SUM(L16:L21)</f>
        <v>21951.4</v>
      </c>
      <c r="M22" s="142" t="n">
        <f aca="false">SUM(M16:M21)</f>
        <v>5957.9</v>
      </c>
      <c r="N22" s="142" t="n">
        <f aca="false">SUM(N16:N21)</f>
        <v>6133.7</v>
      </c>
      <c r="O22" s="142" t="n">
        <f aca="false">SUM(O16:O21)</f>
        <v>6961.2</v>
      </c>
      <c r="P22" s="94" t="n">
        <f aca="false">Q22-SUM(M22:O22)</f>
        <v>7679.3</v>
      </c>
      <c r="Q22" s="141" t="n">
        <f aca="false">SUM(Q16:Q21)</f>
        <v>26732.1</v>
      </c>
      <c r="R22" s="142" t="n">
        <f aca="false">SUM(R16:R21)</f>
        <v>6903.1</v>
      </c>
      <c r="S22" s="142" t="n">
        <f aca="false">SUM(S16:S21)</f>
        <v>8662.06841897407</v>
      </c>
      <c r="T22" s="142" t="n">
        <f aca="false">SUM(T16:T21)</f>
        <v>9401.89912128717</v>
      </c>
      <c r="U22" s="142" t="n">
        <f aca="false">SUM(U16:U21)</f>
        <v>9035.0547351402</v>
      </c>
      <c r="V22" s="144" t="n">
        <f aca="false">SUM(V16:V21)</f>
        <v>34002.1222754014</v>
      </c>
      <c r="W22" s="142" t="n">
        <f aca="false">SUM(W16:W21)</f>
        <v>9310.75443526255</v>
      </c>
      <c r="X22" s="142" t="n">
        <f aca="false">SUM(X16:X21)</f>
        <v>9675.10436985191</v>
      </c>
      <c r="Y22" s="142" t="n">
        <f aca="false">SUM(Y16:Y21)</f>
        <v>10960.6868160602</v>
      </c>
      <c r="Z22" s="142" t="n">
        <f aca="false">SUM(Z16:Z21)</f>
        <v>12041.5450420445</v>
      </c>
      <c r="AA22" s="144" t="n">
        <f aca="false">SUM(AA16:AA21)</f>
        <v>41988.0906632191</v>
      </c>
      <c r="AB22" s="142" t="n">
        <f aca="false">SUM(AB16:AB21)</f>
        <v>11506.3599690992</v>
      </c>
      <c r="AC22" s="142" t="n">
        <f aca="false">SUM(AC16:AC21)</f>
        <v>11958.15388799</v>
      </c>
      <c r="AD22" s="142" t="n">
        <f aca="false">SUM(AD16:AD21)</f>
        <v>13552.2761212882</v>
      </c>
      <c r="AE22" s="142" t="n">
        <f aca="false">SUM(AE16:AE21)</f>
        <v>14892.5403215087</v>
      </c>
      <c r="AF22" s="144" t="n">
        <f aca="false">SUM(AF16:AF21)</f>
        <v>51909.330299886</v>
      </c>
      <c r="AG22" s="142" t="n">
        <f aca="false">SUM(AG16:AG21)</f>
        <v>14002.8326980399</v>
      </c>
      <c r="AH22" s="142" t="n">
        <f aca="false">SUM(AH16:AH21)</f>
        <v>14554.0212790867</v>
      </c>
      <c r="AI22" s="142" t="n">
        <f aca="false">SUM(AI16:AI21)</f>
        <v>16498.8504037106</v>
      </c>
      <c r="AJ22" s="142" t="n">
        <f aca="false">SUM(AJ16:AJ21)</f>
        <v>18133.9727279796</v>
      </c>
      <c r="AK22" s="144" t="n">
        <f aca="false">SUM(AK16:AK21)</f>
        <v>63189.6771088167</v>
      </c>
      <c r="AL22" s="142" t="n">
        <f aca="false">SUM(AL16:AL21)</f>
        <v>16778.9528263553</v>
      </c>
      <c r="AM22" s="142" t="n">
        <f aca="false">SUM(AM16:AM21)</f>
        <v>17440.3791236114</v>
      </c>
      <c r="AN22" s="142" t="n">
        <f aca="false">SUM(AN16:AN21)</f>
        <v>19774.17407316</v>
      </c>
      <c r="AO22" s="142" t="n">
        <f aca="false">SUM(AO16:AO21)</f>
        <v>21736.3208622829</v>
      </c>
      <c r="AP22" s="144" t="n">
        <f aca="false">SUM(AP16:AP21)</f>
        <v>75729.8268854095</v>
      </c>
    </row>
    <row r="23" customFormat="false" ht="30" hidden="false" customHeight="false" outlineLevel="0" collapsed="false">
      <c r="A23" s="147" t="s">
        <v>171</v>
      </c>
      <c r="B23" s="141" t="n">
        <f aca="false">B13-B22</f>
        <v>1053.6</v>
      </c>
      <c r="C23" s="73" t="n">
        <f aca="false">C13-C22</f>
        <v>516.000000000001</v>
      </c>
      <c r="D23" s="73" t="n">
        <f aca="false">D13-D22</f>
        <v>541</v>
      </c>
      <c r="E23" s="73" t="n">
        <f aca="false">E13-E22</f>
        <v>621.8</v>
      </c>
      <c r="F23" s="73" t="n">
        <f aca="false">F13-F22</f>
        <v>494</v>
      </c>
      <c r="G23" s="141" t="n">
        <f aca="false">G13-G22</f>
        <v>2024.7</v>
      </c>
      <c r="H23" s="73" t="n">
        <f aca="false">H13-H22</f>
        <v>461.4</v>
      </c>
      <c r="I23" s="73" t="n">
        <f aca="false">I13-I22</f>
        <v>702.5</v>
      </c>
      <c r="J23" s="73" t="n">
        <f aca="false">J13-J22</f>
        <v>531.9</v>
      </c>
      <c r="K23" s="73" t="n">
        <f aca="false">L23-SUM(H23:J23)</f>
        <v>711.799999999999</v>
      </c>
      <c r="L23" s="141" t="n">
        <f aca="false">L13-L22</f>
        <v>2407.6</v>
      </c>
      <c r="M23" s="73" t="n">
        <f aca="false">M13-M22</f>
        <v>874.499999999999</v>
      </c>
      <c r="N23" s="73" t="n">
        <f aca="false">N13-N22</f>
        <v>960.83</v>
      </c>
      <c r="O23" s="73" t="n">
        <f aca="false">O13-O22</f>
        <v>1267</v>
      </c>
      <c r="P23" s="65" t="n">
        <f aca="false">Q23-SUM(M23:O23)</f>
        <v>1408</v>
      </c>
      <c r="Q23" s="141" t="n">
        <f aca="false">Q13-Q22</f>
        <v>4510.33</v>
      </c>
      <c r="R23" s="73" t="n">
        <f aca="false">R13-R22</f>
        <v>1624.4</v>
      </c>
      <c r="S23" s="73" t="n">
        <f aca="false">S13-S22</f>
        <v>1459.61580620532</v>
      </c>
      <c r="T23" s="73" t="n">
        <f aca="false">T13-T22</f>
        <v>1544.49303001968</v>
      </c>
      <c r="U23" s="73" t="n">
        <f aca="false">U13-U22</f>
        <v>1693.79930998946</v>
      </c>
      <c r="V23" s="144" t="n">
        <f aca="false">V13-V22</f>
        <v>6322.30814621446</v>
      </c>
      <c r="W23" s="73" t="n">
        <f aca="false">W13-W22</f>
        <v>2175.46875448599</v>
      </c>
      <c r="X23" s="73" t="n">
        <f aca="false">X13-X22</f>
        <v>1605.33663413152</v>
      </c>
      <c r="Y23" s="73" t="n">
        <f aca="false">Y13-Y22</f>
        <v>1657.02293468192</v>
      </c>
      <c r="Z23" s="73" t="n">
        <f aca="false">Z13-Z22</f>
        <v>2120.7701568687</v>
      </c>
      <c r="AA23" s="144" t="n">
        <f aca="false">AA13-AA22</f>
        <v>7558.59848016813</v>
      </c>
      <c r="AB23" s="73" t="n">
        <f aca="false">AB13-AB22</f>
        <v>2633.11678618903</v>
      </c>
      <c r="AC23" s="73" t="n">
        <f aca="false">AC13-AC22</f>
        <v>2009.28895694949</v>
      </c>
      <c r="AD23" s="73" t="n">
        <f aca="false">AD13-AD22</f>
        <v>1883.17996963199</v>
      </c>
      <c r="AE23" s="73" t="n">
        <f aca="false">AE13-AE22</f>
        <v>2527.8985251436</v>
      </c>
      <c r="AF23" s="144" t="n">
        <f aca="false">AF13-AF22</f>
        <v>9053.48423791412</v>
      </c>
      <c r="AG23" s="73" t="n">
        <f aca="false">AG13-AG22</f>
        <v>3152.50894341167</v>
      </c>
      <c r="AH23" s="73" t="n">
        <f aca="false">AH13-AH22</f>
        <v>2467.64699173944</v>
      </c>
      <c r="AI23" s="73" t="n">
        <f aca="false">AI13-AI22</f>
        <v>2139.44402721208</v>
      </c>
      <c r="AJ23" s="73" t="n">
        <f aca="false">AJ13-AJ22</f>
        <v>2989.86666493625</v>
      </c>
      <c r="AK23" s="144" t="n">
        <f aca="false">AK13-AK22</f>
        <v>10749.4666272994</v>
      </c>
      <c r="AL23" s="73" t="n">
        <f aca="false">AL13-AL22</f>
        <v>3721.25714338665</v>
      </c>
      <c r="AM23" s="73" t="n">
        <f aca="false">AM13-AM22</f>
        <v>2968.70280137996</v>
      </c>
      <c r="AN23" s="73" t="n">
        <f aca="false">AN13-AN22</f>
        <v>2416.35924394714</v>
      </c>
      <c r="AO23" s="73" t="n">
        <f aca="false">AO13-AO22</f>
        <v>3494.92640921614</v>
      </c>
      <c r="AP23" s="144" t="n">
        <f aca="false">AP13-AP22</f>
        <v>12601.2455979299</v>
      </c>
    </row>
    <row r="24" customFormat="false" ht="15" hidden="false" customHeight="false" outlineLevel="0" collapsed="false">
      <c r="A24" s="136" t="s">
        <v>172</v>
      </c>
      <c r="B24" s="133" t="n">
        <v>225.7</v>
      </c>
      <c r="C24" s="134" t="n">
        <v>171.1</v>
      </c>
      <c r="D24" s="134" t="n">
        <v>267</v>
      </c>
      <c r="E24" s="134" t="n">
        <v>263.3</v>
      </c>
      <c r="F24" s="134" t="n">
        <v>8</v>
      </c>
      <c r="G24" s="133" t="n">
        <v>493.1</v>
      </c>
      <c r="H24" s="134" t="n">
        <v>335.3</v>
      </c>
      <c r="I24" s="134" t="n">
        <v>26.1</v>
      </c>
      <c r="J24" s="134" t="n">
        <v>175.2</v>
      </c>
      <c r="K24" s="73" t="n">
        <f aca="false">L24-SUM(H24:J24)</f>
        <v>405.8</v>
      </c>
      <c r="L24" s="133" t="n">
        <v>942.4</v>
      </c>
      <c r="M24" s="134" t="n">
        <v>15</v>
      </c>
      <c r="N24" s="134" t="n">
        <v>37.6</v>
      </c>
      <c r="O24" s="134" t="n">
        <v>53.2</v>
      </c>
      <c r="P24" s="65" t="n">
        <f aca="false">Q24-SUM(M24:O24)</f>
        <v>53.3</v>
      </c>
      <c r="Q24" s="133" t="n">
        <v>159.1</v>
      </c>
      <c r="R24" s="134" t="n">
        <v>22.3</v>
      </c>
      <c r="S24" s="148" t="n">
        <f aca="false">N24</f>
        <v>37.6</v>
      </c>
      <c r="T24" s="148" t="n">
        <f aca="false">O24</f>
        <v>53.2</v>
      </c>
      <c r="U24" s="148" t="n">
        <f aca="false">P24</f>
        <v>53.3</v>
      </c>
      <c r="V24" s="135" t="n">
        <f aca="false">SUM(R24:U24)</f>
        <v>166.4</v>
      </c>
      <c r="W24" s="140" t="n">
        <f aca="false">R24</f>
        <v>22.3</v>
      </c>
      <c r="X24" s="140" t="n">
        <f aca="false">S24</f>
        <v>37.6</v>
      </c>
      <c r="Y24" s="140" t="n">
        <f aca="false">T24</f>
        <v>53.2</v>
      </c>
      <c r="Z24" s="140" t="n">
        <f aca="false">U24</f>
        <v>53.3</v>
      </c>
      <c r="AA24" s="135" t="n">
        <f aca="false">SUM(W24:Z24)</f>
        <v>166.4</v>
      </c>
      <c r="AB24" s="140" t="n">
        <f aca="false">W24</f>
        <v>22.3</v>
      </c>
      <c r="AC24" s="140" t="n">
        <f aca="false">X24</f>
        <v>37.6</v>
      </c>
      <c r="AD24" s="140" t="n">
        <f aca="false">Y24</f>
        <v>53.2</v>
      </c>
      <c r="AE24" s="140" t="n">
        <f aca="false">Z24</f>
        <v>53.3</v>
      </c>
      <c r="AF24" s="135" t="n">
        <f aca="false">SUM(AB24:AE24)</f>
        <v>166.4</v>
      </c>
      <c r="AG24" s="140" t="n">
        <f aca="false">W24</f>
        <v>22.3</v>
      </c>
      <c r="AH24" s="140" t="n">
        <f aca="false">X24</f>
        <v>37.6</v>
      </c>
      <c r="AI24" s="140" t="n">
        <f aca="false">Y24</f>
        <v>53.2</v>
      </c>
      <c r="AJ24" s="140" t="n">
        <f aca="false">Z24</f>
        <v>53.3</v>
      </c>
      <c r="AK24" s="135" t="n">
        <f aca="false">SUM(AG24:AJ24)</f>
        <v>166.4</v>
      </c>
      <c r="AL24" s="140" t="n">
        <f aca="false">AG24</f>
        <v>22.3</v>
      </c>
      <c r="AM24" s="140" t="n">
        <f aca="false">AH24</f>
        <v>37.6</v>
      </c>
      <c r="AN24" s="140" t="n">
        <f aca="false">AI24</f>
        <v>53.2</v>
      </c>
      <c r="AO24" s="140" t="n">
        <f aca="false">AJ24</f>
        <v>53.3</v>
      </c>
      <c r="AP24" s="135" t="n">
        <f aca="false">SUM(AL24:AO24)</f>
        <v>166.4</v>
      </c>
    </row>
    <row r="25" customFormat="false" ht="15" hidden="false" customHeight="false" outlineLevel="0" collapsed="false">
      <c r="A25" s="96" t="s">
        <v>127</v>
      </c>
      <c r="B25" s="117" t="n">
        <f aca="false">B23+B24</f>
        <v>1279.3</v>
      </c>
      <c r="C25" s="73" t="n">
        <f aca="false">C23+C24</f>
        <v>687.100000000001</v>
      </c>
      <c r="D25" s="73" t="n">
        <f aca="false">D23+D24</f>
        <v>808</v>
      </c>
      <c r="E25" s="73" t="n">
        <f aca="false">E23+E24</f>
        <v>885.1</v>
      </c>
      <c r="F25" s="73" t="n">
        <f aca="false">F23+F24</f>
        <v>502</v>
      </c>
      <c r="G25" s="117" t="n">
        <f aca="false">G23+G24</f>
        <v>2517.8</v>
      </c>
      <c r="H25" s="65" t="n">
        <f aca="false">H24+H23</f>
        <v>796.7</v>
      </c>
      <c r="I25" s="65" t="n">
        <f aca="false">I24+I23</f>
        <v>728.6</v>
      </c>
      <c r="J25" s="65" t="n">
        <f aca="false">J24+J23</f>
        <v>707.1</v>
      </c>
      <c r="K25" s="73" t="n">
        <f aca="false">L25-SUM(H25:J25)</f>
        <v>1117.6</v>
      </c>
      <c r="L25" s="117" t="n">
        <f aca="false">L24+L23</f>
        <v>3350</v>
      </c>
      <c r="M25" s="73" t="n">
        <f aca="false">M24+M23</f>
        <v>889.499999999999</v>
      </c>
      <c r="N25" s="73" t="n">
        <f aca="false">N23+N24</f>
        <v>998.43</v>
      </c>
      <c r="O25" s="73" t="n">
        <f aca="false">O23+O24</f>
        <v>1320.2</v>
      </c>
      <c r="P25" s="65" t="n">
        <f aca="false">Q25-SUM(M25:O25)</f>
        <v>1461.3</v>
      </c>
      <c r="Q25" s="117" t="n">
        <f aca="false">Q23+Q24</f>
        <v>4669.43</v>
      </c>
      <c r="R25" s="73" t="n">
        <f aca="false">R23+R24</f>
        <v>1646.7</v>
      </c>
      <c r="S25" s="73" t="n">
        <f aca="false">S23+S24</f>
        <v>1497.21580620532</v>
      </c>
      <c r="T25" s="73" t="n">
        <f aca="false">T23+T24</f>
        <v>1597.69303001968</v>
      </c>
      <c r="U25" s="73" t="n">
        <f aca="false">U23+U24</f>
        <v>1747.09930998946</v>
      </c>
      <c r="V25" s="135" t="n">
        <f aca="false">V23+V24</f>
        <v>6488.70814621445</v>
      </c>
      <c r="W25" s="73" t="n">
        <f aca="false">W23+W24</f>
        <v>2197.76875448599</v>
      </c>
      <c r="X25" s="73" t="n">
        <f aca="false">X23+X24</f>
        <v>1642.93663413152</v>
      </c>
      <c r="Y25" s="73" t="n">
        <f aca="false">Y23+Y24</f>
        <v>1710.22293468192</v>
      </c>
      <c r="Z25" s="73" t="n">
        <f aca="false">Z23+Z24</f>
        <v>2174.0701568687</v>
      </c>
      <c r="AA25" s="135" t="n">
        <f aca="false">AA23+AA24</f>
        <v>7724.99848016813</v>
      </c>
      <c r="AB25" s="73" t="n">
        <f aca="false">AB23+AB24</f>
        <v>2655.41678618903</v>
      </c>
      <c r="AC25" s="73" t="n">
        <f aca="false">AC23+AC24</f>
        <v>2046.88895694949</v>
      </c>
      <c r="AD25" s="73" t="n">
        <f aca="false">AD23+AD24</f>
        <v>1936.37996963199</v>
      </c>
      <c r="AE25" s="73" t="n">
        <f aca="false">AE23+AE24</f>
        <v>2581.1985251436</v>
      </c>
      <c r="AF25" s="135" t="n">
        <f aca="false">AF23+AF24</f>
        <v>9219.88423791412</v>
      </c>
      <c r="AG25" s="73" t="n">
        <f aca="false">AG23+AG24</f>
        <v>3174.80894341167</v>
      </c>
      <c r="AH25" s="73" t="n">
        <f aca="false">AH23+AH24</f>
        <v>2505.24699173944</v>
      </c>
      <c r="AI25" s="73" t="n">
        <f aca="false">AI23+AI24</f>
        <v>2192.64402721208</v>
      </c>
      <c r="AJ25" s="73" t="n">
        <f aca="false">AJ23+AJ24</f>
        <v>3043.16666493625</v>
      </c>
      <c r="AK25" s="135" t="n">
        <f aca="false">AK23+AK24</f>
        <v>10915.8666272994</v>
      </c>
      <c r="AL25" s="73" t="n">
        <f aca="false">AL23+AL24</f>
        <v>3743.55714338665</v>
      </c>
      <c r="AM25" s="73" t="n">
        <f aca="false">AM23+AM24</f>
        <v>3006.30280137996</v>
      </c>
      <c r="AN25" s="73" t="n">
        <f aca="false">AN23+AN24</f>
        <v>2469.55924394714</v>
      </c>
      <c r="AO25" s="73" t="n">
        <f aca="false">AO23+AO24</f>
        <v>3548.22640921614</v>
      </c>
      <c r="AP25" s="135" t="n">
        <f aca="false">AP23+AP24</f>
        <v>12767.6455979299</v>
      </c>
    </row>
    <row r="26" customFormat="false" ht="15" hidden="false" customHeight="false" outlineLevel="0" collapsed="false">
      <c r="A26" s="96"/>
      <c r="B26" s="117"/>
      <c r="C26" s="73"/>
      <c r="D26" s="73"/>
      <c r="E26" s="73"/>
      <c r="F26" s="73"/>
      <c r="G26" s="117"/>
      <c r="H26" s="65"/>
      <c r="I26" s="65"/>
      <c r="J26" s="65"/>
      <c r="K26" s="73"/>
      <c r="L26" s="117"/>
      <c r="M26" s="73"/>
      <c r="N26" s="73"/>
      <c r="O26" s="73"/>
      <c r="P26" s="65"/>
      <c r="Q26" s="117"/>
      <c r="R26" s="73"/>
      <c r="S26" s="73"/>
      <c r="V26" s="135"/>
      <c r="AA26" s="135"/>
      <c r="AF26" s="135"/>
      <c r="AK26" s="135"/>
      <c r="AP26" s="135"/>
    </row>
    <row r="27" s="101" customFormat="true" ht="15" hidden="false" customHeight="false" outlineLevel="0" collapsed="false">
      <c r="A27" s="101" t="s">
        <v>128</v>
      </c>
      <c r="B27" s="100" t="n">
        <f aca="false">B25/B9</f>
        <v>0.0754526688292539</v>
      </c>
      <c r="C27" s="101" t="n">
        <f aca="false">C25/C11</f>
        <v>0.15667183509668</v>
      </c>
      <c r="D27" s="101" t="n">
        <f aca="false">D25/D11</f>
        <v>0.168333333333333</v>
      </c>
      <c r="E27" s="101" t="n">
        <f aca="false">E25/E11</f>
        <v>0.167505677517033</v>
      </c>
      <c r="F27" s="101" t="n">
        <f aca="false">F25/F9</f>
        <v>0.0894671181607557</v>
      </c>
      <c r="G27" s="100" t="n">
        <f aca="false">G25/G9</f>
        <v>0.111891281741341</v>
      </c>
      <c r="H27" s="101" t="n">
        <f aca="false">H25/H9</f>
        <v>0.140650377798178</v>
      </c>
      <c r="I27" s="101" t="n">
        <f aca="false">I25/I9</f>
        <v>0.109241933549238</v>
      </c>
      <c r="J27" s="101" t="n">
        <f aca="false">J25/J9</f>
        <v>0.115881938412626</v>
      </c>
      <c r="K27" s="101" t="n">
        <f aca="false">K25/K9</f>
        <v>0.157697192041766</v>
      </c>
      <c r="L27" s="100" t="n">
        <f aca="false">L25/L9</f>
        <v>0.131254677172265</v>
      </c>
      <c r="M27" s="101" t="n">
        <f aca="false">M25/M9</f>
        <v>0.125850677004485</v>
      </c>
      <c r="N27" s="101" t="n">
        <f aca="false">N25/N9</f>
        <v>0.137909839179085</v>
      </c>
      <c r="O27" s="101" t="n">
        <f aca="false">O25/O9</f>
        <v>0.174449641903856</v>
      </c>
      <c r="P27" s="101" t="n">
        <f aca="false">P25/P9</f>
        <v>0.168191706087497</v>
      </c>
      <c r="Q27" s="100" t="n">
        <f aca="false">Q25/Q9</f>
        <v>0.152776837120338</v>
      </c>
      <c r="R27" s="101" t="n">
        <f aca="false">R25/R9</f>
        <v>0.199187139383823</v>
      </c>
      <c r="S27" s="101" t="n">
        <f aca="false">S25/S9</f>
        <v>0.144433570086511</v>
      </c>
      <c r="T27" s="101" t="n">
        <f aca="false">T25/T9</f>
        <v>0.154126417361929</v>
      </c>
      <c r="U27" s="101" t="n">
        <f aca="false">U25/U9</f>
        <v>0.168539357914614</v>
      </c>
      <c r="V27" s="149" t="n">
        <f aca="false">V25/V9</f>
        <v>0.164832516869254</v>
      </c>
      <c r="W27" s="101" t="n">
        <f aca="false">W25/W9</f>
        <v>0.194696708375205</v>
      </c>
      <c r="X27" s="101" t="n">
        <f aca="false">X25/X9</f>
        <v>0.142087346130053</v>
      </c>
      <c r="Y27" s="101" t="n">
        <f aca="false">Y25/Y9</f>
        <v>0.141496193940705</v>
      </c>
      <c r="Z27" s="101" t="n">
        <f aca="false">Z25/Z9</f>
        <v>0.156684810840415</v>
      </c>
      <c r="AA27" s="149" t="n">
        <f aca="false">AA25/AA9</f>
        <v>0.158256430869727</v>
      </c>
      <c r="AB27" s="101" t="n">
        <f aca="false">AB25/AB9</f>
        <v>0.189708864949446</v>
      </c>
      <c r="AC27" s="101" t="n">
        <f aca="false">AC25/AC9</f>
        <v>0.142760212882959</v>
      </c>
      <c r="AD27" s="101" t="n">
        <f aca="false">AD25/AD9</f>
        <v>0.129199528361066</v>
      </c>
      <c r="AE27" s="101" t="n">
        <f aca="false">AE25/AE9</f>
        <v>0.150021348940137</v>
      </c>
      <c r="AF27" s="149" t="n">
        <f aca="false">AF25/AF9</f>
        <v>0.152323442905502</v>
      </c>
      <c r="AG27" s="101" t="n">
        <f aca="false">AG25/AG9</f>
        <v>0.185914256294295</v>
      </c>
      <c r="AH27" s="101" t="n">
        <f aca="false">AH25/AH9</f>
        <v>0.143219984558598</v>
      </c>
      <c r="AI27" s="101" t="n">
        <f aca="false">AI25/AI9</f>
        <v>0.119916417732619</v>
      </c>
      <c r="AJ27" s="101" t="n">
        <f aca="false">AJ25/AJ9</f>
        <v>0.144976484753305</v>
      </c>
      <c r="AK27" s="149" t="n">
        <f aca="false">AK25/AK9</f>
        <v>0.14782220261188</v>
      </c>
      <c r="AL27" s="101" t="n">
        <f aca="false">AL25/AL9</f>
        <v>0.18268307757863</v>
      </c>
      <c r="AM27" s="101" t="n">
        <f aca="false">AM25/AM9</f>
        <v>0.143220289992631</v>
      </c>
      <c r="AN27" s="101" t="n">
        <f aca="false">AN25/AN9</f>
        <v>0.11255083445577</v>
      </c>
      <c r="AO27" s="101" t="n">
        <f aca="false">AO25/AO9</f>
        <v>0.140864612577223</v>
      </c>
      <c r="AP27" s="149" t="n">
        <f aca="false">AP25/AP9</f>
        <v>0.14408242903758</v>
      </c>
    </row>
    <row r="28" s="101" customFormat="true" ht="15" hidden="false" customHeight="false" outlineLevel="0" collapsed="false">
      <c r="A28" s="150"/>
      <c r="B28" s="100"/>
      <c r="G28" s="100"/>
      <c r="L28" s="100"/>
      <c r="Q28" s="100"/>
      <c r="V28" s="149"/>
      <c r="AA28" s="149"/>
      <c r="AF28" s="149"/>
      <c r="AK28" s="149"/>
      <c r="AP28" s="149"/>
    </row>
    <row r="29" customFormat="false" ht="15" hidden="false" customHeight="false" outlineLevel="0" collapsed="false">
      <c r="A29" s="0" t="s">
        <v>131</v>
      </c>
      <c r="B29" s="151" t="n">
        <v>604.1</v>
      </c>
      <c r="C29" s="134" t="n">
        <v>180.9</v>
      </c>
      <c r="D29" s="134" t="n">
        <v>202.4</v>
      </c>
      <c r="E29" s="134" t="n">
        <v>196.7</v>
      </c>
      <c r="F29" s="134" t="n">
        <v>106</v>
      </c>
      <c r="G29" s="151" t="n">
        <v>453.6</v>
      </c>
      <c r="H29" s="152" t="n">
        <v>106.3</v>
      </c>
      <c r="I29" s="134" t="n">
        <v>116.1</v>
      </c>
      <c r="J29" s="134" t="n">
        <v>101</v>
      </c>
      <c r="K29" s="73" t="n">
        <f aca="false">L29-SUM(H29:J29)</f>
        <v>109</v>
      </c>
      <c r="L29" s="151" t="n">
        <v>432.4</v>
      </c>
      <c r="M29" s="134" t="n">
        <v>132.5</v>
      </c>
      <c r="N29" s="134" t="n">
        <v>156.3</v>
      </c>
      <c r="O29" s="134" t="n">
        <v>254.7</v>
      </c>
      <c r="P29" s="65" t="n">
        <f aca="false">Q29-SUM(M29:O29)</f>
        <v>267.4</v>
      </c>
      <c r="Q29" s="151" t="n">
        <v>810.9</v>
      </c>
      <c r="R29" s="134" t="n">
        <v>226.8</v>
      </c>
      <c r="S29" s="73" t="n">
        <f aca="false">($V$29-$R$29)/3</f>
        <v>544.032787172936</v>
      </c>
      <c r="T29" s="73" t="n">
        <f aca="false">($V$29-$R$29)/3</f>
        <v>544.032787172936</v>
      </c>
      <c r="U29" s="73" t="n">
        <f aca="false">($V$29-$R$29)/3</f>
        <v>544.032787172936</v>
      </c>
      <c r="V29" s="153" t="n">
        <f aca="false">'Debt Schedule'!G33+('Debt Schedule'!$D$220/3)</f>
        <v>1858.89836151881</v>
      </c>
      <c r="W29" s="65" t="n">
        <f aca="false">$AA$29/4</f>
        <v>532.888794310349</v>
      </c>
      <c r="X29" s="65" t="n">
        <f aca="false">$AA$29/4</f>
        <v>532.888794310349</v>
      </c>
      <c r="Y29" s="65" t="n">
        <f aca="false">$AA$29/4</f>
        <v>532.888794310349</v>
      </c>
      <c r="Z29" s="65" t="n">
        <f aca="false">$AA$29/4</f>
        <v>532.888794310349</v>
      </c>
      <c r="AA29" s="153" t="n">
        <f aca="false">'Debt Schedule'!H33+('Debt Schedule'!$D$220/3)</f>
        <v>2131.5551772414</v>
      </c>
      <c r="AB29" s="65" t="n">
        <f aca="false">$AF$29/4</f>
        <v>656.913178832481</v>
      </c>
      <c r="AC29" s="65" t="n">
        <f aca="false">$AF$29/4</f>
        <v>656.913178832481</v>
      </c>
      <c r="AD29" s="65" t="n">
        <f aca="false">$AF$29/4</f>
        <v>656.913178832481</v>
      </c>
      <c r="AE29" s="65" t="n">
        <f aca="false">$AF$29/4</f>
        <v>656.913178832481</v>
      </c>
      <c r="AF29" s="153" t="n">
        <f aca="false">'Debt Schedule'!I33+('Debt Schedule'!$D$220/3)</f>
        <v>2627.65271532993</v>
      </c>
      <c r="AG29" s="65" t="n">
        <f aca="false">$AK$29/4</f>
        <v>435.008810775486</v>
      </c>
      <c r="AH29" s="65" t="n">
        <f aca="false">$AK$29/4</f>
        <v>435.008810775486</v>
      </c>
      <c r="AI29" s="65" t="n">
        <f aca="false">$AK$29/4</f>
        <v>435.008810775486</v>
      </c>
      <c r="AJ29" s="65" t="n">
        <f aca="false">$AK$29/4</f>
        <v>435.008810775486</v>
      </c>
      <c r="AK29" s="153" t="n">
        <f aca="false">'Debt Schedule'!J33</f>
        <v>1740.03524310194</v>
      </c>
      <c r="AL29" s="65" t="n">
        <f aca="false">$AP$29/4</f>
        <v>423.963948558768</v>
      </c>
      <c r="AM29" s="65" t="n">
        <f aca="false">$AP$29/4</f>
        <v>423.963948558768</v>
      </c>
      <c r="AN29" s="65" t="n">
        <f aca="false">$AP$29/4</f>
        <v>423.963948558768</v>
      </c>
      <c r="AO29" s="65" t="n">
        <f aca="false">$AP$29/4</f>
        <v>423.963948558768</v>
      </c>
      <c r="AP29" s="153" t="n">
        <f aca="false">'Debt Schedule'!K33</f>
        <v>1695.85579423507</v>
      </c>
    </row>
    <row r="30" customFormat="false" ht="15" hidden="false" customHeight="false" outlineLevel="0" collapsed="false">
      <c r="A30" s="0" t="s">
        <v>173</v>
      </c>
      <c r="B30" s="117" t="n">
        <v>0</v>
      </c>
      <c r="C30" s="73" t="n">
        <v>0</v>
      </c>
      <c r="D30" s="73" t="n">
        <v>0</v>
      </c>
      <c r="E30" s="73"/>
      <c r="F30" s="134" t="n">
        <v>-294</v>
      </c>
      <c r="G30" s="117" t="n">
        <v>0</v>
      </c>
      <c r="H30" s="73" t="n">
        <v>0</v>
      </c>
      <c r="I30" s="134" t="n">
        <v>-225.7</v>
      </c>
      <c r="J30" s="73" t="n">
        <v>0</v>
      </c>
      <c r="K30" s="73" t="n">
        <v>0</v>
      </c>
      <c r="L30" s="117" t="n">
        <v>0</v>
      </c>
      <c r="M30" s="134" t="n">
        <v>537.1</v>
      </c>
      <c r="N30" s="134" t="n">
        <v>1051</v>
      </c>
      <c r="O30" s="134" t="n">
        <v>570.5</v>
      </c>
      <c r="P30" s="65" t="n">
        <f aca="false">Q30-SUM(M30:O30)</f>
        <v>388.1</v>
      </c>
      <c r="Q30" s="117" t="n">
        <v>2546.7</v>
      </c>
      <c r="R30" s="134" t="n">
        <v>-575.4</v>
      </c>
      <c r="S30" s="73" t="n">
        <f aca="false">($V$30-$R$30)/3</f>
        <v>-89.4309333333332</v>
      </c>
      <c r="T30" s="73" t="n">
        <f aca="false">($V$30-$R$30)/3</f>
        <v>-89.4309333333332</v>
      </c>
      <c r="U30" s="73" t="n">
        <f aca="false">($V$30-$R$30)/3</f>
        <v>-89.4309333333332</v>
      </c>
      <c r="V30" s="135" t="n">
        <f aca="false">'Debt Schedule'!G48</f>
        <v>-843.6928</v>
      </c>
      <c r="W30" s="73" t="n">
        <v>0</v>
      </c>
      <c r="X30" s="73" t="n">
        <v>0</v>
      </c>
      <c r="Y30" s="73" t="n">
        <v>0</v>
      </c>
      <c r="Z30" s="73" t="n">
        <v>0</v>
      </c>
      <c r="AA30" s="135" t="n">
        <f aca="false">'Debt Schedule'!H48</f>
        <v>-69.6</v>
      </c>
      <c r="AB30" s="73" t="n">
        <v>0</v>
      </c>
      <c r="AC30" s="73" t="n">
        <v>0</v>
      </c>
      <c r="AD30" s="73" t="n">
        <v>0</v>
      </c>
      <c r="AE30" s="73" t="n">
        <v>0</v>
      </c>
      <c r="AF30" s="135" t="n">
        <v>0</v>
      </c>
      <c r="AG30" s="73" t="n">
        <v>0</v>
      </c>
      <c r="AH30" s="73" t="n">
        <v>0</v>
      </c>
      <c r="AI30" s="73" t="n">
        <v>0</v>
      </c>
      <c r="AJ30" s="73" t="n">
        <v>0</v>
      </c>
      <c r="AK30" s="135" t="n">
        <v>0</v>
      </c>
      <c r="AL30" s="73" t="n">
        <v>0</v>
      </c>
      <c r="AM30" s="73" t="n">
        <v>0</v>
      </c>
      <c r="AN30" s="73" t="n">
        <v>0</v>
      </c>
      <c r="AO30" s="73" t="n">
        <v>0</v>
      </c>
      <c r="AP30" s="135" t="n">
        <v>0</v>
      </c>
    </row>
    <row r="31" customFormat="false" ht="15" hidden="false" customHeight="false" outlineLevel="0" collapsed="false">
      <c r="A31" s="0" t="s">
        <v>174</v>
      </c>
      <c r="B31" s="133" t="n">
        <v>309.8</v>
      </c>
      <c r="C31" s="73" t="n">
        <v>0</v>
      </c>
      <c r="D31" s="73" t="n">
        <v>0</v>
      </c>
      <c r="E31" s="73" t="n">
        <v>0</v>
      </c>
      <c r="F31" s="73" t="n">
        <v>0</v>
      </c>
      <c r="G31" s="133" t="n">
        <v>0</v>
      </c>
      <c r="H31" s="73" t="n">
        <v>0</v>
      </c>
      <c r="I31" s="73" t="n">
        <v>0</v>
      </c>
      <c r="J31" s="73" t="n">
        <v>0</v>
      </c>
      <c r="K31" s="73" t="n">
        <v>0</v>
      </c>
      <c r="L31" s="133" t="n">
        <v>0</v>
      </c>
      <c r="M31" s="73" t="n">
        <v>0</v>
      </c>
      <c r="N31" s="73" t="n">
        <v>0</v>
      </c>
      <c r="O31" s="73" t="n">
        <v>0</v>
      </c>
      <c r="P31" s="73" t="n">
        <v>0</v>
      </c>
      <c r="Q31" s="133" t="n">
        <v>0</v>
      </c>
      <c r="R31" s="73" t="n">
        <v>0</v>
      </c>
      <c r="S31" s="73" t="n">
        <v>0</v>
      </c>
      <c r="T31" s="73" t="n">
        <v>0</v>
      </c>
      <c r="U31" s="73" t="n">
        <v>0</v>
      </c>
      <c r="V31" s="135" t="n">
        <v>0</v>
      </c>
      <c r="W31" s="73" t="n">
        <v>0</v>
      </c>
      <c r="X31" s="73" t="n">
        <v>0</v>
      </c>
      <c r="Y31" s="73" t="n">
        <v>0</v>
      </c>
      <c r="Z31" s="73" t="n">
        <v>0</v>
      </c>
      <c r="AA31" s="135" t="n">
        <f aca="false">SUM('Debt Schedule'!B208:B209)+'Debt Schedule'!H40</f>
        <v>-166.608507648</v>
      </c>
      <c r="AB31" s="73" t="n">
        <v>0</v>
      </c>
      <c r="AC31" s="73" t="n">
        <v>0</v>
      </c>
      <c r="AD31" s="73" t="n">
        <v>0</v>
      </c>
      <c r="AE31" s="73" t="n">
        <v>0</v>
      </c>
      <c r="AF31" s="135" t="n">
        <v>0</v>
      </c>
      <c r="AG31" s="73" t="n">
        <v>0</v>
      </c>
      <c r="AH31" s="73" t="n">
        <v>0</v>
      </c>
      <c r="AI31" s="73" t="n">
        <v>0</v>
      </c>
      <c r="AJ31" s="73" t="n">
        <v>0</v>
      </c>
      <c r="AK31" s="135" t="n">
        <v>0</v>
      </c>
      <c r="AL31" s="73" t="n">
        <v>0</v>
      </c>
      <c r="AM31" s="73" t="n">
        <v>0</v>
      </c>
      <c r="AN31" s="73" t="n">
        <v>0</v>
      </c>
      <c r="AO31" s="73" t="n">
        <v>0</v>
      </c>
      <c r="AP31" s="135" t="n">
        <v>0</v>
      </c>
    </row>
    <row r="32" customFormat="false" ht="15" hidden="false" customHeight="false" outlineLevel="0" collapsed="false">
      <c r="A32" s="74" t="s">
        <v>132</v>
      </c>
      <c r="B32" s="117" t="n">
        <f aca="false">B25-B29-B30+B31</f>
        <v>985.000000000001</v>
      </c>
      <c r="C32" s="73" t="n">
        <f aca="false">C25-C29-C30</f>
        <v>506.200000000001</v>
      </c>
      <c r="D32" s="73" t="n">
        <f aca="false">D25-D29-D30</f>
        <v>605.6</v>
      </c>
      <c r="E32" s="73" t="n">
        <f aca="false">E25-E29-E30</f>
        <v>688.4</v>
      </c>
      <c r="F32" s="73" t="n">
        <f aca="false">F25-F29-F30</f>
        <v>690</v>
      </c>
      <c r="G32" s="117" t="n">
        <f aca="false">G25-G29-G30</f>
        <v>2064.2</v>
      </c>
      <c r="H32" s="73" t="n">
        <f aca="false">H25-H29-H30</f>
        <v>690.4</v>
      </c>
      <c r="I32" s="73" t="n">
        <f aca="false">I25-I29-I30</f>
        <v>838.2</v>
      </c>
      <c r="J32" s="73" t="n">
        <f aca="false">J25-J29-J30</f>
        <v>606.1</v>
      </c>
      <c r="K32" s="73" t="n">
        <f aca="false">L32-SUM(H32:J32)</f>
        <v>782.899999999999</v>
      </c>
      <c r="L32" s="117" t="n">
        <f aca="false">L25-L29-L30</f>
        <v>2917.6</v>
      </c>
      <c r="M32" s="73" t="n">
        <f aca="false">M25-M29-M30</f>
        <v>219.899999999999</v>
      </c>
      <c r="N32" s="73" t="n">
        <f aca="false">N25-N29-N30</f>
        <v>-208.87</v>
      </c>
      <c r="O32" s="73" t="n">
        <f aca="false">O25-O29-O30</f>
        <v>495.000000000001</v>
      </c>
      <c r="P32" s="65" t="n">
        <f aca="false">Q32-SUM(M32:O32)</f>
        <v>805.800000000002</v>
      </c>
      <c r="Q32" s="117" t="n">
        <f aca="false">Q25-Q29-Q30</f>
        <v>1311.83</v>
      </c>
      <c r="R32" s="73" t="n">
        <f aca="false">R25-R29-R30</f>
        <v>1995.3</v>
      </c>
      <c r="S32" s="73" t="n">
        <f aca="false">S25-S29-S30</f>
        <v>1042.61395236572</v>
      </c>
      <c r="T32" s="73" t="n">
        <f aca="false">T25-T29-T30</f>
        <v>1143.09117618008</v>
      </c>
      <c r="U32" s="73" t="n">
        <f aca="false">U25-U29-U30</f>
        <v>1292.49745614985</v>
      </c>
      <c r="V32" s="135" t="n">
        <f aca="false">V25-V29-V30</f>
        <v>5473.50258469565</v>
      </c>
      <c r="W32" s="73" t="n">
        <f aca="false">W25-W29-W30</f>
        <v>1664.87996017564</v>
      </c>
      <c r="X32" s="73" t="n">
        <f aca="false">X25-X29-X30</f>
        <v>1110.04783982117</v>
      </c>
      <c r="Y32" s="73" t="n">
        <f aca="false">Y25-Y29-Y30</f>
        <v>1177.33414037157</v>
      </c>
      <c r="Z32" s="73" t="n">
        <f aca="false">Z25-Z29-Z30</f>
        <v>1641.18136255836</v>
      </c>
      <c r="AA32" s="135" t="n">
        <f aca="false">AA25-AA29-AA30-AA31</f>
        <v>5829.65181057474</v>
      </c>
      <c r="AB32" s="73" t="n">
        <f aca="false">AB25-AB29-AB30</f>
        <v>1998.50360735655</v>
      </c>
      <c r="AC32" s="73" t="n">
        <f aca="false">AC25-AC29-AC30</f>
        <v>1389.97577811701</v>
      </c>
      <c r="AD32" s="73" t="n">
        <f aca="false">AD25-AD29-AD30</f>
        <v>1279.46679079951</v>
      </c>
      <c r="AE32" s="73" t="n">
        <f aca="false">AE25-AE29-AE30</f>
        <v>1924.28534631112</v>
      </c>
      <c r="AF32" s="135" t="n">
        <f aca="false">AF25-AF29-AF30</f>
        <v>6592.23152258419</v>
      </c>
      <c r="AG32" s="73" t="n">
        <f aca="false">AG25-AG29-AG30</f>
        <v>2739.80013263619</v>
      </c>
      <c r="AH32" s="73" t="n">
        <f aca="false">AH25-AH29-AH30</f>
        <v>2070.23818096395</v>
      </c>
      <c r="AI32" s="73" t="n">
        <f aca="false">AI25-AI29-AI30</f>
        <v>1757.6352164366</v>
      </c>
      <c r="AJ32" s="73" t="n">
        <f aca="false">AJ25-AJ29-AJ30</f>
        <v>2608.15785416076</v>
      </c>
      <c r="AK32" s="135" t="n">
        <f aca="false">AK25-AK29-AK30</f>
        <v>9175.83138419749</v>
      </c>
      <c r="AL32" s="73" t="n">
        <f aca="false">AL25-AL29-AL30</f>
        <v>3319.59319482788</v>
      </c>
      <c r="AM32" s="73" t="n">
        <f aca="false">AM25-AM29-AM30</f>
        <v>2582.33885282119</v>
      </c>
      <c r="AN32" s="73" t="n">
        <f aca="false">AN25-AN29-AN30</f>
        <v>2045.59529538837</v>
      </c>
      <c r="AO32" s="73" t="n">
        <f aca="false">AO25-AO29-AO30</f>
        <v>3124.26246065737</v>
      </c>
      <c r="AP32" s="135" t="n">
        <f aca="false">AP25-AP29-AP30</f>
        <v>11071.7898036948</v>
      </c>
    </row>
    <row r="33" customFormat="false" ht="15" hidden="false" customHeight="false" outlineLevel="0" collapsed="false">
      <c r="A33" s="74"/>
      <c r="B33" s="117"/>
      <c r="C33" s="73"/>
      <c r="D33" s="73"/>
      <c r="E33" s="73"/>
      <c r="F33" s="73"/>
      <c r="G33" s="117"/>
      <c r="H33" s="73"/>
      <c r="I33" s="73"/>
      <c r="J33" s="73"/>
      <c r="K33" s="73"/>
      <c r="L33" s="117"/>
      <c r="M33" s="73"/>
      <c r="N33" s="73"/>
      <c r="O33" s="73"/>
      <c r="P33" s="65"/>
      <c r="Q33" s="117"/>
      <c r="R33" s="73"/>
      <c r="S33" s="73"/>
      <c r="V33" s="135"/>
      <c r="AA33" s="135"/>
      <c r="AF33" s="135"/>
      <c r="AK33" s="135"/>
      <c r="AP33" s="135"/>
    </row>
    <row r="34" s="102" customFormat="true" ht="15" hidden="false" customHeight="false" outlineLevel="0" collapsed="false">
      <c r="A34" s="102" t="s">
        <v>133</v>
      </c>
      <c r="B34" s="100" t="n">
        <f aca="false">B32/B9</f>
        <v>0.0580949572397523</v>
      </c>
      <c r="C34" s="101" t="n">
        <f aca="false">C32/C11</f>
        <v>0.115423203210507</v>
      </c>
      <c r="D34" s="101" t="n">
        <f aca="false">D32/D11</f>
        <v>0.126166666666667</v>
      </c>
      <c r="E34" s="101" t="n">
        <f aca="false">E32/E11</f>
        <v>0.130280090840273</v>
      </c>
      <c r="F34" s="101" t="n">
        <f aca="false">F32/F9</f>
        <v>0.12297273213331</v>
      </c>
      <c r="G34" s="100" t="n">
        <f aca="false">G32/G9</f>
        <v>0.0917332527486202</v>
      </c>
      <c r="H34" s="101" t="n">
        <f aca="false">H32/H9</f>
        <v>0.121884047736742</v>
      </c>
      <c r="I34" s="101" t="n">
        <f aca="false">I32/I9</f>
        <v>0.125674703130623</v>
      </c>
      <c r="J34" s="101" t="n">
        <f aca="false">J32/J9</f>
        <v>0.0993297169734017</v>
      </c>
      <c r="K34" s="101" t="n">
        <f aca="false">K32/K9</f>
        <v>0.110469874417948</v>
      </c>
      <c r="L34" s="100" t="n">
        <f aca="false">L32/L9</f>
        <v>0.114313028691881</v>
      </c>
      <c r="M34" s="101" t="n">
        <f aca="false">M32/M9</f>
        <v>0.0311124945174662</v>
      </c>
      <c r="N34" s="101" t="n">
        <f aca="false">N32/N9</f>
        <v>-0.0288505234311225</v>
      </c>
      <c r="O34" s="101" t="n">
        <f aca="false">O32/O9</f>
        <v>0.0654087053040515</v>
      </c>
      <c r="P34" s="101" t="n">
        <f aca="false">P32/P9</f>
        <v>0.0927454162494392</v>
      </c>
      <c r="Q34" s="100" t="n">
        <f aca="false">Q32/Q9</f>
        <v>0.0429211356074668</v>
      </c>
      <c r="R34" s="101" t="n">
        <f aca="false">R32/R9</f>
        <v>0.241354283848024</v>
      </c>
      <c r="S34" s="101" t="n">
        <f aca="false">S32/S9</f>
        <v>0.100578991176865</v>
      </c>
      <c r="T34" s="101" t="n">
        <f aca="false">T32/T9</f>
        <v>0.110271838452283</v>
      </c>
      <c r="U34" s="101" t="n">
        <f aca="false">U32/U9</f>
        <v>0.124684779004969</v>
      </c>
      <c r="V34" s="149" t="n">
        <f aca="false">V32/V9</f>
        <v>0.139043271294626</v>
      </c>
      <c r="W34" s="101" t="n">
        <f aca="false">W32/W9</f>
        <v>0.147488969175854</v>
      </c>
      <c r="X34" s="101" t="n">
        <f aca="false">X32/X9</f>
        <v>0.0960011167569854</v>
      </c>
      <c r="Y34" s="101" t="n">
        <f aca="false">Y32/Y9</f>
        <v>0.0974073592867661</v>
      </c>
      <c r="Z34" s="101" t="n">
        <f aca="false">Z32/Z9</f>
        <v>0.118279619696192</v>
      </c>
      <c r="AA34" s="149" t="n">
        <f aca="false">AA32/AA9</f>
        <v>0.119427840811008</v>
      </c>
      <c r="AB34" s="101" t="n">
        <f aca="false">AB32/AB9</f>
        <v>0.142777530412883</v>
      </c>
      <c r="AC34" s="101" t="n">
        <f aca="false">AC32/AC9</f>
        <v>0.0969438216530657</v>
      </c>
      <c r="AD34" s="101" t="n">
        <f aca="false">AD32/AD9</f>
        <v>0.0853688369624889</v>
      </c>
      <c r="AE34" s="101" t="n">
        <f aca="false">AE32/AE9</f>
        <v>0.111841022915226</v>
      </c>
      <c r="AF34" s="149" t="n">
        <f aca="false">AF32/AF9</f>
        <v>0.108911497806114</v>
      </c>
      <c r="AG34" s="101" t="n">
        <f aca="false">AG32/AG9</f>
        <v>0.160440490477735</v>
      </c>
      <c r="AH34" s="101" t="n">
        <f aca="false">AH32/AH9</f>
        <v>0.118351396603978</v>
      </c>
      <c r="AI34" s="101" t="n">
        <f aca="false">AI32/AI9</f>
        <v>0.0961256438436856</v>
      </c>
      <c r="AJ34" s="101" t="n">
        <f aca="false">AJ32/AJ9</f>
        <v>0.124252661457788</v>
      </c>
      <c r="AK34" s="149" t="n">
        <f aca="false">AK32/AK9</f>
        <v>0.124258719194598</v>
      </c>
      <c r="AL34" s="101" t="n">
        <f aca="false">AL32/AL9</f>
        <v>0.161993921265916</v>
      </c>
      <c r="AM34" s="101" t="n">
        <f aca="false">AM32/AM9</f>
        <v>0.123022644023258</v>
      </c>
      <c r="AN34" s="101" t="n">
        <f aca="false">AN32/AN9</f>
        <v>0.093228562148917</v>
      </c>
      <c r="AO34" s="101" t="n">
        <f aca="false">AO32/AO9</f>
        <v>0.124033240936078</v>
      </c>
      <c r="AP34" s="149" t="n">
        <f aca="false">AP32/AP9</f>
        <v>0.124944756374543</v>
      </c>
    </row>
    <row r="35" s="102" customFormat="true" ht="15" hidden="false" customHeight="false" outlineLevel="0" collapsed="false">
      <c r="A35" s="110"/>
      <c r="B35" s="100"/>
      <c r="C35" s="101"/>
      <c r="D35" s="101"/>
      <c r="E35" s="101"/>
      <c r="F35" s="101"/>
      <c r="G35" s="100"/>
      <c r="H35" s="101"/>
      <c r="I35" s="101"/>
      <c r="J35" s="101"/>
      <c r="K35" s="101"/>
      <c r="L35" s="100"/>
      <c r="M35" s="101"/>
      <c r="N35" s="101"/>
      <c r="O35" s="101"/>
      <c r="P35" s="101"/>
      <c r="Q35" s="100"/>
      <c r="R35" s="101"/>
      <c r="S35" s="154"/>
      <c r="V35" s="149"/>
      <c r="AA35" s="149"/>
      <c r="AF35" s="149"/>
      <c r="AK35" s="149"/>
      <c r="AP35" s="149"/>
    </row>
    <row r="36" customFormat="false" ht="15" hidden="false" customHeight="false" outlineLevel="0" collapsed="false">
      <c r="A36" s="0" t="s">
        <v>175</v>
      </c>
      <c r="B36" s="117"/>
      <c r="C36" s="73"/>
      <c r="D36" s="73"/>
      <c r="E36" s="73"/>
      <c r="F36" s="73"/>
      <c r="G36" s="117"/>
      <c r="H36" s="155"/>
      <c r="I36" s="73"/>
      <c r="J36" s="73"/>
      <c r="K36" s="73"/>
      <c r="L36" s="117"/>
      <c r="M36" s="73"/>
      <c r="N36" s="73"/>
      <c r="O36" s="73"/>
      <c r="Q36" s="117"/>
      <c r="R36" s="73"/>
      <c r="S36" s="73"/>
      <c r="V36" s="135"/>
      <c r="AA36" s="135"/>
      <c r="AF36" s="135"/>
      <c r="AK36" s="135"/>
      <c r="AP36" s="135"/>
    </row>
    <row r="37" customFormat="false" ht="15" hidden="false" customHeight="false" outlineLevel="0" collapsed="false">
      <c r="A37" s="136" t="s">
        <v>176</v>
      </c>
      <c r="B37" s="133" t="n">
        <v>128.4</v>
      </c>
      <c r="C37" s="134" t="n">
        <v>58.1</v>
      </c>
      <c r="D37" s="134" t="n">
        <v>60.5</v>
      </c>
      <c r="E37" s="134" t="n">
        <v>40</v>
      </c>
      <c r="F37" s="134" t="n">
        <v>81</v>
      </c>
      <c r="G37" s="133" t="n">
        <v>203.4</v>
      </c>
      <c r="H37" s="152" t="n">
        <v>80.6</v>
      </c>
      <c r="I37" s="134" t="n">
        <v>199.1</v>
      </c>
      <c r="J37" s="134" t="n">
        <v>153.7</v>
      </c>
      <c r="K37" s="73" t="n">
        <f aca="false">L37-SUM(H37:J37)</f>
        <v>45.8</v>
      </c>
      <c r="L37" s="133" t="n">
        <v>479.2</v>
      </c>
      <c r="M37" s="134" t="n">
        <v>65.3</v>
      </c>
      <c r="N37" s="134" t="n">
        <v>188.3</v>
      </c>
      <c r="O37" s="134" t="n">
        <v>33.9</v>
      </c>
      <c r="P37" s="65" t="n">
        <f aca="false">Q37-SUM(M37:O37)</f>
        <v>-5.89999999999998</v>
      </c>
      <c r="Q37" s="133" t="n">
        <v>281.6</v>
      </c>
      <c r="R37" s="134" t="n">
        <v>320.1</v>
      </c>
      <c r="S37" s="73" t="n">
        <v>0</v>
      </c>
      <c r="T37" s="73" t="n">
        <v>0</v>
      </c>
      <c r="U37" s="73" t="n">
        <v>0</v>
      </c>
      <c r="V37" s="135"/>
      <c r="W37" s="73" t="n">
        <v>0</v>
      </c>
      <c r="X37" s="73" t="n">
        <v>0</v>
      </c>
      <c r="Y37" s="73" t="n">
        <v>0</v>
      </c>
      <c r="Z37" s="73" t="n">
        <v>0</v>
      </c>
      <c r="AA37" s="135"/>
      <c r="AB37" s="73" t="n">
        <v>0</v>
      </c>
      <c r="AC37" s="73" t="n">
        <v>0</v>
      </c>
      <c r="AD37" s="73" t="n">
        <v>0</v>
      </c>
      <c r="AE37" s="73" t="n">
        <v>0</v>
      </c>
      <c r="AF37" s="135"/>
      <c r="AG37" s="73" t="n">
        <v>0</v>
      </c>
      <c r="AH37" s="73" t="n">
        <v>0</v>
      </c>
      <c r="AI37" s="73" t="n">
        <v>0</v>
      </c>
      <c r="AJ37" s="73" t="n">
        <v>0</v>
      </c>
      <c r="AK37" s="135"/>
      <c r="AL37" s="73" t="n">
        <v>0</v>
      </c>
      <c r="AM37" s="73" t="n">
        <v>0</v>
      </c>
      <c r="AN37" s="73" t="n">
        <v>0</v>
      </c>
      <c r="AO37" s="73" t="n">
        <v>0</v>
      </c>
      <c r="AP37" s="135"/>
    </row>
    <row r="38" customFormat="false" ht="15" hidden="false" customHeight="false" outlineLevel="0" collapsed="false">
      <c r="A38" s="136" t="s">
        <v>177</v>
      </c>
      <c r="B38" s="133" t="n">
        <v>-80.9</v>
      </c>
      <c r="C38" s="134" t="n">
        <v>-52.2</v>
      </c>
      <c r="D38" s="134" t="n">
        <v>-13.7</v>
      </c>
      <c r="E38" s="134" t="n">
        <v>11.3</v>
      </c>
      <c r="F38" s="134" t="n">
        <v>-4</v>
      </c>
      <c r="G38" s="133" t="n">
        <v>-145.4</v>
      </c>
      <c r="H38" s="134" t="n">
        <v>-3.8</v>
      </c>
      <c r="I38" s="134" t="n">
        <v>3.9</v>
      </c>
      <c r="J38" s="134" t="n">
        <v>0</v>
      </c>
      <c r="K38" s="73" t="n">
        <v>0</v>
      </c>
      <c r="L38" s="133" t="n">
        <v>0</v>
      </c>
      <c r="M38" s="134" t="n">
        <v>-40.8</v>
      </c>
      <c r="N38" s="134" t="n">
        <v>40.8</v>
      </c>
      <c r="O38" s="134" t="n">
        <v>0</v>
      </c>
      <c r="P38" s="65" t="n">
        <f aca="false">Q38-SUM(M38:O38)</f>
        <v>0</v>
      </c>
      <c r="Q38" s="133" t="n">
        <v>0</v>
      </c>
      <c r="R38" s="134" t="n">
        <v>0</v>
      </c>
      <c r="S38" s="73" t="n">
        <v>0</v>
      </c>
      <c r="T38" s="73" t="n">
        <v>0</v>
      </c>
      <c r="U38" s="73" t="n">
        <v>0</v>
      </c>
      <c r="V38" s="135"/>
      <c r="W38" s="73" t="n">
        <v>0</v>
      </c>
      <c r="X38" s="73" t="n">
        <v>0</v>
      </c>
      <c r="Y38" s="73" t="n">
        <v>0</v>
      </c>
      <c r="Z38" s="73" t="n">
        <v>0</v>
      </c>
      <c r="AA38" s="135"/>
      <c r="AB38" s="73" t="n">
        <v>0</v>
      </c>
      <c r="AC38" s="73" t="n">
        <v>0</v>
      </c>
      <c r="AD38" s="73" t="n">
        <v>0</v>
      </c>
      <c r="AE38" s="73" t="n">
        <v>0</v>
      </c>
      <c r="AF38" s="135"/>
      <c r="AG38" s="73" t="n">
        <v>0</v>
      </c>
      <c r="AH38" s="73" t="n">
        <v>0</v>
      </c>
      <c r="AI38" s="73" t="n">
        <v>0</v>
      </c>
      <c r="AJ38" s="73" t="n">
        <v>0</v>
      </c>
      <c r="AK38" s="135"/>
      <c r="AL38" s="73" t="n">
        <v>0</v>
      </c>
      <c r="AM38" s="73" t="n">
        <v>0</v>
      </c>
      <c r="AN38" s="73" t="n">
        <v>0</v>
      </c>
      <c r="AO38" s="73" t="n">
        <v>0</v>
      </c>
      <c r="AP38" s="135"/>
    </row>
    <row r="39" customFormat="false" ht="15" hidden="false" customHeight="false" outlineLevel="0" collapsed="false">
      <c r="A39" s="136" t="s">
        <v>178</v>
      </c>
      <c r="B39" s="133" t="n">
        <v>159</v>
      </c>
      <c r="C39" s="134" t="n">
        <v>137.4</v>
      </c>
      <c r="D39" s="134" t="n">
        <v>11.5</v>
      </c>
      <c r="E39" s="134" t="n">
        <v>44</v>
      </c>
      <c r="F39" s="134" t="n">
        <v>-8</v>
      </c>
      <c r="G39" s="133" t="n">
        <v>-40.6</v>
      </c>
      <c r="H39" s="134" t="n">
        <v>-7.7</v>
      </c>
      <c r="I39" s="134" t="n">
        <v>10.7</v>
      </c>
      <c r="J39" s="134" t="n">
        <v>6.4</v>
      </c>
      <c r="K39" s="73" t="n">
        <f aca="false">L39-SUM(H39:J39)</f>
        <v>42.7</v>
      </c>
      <c r="L39" s="133" t="n">
        <v>52.1</v>
      </c>
      <c r="M39" s="134" t="n">
        <v>10.1</v>
      </c>
      <c r="N39" s="134" t="n">
        <v>-2.9</v>
      </c>
      <c r="O39" s="134" t="n">
        <v>41.6</v>
      </c>
      <c r="P39" s="65" t="n">
        <f aca="false">Q39-SUM(M39:O39)</f>
        <v>10.6</v>
      </c>
      <c r="Q39" s="133" t="n">
        <v>59.4</v>
      </c>
      <c r="R39" s="134" t="n">
        <v>10.7</v>
      </c>
      <c r="S39" s="73" t="n">
        <v>0</v>
      </c>
      <c r="T39" s="73" t="n">
        <v>0</v>
      </c>
      <c r="U39" s="73" t="n">
        <v>0</v>
      </c>
      <c r="V39" s="135"/>
      <c r="W39" s="73" t="n">
        <v>0</v>
      </c>
      <c r="X39" s="73" t="n">
        <v>0</v>
      </c>
      <c r="Y39" s="73" t="n">
        <v>0</v>
      </c>
      <c r="Z39" s="73" t="n">
        <v>0</v>
      </c>
      <c r="AA39" s="135"/>
      <c r="AB39" s="73" t="n">
        <v>0</v>
      </c>
      <c r="AC39" s="73" t="n">
        <v>0</v>
      </c>
      <c r="AD39" s="73" t="n">
        <v>0</v>
      </c>
      <c r="AE39" s="73" t="n">
        <v>0</v>
      </c>
      <c r="AF39" s="135"/>
      <c r="AG39" s="73" t="n">
        <v>0</v>
      </c>
      <c r="AH39" s="73" t="n">
        <v>0</v>
      </c>
      <c r="AI39" s="73" t="n">
        <v>0</v>
      </c>
      <c r="AJ39" s="73" t="n">
        <v>0</v>
      </c>
      <c r="AK39" s="135"/>
      <c r="AL39" s="73" t="n">
        <v>0</v>
      </c>
      <c r="AM39" s="73" t="n">
        <v>0</v>
      </c>
      <c r="AN39" s="73" t="n">
        <v>0</v>
      </c>
      <c r="AO39" s="73" t="n">
        <v>0</v>
      </c>
      <c r="AP39" s="135"/>
    </row>
    <row r="40" customFormat="false" ht="15" hidden="false" customHeight="false" outlineLevel="0" collapsed="false">
      <c r="A40" s="136" t="s">
        <v>179</v>
      </c>
      <c r="B40" s="133" t="n">
        <v>2.8</v>
      </c>
      <c r="C40" s="134" t="n">
        <v>0.8</v>
      </c>
      <c r="D40" s="134" t="n">
        <v>0.9</v>
      </c>
      <c r="E40" s="134" t="n">
        <v>1.1</v>
      </c>
      <c r="F40" s="134" t="n">
        <v>1</v>
      </c>
      <c r="G40" s="133" t="n">
        <v>3.9</v>
      </c>
      <c r="H40" s="134" t="n">
        <v>1</v>
      </c>
      <c r="I40" s="134" t="n">
        <v>1.3</v>
      </c>
      <c r="J40" s="134" t="n">
        <v>1.6</v>
      </c>
      <c r="K40" s="73" t="n">
        <f aca="false">L40-SUM(H40:J40)</f>
        <v>0.8</v>
      </c>
      <c r="L40" s="133" t="n">
        <v>4.7</v>
      </c>
      <c r="M40" s="134" t="n">
        <v>0.9</v>
      </c>
      <c r="N40" s="134" t="n">
        <v>1.7</v>
      </c>
      <c r="O40" s="134" t="n">
        <v>1.6</v>
      </c>
      <c r="P40" s="65" t="n">
        <f aca="false">Q40-SUM(M40:O40)</f>
        <v>1</v>
      </c>
      <c r="Q40" s="133" t="n">
        <v>5.2</v>
      </c>
      <c r="R40" s="134" t="n">
        <v>0</v>
      </c>
      <c r="S40" s="73" t="n">
        <v>0</v>
      </c>
      <c r="T40" s="73" t="n">
        <v>0</v>
      </c>
      <c r="U40" s="73" t="n">
        <v>0</v>
      </c>
      <c r="V40" s="135"/>
      <c r="W40" s="73" t="n">
        <v>0</v>
      </c>
      <c r="X40" s="73" t="n">
        <v>0</v>
      </c>
      <c r="Y40" s="73" t="n">
        <v>0</v>
      </c>
      <c r="Z40" s="73" t="n">
        <v>0</v>
      </c>
      <c r="AA40" s="135"/>
      <c r="AB40" s="73" t="n">
        <v>0</v>
      </c>
      <c r="AC40" s="73" t="n">
        <v>0</v>
      </c>
      <c r="AD40" s="73" t="n">
        <v>0</v>
      </c>
      <c r="AE40" s="73" t="n">
        <v>0</v>
      </c>
      <c r="AF40" s="135"/>
      <c r="AG40" s="73" t="n">
        <v>0</v>
      </c>
      <c r="AH40" s="73" t="n">
        <v>0</v>
      </c>
      <c r="AI40" s="73" t="n">
        <v>0</v>
      </c>
      <c r="AJ40" s="73" t="n">
        <v>0</v>
      </c>
      <c r="AK40" s="135"/>
      <c r="AL40" s="73" t="n">
        <v>0</v>
      </c>
      <c r="AM40" s="73" t="n">
        <v>0</v>
      </c>
      <c r="AN40" s="73" t="n">
        <v>0</v>
      </c>
      <c r="AO40" s="73" t="n">
        <v>0</v>
      </c>
      <c r="AP40" s="135"/>
    </row>
    <row r="41" customFormat="false" ht="15" hidden="false" customHeight="false" outlineLevel="0" collapsed="false">
      <c r="A41" s="136" t="s">
        <v>180</v>
      </c>
      <c r="B41" s="133" t="n">
        <v>64.6</v>
      </c>
      <c r="C41" s="134" t="n">
        <v>0</v>
      </c>
      <c r="D41" s="134" t="n">
        <v>0</v>
      </c>
      <c r="E41" s="134" t="n">
        <v>-9.2</v>
      </c>
      <c r="F41" s="134" t="n">
        <v>0</v>
      </c>
      <c r="G41" s="133" t="n">
        <v>22.4</v>
      </c>
      <c r="H41" s="134" t="n">
        <v>0</v>
      </c>
      <c r="I41" s="134" t="n">
        <v>0</v>
      </c>
      <c r="J41" s="134" t="n">
        <v>0</v>
      </c>
      <c r="K41" s="73" t="n">
        <f aca="false">L41-SUM(H41:J41)</f>
        <v>0</v>
      </c>
      <c r="L41" s="133" t="n">
        <v>0</v>
      </c>
      <c r="M41" s="134" t="n">
        <v>19.8</v>
      </c>
      <c r="N41" s="134" t="n">
        <v>-54.6</v>
      </c>
      <c r="O41" s="134" t="n">
        <v>1.5</v>
      </c>
      <c r="P41" s="65" t="n">
        <f aca="false">Q41-SUM(M41:O41)</f>
        <v>0</v>
      </c>
      <c r="Q41" s="133" t="n">
        <v>-33.3</v>
      </c>
      <c r="R41" s="134" t="n">
        <v>0</v>
      </c>
      <c r="S41" s="73" t="n">
        <v>0</v>
      </c>
      <c r="T41" s="73" t="n">
        <v>0</v>
      </c>
      <c r="U41" s="73" t="n">
        <v>0</v>
      </c>
      <c r="V41" s="135"/>
      <c r="W41" s="73" t="n">
        <v>0</v>
      </c>
      <c r="X41" s="73" t="n">
        <v>0</v>
      </c>
      <c r="Y41" s="73" t="n">
        <v>0</v>
      </c>
      <c r="Z41" s="73" t="n">
        <v>0</v>
      </c>
      <c r="AA41" s="135"/>
      <c r="AB41" s="73" t="n">
        <v>0</v>
      </c>
      <c r="AC41" s="73" t="n">
        <v>0</v>
      </c>
      <c r="AD41" s="73" t="n">
        <v>0</v>
      </c>
      <c r="AE41" s="73" t="n">
        <v>0</v>
      </c>
      <c r="AF41" s="135"/>
      <c r="AG41" s="73" t="n">
        <v>0</v>
      </c>
      <c r="AH41" s="73" t="n">
        <v>0</v>
      </c>
      <c r="AI41" s="73" t="n">
        <v>0</v>
      </c>
      <c r="AJ41" s="73" t="n">
        <v>0</v>
      </c>
      <c r="AK41" s="135"/>
      <c r="AL41" s="73" t="n">
        <v>0</v>
      </c>
      <c r="AM41" s="73" t="n">
        <v>0</v>
      </c>
      <c r="AN41" s="73" t="n">
        <v>0</v>
      </c>
      <c r="AO41" s="73" t="n">
        <v>0</v>
      </c>
      <c r="AP41" s="135"/>
    </row>
    <row r="42" customFormat="false" ht="15" hidden="false" customHeight="false" outlineLevel="0" collapsed="false">
      <c r="A42" s="37" t="s">
        <v>134</v>
      </c>
      <c r="B42" s="117" t="n">
        <f aca="false">SUM(B37:B41)</f>
        <v>273.9</v>
      </c>
      <c r="C42" s="73" t="n">
        <f aca="false">SUM(C37:C41)</f>
        <v>144.1</v>
      </c>
      <c r="D42" s="73" t="n">
        <f aca="false">SUM(D37:D41)</f>
        <v>59.2</v>
      </c>
      <c r="E42" s="73" t="n">
        <f aca="false">SUM(E37:E41)</f>
        <v>87.2</v>
      </c>
      <c r="F42" s="73" t="n">
        <f aca="false">SUM(F37:F41)</f>
        <v>70</v>
      </c>
      <c r="G42" s="117" t="n">
        <f aca="false">SUM(G37:G41)</f>
        <v>43.7</v>
      </c>
      <c r="H42" s="73" t="n">
        <f aca="false">SUM(H37:H41)</f>
        <v>70.1</v>
      </c>
      <c r="I42" s="73" t="n">
        <f aca="false">SUM(I37:I41)</f>
        <v>215</v>
      </c>
      <c r="J42" s="73" t="n">
        <f aca="false">SUM(J37:J41)</f>
        <v>161.7</v>
      </c>
      <c r="K42" s="73" t="n">
        <f aca="false">L42-SUM(H42:J42)</f>
        <v>89.2</v>
      </c>
      <c r="L42" s="117" t="n">
        <f aca="false">SUM(L37:L41)</f>
        <v>536</v>
      </c>
      <c r="M42" s="73" t="n">
        <f aca="false">SUM(M37:M41)</f>
        <v>55.3</v>
      </c>
      <c r="N42" s="73" t="n">
        <f aca="false">SUM(N37:N41)</f>
        <v>173.3</v>
      </c>
      <c r="O42" s="73" t="n">
        <f aca="false">SUM(O37:O41)</f>
        <v>78.6</v>
      </c>
      <c r="P42" s="65" t="n">
        <f aca="false">Q42-SUM(M42:O42)</f>
        <v>5.69999999999999</v>
      </c>
      <c r="Q42" s="117" t="n">
        <f aca="false">SUM(Q37:Q41)</f>
        <v>312.9</v>
      </c>
      <c r="R42" s="73" t="n">
        <f aca="false">SUM(R37:R41)</f>
        <v>330.8</v>
      </c>
      <c r="S42" s="73" t="n">
        <f aca="false">S32*'Cost Model'!S20</f>
        <v>135.539813807543</v>
      </c>
      <c r="T42" s="73" t="n">
        <f aca="false">T32*'Cost Model'!T20</f>
        <v>148.601852903411</v>
      </c>
      <c r="U42" s="73" t="n">
        <f aca="false">U32*'Cost Model'!U20</f>
        <v>168.024669299481</v>
      </c>
      <c r="V42" s="135" t="n">
        <f aca="false">SUM(R42:U42)</f>
        <v>782.966336010435</v>
      </c>
      <c r="W42" s="65" t="n">
        <f aca="false">W32*'Cost Model'!W20</f>
        <v>216.434394822833</v>
      </c>
      <c r="X42" s="65" t="n">
        <f aca="false">X32*'Cost Model'!X20</f>
        <v>144.306219176752</v>
      </c>
      <c r="Y42" s="65" t="n">
        <f aca="false">Y32*'Cost Model'!Y20</f>
        <v>153.053438248304</v>
      </c>
      <c r="Z42" s="65" t="n">
        <f aca="false">Z32*'Cost Model'!Z20</f>
        <v>213.353577132586</v>
      </c>
      <c r="AA42" s="135" t="n">
        <f aca="false">SUM(W42:Z42)</f>
        <v>727.147629380475</v>
      </c>
      <c r="AB42" s="65" t="n">
        <f aca="false">AB32*'Cost Model'!AB20</f>
        <v>259.805468956352</v>
      </c>
      <c r="AC42" s="65" t="n">
        <f aca="false">AC32*'Cost Model'!AC20</f>
        <v>180.696851155212</v>
      </c>
      <c r="AD42" s="65" t="n">
        <f aca="false">AD32*'Cost Model'!AD20</f>
        <v>166.330682803936</v>
      </c>
      <c r="AE42" s="65" t="n">
        <f aca="false">AE32*'Cost Model'!AE20</f>
        <v>250.157095020446</v>
      </c>
      <c r="AF42" s="135" t="n">
        <f aca="false">SUM(AB42:AE42)</f>
        <v>856.990097935946</v>
      </c>
      <c r="AG42" s="65" t="n">
        <f aca="false">AG32*'Cost Model'!AG20</f>
        <v>356.174017242704</v>
      </c>
      <c r="AH42" s="65" t="n">
        <f aca="false">AH32*'Cost Model'!AH20</f>
        <v>269.130963525313</v>
      </c>
      <c r="AI42" s="65" t="n">
        <f aca="false">AI32*'Cost Model'!AI20</f>
        <v>228.492578136757</v>
      </c>
      <c r="AJ42" s="65" t="n">
        <f aca="false">AJ32*'Cost Model'!AJ20</f>
        <v>339.060521040899</v>
      </c>
      <c r="AK42" s="135" t="n">
        <f aca="false">SUM(AG42:AJ42)</f>
        <v>1192.85807994567</v>
      </c>
      <c r="AL42" s="65" t="n">
        <f aca="false">AL32*'Cost Model'!AL20</f>
        <v>431.547115327624</v>
      </c>
      <c r="AM42" s="65" t="n">
        <f aca="false">AM32*'Cost Model'!AM20</f>
        <v>335.704050866755</v>
      </c>
      <c r="AN42" s="65" t="n">
        <f aca="false">AN32*'Cost Model'!AN20</f>
        <v>265.927388400488</v>
      </c>
      <c r="AO42" s="65" t="n">
        <f aca="false">AO32*'Cost Model'!AO20</f>
        <v>406.154119885458</v>
      </c>
      <c r="AP42" s="135" t="n">
        <f aca="false">SUM(AL42:AO42)</f>
        <v>1439.33267448033</v>
      </c>
    </row>
    <row r="43" customFormat="false" ht="15" hidden="false" customHeight="false" outlineLevel="0" collapsed="false">
      <c r="A43" s="45" t="s">
        <v>181</v>
      </c>
      <c r="B43" s="117" t="n">
        <f aca="false">B32-B42</f>
        <v>711.100000000001</v>
      </c>
      <c r="C43" s="73" t="n">
        <f aca="false">C32-C42</f>
        <v>362.100000000001</v>
      </c>
      <c r="D43" s="73" t="n">
        <f aca="false">D32-D42</f>
        <v>546.4</v>
      </c>
      <c r="E43" s="73" t="n">
        <f aca="false">E32-E42</f>
        <v>601.2</v>
      </c>
      <c r="F43" s="73" t="n">
        <f aca="false">F32-F42</f>
        <v>620</v>
      </c>
      <c r="G43" s="117" t="n">
        <f aca="false">G32-G42</f>
        <v>2020.5</v>
      </c>
      <c r="H43" s="73" t="n">
        <f aca="false">H32-H42</f>
        <v>620.3</v>
      </c>
      <c r="I43" s="73" t="n">
        <f aca="false">I32-I42</f>
        <v>623.2</v>
      </c>
      <c r="J43" s="73" t="n">
        <f aca="false">J32-J42</f>
        <v>444.4</v>
      </c>
      <c r="K43" s="73" t="n">
        <f aca="false">L43-SUM(H43:J43)</f>
        <v>693.699999999999</v>
      </c>
      <c r="L43" s="117" t="n">
        <f aca="false">L32-L42</f>
        <v>2381.6</v>
      </c>
      <c r="M43" s="73" t="n">
        <f aca="false">M32-M42</f>
        <v>164.599999999999</v>
      </c>
      <c r="N43" s="73" t="n">
        <f aca="false">N32-N42</f>
        <v>-382.17</v>
      </c>
      <c r="O43" s="73" t="n">
        <f aca="false">O32-O42</f>
        <v>416.400000000001</v>
      </c>
      <c r="P43" s="65" t="n">
        <f aca="false">Q43-SUM(M43:O43)</f>
        <v>800.100000000002</v>
      </c>
      <c r="Q43" s="117" t="n">
        <f aca="false">Q32-Q42</f>
        <v>998.930000000002</v>
      </c>
      <c r="R43" s="73" t="n">
        <f aca="false">R32-R42</f>
        <v>1664.5</v>
      </c>
      <c r="S43" s="73" t="n">
        <f aca="false">S32-S42</f>
        <v>907.074138558176</v>
      </c>
      <c r="T43" s="73" t="n">
        <f aca="false">T32-T42</f>
        <v>994.489323276671</v>
      </c>
      <c r="U43" s="73" t="n">
        <f aca="false">U32-U42</f>
        <v>1124.47278685037</v>
      </c>
      <c r="V43" s="135" t="n">
        <f aca="false">V32-V42</f>
        <v>4690.53624868521</v>
      </c>
      <c r="W43" s="73" t="n">
        <f aca="false">W32-W42</f>
        <v>1448.4455653528</v>
      </c>
      <c r="X43" s="73" t="n">
        <f aca="false">X32-X42</f>
        <v>965.741620644418</v>
      </c>
      <c r="Y43" s="73" t="n">
        <f aca="false">Y32-Y42</f>
        <v>1024.28070212327</v>
      </c>
      <c r="Z43" s="73" t="n">
        <f aca="false">Z32-Z42</f>
        <v>1427.82778542577</v>
      </c>
      <c r="AA43" s="135" t="n">
        <f aca="false">AA32-AA42</f>
        <v>5102.50418119426</v>
      </c>
      <c r="AB43" s="73" t="n">
        <f aca="false">AB32-AB42</f>
        <v>1738.6981384002</v>
      </c>
      <c r="AC43" s="73" t="n">
        <f aca="false">AC32-AC42</f>
        <v>1209.2789269618</v>
      </c>
      <c r="AD43" s="73" t="n">
        <f aca="false">AD32-AD42</f>
        <v>1113.13610799557</v>
      </c>
      <c r="AE43" s="73" t="n">
        <f aca="false">AE32-AE42</f>
        <v>1674.12825129068</v>
      </c>
      <c r="AF43" s="135" t="n">
        <f aca="false">AF32-AF42</f>
        <v>5735.24142464825</v>
      </c>
      <c r="AG43" s="73" t="n">
        <f aca="false">AG32-AG42</f>
        <v>2383.62611539348</v>
      </c>
      <c r="AH43" s="73" t="n">
        <f aca="false">AH32-AH42</f>
        <v>1801.10721743864</v>
      </c>
      <c r="AI43" s="73" t="n">
        <f aca="false">AI32-AI42</f>
        <v>1529.14263829984</v>
      </c>
      <c r="AJ43" s="73" t="n">
        <f aca="false">AJ32-AJ42</f>
        <v>2269.09733311986</v>
      </c>
      <c r="AK43" s="135" t="n">
        <f aca="false">AK32-AK42</f>
        <v>7982.97330425182</v>
      </c>
      <c r="AL43" s="73" t="n">
        <f aca="false">AL32-AL42</f>
        <v>2888.04607950025</v>
      </c>
      <c r="AM43" s="73" t="n">
        <f aca="false">AM32-AM42</f>
        <v>2246.63480195444</v>
      </c>
      <c r="AN43" s="73" t="n">
        <f aca="false">AN32-AN42</f>
        <v>1779.66790698788</v>
      </c>
      <c r="AO43" s="73" t="n">
        <f aca="false">AO32-AO42</f>
        <v>2718.10834077191</v>
      </c>
      <c r="AP43" s="135" t="n">
        <f aca="false">AP32-AP42</f>
        <v>9632.45712921449</v>
      </c>
    </row>
    <row r="44" customFormat="false" ht="15" hidden="false" customHeight="false" outlineLevel="0" collapsed="false">
      <c r="A44" s="45" t="s">
        <v>182</v>
      </c>
      <c r="B44" s="133" t="n">
        <v>-14.1</v>
      </c>
      <c r="C44" s="134" t="n">
        <v>0</v>
      </c>
      <c r="D44" s="134" t="n">
        <v>0</v>
      </c>
      <c r="E44" s="134" t="n">
        <v>0</v>
      </c>
      <c r="F44" s="134" t="n">
        <v>3</v>
      </c>
      <c r="G44" s="133" t="n">
        <v>11</v>
      </c>
      <c r="H44" s="134" t="n">
        <v>2.9</v>
      </c>
      <c r="I44" s="134" t="n">
        <v>2.6</v>
      </c>
      <c r="J44" s="134" t="n">
        <v>-1.3</v>
      </c>
      <c r="K44" s="73" t="n">
        <f aca="false">L44-SUM(H44:J44)</f>
        <v>-7.6</v>
      </c>
      <c r="L44" s="133" t="n">
        <v>-3.4</v>
      </c>
      <c r="M44" s="134" t="n">
        <v>0.4</v>
      </c>
      <c r="N44" s="134" t="n">
        <v>2</v>
      </c>
      <c r="O44" s="134" t="n">
        <v>-2</v>
      </c>
      <c r="P44" s="65" t="n">
        <f aca="false">Q44-SUM(M44:O44)</f>
        <v>-0.4</v>
      </c>
      <c r="Q44" s="133" t="n">
        <v>0</v>
      </c>
      <c r="R44" s="134" t="n">
        <v>0</v>
      </c>
      <c r="S44" s="148" t="n">
        <v>0</v>
      </c>
      <c r="T44" s="148" t="n">
        <v>0</v>
      </c>
      <c r="U44" s="148" t="n">
        <v>0</v>
      </c>
      <c r="V44" s="135" t="n">
        <v>0</v>
      </c>
      <c r="W44" s="134" t="n">
        <v>0</v>
      </c>
      <c r="X44" s="148" t="n">
        <v>0</v>
      </c>
      <c r="Y44" s="148" t="n">
        <v>0</v>
      </c>
      <c r="Z44" s="148" t="n">
        <v>0</v>
      </c>
      <c r="AA44" s="135" t="n">
        <v>0</v>
      </c>
      <c r="AB44" s="134" t="n">
        <v>0</v>
      </c>
      <c r="AC44" s="148" t="n">
        <v>0</v>
      </c>
      <c r="AD44" s="148" t="n">
        <v>0</v>
      </c>
      <c r="AE44" s="148" t="n">
        <v>0</v>
      </c>
      <c r="AF44" s="135" t="n">
        <v>0</v>
      </c>
      <c r="AG44" s="134" t="n">
        <v>0</v>
      </c>
      <c r="AH44" s="148" t="n">
        <v>0</v>
      </c>
      <c r="AI44" s="148" t="n">
        <v>0</v>
      </c>
      <c r="AJ44" s="148" t="n">
        <v>0</v>
      </c>
      <c r="AK44" s="135" t="n">
        <v>0</v>
      </c>
      <c r="AL44" s="134" t="n">
        <v>0</v>
      </c>
      <c r="AM44" s="148" t="n">
        <v>0</v>
      </c>
      <c r="AN44" s="148" t="n">
        <v>0</v>
      </c>
      <c r="AO44" s="148" t="n">
        <v>0</v>
      </c>
      <c r="AP44" s="135" t="n">
        <v>0</v>
      </c>
    </row>
    <row r="45" s="74" customFormat="true" ht="15" hidden="false" customHeight="false" outlineLevel="0" collapsed="false">
      <c r="A45" s="96" t="s">
        <v>183</v>
      </c>
      <c r="B45" s="141" t="n">
        <f aca="false">B43+B44</f>
        <v>697.000000000001</v>
      </c>
      <c r="C45" s="142" t="n">
        <f aca="false">C43-C44</f>
        <v>362.100000000001</v>
      </c>
      <c r="D45" s="142" t="n">
        <f aca="false">D43-D44</f>
        <v>546.4</v>
      </c>
      <c r="E45" s="142" t="n">
        <f aca="false">E43-E44</f>
        <v>601.2</v>
      </c>
      <c r="F45" s="142" t="n">
        <f aca="false">F43-F44</f>
        <v>617</v>
      </c>
      <c r="G45" s="141" t="n">
        <f aca="false">G43-G44</f>
        <v>2009.5</v>
      </c>
      <c r="H45" s="142" t="n">
        <f aca="false">H43-H44</f>
        <v>617.4</v>
      </c>
      <c r="I45" s="142" t="n">
        <f aca="false">I43-I44</f>
        <v>620.6</v>
      </c>
      <c r="J45" s="142" t="n">
        <f aca="false">J43-J44</f>
        <v>445.7</v>
      </c>
      <c r="K45" s="142" t="n">
        <f aca="false">L45-SUM(H45:J45)</f>
        <v>701.299999999999</v>
      </c>
      <c r="L45" s="141" t="n">
        <f aca="false">L43-L44</f>
        <v>2385</v>
      </c>
      <c r="M45" s="142" t="n">
        <f aca="false">M43-M44</f>
        <v>164.199999999999</v>
      </c>
      <c r="N45" s="142" t="n">
        <f aca="false">N43-N44</f>
        <v>-384.17</v>
      </c>
      <c r="O45" s="142" t="n">
        <f aca="false">O43-O44</f>
        <v>418.400000000001</v>
      </c>
      <c r="P45" s="94" t="n">
        <f aca="false">Q45-SUM(M45:O45)</f>
        <v>800.500000000002</v>
      </c>
      <c r="Q45" s="141" t="n">
        <f aca="false">Q43-Q44</f>
        <v>998.930000000002</v>
      </c>
      <c r="R45" s="142" t="n">
        <f aca="false">R43-R44</f>
        <v>1664.5</v>
      </c>
      <c r="S45" s="142" t="n">
        <f aca="false">S43-S44</f>
        <v>907.074138558176</v>
      </c>
      <c r="T45" s="142" t="n">
        <f aca="false">T43-T44</f>
        <v>994.489323276671</v>
      </c>
      <c r="U45" s="142" t="n">
        <f aca="false">U43-U44</f>
        <v>1124.47278685037</v>
      </c>
      <c r="V45" s="144" t="n">
        <f aca="false">V43-V44</f>
        <v>4690.53624868521</v>
      </c>
      <c r="W45" s="142" t="n">
        <f aca="false">W43-W44</f>
        <v>1448.4455653528</v>
      </c>
      <c r="X45" s="142" t="n">
        <f aca="false">X43-X44</f>
        <v>965.741620644418</v>
      </c>
      <c r="Y45" s="142" t="n">
        <f aca="false">Y43-Y44</f>
        <v>1024.28070212327</v>
      </c>
      <c r="Z45" s="142" t="n">
        <f aca="false">Z43-Z44</f>
        <v>1427.82778542577</v>
      </c>
      <c r="AA45" s="144" t="n">
        <f aca="false">AA43-AA44</f>
        <v>5102.50418119426</v>
      </c>
      <c r="AB45" s="142" t="n">
        <f aca="false">AB43-AB44</f>
        <v>1738.6981384002</v>
      </c>
      <c r="AC45" s="142" t="n">
        <f aca="false">AC43-AC44</f>
        <v>1209.2789269618</v>
      </c>
      <c r="AD45" s="142" t="n">
        <f aca="false">AD43-AD44</f>
        <v>1113.13610799557</v>
      </c>
      <c r="AE45" s="142" t="n">
        <f aca="false">AE43-AE44</f>
        <v>1674.12825129068</v>
      </c>
      <c r="AF45" s="144" t="n">
        <f aca="false">AF43-AF44</f>
        <v>5735.24142464825</v>
      </c>
      <c r="AG45" s="142" t="n">
        <f aca="false">AG43-AG44</f>
        <v>2383.62611539348</v>
      </c>
      <c r="AH45" s="142" t="n">
        <f aca="false">AH43-AH44</f>
        <v>1801.10721743864</v>
      </c>
      <c r="AI45" s="142" t="n">
        <f aca="false">AI43-AI44</f>
        <v>1529.14263829984</v>
      </c>
      <c r="AJ45" s="142" t="n">
        <f aca="false">AJ43-AJ44</f>
        <v>2269.09733311986</v>
      </c>
      <c r="AK45" s="144" t="n">
        <f aca="false">AK43-AK44</f>
        <v>7982.97330425182</v>
      </c>
      <c r="AL45" s="142" t="n">
        <f aca="false">AL43-AL44</f>
        <v>2888.04607950025</v>
      </c>
      <c r="AM45" s="142" t="n">
        <f aca="false">AM43-AM44</f>
        <v>2246.63480195444</v>
      </c>
      <c r="AN45" s="142" t="n">
        <f aca="false">AN43-AN44</f>
        <v>1779.66790698788</v>
      </c>
      <c r="AO45" s="142" t="n">
        <f aca="false">AO43-AO44</f>
        <v>2718.10834077191</v>
      </c>
      <c r="AP45" s="144" t="n">
        <f aca="false">AP43-AP44</f>
        <v>9632.45712921449</v>
      </c>
    </row>
    <row r="46" s="102" customFormat="true" ht="15" hidden="false" customHeight="false" outlineLevel="0" collapsed="false">
      <c r="A46" s="111" t="s">
        <v>137</v>
      </c>
      <c r="B46" s="100" t="n">
        <f aca="false">B45/B9</f>
        <v>0.041108817457977</v>
      </c>
      <c r="C46" s="101" t="n">
        <f aca="false">C45/C11</f>
        <v>0.0825656694636995</v>
      </c>
      <c r="D46" s="101" t="n">
        <f aca="false">D45/D11</f>
        <v>0.113833333333333</v>
      </c>
      <c r="E46" s="101" t="n">
        <f aca="false">E45/E11</f>
        <v>0.113777441332324</v>
      </c>
      <c r="F46" s="101" t="n">
        <f aca="false">F45/F9</f>
        <v>0.109962573516307</v>
      </c>
      <c r="G46" s="100" t="n">
        <f aca="false">G45/G9</f>
        <v>0.0893023793229107</v>
      </c>
      <c r="H46" s="101" t="n">
        <f aca="false">H45/H9</f>
        <v>0.108996539792387</v>
      </c>
      <c r="I46" s="101" t="n">
        <f aca="false">I45/I9</f>
        <v>0.0930490584142977</v>
      </c>
      <c r="J46" s="101" t="n">
        <f aca="false">J45/J9</f>
        <v>0.0730428227273472</v>
      </c>
      <c r="K46" s="101" t="n">
        <f aca="false">K45/K9</f>
        <v>0.0989558346267813</v>
      </c>
      <c r="L46" s="100" t="n">
        <f aca="false">L45/L9</f>
        <v>0.0934454940465229</v>
      </c>
      <c r="M46" s="101" t="n">
        <f aca="false">M45/M9</f>
        <v>0.0232317944509683</v>
      </c>
      <c r="N46" s="101" t="n">
        <f aca="false">N45/N9</f>
        <v>-0.0530641336071926</v>
      </c>
      <c r="O46" s="101" t="n">
        <f aca="false">O45/O9</f>
        <v>0.0552868733317478</v>
      </c>
      <c r="P46" s="101" t="n">
        <f aca="false">P45/P9</f>
        <v>0.0921354004811071</v>
      </c>
      <c r="Q46" s="100" t="n">
        <f aca="false">Q45/Q9</f>
        <v>0.0326835108149431</v>
      </c>
      <c r="R46" s="101" t="n">
        <f aca="false">R45/R9</f>
        <v>0.201340252325483</v>
      </c>
      <c r="S46" s="101" t="n">
        <f aca="false">S45/S9</f>
        <v>0.0875037223238726</v>
      </c>
      <c r="T46" s="101" t="n">
        <f aca="false">T45/T9</f>
        <v>0.0959364994534861</v>
      </c>
      <c r="U46" s="101" t="n">
        <f aca="false">U45/U9</f>
        <v>0.108475757734323</v>
      </c>
      <c r="V46" s="149" t="n">
        <f aca="false">V45/V9</f>
        <v>0.119153593891923</v>
      </c>
      <c r="W46" s="101" t="n">
        <f aca="false">W45/W9</f>
        <v>0.128315403182993</v>
      </c>
      <c r="X46" s="101" t="n">
        <f aca="false">X45/X9</f>
        <v>0.0835209715785773</v>
      </c>
      <c r="Y46" s="101" t="n">
        <f aca="false">Y45/Y9</f>
        <v>0.0847444025794865</v>
      </c>
      <c r="Z46" s="101" t="n">
        <f aca="false">Z45/Z9</f>
        <v>0.102903269135687</v>
      </c>
      <c r="AA46" s="149" t="n">
        <f aca="false">AA45/AA9</f>
        <v>0.104531295674259</v>
      </c>
      <c r="AB46" s="101" t="n">
        <f aca="false">AB45/AB9</f>
        <v>0.124216451459209</v>
      </c>
      <c r="AC46" s="101" t="n">
        <f aca="false">AC45/AC9</f>
        <v>0.0843411248381671</v>
      </c>
      <c r="AD46" s="101" t="n">
        <f aca="false">AD45/AD9</f>
        <v>0.0742708881573653</v>
      </c>
      <c r="AE46" s="101" t="n">
        <f aca="false">AE45/AE9</f>
        <v>0.0973016899362469</v>
      </c>
      <c r="AF46" s="149" t="n">
        <f aca="false">AF45/AF9</f>
        <v>0.0947530030913188</v>
      </c>
      <c r="AG46" s="101" t="n">
        <f aca="false">AG45/AG9</f>
        <v>0.139583226715629</v>
      </c>
      <c r="AH46" s="101" t="n">
        <f aca="false">AH45/AH9</f>
        <v>0.102965715045461</v>
      </c>
      <c r="AI46" s="101" t="n">
        <f aca="false">AI45/AI9</f>
        <v>0.0836293101440065</v>
      </c>
      <c r="AJ46" s="101" t="n">
        <f aca="false">AJ45/AJ9</f>
        <v>0.108099815468276</v>
      </c>
      <c r="AK46" s="149" t="n">
        <f aca="false">AK45/AK9</f>
        <v>0.108105085699301</v>
      </c>
      <c r="AL46" s="101" t="n">
        <f aca="false">AL45/AL9</f>
        <v>0.140934711501347</v>
      </c>
      <c r="AM46" s="101" t="n">
        <f aca="false">AM45/AM9</f>
        <v>0.107029700300234</v>
      </c>
      <c r="AN46" s="101" t="n">
        <f aca="false">AN45/AN9</f>
        <v>0.0811088490695578</v>
      </c>
      <c r="AO46" s="101" t="n">
        <f aca="false">AO45/AO9</f>
        <v>0.107908919614388</v>
      </c>
      <c r="AP46" s="149" t="n">
        <f aca="false">AP45/AP9</f>
        <v>0.108701938045852</v>
      </c>
    </row>
    <row r="47" customFormat="false" ht="15" hidden="false" customHeight="false" outlineLevel="0" collapsed="false">
      <c r="A47" s="96"/>
      <c r="B47" s="141"/>
      <c r="C47" s="73"/>
      <c r="D47" s="73"/>
      <c r="E47" s="73"/>
      <c r="F47" s="73"/>
      <c r="G47" s="141"/>
      <c r="H47" s="105"/>
      <c r="I47" s="105"/>
      <c r="J47" s="105"/>
      <c r="K47" s="105"/>
      <c r="L47" s="141"/>
      <c r="M47" s="73"/>
      <c r="N47" s="73"/>
      <c r="O47" s="73"/>
      <c r="Q47" s="141"/>
      <c r="R47" s="73"/>
      <c r="S47" s="73"/>
      <c r="V47" s="144"/>
      <c r="AA47" s="156"/>
      <c r="AF47" s="144"/>
      <c r="AK47" s="144"/>
      <c r="AP47" s="144"/>
    </row>
    <row r="48" s="72" customFormat="true" ht="15" hidden="false" customHeight="false" outlineLevel="0" collapsed="false">
      <c r="A48" s="157" t="s">
        <v>184</v>
      </c>
      <c r="B48" s="133" t="n">
        <v>266.35</v>
      </c>
      <c r="C48" s="134" t="n">
        <v>266.35</v>
      </c>
      <c r="D48" s="134" t="n">
        <v>266.47</v>
      </c>
      <c r="E48" s="134" t="n">
        <v>266.74</v>
      </c>
      <c r="F48" s="134" t="n">
        <v>266.74</v>
      </c>
      <c r="G48" s="133" t="n">
        <v>266.74</v>
      </c>
      <c r="H48" s="152" t="n">
        <v>266.74</v>
      </c>
      <c r="I48" s="158" t="n">
        <v>268.697</v>
      </c>
      <c r="J48" s="134" t="n">
        <v>268.826</v>
      </c>
      <c r="K48" s="134" t="n">
        <v>268.826</v>
      </c>
      <c r="L48" s="133" t="n">
        <v>268.826</v>
      </c>
      <c r="M48" s="134" t="n">
        <v>268.826</v>
      </c>
      <c r="N48" s="134" t="n">
        <v>268.826</v>
      </c>
      <c r="O48" s="134" t="n">
        <v>268.826</v>
      </c>
      <c r="P48" s="134" t="n">
        <v>268.826</v>
      </c>
      <c r="Q48" s="133" t="n">
        <v>268.826</v>
      </c>
      <c r="R48" s="134" t="n">
        <v>268.826</v>
      </c>
      <c r="S48" s="148" t="n">
        <f aca="false">R48</f>
        <v>268.826</v>
      </c>
      <c r="T48" s="148" t="n">
        <f aca="false">S48</f>
        <v>268.826</v>
      </c>
      <c r="U48" s="148" t="n">
        <f aca="false">T48</f>
        <v>268.826</v>
      </c>
      <c r="V48" s="159" t="n">
        <f aca="false">U48</f>
        <v>268.826</v>
      </c>
      <c r="W48" s="148" t="n">
        <f aca="false">V48</f>
        <v>268.826</v>
      </c>
      <c r="X48" s="148" t="n">
        <f aca="false">'Balance Sheet'!$G$12</f>
        <v>291.07616</v>
      </c>
      <c r="Y48" s="148" t="n">
        <f aca="false">X48</f>
        <v>291.07616</v>
      </c>
      <c r="Z48" s="148" t="n">
        <f aca="false">Y48</f>
        <v>291.07616</v>
      </c>
      <c r="AA48" s="159" t="n">
        <f aca="false">Z48</f>
        <v>291.07616</v>
      </c>
      <c r="AB48" s="148" t="n">
        <f aca="false">AA48</f>
        <v>291.07616</v>
      </c>
      <c r="AC48" s="148" t="n">
        <f aca="false">AB48</f>
        <v>291.07616</v>
      </c>
      <c r="AD48" s="148" t="n">
        <f aca="false">AC48</f>
        <v>291.07616</v>
      </c>
      <c r="AE48" s="148" t="n">
        <f aca="false">AD48</f>
        <v>291.07616</v>
      </c>
      <c r="AF48" s="159" t="n">
        <f aca="false">AE48</f>
        <v>291.07616</v>
      </c>
      <c r="AG48" s="148" t="n">
        <f aca="false">AF48</f>
        <v>291.07616</v>
      </c>
      <c r="AH48" s="148" t="n">
        <f aca="false">AG48</f>
        <v>291.07616</v>
      </c>
      <c r="AI48" s="148" t="n">
        <f aca="false">AH48</f>
        <v>291.07616</v>
      </c>
      <c r="AJ48" s="148" t="n">
        <f aca="false">AI48</f>
        <v>291.07616</v>
      </c>
      <c r="AK48" s="159" t="n">
        <f aca="false">AJ48</f>
        <v>291.07616</v>
      </c>
      <c r="AL48" s="148" t="n">
        <f aca="false">AK48</f>
        <v>291.07616</v>
      </c>
      <c r="AM48" s="148" t="n">
        <f aca="false">AL48</f>
        <v>291.07616</v>
      </c>
      <c r="AN48" s="148" t="n">
        <f aca="false">AM48</f>
        <v>291.07616</v>
      </c>
      <c r="AO48" s="148" t="n">
        <f aca="false">AN48</f>
        <v>291.07616</v>
      </c>
      <c r="AP48" s="159" t="n">
        <f aca="false">AO48</f>
        <v>291.07616</v>
      </c>
    </row>
    <row r="49" customFormat="false" ht="15" hidden="false" customHeight="false" outlineLevel="0" collapsed="false">
      <c r="A49" s="136" t="s">
        <v>185</v>
      </c>
      <c r="B49" s="117"/>
      <c r="C49" s="73"/>
      <c r="D49" s="73"/>
      <c r="E49" s="73"/>
      <c r="F49" s="73"/>
      <c r="G49" s="117"/>
      <c r="H49" s="155"/>
      <c r="I49" s="73"/>
      <c r="J49" s="73"/>
      <c r="K49" s="73"/>
      <c r="L49" s="117"/>
      <c r="M49" s="73"/>
      <c r="N49" s="73"/>
      <c r="O49" s="73"/>
      <c r="Q49" s="117"/>
      <c r="R49" s="73"/>
      <c r="S49" s="73"/>
      <c r="V49" s="135"/>
      <c r="AA49" s="135"/>
      <c r="AF49" s="135"/>
      <c r="AK49" s="135"/>
      <c r="AP49" s="135"/>
    </row>
    <row r="50" customFormat="false" ht="15" hidden="false" customHeight="false" outlineLevel="0" collapsed="false">
      <c r="B50" s="117"/>
      <c r="C50" s="73"/>
      <c r="D50" s="73"/>
      <c r="E50" s="73"/>
      <c r="F50" s="73"/>
      <c r="G50" s="117"/>
      <c r="H50" s="155"/>
      <c r="I50" s="73"/>
      <c r="J50" s="73"/>
      <c r="K50" s="73"/>
      <c r="L50" s="117"/>
      <c r="M50" s="73"/>
      <c r="N50" s="73"/>
      <c r="O50" s="73"/>
      <c r="Q50" s="117"/>
      <c r="R50" s="73"/>
      <c r="S50" s="160"/>
      <c r="T50" s="65"/>
      <c r="V50" s="135"/>
      <c r="AA50" s="135"/>
      <c r="AF50" s="135"/>
      <c r="AK50" s="135"/>
      <c r="AP50" s="135"/>
    </row>
    <row r="51" customFormat="false" ht="15" hidden="false" customHeight="false" outlineLevel="0" collapsed="false">
      <c r="A51" s="0" t="s">
        <v>186</v>
      </c>
      <c r="B51" s="133" t="n">
        <v>13.28</v>
      </c>
      <c r="C51" s="134" t="n">
        <v>6.8</v>
      </c>
      <c r="D51" s="134" t="n">
        <v>10.25</v>
      </c>
      <c r="E51" s="134" t="n">
        <v>11.28</v>
      </c>
      <c r="F51" s="134" t="n">
        <v>11.57</v>
      </c>
      <c r="G51" s="133" t="n">
        <v>37.7</v>
      </c>
      <c r="H51" s="152" t="n">
        <v>11.57</v>
      </c>
      <c r="I51" s="134" t="n">
        <v>11.56</v>
      </c>
      <c r="J51" s="134" t="n">
        <v>8.29</v>
      </c>
      <c r="K51" s="134" t="n">
        <v>13.04</v>
      </c>
      <c r="L51" s="133" t="n">
        <v>44.46</v>
      </c>
      <c r="M51" s="134" t="n">
        <v>3.06</v>
      </c>
      <c r="N51" s="134" t="n">
        <v>-7.15</v>
      </c>
      <c r="O51" s="134" t="n">
        <v>7.78</v>
      </c>
      <c r="P51" s="134" t="n">
        <v>14.89</v>
      </c>
      <c r="Q51" s="133" t="n">
        <v>18.58</v>
      </c>
      <c r="R51" s="134" t="n">
        <v>30.98</v>
      </c>
      <c r="S51" s="73" t="n">
        <f aca="false">S45/S54</f>
        <v>16.8826415214973</v>
      </c>
      <c r="T51" s="73" t="n">
        <f aca="false">T45/T54</f>
        <v>18.5096300601449</v>
      </c>
      <c r="U51" s="73" t="n">
        <f aca="false">U45/U54</f>
        <v>20.9289077420394</v>
      </c>
      <c r="V51" s="135" t="n">
        <f aca="false">V45/V54</f>
        <v>87.3011793236815</v>
      </c>
      <c r="W51" s="73" t="n">
        <f aca="false">W45/W54</f>
        <v>26.9587525470891</v>
      </c>
      <c r="X51" s="73" t="n">
        <f aca="false">X45/X54</f>
        <v>16.5982203597644</v>
      </c>
      <c r="Y51" s="73" t="n">
        <f aca="false">Y45/Y54</f>
        <v>17.6043327124615</v>
      </c>
      <c r="Z51" s="73" t="n">
        <f aca="false">Z45/Z54</f>
        <v>24.5401044251123</v>
      </c>
      <c r="AA51" s="135" t="n">
        <f aca="false">AA45/AA54</f>
        <v>89.4083887899626</v>
      </c>
      <c r="AB51" s="73" t="n">
        <f aca="false">AB45/AB54</f>
        <v>29.8830393382253</v>
      </c>
      <c r="AC51" s="73" t="n">
        <f aca="false">AC45/AC54</f>
        <v>20.7839008665049</v>
      </c>
      <c r="AD51" s="73" t="n">
        <f aca="false">AD45/AD54</f>
        <v>19.1314923328998</v>
      </c>
      <c r="AE51" s="73" t="n">
        <f aca="false">AE45/AE54</f>
        <v>28.7732754097184</v>
      </c>
      <c r="AF51" s="135" t="n">
        <f aca="false">AF45/AF54</f>
        <v>98.5717079473484</v>
      </c>
      <c r="AG51" s="73" t="n">
        <f aca="false">AG45/AG54</f>
        <v>40.9674292510972</v>
      </c>
      <c r="AH51" s="73" t="n">
        <f aca="false">AH45/AH54</f>
        <v>30.9556654156213</v>
      </c>
      <c r="AI51" s="73" t="n">
        <f aca="false">AI45/AI54</f>
        <v>26.2814048079195</v>
      </c>
      <c r="AJ51" s="73" t="n">
        <f aca="false">AJ45/AJ54</f>
        <v>38.9990208020086</v>
      </c>
      <c r="AK51" s="135" t="n">
        <f aca="false">AK45/AK54</f>
        <v>137.203520276647</v>
      </c>
      <c r="AL51" s="73" t="n">
        <f aca="false">AL45/AL54</f>
        <v>49.6369051638386</v>
      </c>
      <c r="AM51" s="73" t="n">
        <f aca="false">AM45/AM54</f>
        <v>38.6129568340157</v>
      </c>
      <c r="AN51" s="73" t="n">
        <f aca="false">AN45/AN54</f>
        <v>30.5871875623156</v>
      </c>
      <c r="AO51" s="73" t="n">
        <f aca="false">AO45/AO54</f>
        <v>46.7161818828321</v>
      </c>
      <c r="AP51" s="135" t="n">
        <f aca="false">AP45/AP54</f>
        <v>165.553231443002</v>
      </c>
    </row>
    <row r="52" s="74" customFormat="true" ht="15" hidden="false" customHeight="false" outlineLevel="0" collapsed="false">
      <c r="A52" s="74" t="s">
        <v>138</v>
      </c>
      <c r="B52" s="161" t="n">
        <v>12.52</v>
      </c>
      <c r="C52" s="162" t="n">
        <v>5.73</v>
      </c>
      <c r="D52" s="162" t="n">
        <v>7.99</v>
      </c>
      <c r="E52" s="162" t="n">
        <v>8.79</v>
      </c>
      <c r="F52" s="162" t="n">
        <v>9.13</v>
      </c>
      <c r="G52" s="161" t="n">
        <v>30.27</v>
      </c>
      <c r="H52" s="163" t="n">
        <v>9.13</v>
      </c>
      <c r="I52" s="162" t="n">
        <v>9.19</v>
      </c>
      <c r="J52" s="162" t="n">
        <v>6.59</v>
      </c>
      <c r="K52" s="162" t="n">
        <v>10.37</v>
      </c>
      <c r="L52" s="161" t="n">
        <v>35.33</v>
      </c>
      <c r="M52" s="162" t="n">
        <v>2.43</v>
      </c>
      <c r="N52" s="162" t="n">
        <v>-7.15</v>
      </c>
      <c r="O52" s="162" t="n">
        <v>6.19</v>
      </c>
      <c r="P52" s="162" t="n">
        <v>12.37</v>
      </c>
      <c r="Q52" s="161" t="n">
        <v>15.43</v>
      </c>
      <c r="R52" s="162" t="n">
        <v>25.76</v>
      </c>
      <c r="S52" s="142" t="n">
        <f aca="false">S45/S55</f>
        <v>14.0379872690049</v>
      </c>
      <c r="T52" s="142" t="n">
        <f aca="false">T45/T55</f>
        <v>15.3908350661502</v>
      </c>
      <c r="U52" s="142" t="n">
        <f aca="false">U45/U55</f>
        <v>17.4024746105531</v>
      </c>
      <c r="V52" s="144" t="n">
        <f aca="false">V45/V55</f>
        <v>72.591296945708</v>
      </c>
      <c r="W52" s="142" t="n">
        <f aca="false">W45/W55</f>
        <v>22.4163158687223</v>
      </c>
      <c r="X52" s="142" t="n">
        <f aca="false">X45/X55</f>
        <v>14.9459322005408</v>
      </c>
      <c r="Y52" s="142" t="n">
        <f aca="false">Y45/Y55</f>
        <v>15.8518899890029</v>
      </c>
      <c r="Z52" s="142" t="n">
        <f aca="false">Z45/Z55</f>
        <v>22.0972326539909</v>
      </c>
      <c r="AA52" s="144" t="n">
        <f aca="false">AA45/AA55</f>
        <v>78.9669616747156</v>
      </c>
      <c r="AB52" s="142" t="n">
        <f aca="false">AB45/AB55</f>
        <v>29.8830393382253</v>
      </c>
      <c r="AC52" s="142" t="n">
        <f aca="false">AC45/AC55</f>
        <v>20.7839008665049</v>
      </c>
      <c r="AD52" s="142" t="n">
        <f aca="false">AD45/AD55</f>
        <v>19.1314923328999</v>
      </c>
      <c r="AE52" s="142" t="n">
        <f aca="false">AE45/AE55</f>
        <v>28.7732754097184</v>
      </c>
      <c r="AF52" s="144" t="n">
        <f aca="false">AF45/AF55</f>
        <v>98.5717079473484</v>
      </c>
      <c r="AG52" s="142" t="n">
        <f aca="false">AG45/AG55</f>
        <v>40.9674292510972</v>
      </c>
      <c r="AH52" s="142" t="n">
        <f aca="false">AH45/AH55</f>
        <v>30.9556654156213</v>
      </c>
      <c r="AI52" s="142" t="n">
        <f aca="false">AI45/AI55</f>
        <v>26.2814048079195</v>
      </c>
      <c r="AJ52" s="142" t="n">
        <f aca="false">AJ45/AJ55</f>
        <v>38.9990208020086</v>
      </c>
      <c r="AK52" s="144" t="n">
        <f aca="false">AK45/AK55</f>
        <v>137.203520276647</v>
      </c>
      <c r="AL52" s="142" t="n">
        <f aca="false">AL45/AL55</f>
        <v>49.6369051638386</v>
      </c>
      <c r="AM52" s="142" t="n">
        <f aca="false">AM45/AM55</f>
        <v>38.6129568340158</v>
      </c>
      <c r="AN52" s="142" t="n">
        <f aca="false">AN45/AN55</f>
        <v>30.5871875623156</v>
      </c>
      <c r="AO52" s="142" t="n">
        <f aca="false">AO45/AO55</f>
        <v>46.7161818828321</v>
      </c>
      <c r="AP52" s="144" t="n">
        <f aca="false">AP45/AP55</f>
        <v>165.553231443002</v>
      </c>
    </row>
    <row r="53" customFormat="false" ht="15" hidden="false" customHeight="false" outlineLevel="0" collapsed="false">
      <c r="B53" s="117"/>
      <c r="C53" s="73"/>
      <c r="D53" s="73"/>
      <c r="E53" s="73"/>
      <c r="F53" s="73"/>
      <c r="G53" s="117"/>
      <c r="H53" s="155"/>
      <c r="I53" s="73"/>
      <c r="J53" s="73"/>
      <c r="K53" s="73"/>
      <c r="L53" s="117"/>
      <c r="M53" s="73"/>
      <c r="N53" s="73"/>
      <c r="O53" s="73"/>
      <c r="Q53" s="117"/>
      <c r="R53" s="73"/>
      <c r="S53" s="73"/>
      <c r="V53" s="135"/>
      <c r="AA53" s="135"/>
      <c r="AF53" s="135"/>
      <c r="AK53" s="135"/>
      <c r="AP53" s="135"/>
    </row>
    <row r="54" customFormat="false" ht="15" hidden="false" customHeight="false" outlineLevel="0" collapsed="false">
      <c r="A54" s="0" t="s">
        <v>187</v>
      </c>
      <c r="B54" s="164" t="n">
        <f aca="false">B45/B51</f>
        <v>52.4849397590362</v>
      </c>
      <c r="C54" s="160" t="n">
        <f aca="false">C45/C51</f>
        <v>53.2500000000001</v>
      </c>
      <c r="D54" s="160" t="n">
        <f aca="false">D45/D51</f>
        <v>53.3073170731707</v>
      </c>
      <c r="E54" s="160" t="n">
        <f aca="false">E45/E51</f>
        <v>53.2978723404255</v>
      </c>
      <c r="F54" s="160" t="n">
        <f aca="false">F45/F51</f>
        <v>53.3275713050994</v>
      </c>
      <c r="G54" s="164" t="n">
        <f aca="false">G45/G51</f>
        <v>53.3023872679045</v>
      </c>
      <c r="H54" s="160" t="n">
        <f aca="false">H45/H51</f>
        <v>53.362143474503</v>
      </c>
      <c r="I54" s="160" t="n">
        <f aca="false">I45/I51</f>
        <v>53.6851211072664</v>
      </c>
      <c r="J54" s="160" t="n">
        <f aca="false">J45/J51</f>
        <v>53.7635705669481</v>
      </c>
      <c r="K54" s="160" t="n">
        <f aca="false">K45/K51</f>
        <v>53.7806748466257</v>
      </c>
      <c r="L54" s="164" t="n">
        <f aca="false">L45/L51</f>
        <v>53.6437246963562</v>
      </c>
      <c r="M54" s="160" t="n">
        <f aca="false">M45/M51</f>
        <v>53.6601307189539</v>
      </c>
      <c r="N54" s="160" t="n">
        <f aca="false">N45/N51</f>
        <v>53.7300699300699</v>
      </c>
      <c r="O54" s="160" t="n">
        <f aca="false">O45/O51</f>
        <v>53.7789203084834</v>
      </c>
      <c r="P54" s="160" t="n">
        <f aca="false">P45/P51</f>
        <v>53.7609133646744</v>
      </c>
      <c r="Q54" s="164" t="n">
        <f aca="false">Q45/Q51</f>
        <v>53.7637244348763</v>
      </c>
      <c r="R54" s="160" t="n">
        <f aca="false">R45/R51</f>
        <v>53.7282117495158</v>
      </c>
      <c r="S54" s="165" t="n">
        <f aca="false">R54</f>
        <v>53.7282117495158</v>
      </c>
      <c r="T54" s="165" t="n">
        <f aca="false">S54</f>
        <v>53.7282117495158</v>
      </c>
      <c r="U54" s="165" t="n">
        <f aca="false">T54</f>
        <v>53.7282117495158</v>
      </c>
      <c r="V54" s="166" t="n">
        <f aca="false">AVERAGE($R$54:$U$54)</f>
        <v>53.7282117495158</v>
      </c>
      <c r="W54" s="167" t="n">
        <f aca="false">U54</f>
        <v>53.7282117495158</v>
      </c>
      <c r="X54" s="167" t="n">
        <f aca="false">W54+'Debt Schedule'!$B$210</f>
        <v>58.1834437495158</v>
      </c>
      <c r="Y54" s="167" t="n">
        <f aca="false">X54</f>
        <v>58.1834437495158</v>
      </c>
      <c r="Z54" s="167" t="n">
        <f aca="false">Y54</f>
        <v>58.1834437495158</v>
      </c>
      <c r="AA54" s="166" t="n">
        <f aca="false">AVERAGE($W$54:$Z$54)</f>
        <v>57.0696357495158</v>
      </c>
      <c r="AB54" s="167" t="n">
        <f aca="false">Z54</f>
        <v>58.1834437495158</v>
      </c>
      <c r="AC54" s="167" t="n">
        <f aca="false">AB54</f>
        <v>58.1834437495158</v>
      </c>
      <c r="AD54" s="167" t="n">
        <f aca="false">AC54</f>
        <v>58.1834437495158</v>
      </c>
      <c r="AE54" s="167" t="n">
        <f aca="false">AD54</f>
        <v>58.1834437495158</v>
      </c>
      <c r="AF54" s="168" t="n">
        <f aca="false">AVERAGE($AB$54:$AE$54)</f>
        <v>58.1834437495158</v>
      </c>
      <c r="AG54" s="167" t="n">
        <f aca="false">AE54</f>
        <v>58.1834437495158</v>
      </c>
      <c r="AH54" s="167" t="n">
        <f aca="false">AG54</f>
        <v>58.1834437495158</v>
      </c>
      <c r="AI54" s="167" t="n">
        <f aca="false">AH54</f>
        <v>58.1834437495158</v>
      </c>
      <c r="AJ54" s="167" t="n">
        <f aca="false">AI54</f>
        <v>58.1834437495158</v>
      </c>
      <c r="AK54" s="166" t="n">
        <f aca="false">AVERAGE($AG$54:$AJ$54)</f>
        <v>58.1834437495158</v>
      </c>
      <c r="AL54" s="167" t="n">
        <f aca="false">AJ54</f>
        <v>58.1834437495158</v>
      </c>
      <c r="AM54" s="167" t="n">
        <f aca="false">AL54</f>
        <v>58.1834437495158</v>
      </c>
      <c r="AN54" s="167" t="n">
        <f aca="false">AM54</f>
        <v>58.1834437495158</v>
      </c>
      <c r="AO54" s="167" t="n">
        <f aca="false">AN54</f>
        <v>58.1834437495158</v>
      </c>
      <c r="AP54" s="166" t="n">
        <f aca="false">AVERAGE($AL$54:$AO$54)</f>
        <v>58.1834437495158</v>
      </c>
    </row>
    <row r="55" s="74" customFormat="true" ht="15" hidden="false" customHeight="false" outlineLevel="0" collapsed="false">
      <c r="A55" s="74" t="s">
        <v>188</v>
      </c>
      <c r="B55" s="169" t="n">
        <f aca="false">B45/B52</f>
        <v>55.6709265175719</v>
      </c>
      <c r="C55" s="170" t="n">
        <f aca="false">C45/C52</f>
        <v>63.193717277487</v>
      </c>
      <c r="D55" s="170" t="n">
        <f aca="false">D45/D52</f>
        <v>68.3854818523154</v>
      </c>
      <c r="E55" s="170" t="n">
        <f aca="false">E45/E52</f>
        <v>68.3959044368601</v>
      </c>
      <c r="F55" s="170" t="n">
        <f aca="false">F45/F52</f>
        <v>67.579408543264</v>
      </c>
      <c r="G55" s="169" t="n">
        <f aca="false">G45/G52</f>
        <v>66.385860588041</v>
      </c>
      <c r="H55" s="170" t="n">
        <f aca="false">H45/H52</f>
        <v>67.6232201533406</v>
      </c>
      <c r="I55" s="170" t="n">
        <f aca="false">I45/I52</f>
        <v>67.5299238302503</v>
      </c>
      <c r="J55" s="170" t="n">
        <f aca="false">J45/J52</f>
        <v>67.6327769347496</v>
      </c>
      <c r="K55" s="170" t="n">
        <f aca="false">K45/K52</f>
        <v>67.6277724204435</v>
      </c>
      <c r="L55" s="169" t="n">
        <f aca="false">L45/L52</f>
        <v>67.5063685253326</v>
      </c>
      <c r="M55" s="170" t="n">
        <f aca="false">M45/M52</f>
        <v>67.572016460905</v>
      </c>
      <c r="N55" s="170" t="n">
        <f aca="false">N45/N52</f>
        <v>53.7300699300699</v>
      </c>
      <c r="O55" s="170" t="n">
        <f aca="false">O45/O52</f>
        <v>67.5928917609048</v>
      </c>
      <c r="P55" s="170" t="n">
        <f aca="false">P45/P52</f>
        <v>64.7130153597415</v>
      </c>
      <c r="Q55" s="169" t="n">
        <f aca="false">Q45/Q52</f>
        <v>64.7394685677254</v>
      </c>
      <c r="R55" s="170" t="n">
        <f aca="false">R45/R52</f>
        <v>64.6156832298137</v>
      </c>
      <c r="S55" s="171" t="n">
        <f aca="false">R55</f>
        <v>64.6156832298137</v>
      </c>
      <c r="T55" s="171" t="n">
        <f aca="false">S55</f>
        <v>64.6156832298137</v>
      </c>
      <c r="U55" s="171" t="n">
        <f aca="false">T55</f>
        <v>64.6156832298137</v>
      </c>
      <c r="V55" s="168" t="n">
        <f aca="false">AVERAGE($R$55:$U$55)</f>
        <v>64.6156832298137</v>
      </c>
      <c r="W55" s="172" t="n">
        <f aca="false">U55</f>
        <v>64.6156832298137</v>
      </c>
      <c r="X55" s="172" t="n">
        <f aca="false">W55</f>
        <v>64.6156832298137</v>
      </c>
      <c r="Y55" s="172" t="n">
        <f aca="false">X55</f>
        <v>64.6156832298137</v>
      </c>
      <c r="Z55" s="172" t="n">
        <f aca="false">Y55</f>
        <v>64.6156832298137</v>
      </c>
      <c r="AA55" s="168" t="n">
        <f aca="false">AVERAGE($W$55:$Z$55)</f>
        <v>64.6156832298137</v>
      </c>
      <c r="AB55" s="172" t="n">
        <v>58.1834437495158</v>
      </c>
      <c r="AC55" s="172" t="n">
        <f aca="false">AB55</f>
        <v>58.1834437495158</v>
      </c>
      <c r="AD55" s="172" t="n">
        <f aca="false">AC55</f>
        <v>58.1834437495158</v>
      </c>
      <c r="AE55" s="172" t="n">
        <f aca="false">AD55</f>
        <v>58.1834437495158</v>
      </c>
      <c r="AF55" s="168" t="n">
        <f aca="false">AVERAGE($AB$55:$AE$55)</f>
        <v>58.1834437495158</v>
      </c>
      <c r="AG55" s="172" t="n">
        <f aca="false">AE55</f>
        <v>58.1834437495158</v>
      </c>
      <c r="AH55" s="172" t="n">
        <f aca="false">AG55</f>
        <v>58.1834437495158</v>
      </c>
      <c r="AI55" s="172" t="n">
        <f aca="false">AH55</f>
        <v>58.1834437495158</v>
      </c>
      <c r="AJ55" s="172" t="n">
        <f aca="false">AI55</f>
        <v>58.1834437495158</v>
      </c>
      <c r="AK55" s="168" t="n">
        <f aca="false">AVERAGE($AG$55:$AJ$55)</f>
        <v>58.1834437495158</v>
      </c>
      <c r="AL55" s="172" t="n">
        <f aca="false">AJ55</f>
        <v>58.1834437495158</v>
      </c>
      <c r="AM55" s="172" t="n">
        <f aca="false">AL55</f>
        <v>58.1834437495158</v>
      </c>
      <c r="AN55" s="172" t="n">
        <f aca="false">AM55</f>
        <v>58.1834437495158</v>
      </c>
      <c r="AO55" s="172" t="n">
        <f aca="false">AN55</f>
        <v>58.1834437495158</v>
      </c>
      <c r="AP55" s="168" t="n">
        <f aca="false">AVERAGE($AL$55:$AO$55)</f>
        <v>58.1834437495158</v>
      </c>
    </row>
    <row r="56" customFormat="false" ht="15" hidden="false" customHeight="false" outlineLevel="0" collapsed="false">
      <c r="B56" s="164"/>
      <c r="C56" s="73"/>
      <c r="D56" s="73"/>
      <c r="E56" s="73"/>
      <c r="F56" s="73"/>
      <c r="G56" s="164"/>
      <c r="H56" s="155"/>
      <c r="I56" s="73"/>
      <c r="J56" s="73"/>
      <c r="K56" s="73"/>
      <c r="L56" s="164"/>
      <c r="M56" s="73"/>
      <c r="N56" s="73"/>
      <c r="O56" s="73"/>
      <c r="P56" s="73"/>
      <c r="Q56" s="164"/>
      <c r="R56" s="73"/>
      <c r="V56" s="173"/>
      <c r="AA56" s="174"/>
      <c r="AF56" s="173"/>
      <c r="AK56" s="173"/>
      <c r="AP56" s="173"/>
    </row>
    <row r="57" customFormat="false" ht="15" hidden="false" customHeight="false" outlineLevel="0" collapsed="false">
      <c r="B57" s="117"/>
      <c r="G57" s="117"/>
      <c r="H57" s="61"/>
      <c r="L57" s="117"/>
      <c r="M57" s="65"/>
      <c r="N57" s="65"/>
      <c r="O57" s="65"/>
      <c r="P57" s="65"/>
      <c r="Q57" s="117"/>
      <c r="R57" s="121"/>
      <c r="V57" s="135"/>
      <c r="AA57" s="175"/>
      <c r="AF57" s="135"/>
      <c r="AK57" s="135"/>
      <c r="AP57" s="135"/>
    </row>
    <row r="58" customFormat="false" ht="15" hidden="false" customHeight="false" outlineLevel="0" collapsed="false">
      <c r="A58" s="33" t="s">
        <v>189</v>
      </c>
      <c r="B58" s="64"/>
      <c r="G58" s="64"/>
      <c r="H58" s="61"/>
      <c r="L58" s="64"/>
      <c r="Q58" s="64"/>
      <c r="V58" s="131"/>
      <c r="AA58" s="131"/>
      <c r="AF58" s="131"/>
      <c r="AK58" s="131"/>
      <c r="AP58" s="131"/>
    </row>
    <row r="59" customFormat="false" ht="15" hidden="false" customHeight="false" outlineLevel="0" collapsed="false">
      <c r="B59" s="64"/>
      <c r="G59" s="64"/>
      <c r="L59" s="64"/>
      <c r="Q59" s="64"/>
      <c r="V59" s="131"/>
      <c r="AA59" s="131"/>
      <c r="AF59" s="131"/>
      <c r="AK59" s="131"/>
      <c r="AP59" s="131"/>
    </row>
    <row r="60" customFormat="false" ht="15" hidden="false" customHeight="false" outlineLevel="0" collapsed="false">
      <c r="A60" s="0" t="s">
        <v>173</v>
      </c>
      <c r="B60" s="66" t="n">
        <f aca="false">B30</f>
        <v>0</v>
      </c>
      <c r="C60" s="130" t="n">
        <f aca="false">-C24</f>
        <v>-171.1</v>
      </c>
      <c r="D60" s="130" t="n">
        <f aca="false">-D24</f>
        <v>-267</v>
      </c>
      <c r="E60" s="130" t="n">
        <f aca="false">-E24</f>
        <v>-263.3</v>
      </c>
      <c r="F60" s="130" t="n">
        <f aca="false">F30</f>
        <v>-294</v>
      </c>
      <c r="G60" s="66" t="n">
        <f aca="false">SUM(C60:F60)</f>
        <v>-995.4</v>
      </c>
      <c r="H60" s="130" t="n">
        <f aca="false">-H24</f>
        <v>-335.3</v>
      </c>
      <c r="I60" s="130" t="n">
        <f aca="false">I30</f>
        <v>-225.7</v>
      </c>
      <c r="J60" s="130" t="n">
        <f aca="false">-J24</f>
        <v>-175.2</v>
      </c>
      <c r="K60" s="130" t="n">
        <f aca="false">-K24</f>
        <v>-405.8</v>
      </c>
      <c r="L60" s="66" t="n">
        <f aca="false">SUM(H60:K60)</f>
        <v>-1142</v>
      </c>
      <c r="M60" s="130" t="n">
        <f aca="false">M30</f>
        <v>537.1</v>
      </c>
      <c r="N60" s="130" t="n">
        <f aca="false">N30</f>
        <v>1051</v>
      </c>
      <c r="O60" s="130" t="n">
        <f aca="false">O30</f>
        <v>570.5</v>
      </c>
      <c r="P60" s="130" t="n">
        <f aca="false">P30</f>
        <v>388.1</v>
      </c>
      <c r="Q60" s="66" t="n">
        <f aca="false">Q30</f>
        <v>2546.7</v>
      </c>
      <c r="R60" s="130" t="n">
        <f aca="false">R30</f>
        <v>-575.4</v>
      </c>
      <c r="S60" s="130" t="n">
        <v>0</v>
      </c>
      <c r="T60" s="130" t="n">
        <v>0</v>
      </c>
      <c r="U60" s="130" t="n">
        <v>0</v>
      </c>
      <c r="V60" s="153" t="n">
        <v>0</v>
      </c>
      <c r="W60" s="130" t="n">
        <v>0</v>
      </c>
      <c r="X60" s="130" t="n">
        <v>0</v>
      </c>
      <c r="Y60" s="130" t="n">
        <v>0</v>
      </c>
      <c r="Z60" s="130" t="n">
        <v>0</v>
      </c>
      <c r="AA60" s="153" t="n">
        <v>0</v>
      </c>
      <c r="AB60" s="130" t="n">
        <v>0</v>
      </c>
      <c r="AC60" s="130" t="n">
        <v>0</v>
      </c>
      <c r="AD60" s="130" t="n">
        <v>0</v>
      </c>
      <c r="AE60" s="130" t="n">
        <v>0</v>
      </c>
      <c r="AF60" s="153" t="n">
        <v>0</v>
      </c>
      <c r="AG60" s="130" t="n">
        <v>0</v>
      </c>
      <c r="AH60" s="130" t="n">
        <v>0</v>
      </c>
      <c r="AI60" s="130" t="n">
        <v>0</v>
      </c>
      <c r="AJ60" s="130" t="n">
        <v>0</v>
      </c>
      <c r="AK60" s="153" t="n">
        <v>0</v>
      </c>
      <c r="AL60" s="130" t="n">
        <v>0</v>
      </c>
      <c r="AM60" s="130" t="n">
        <v>0</v>
      </c>
      <c r="AN60" s="130" t="n">
        <v>0</v>
      </c>
      <c r="AO60" s="130" t="n">
        <v>0</v>
      </c>
      <c r="AP60" s="153" t="n">
        <v>0</v>
      </c>
    </row>
    <row r="61" customFormat="false" ht="15" hidden="false" customHeight="false" outlineLevel="0" collapsed="false">
      <c r="A61" s="0" t="s">
        <v>174</v>
      </c>
      <c r="B61" s="66" t="n">
        <f aca="false">-B31</f>
        <v>-309.8</v>
      </c>
      <c r="C61" s="130" t="n">
        <f aca="false">C31</f>
        <v>0</v>
      </c>
      <c r="D61" s="130" t="n">
        <f aca="false">D31</f>
        <v>0</v>
      </c>
      <c r="E61" s="130" t="n">
        <f aca="false">E31</f>
        <v>0</v>
      </c>
      <c r="F61" s="130" t="n">
        <f aca="false">F31</f>
        <v>0</v>
      </c>
      <c r="G61" s="66" t="n">
        <f aca="false">G31</f>
        <v>0</v>
      </c>
      <c r="H61" s="130" t="n">
        <f aca="false">H31</f>
        <v>0</v>
      </c>
      <c r="I61" s="130" t="n">
        <f aca="false">I31</f>
        <v>0</v>
      </c>
      <c r="J61" s="130" t="n">
        <f aca="false">J31</f>
        <v>0</v>
      </c>
      <c r="K61" s="130" t="n">
        <f aca="false">K31</f>
        <v>0</v>
      </c>
      <c r="L61" s="66" t="n">
        <f aca="false">L31</f>
        <v>0</v>
      </c>
      <c r="M61" s="130" t="n">
        <f aca="false">M31</f>
        <v>0</v>
      </c>
      <c r="N61" s="130" t="n">
        <f aca="false">N31</f>
        <v>0</v>
      </c>
      <c r="O61" s="130" t="n">
        <f aca="false">O31</f>
        <v>0</v>
      </c>
      <c r="P61" s="130" t="n">
        <f aca="false">P31</f>
        <v>0</v>
      </c>
      <c r="Q61" s="66" t="n">
        <f aca="false">Q31</f>
        <v>0</v>
      </c>
      <c r="R61" s="130" t="n">
        <f aca="false">R31</f>
        <v>0</v>
      </c>
      <c r="S61" s="130" t="n">
        <v>0</v>
      </c>
      <c r="T61" s="130" t="n">
        <v>0</v>
      </c>
      <c r="U61" s="130" t="n">
        <v>0</v>
      </c>
      <c r="V61" s="153" t="n">
        <v>0</v>
      </c>
      <c r="W61" s="130" t="n">
        <v>0</v>
      </c>
      <c r="X61" s="130" t="n">
        <v>0</v>
      </c>
      <c r="Y61" s="130" t="n">
        <v>0</v>
      </c>
      <c r="Z61" s="130" t="n">
        <v>0</v>
      </c>
      <c r="AA61" s="153" t="n">
        <v>0</v>
      </c>
      <c r="AB61" s="130" t="n">
        <v>0</v>
      </c>
      <c r="AC61" s="130" t="n">
        <v>0</v>
      </c>
      <c r="AD61" s="130" t="n">
        <v>0</v>
      </c>
      <c r="AE61" s="130" t="n">
        <v>0</v>
      </c>
      <c r="AF61" s="153" t="n">
        <v>0</v>
      </c>
      <c r="AG61" s="130" t="n">
        <v>0</v>
      </c>
      <c r="AH61" s="130" t="n">
        <v>0</v>
      </c>
      <c r="AI61" s="130" t="n">
        <v>0</v>
      </c>
      <c r="AJ61" s="130" t="n">
        <v>0</v>
      </c>
      <c r="AK61" s="153" t="n">
        <v>0</v>
      </c>
      <c r="AL61" s="130" t="n">
        <v>0</v>
      </c>
      <c r="AM61" s="130" t="n">
        <v>0</v>
      </c>
      <c r="AN61" s="130" t="n">
        <v>0</v>
      </c>
      <c r="AO61" s="130" t="n">
        <v>0</v>
      </c>
      <c r="AP61" s="153" t="n">
        <v>0</v>
      </c>
    </row>
    <row r="62" customFormat="false" ht="15" hidden="false" customHeight="false" outlineLevel="0" collapsed="false">
      <c r="A62" s="37" t="s">
        <v>190</v>
      </c>
      <c r="B62" s="66" t="n">
        <f aca="false">SUM(B60:B61)</f>
        <v>-309.8</v>
      </c>
      <c r="C62" s="130" t="n">
        <f aca="false">SUM(C60:C61)</f>
        <v>-171.1</v>
      </c>
      <c r="D62" s="130" t="n">
        <f aca="false">SUM(D60:D61)</f>
        <v>-267</v>
      </c>
      <c r="E62" s="130" t="n">
        <f aca="false">SUM(E60:E61)</f>
        <v>-263.3</v>
      </c>
      <c r="F62" s="130" t="n">
        <f aca="false">SUM(F60:F61)</f>
        <v>-294</v>
      </c>
      <c r="G62" s="66" t="n">
        <f aca="false">SUM(G60:G61)</f>
        <v>-995.4</v>
      </c>
      <c r="H62" s="130" t="n">
        <f aca="false">SUM(H60:H61)</f>
        <v>-335.3</v>
      </c>
      <c r="I62" s="130" t="n">
        <f aca="false">SUM(I60:I61)</f>
        <v>-225.7</v>
      </c>
      <c r="J62" s="130" t="n">
        <f aca="false">SUM(J60:J61)</f>
        <v>-175.2</v>
      </c>
      <c r="K62" s="130" t="n">
        <f aca="false">SUM(K60:K61)</f>
        <v>-405.8</v>
      </c>
      <c r="L62" s="66" t="n">
        <f aca="false">SUM(L60:L61)</f>
        <v>-1142</v>
      </c>
      <c r="M62" s="130" t="n">
        <f aca="false">SUM(M60:M61)</f>
        <v>537.1</v>
      </c>
      <c r="N62" s="130" t="n">
        <f aca="false">SUM(N60:N61)</f>
        <v>1051</v>
      </c>
      <c r="O62" s="130" t="n">
        <f aca="false">SUM(O60:O61)</f>
        <v>570.5</v>
      </c>
      <c r="P62" s="130" t="n">
        <f aca="false">SUM(P60:P61)</f>
        <v>388.1</v>
      </c>
      <c r="Q62" s="66" t="n">
        <f aca="false">SUM(Q60:Q61)</f>
        <v>2546.7</v>
      </c>
      <c r="R62" s="130" t="n">
        <f aca="false">SUM(R60:R61)</f>
        <v>-575.4</v>
      </c>
      <c r="S62" s="130" t="n">
        <f aca="false">SUM(S60:S61)</f>
        <v>0</v>
      </c>
      <c r="T62" s="130" t="n">
        <f aca="false">SUM(T60:T61)</f>
        <v>0</v>
      </c>
      <c r="U62" s="130" t="n">
        <f aca="false">SUM(U60:U61)</f>
        <v>0</v>
      </c>
      <c r="V62" s="153" t="n">
        <f aca="false">SUM(V60:V61)</f>
        <v>0</v>
      </c>
      <c r="W62" s="130" t="n">
        <f aca="false">SUM(W60:W61)</f>
        <v>0</v>
      </c>
      <c r="X62" s="130" t="n">
        <f aca="false">SUM(X60:X61)</f>
        <v>0</v>
      </c>
      <c r="Y62" s="130" t="n">
        <f aca="false">SUM(Y60:Y61)</f>
        <v>0</v>
      </c>
      <c r="Z62" s="130" t="n">
        <f aca="false">SUM(Z60:Z61)</f>
        <v>0</v>
      </c>
      <c r="AA62" s="153" t="n">
        <f aca="false">SUM(AA60:AA61)</f>
        <v>0</v>
      </c>
      <c r="AB62" s="130" t="n">
        <f aca="false">SUM(AB60:AB61)</f>
        <v>0</v>
      </c>
      <c r="AC62" s="130" t="n">
        <f aca="false">SUM(AC60:AC61)</f>
        <v>0</v>
      </c>
      <c r="AD62" s="130" t="n">
        <f aca="false">SUM(AD60:AD61)</f>
        <v>0</v>
      </c>
      <c r="AE62" s="130" t="n">
        <f aca="false">SUM(AE60:AE61)</f>
        <v>0</v>
      </c>
      <c r="AF62" s="153" t="n">
        <f aca="false">SUM(AF60:AF61)</f>
        <v>0</v>
      </c>
      <c r="AG62" s="130" t="n">
        <f aca="false">SUM(AG60:AG61)</f>
        <v>0</v>
      </c>
      <c r="AH62" s="130" t="n">
        <f aca="false">SUM(AH60:AH61)</f>
        <v>0</v>
      </c>
      <c r="AI62" s="130" t="n">
        <f aca="false">SUM(AI60:AI61)</f>
        <v>0</v>
      </c>
      <c r="AJ62" s="130" t="n">
        <f aca="false">SUM(AJ60:AJ61)</f>
        <v>0</v>
      </c>
      <c r="AK62" s="153" t="n">
        <f aca="false">SUM(AK60:AK61)</f>
        <v>0</v>
      </c>
      <c r="AL62" s="130" t="n">
        <f aca="false">SUM(AL60:AL61)</f>
        <v>0</v>
      </c>
      <c r="AM62" s="130" t="n">
        <f aca="false">SUM(AM60:AM61)</f>
        <v>0</v>
      </c>
      <c r="AN62" s="130" t="n">
        <f aca="false">SUM(AN60:AN61)</f>
        <v>0</v>
      </c>
      <c r="AO62" s="130" t="n">
        <f aca="false">SUM(AO60:AO61)</f>
        <v>0</v>
      </c>
      <c r="AP62" s="153" t="n">
        <f aca="false">SUM(AP60:AP61)</f>
        <v>0</v>
      </c>
    </row>
    <row r="63" customFormat="false" ht="15" hidden="false" customHeight="false" outlineLevel="0" collapsed="false">
      <c r="A63" s="0" t="s">
        <v>191</v>
      </c>
      <c r="B63" s="66" t="n">
        <f aca="false">B62*'Cost Model'!B20</f>
        <v>-86.1464162436548</v>
      </c>
      <c r="C63" s="130" t="n">
        <f aca="false">C62*'Cost Model'!C20</f>
        <v>-48.7070525483998</v>
      </c>
      <c r="D63" s="130" t="n">
        <f aca="false">D62*'Cost Model'!D20</f>
        <v>-26.1003963011889</v>
      </c>
      <c r="E63" s="130" t="n">
        <f aca="false">E62*'Cost Model'!E20</f>
        <v>-33.352353282975</v>
      </c>
      <c r="F63" s="130" t="n">
        <f aca="false">F62*'Cost Model'!F20</f>
        <v>-29.8260869565217</v>
      </c>
      <c r="G63" s="66" t="n">
        <f aca="false">G62*'Cost Model'!G20</f>
        <v>-21.0730452475535</v>
      </c>
      <c r="H63" s="130" t="n">
        <f aca="false">H62*'Cost Model'!H20</f>
        <v>-34.0448001158749</v>
      </c>
      <c r="I63" s="130" t="n">
        <f aca="false">I62*'Cost Model'!I20</f>
        <v>-57.8925077547125</v>
      </c>
      <c r="J63" s="130" t="n">
        <f aca="false">J62*'Cost Model'!J20</f>
        <v>-46.7411978221416</v>
      </c>
      <c r="K63" s="130" t="n">
        <f aca="false">K62*'Cost Model'!K20</f>
        <v>-46.2349725379998</v>
      </c>
      <c r="L63" s="66" t="n">
        <f aca="false">L62*'Cost Model'!L20</f>
        <v>-209.799835481218</v>
      </c>
      <c r="M63" s="130" t="n">
        <f aca="false">M62*'Cost Model'!M20</f>
        <v>135.06880400182</v>
      </c>
      <c r="N63" s="130" t="n">
        <f aca="false">N62*'Cost Model'!N20</f>
        <v>-872.017522861109</v>
      </c>
      <c r="O63" s="130" t="n">
        <f aca="false">O62*'Cost Model'!O20</f>
        <v>90.5884848484847</v>
      </c>
      <c r="P63" s="130" t="n">
        <f aca="false">P62*'Cost Model'!P20</f>
        <v>2.74530900967981</v>
      </c>
      <c r="Q63" s="66" t="n">
        <f aca="false">Q62*'Cost Model'!Q20</f>
        <v>607.443365375086</v>
      </c>
      <c r="R63" s="130" t="n">
        <f aca="false">R62*'Cost Model'!R20</f>
        <v>-95.3953390467599</v>
      </c>
      <c r="S63" s="130" t="n">
        <f aca="false">S62*'Cost Model'!S20</f>
        <v>0</v>
      </c>
      <c r="T63" s="130" t="n">
        <f aca="false">T62*'Cost Model'!T20</f>
        <v>0</v>
      </c>
      <c r="U63" s="130" t="n">
        <f aca="false">U62*'Cost Model'!U20</f>
        <v>0</v>
      </c>
      <c r="V63" s="153" t="n">
        <f aca="false">V62*'Cost Model'!V20</f>
        <v>0</v>
      </c>
      <c r="W63" s="130" t="n">
        <f aca="false">W62*'Cost Model'!W20</f>
        <v>0</v>
      </c>
      <c r="X63" s="130" t="n">
        <f aca="false">X62*'Cost Model'!X20</f>
        <v>0</v>
      </c>
      <c r="Y63" s="130" t="n">
        <f aca="false">Y62*'Cost Model'!Y20</f>
        <v>0</v>
      </c>
      <c r="Z63" s="130" t="n">
        <f aca="false">Z62*'Cost Model'!Z20</f>
        <v>0</v>
      </c>
      <c r="AA63" s="153" t="n">
        <f aca="false">AA62*'Cost Model'!AA20</f>
        <v>0</v>
      </c>
      <c r="AB63" s="130" t="n">
        <f aca="false">AB62*'Cost Model'!AB20</f>
        <v>0</v>
      </c>
      <c r="AC63" s="130" t="n">
        <f aca="false">AC62*'Cost Model'!AC20</f>
        <v>0</v>
      </c>
      <c r="AD63" s="130" t="n">
        <f aca="false">AD62*'Cost Model'!AD20</f>
        <v>0</v>
      </c>
      <c r="AE63" s="130" t="n">
        <f aca="false">AE62*'Cost Model'!AE20</f>
        <v>0</v>
      </c>
      <c r="AF63" s="153" t="n">
        <f aca="false">AF62*'Cost Model'!AF20</f>
        <v>0</v>
      </c>
      <c r="AG63" s="130" t="n">
        <f aca="false">AG62*'Cost Model'!AG20</f>
        <v>0</v>
      </c>
      <c r="AH63" s="130" t="n">
        <f aca="false">AH62*'Cost Model'!AH20</f>
        <v>0</v>
      </c>
      <c r="AI63" s="130" t="n">
        <f aca="false">AI62*'Cost Model'!AI20</f>
        <v>0</v>
      </c>
      <c r="AJ63" s="130" t="n">
        <f aca="false">AJ62*'Cost Model'!AJ20</f>
        <v>0</v>
      </c>
      <c r="AK63" s="153" t="n">
        <f aca="false">AK62*'Cost Model'!AK20</f>
        <v>0</v>
      </c>
      <c r="AL63" s="130" t="n">
        <f aca="false">AL62*'Cost Model'!AL20</f>
        <v>0</v>
      </c>
      <c r="AM63" s="130" t="n">
        <f aca="false">AM62*'Cost Model'!AM20</f>
        <v>0</v>
      </c>
      <c r="AN63" s="130" t="n">
        <f aca="false">AN62*'Cost Model'!AN20</f>
        <v>0</v>
      </c>
      <c r="AO63" s="130" t="n">
        <f aca="false">AO62*'Cost Model'!AO20</f>
        <v>0</v>
      </c>
      <c r="AP63" s="153" t="n">
        <f aca="false">AP62*'Cost Model'!AP20</f>
        <v>0</v>
      </c>
    </row>
    <row r="64" customFormat="false" ht="15" hidden="false" customHeight="false" outlineLevel="0" collapsed="false">
      <c r="A64" s="74" t="s">
        <v>192</v>
      </c>
      <c r="B64" s="66" t="n">
        <f aca="false">B32+B62-B63</f>
        <v>761.346416243655</v>
      </c>
      <c r="C64" s="65" t="n">
        <f aca="false">C45+C62-C63</f>
        <v>239.7070525484</v>
      </c>
      <c r="D64" s="65" t="n">
        <f aca="false">D45+D62-D63</f>
        <v>305.500396301189</v>
      </c>
      <c r="E64" s="65" t="n">
        <f aca="false">E45+E62-E63</f>
        <v>371.252353282975</v>
      </c>
      <c r="F64" s="65" t="n">
        <f aca="false">F45+F62-F63</f>
        <v>352.826086956522</v>
      </c>
      <c r="G64" s="66" t="n">
        <f aca="false">G45+G62-G63</f>
        <v>1035.17304524755</v>
      </c>
      <c r="H64" s="65" t="n">
        <f aca="false">H45+H62-H63</f>
        <v>316.144800115875</v>
      </c>
      <c r="I64" s="65" t="n">
        <f aca="false">I45+I62-I63</f>
        <v>452.792507754713</v>
      </c>
      <c r="J64" s="65" t="n">
        <f aca="false">J45+J62-J63</f>
        <v>317.241197822141</v>
      </c>
      <c r="K64" s="65" t="n">
        <f aca="false">K45+K62-K63</f>
        <v>341.734972537999</v>
      </c>
      <c r="L64" s="66" t="n">
        <f aca="false">L45+L62-L63</f>
        <v>1452.79983548122</v>
      </c>
      <c r="M64" s="65" t="n">
        <f aca="false">M45+M62-M63</f>
        <v>566.23119599818</v>
      </c>
      <c r="N64" s="65" t="n">
        <f aca="false">N45+N62-N63</f>
        <v>1538.84752286111</v>
      </c>
      <c r="O64" s="65" t="n">
        <f aca="false">O45+O62-O63</f>
        <v>898.311515151516</v>
      </c>
      <c r="P64" s="65" t="n">
        <f aca="false">P45+P62-P63</f>
        <v>1185.85469099032</v>
      </c>
      <c r="Q64" s="66" t="n">
        <f aca="false">Q45+Q62-Q63</f>
        <v>2938.18663462492</v>
      </c>
      <c r="R64" s="65" t="n">
        <f aca="false">R45+R62-R63</f>
        <v>1184.49533904676</v>
      </c>
      <c r="S64" s="65" t="n">
        <f aca="false">S45+S62-S63</f>
        <v>907.074138558176</v>
      </c>
      <c r="T64" s="65" t="n">
        <f aca="false">T45+T62-T63</f>
        <v>994.489323276671</v>
      </c>
      <c r="U64" s="65" t="n">
        <f aca="false">U45+U62-U63</f>
        <v>1124.47278685037</v>
      </c>
      <c r="V64" s="153" t="n">
        <f aca="false">V45+V62-V63</f>
        <v>4690.53624868521</v>
      </c>
      <c r="W64" s="65" t="n">
        <f aca="false">W45+W62-W63</f>
        <v>1448.4455653528</v>
      </c>
      <c r="X64" s="65" t="n">
        <f aca="false">X45+X62-X63</f>
        <v>965.741620644418</v>
      </c>
      <c r="Y64" s="65" t="n">
        <f aca="false">Y45+Y62-Y63</f>
        <v>1024.28070212327</v>
      </c>
      <c r="Z64" s="65" t="n">
        <f aca="false">Z45+Z62-Z63</f>
        <v>1427.82778542577</v>
      </c>
      <c r="AA64" s="153" t="n">
        <f aca="false">AA45+AA62-AA63</f>
        <v>5102.50418119426</v>
      </c>
      <c r="AB64" s="65" t="n">
        <f aca="false">AB45+AB62-AB63</f>
        <v>1738.6981384002</v>
      </c>
      <c r="AC64" s="65" t="n">
        <f aca="false">AC45+AC62-AC63</f>
        <v>1209.2789269618</v>
      </c>
      <c r="AD64" s="65" t="n">
        <f aca="false">AD45+AD62-AD63</f>
        <v>1113.13610799557</v>
      </c>
      <c r="AE64" s="65" t="n">
        <f aca="false">AE45+AE62-AE63</f>
        <v>1674.12825129068</v>
      </c>
      <c r="AF64" s="153" t="n">
        <f aca="false">AF45+AF62-AF63</f>
        <v>5735.24142464825</v>
      </c>
      <c r="AG64" s="65" t="n">
        <f aca="false">AG45+AG62-AG63</f>
        <v>2383.62611539348</v>
      </c>
      <c r="AH64" s="65" t="n">
        <f aca="false">AH45+AH62-AH63</f>
        <v>1801.10721743864</v>
      </c>
      <c r="AI64" s="65" t="n">
        <f aca="false">AI45+AI62-AI63</f>
        <v>1529.14263829984</v>
      </c>
      <c r="AJ64" s="65" t="n">
        <f aca="false">AJ45+AJ62-AJ63</f>
        <v>2269.09733311986</v>
      </c>
      <c r="AK64" s="153" t="n">
        <f aca="false">AK45+AK62-AK63</f>
        <v>7982.97330425182</v>
      </c>
      <c r="AL64" s="65" t="n">
        <f aca="false">AL45+AL62-AL63</f>
        <v>2888.04607950025</v>
      </c>
      <c r="AM64" s="65" t="n">
        <f aca="false">AM45+AM62-AM63</f>
        <v>2246.63480195444</v>
      </c>
      <c r="AN64" s="65" t="n">
        <f aca="false">AN45+AN62-AN63</f>
        <v>1779.66790698788</v>
      </c>
      <c r="AO64" s="65" t="n">
        <f aca="false">AO45+AO62-AO63</f>
        <v>2718.10834077191</v>
      </c>
      <c r="AP64" s="153" t="n">
        <f aca="false">AP45+AP62-AP63</f>
        <v>9632.45712921449</v>
      </c>
    </row>
    <row r="65" s="102" customFormat="true" ht="15" hidden="false" customHeight="false" outlineLevel="0" collapsed="false">
      <c r="A65" s="102" t="s">
        <v>193</v>
      </c>
      <c r="B65" s="100" t="n">
        <f aca="false">B64/B9</f>
        <v>0.0449039466967653</v>
      </c>
      <c r="C65" s="101" t="n">
        <f aca="false">C64/C11</f>
        <v>0.0546577555062934</v>
      </c>
      <c r="D65" s="101" t="n">
        <f aca="false">D64/D11</f>
        <v>0.063645915896081</v>
      </c>
      <c r="E65" s="101" t="n">
        <f aca="false">E64/E11</f>
        <v>0.0702597186379589</v>
      </c>
      <c r="F65" s="101" t="n">
        <f aca="false">F64/F9</f>
        <v>0.0628811418564466</v>
      </c>
      <c r="G65" s="100" t="n">
        <f aca="false">G64/G9</f>
        <v>0.0460031928099277</v>
      </c>
      <c r="H65" s="101" t="n">
        <f aca="false">H64/H9</f>
        <v>0.0558125838775289</v>
      </c>
      <c r="I65" s="101" t="n">
        <f aca="false">I64/I9</f>
        <v>0.0678890050010064</v>
      </c>
      <c r="J65" s="101" t="n">
        <f aca="false">J64/J9</f>
        <v>0.0519905599603634</v>
      </c>
      <c r="K65" s="101" t="n">
        <f aca="false">K64/K9</f>
        <v>0.0482199763705375</v>
      </c>
      <c r="L65" s="100" t="n">
        <f aca="false">L64/L9</f>
        <v>0.0569214248961214</v>
      </c>
      <c r="M65" s="101" t="n">
        <f aca="false">M64/M9</f>
        <v>0.0801130740387073</v>
      </c>
      <c r="N65" s="101" t="n">
        <f aca="false">N64/N9</f>
        <v>0.212555927204621</v>
      </c>
      <c r="O65" s="101" t="n">
        <f aca="false">O64/O9</f>
        <v>0.118701804375316</v>
      </c>
      <c r="P65" s="101" t="n">
        <f aca="false">P64/P9</f>
        <v>0.136488690651833</v>
      </c>
      <c r="Q65" s="100" t="n">
        <f aca="false">Q64/Q9</f>
        <v>0.0961331170843649</v>
      </c>
      <c r="R65" s="101" t="n">
        <f aca="false">R64/R9</f>
        <v>0.14327821594595</v>
      </c>
      <c r="S65" s="101" t="n">
        <f aca="false">S64/S9</f>
        <v>0.0875037223238726</v>
      </c>
      <c r="T65" s="101" t="n">
        <f aca="false">T64/T9</f>
        <v>0.0959364994534861</v>
      </c>
      <c r="U65" s="101" t="n">
        <f aca="false">U64/U9</f>
        <v>0.108475757734323</v>
      </c>
      <c r="V65" s="149" t="n">
        <f aca="false">V64/V9</f>
        <v>0.119153593891923</v>
      </c>
      <c r="W65" s="101" t="n">
        <f aca="false">W64/W9</f>
        <v>0.128315403182993</v>
      </c>
      <c r="X65" s="101" t="n">
        <f aca="false">X64/X9</f>
        <v>0.0835209715785773</v>
      </c>
      <c r="Y65" s="101" t="n">
        <f aca="false">Y64/Y9</f>
        <v>0.0847444025794865</v>
      </c>
      <c r="Z65" s="101" t="n">
        <f aca="false">Z64/Z9</f>
        <v>0.102903269135687</v>
      </c>
      <c r="AA65" s="149" t="n">
        <f aca="false">AA64/AA9</f>
        <v>0.104531295674259</v>
      </c>
      <c r="AB65" s="101" t="n">
        <f aca="false">AB64/AB9</f>
        <v>0.124216451459209</v>
      </c>
      <c r="AC65" s="101" t="n">
        <f aca="false">AC64/AC9</f>
        <v>0.0843411248381671</v>
      </c>
      <c r="AD65" s="101" t="n">
        <f aca="false">AD64/AD9</f>
        <v>0.0742708881573653</v>
      </c>
      <c r="AE65" s="101" t="n">
        <f aca="false">AE64/AE9</f>
        <v>0.0973016899362469</v>
      </c>
      <c r="AF65" s="149" t="n">
        <f aca="false">AF64/AF9</f>
        <v>0.0947530030913188</v>
      </c>
      <c r="AG65" s="101" t="n">
        <f aca="false">AG64/AG9</f>
        <v>0.139583226715629</v>
      </c>
      <c r="AH65" s="101" t="n">
        <f aca="false">AH64/AH9</f>
        <v>0.102965715045461</v>
      </c>
      <c r="AI65" s="101" t="n">
        <f aca="false">AI64/AI9</f>
        <v>0.0836293101440065</v>
      </c>
      <c r="AJ65" s="101" t="n">
        <f aca="false">AJ64/AJ9</f>
        <v>0.108099815468276</v>
      </c>
      <c r="AK65" s="149" t="n">
        <f aca="false">AK64/AK9</f>
        <v>0.108105085699301</v>
      </c>
      <c r="AL65" s="101" t="n">
        <f aca="false">AL64/AL9</f>
        <v>0.140934711501347</v>
      </c>
      <c r="AM65" s="101" t="n">
        <f aca="false">AM64/AM9</f>
        <v>0.107029700300234</v>
      </c>
      <c r="AN65" s="101" t="n">
        <f aca="false">AN64/AN9</f>
        <v>0.0811088490695578</v>
      </c>
      <c r="AO65" s="101" t="n">
        <f aca="false">AO64/AO9</f>
        <v>0.107908919614388</v>
      </c>
      <c r="AP65" s="149" t="n">
        <f aca="false">AP64/AP9</f>
        <v>0.108701938045852</v>
      </c>
    </row>
    <row r="66" customFormat="false" ht="15" hidden="false" customHeight="false" outlineLevel="0" collapsed="false">
      <c r="B66" s="64"/>
      <c r="G66" s="64"/>
      <c r="I66" s="145"/>
      <c r="L66" s="64"/>
      <c r="M66" s="145"/>
      <c r="N66" s="145"/>
      <c r="O66" s="145"/>
      <c r="P66" s="145"/>
      <c r="Q66" s="64"/>
      <c r="R66" s="145"/>
      <c r="V66" s="131"/>
      <c r="AA66" s="131"/>
      <c r="AF66" s="131"/>
      <c r="AK66" s="131"/>
      <c r="AP66" s="131"/>
    </row>
    <row r="67" s="73" customFormat="true" ht="15" hidden="false" customHeight="false" outlineLevel="0" collapsed="false">
      <c r="A67" s="142" t="s">
        <v>188</v>
      </c>
      <c r="B67" s="133" t="n">
        <v>55.6709265175719</v>
      </c>
      <c r="C67" s="134" t="n">
        <v>63.1937172774869</v>
      </c>
      <c r="D67" s="134" t="n">
        <v>68.3854818523154</v>
      </c>
      <c r="E67" s="134" t="n">
        <v>68.3959044368601</v>
      </c>
      <c r="F67" s="134" t="n">
        <v>67.579408543264</v>
      </c>
      <c r="G67" s="133" t="n">
        <v>66.389164188966</v>
      </c>
      <c r="H67" s="134" t="n">
        <v>67.6232201533406</v>
      </c>
      <c r="I67" s="134" t="n">
        <v>67.5299238302503</v>
      </c>
      <c r="J67" s="134" t="n">
        <v>67.6327769347496</v>
      </c>
      <c r="K67" s="134" t="n">
        <v>67.6277724204435</v>
      </c>
      <c r="L67" s="133" t="n">
        <v>67.5063685253326</v>
      </c>
      <c r="M67" s="134" t="n">
        <v>67.5720164609053</v>
      </c>
      <c r="N67" s="134" t="n">
        <v>53.7300699300701</v>
      </c>
      <c r="O67" s="134" t="n">
        <v>67.5928917609047</v>
      </c>
      <c r="P67" s="134" t="n">
        <v>64.7130153597416</v>
      </c>
      <c r="Q67" s="133" t="n">
        <v>64.7394685677254</v>
      </c>
      <c r="R67" s="176" t="n">
        <v>64.6622670807453</v>
      </c>
      <c r="S67" s="177" t="n">
        <f aca="false">S55</f>
        <v>64.6156832298137</v>
      </c>
      <c r="T67" s="148" t="n">
        <f aca="false">T55</f>
        <v>64.6156832298137</v>
      </c>
      <c r="U67" s="148" t="n">
        <f aca="false">U55</f>
        <v>64.6156832298137</v>
      </c>
      <c r="V67" s="159" t="n">
        <f aca="false">V55</f>
        <v>64.6156832298137</v>
      </c>
      <c r="W67" s="148" t="n">
        <f aca="false">W55</f>
        <v>64.6156832298137</v>
      </c>
      <c r="X67" s="148" t="n">
        <f aca="false">X55</f>
        <v>64.6156832298137</v>
      </c>
      <c r="Y67" s="148" t="n">
        <f aca="false">Y55</f>
        <v>64.6156832298137</v>
      </c>
      <c r="Z67" s="148" t="n">
        <f aca="false">Z55</f>
        <v>64.6156832298137</v>
      </c>
      <c r="AA67" s="159" t="n">
        <f aca="false">AA55</f>
        <v>64.6156832298137</v>
      </c>
      <c r="AB67" s="148" t="n">
        <f aca="false">AB55</f>
        <v>58.1834437495158</v>
      </c>
      <c r="AC67" s="148" t="n">
        <f aca="false">AC55</f>
        <v>58.1834437495158</v>
      </c>
      <c r="AD67" s="148" t="n">
        <f aca="false">AD55</f>
        <v>58.1834437495158</v>
      </c>
      <c r="AE67" s="148" t="n">
        <f aca="false">AE55</f>
        <v>58.1834437495158</v>
      </c>
      <c r="AF67" s="159" t="n">
        <f aca="false">AF55</f>
        <v>58.1834437495158</v>
      </c>
      <c r="AG67" s="148" t="n">
        <f aca="false">AG55</f>
        <v>58.1834437495158</v>
      </c>
      <c r="AH67" s="148" t="n">
        <f aca="false">AH55</f>
        <v>58.1834437495158</v>
      </c>
      <c r="AI67" s="148" t="n">
        <f aca="false">AI55</f>
        <v>58.1834437495158</v>
      </c>
      <c r="AJ67" s="148" t="n">
        <f aca="false">AJ55</f>
        <v>58.1834437495158</v>
      </c>
      <c r="AK67" s="159" t="n">
        <f aca="false">AK55</f>
        <v>58.1834437495158</v>
      </c>
      <c r="AL67" s="148" t="n">
        <f aca="false">AL55</f>
        <v>58.1834437495158</v>
      </c>
      <c r="AM67" s="148" t="n">
        <f aca="false">AM55</f>
        <v>58.1834437495158</v>
      </c>
      <c r="AN67" s="148" t="n">
        <f aca="false">AN55</f>
        <v>58.1834437495158</v>
      </c>
      <c r="AO67" s="148" t="n">
        <f aca="false">AO55</f>
        <v>58.1834437495158</v>
      </c>
      <c r="AP67" s="159" t="n">
        <f aca="false">AP55</f>
        <v>58.1834437495158</v>
      </c>
    </row>
    <row r="68" s="73" customFormat="true" ht="15" hidden="false" customHeight="false" outlineLevel="0" collapsed="false">
      <c r="A68" s="142" t="s">
        <v>194</v>
      </c>
      <c r="B68" s="117" t="n">
        <f aca="false">B64/B67</f>
        <v>13.6758351956536</v>
      </c>
      <c r="C68" s="73" t="n">
        <f aca="false">C64/C67</f>
        <v>3.79321019359937</v>
      </c>
      <c r="D68" s="73" t="n">
        <f aca="false">D64/D67</f>
        <v>4.46732826948481</v>
      </c>
      <c r="E68" s="73" t="n">
        <f aca="false">E64/E67</f>
        <v>5.42799099360837</v>
      </c>
      <c r="F68" s="73" t="n">
        <f aca="false">F64/F67</f>
        <v>5.22091114086393</v>
      </c>
      <c r="G68" s="117" t="n">
        <f aca="false">G64/G67</f>
        <v>15.5925000396315</v>
      </c>
      <c r="H68" s="73" t="n">
        <f aca="false">H64/H67</f>
        <v>4.67509236322957</v>
      </c>
      <c r="I68" s="73" t="n">
        <f aca="false">I64/I67</f>
        <v>6.70506468943894</v>
      </c>
      <c r="J68" s="73" t="n">
        <f aca="false">J64/J67</f>
        <v>4.69064279481246</v>
      </c>
      <c r="K68" s="73" t="n">
        <f aca="false">K64/K67</f>
        <v>5.05317505378448</v>
      </c>
      <c r="L68" s="117" t="n">
        <f aca="false">L64/L67</f>
        <v>21.5209300576735</v>
      </c>
      <c r="M68" s="73" t="n">
        <f aca="false">M64/M67</f>
        <v>8.37966995295723</v>
      </c>
      <c r="N68" s="73" t="n">
        <f aca="false">N64/N67</f>
        <v>28.6403409648252</v>
      </c>
      <c r="O68" s="73" t="n">
        <f aca="false">O64/O67</f>
        <v>13.2900293470074</v>
      </c>
      <c r="P68" s="73" t="n">
        <f aca="false">P64/P67</f>
        <v>18.324825143723</v>
      </c>
      <c r="Q68" s="117" t="n">
        <f aca="false">Q64/Q67</f>
        <v>45.384781488455</v>
      </c>
      <c r="R68" s="178" t="n">
        <f aca="false">R64/R67</f>
        <v>18.318184507321</v>
      </c>
      <c r="S68" s="178" t="n">
        <f aca="false">S64/S67</f>
        <v>14.0379872690049</v>
      </c>
      <c r="T68" s="178" t="n">
        <f aca="false">T64/T67</f>
        <v>15.3908350661502</v>
      </c>
      <c r="U68" s="178" t="n">
        <f aca="false">U64/U67</f>
        <v>17.4024746105531</v>
      </c>
      <c r="V68" s="135" t="n">
        <f aca="false">V64/V67</f>
        <v>72.591296945708</v>
      </c>
      <c r="W68" s="178" t="n">
        <f aca="false">W64/W67</f>
        <v>22.4163158687223</v>
      </c>
      <c r="X68" s="178" t="n">
        <f aca="false">X64/X67</f>
        <v>14.9459322005408</v>
      </c>
      <c r="Y68" s="178" t="n">
        <f aca="false">Y64/Y67</f>
        <v>15.8518899890029</v>
      </c>
      <c r="Z68" s="178" t="n">
        <f aca="false">Z64/Z67</f>
        <v>22.0972326539909</v>
      </c>
      <c r="AA68" s="135" t="n">
        <f aca="false">AA64/AA67</f>
        <v>78.9669616747156</v>
      </c>
      <c r="AB68" s="178" t="n">
        <f aca="false">AB64/AB67</f>
        <v>29.8830393382253</v>
      </c>
      <c r="AC68" s="178" t="n">
        <f aca="false">AC64/AC67</f>
        <v>20.7839008665049</v>
      </c>
      <c r="AD68" s="178" t="n">
        <f aca="false">AD64/AD67</f>
        <v>19.1314923328999</v>
      </c>
      <c r="AE68" s="178" t="n">
        <f aca="false">AE64/AE67</f>
        <v>28.7732754097184</v>
      </c>
      <c r="AF68" s="135" t="n">
        <f aca="false">AF64/AF67</f>
        <v>98.5717079473484</v>
      </c>
      <c r="AG68" s="178" t="n">
        <f aca="false">AG64/AG67</f>
        <v>40.9674292510972</v>
      </c>
      <c r="AH68" s="178" t="n">
        <f aca="false">AH64/AH67</f>
        <v>30.9556654156213</v>
      </c>
      <c r="AI68" s="178" t="n">
        <f aca="false">AI64/AI67</f>
        <v>26.2814048079195</v>
      </c>
      <c r="AJ68" s="178" t="n">
        <f aca="false">AJ64/AJ67</f>
        <v>38.9990208020086</v>
      </c>
      <c r="AK68" s="135" t="n">
        <f aca="false">AK64/AK67</f>
        <v>137.203520276647</v>
      </c>
      <c r="AL68" s="178" t="n">
        <f aca="false">AL64/AL67</f>
        <v>49.6369051638386</v>
      </c>
      <c r="AM68" s="178" t="n">
        <f aca="false">AM64/AM67</f>
        <v>38.6129568340158</v>
      </c>
      <c r="AN68" s="178" t="n">
        <f aca="false">AN64/AN67</f>
        <v>30.5871875623156</v>
      </c>
      <c r="AO68" s="178" t="n">
        <f aca="false">AO64/AO67</f>
        <v>46.7161818828321</v>
      </c>
      <c r="AP68" s="135" t="n">
        <f aca="false">AP64/AP67</f>
        <v>165.553231443002</v>
      </c>
    </row>
    <row r="69" customFormat="false" ht="15.75" hidden="false" customHeight="false" outlineLevel="0" collapsed="false">
      <c r="A69" s="31"/>
      <c r="B69" s="91"/>
      <c r="C69" s="31"/>
      <c r="D69" s="31"/>
      <c r="E69" s="31"/>
      <c r="F69" s="31"/>
      <c r="G69" s="91"/>
      <c r="H69" s="31"/>
      <c r="I69" s="31"/>
      <c r="J69" s="31"/>
      <c r="K69" s="31"/>
      <c r="L69" s="91"/>
      <c r="M69" s="31"/>
      <c r="N69" s="31"/>
      <c r="O69" s="31"/>
      <c r="P69" s="31"/>
      <c r="Q69" s="91"/>
      <c r="R69" s="31"/>
      <c r="S69" s="31"/>
      <c r="T69" s="31"/>
      <c r="U69" s="31"/>
      <c r="V69" s="91"/>
      <c r="W69" s="31"/>
      <c r="X69" s="31"/>
      <c r="Y69" s="31"/>
      <c r="Z69" s="31"/>
      <c r="AA69" s="91"/>
      <c r="AB69" s="31"/>
      <c r="AC69" s="31"/>
      <c r="AD69" s="31"/>
      <c r="AE69" s="31"/>
      <c r="AF69" s="91"/>
      <c r="AG69" s="31"/>
      <c r="AH69" s="31"/>
      <c r="AI69" s="31"/>
      <c r="AJ69" s="31"/>
      <c r="AK69" s="91"/>
      <c r="AL69" s="31"/>
      <c r="AM69" s="31"/>
      <c r="AN69" s="31"/>
      <c r="AO69" s="31"/>
      <c r="AP69" s="91"/>
    </row>
    <row r="70" customFormat="false" ht="15" hidden="false" customHeight="false" outlineLevel="0" collapsed="false">
      <c r="B70" s="105"/>
      <c r="C70" s="105"/>
      <c r="D70" s="105"/>
      <c r="E70" s="105"/>
      <c r="F70" s="105"/>
      <c r="G70" s="105"/>
      <c r="H70" s="105"/>
      <c r="I70" s="105"/>
      <c r="J70" s="105"/>
      <c r="K70" s="105"/>
      <c r="L70" s="105"/>
      <c r="M70" s="105"/>
      <c r="N70" s="105"/>
      <c r="O70" s="105"/>
      <c r="P70" s="105"/>
      <c r="Q70" s="105"/>
      <c r="R70" s="105"/>
      <c r="V70" s="105"/>
      <c r="W70" s="105"/>
      <c r="AA70" s="105"/>
      <c r="AF70" s="105"/>
      <c r="AK70" s="105"/>
      <c r="AP70" s="105"/>
    </row>
    <row r="71" customFormat="false" ht="15" hidden="false" customHeight="false" outlineLevel="0" collapsed="false">
      <c r="V71" s="145"/>
    </row>
    <row r="76" customFormat="false" ht="15" hidden="false" customHeight="false" outlineLevel="0" collapsed="false">
      <c r="V76" s="32"/>
    </row>
    <row r="77" customFormat="false" ht="15" hidden="false" customHeight="false" outlineLevel="0" collapsed="false">
      <c r="V77" s="179"/>
    </row>
  </sheetData>
  <mergeCells count="1">
    <mergeCell ref="C7:E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defaultColWidth="8.96875" defaultRowHeight="15" zeroHeight="false" outlineLevelRow="0" outlineLevelCol="0"/>
  <cols>
    <col collapsed="false" customWidth="true" hidden="false" outlineLevel="0" max="1" min="1" style="0" width="42.7"/>
    <col collapsed="false" customWidth="true" hidden="false" outlineLevel="0" max="2" min="2" style="0" width="15.85"/>
    <col collapsed="false" customWidth="true" hidden="false" outlineLevel="0" max="5" min="3" style="0" width="10.56"/>
    <col collapsed="false" customWidth="true" hidden="false" outlineLevel="0" max="6" min="6" style="0" width="12.42"/>
    <col collapsed="false" customWidth="true" hidden="false" outlineLevel="0" max="10" min="7" style="0" width="11.28"/>
  </cols>
  <sheetData>
    <row r="1" customFormat="false" ht="18.75" hidden="false" customHeight="false" outlineLevel="0" collapsed="false">
      <c r="A1" s="29" t="s">
        <v>1</v>
      </c>
      <c r="B1" s="29"/>
    </row>
    <row r="2" customFormat="false" ht="15.75" hidden="false" customHeight="false" outlineLevel="0" collapsed="false">
      <c r="A2" s="30" t="s">
        <v>195</v>
      </c>
      <c r="B2" s="123"/>
      <c r="C2" s="180"/>
      <c r="D2" s="123"/>
      <c r="E2" s="181"/>
      <c r="F2" s="123"/>
      <c r="G2" s="182"/>
    </row>
    <row r="3" customFormat="false" ht="15.75" hidden="false" customHeight="false" outlineLevel="0" collapsed="false">
      <c r="A3" s="31" t="s">
        <v>96</v>
      </c>
      <c r="B3" s="31"/>
      <c r="C3" s="31"/>
      <c r="D3" s="31"/>
      <c r="E3" s="31"/>
      <c r="F3" s="31"/>
      <c r="G3" s="31"/>
      <c r="H3" s="31"/>
      <c r="I3" s="31"/>
      <c r="J3" s="31"/>
      <c r="K3" s="32"/>
      <c r="L3" s="32"/>
    </row>
    <row r="4" customFormat="false" ht="15" hidden="false" customHeight="false" outlineLevel="0" collapsed="false">
      <c r="A4" s="85" t="s">
        <v>38</v>
      </c>
      <c r="B4" s="183" t="s">
        <v>196</v>
      </c>
      <c r="C4" s="86" t="s">
        <v>85</v>
      </c>
      <c r="D4" s="86" t="s">
        <v>86</v>
      </c>
      <c r="E4" s="89" t="s">
        <v>197</v>
      </c>
      <c r="F4" s="89" t="s">
        <v>48</v>
      </c>
      <c r="G4" s="89" t="s">
        <v>53</v>
      </c>
      <c r="H4" s="89" t="s">
        <v>87</v>
      </c>
      <c r="I4" s="89" t="s">
        <v>88</v>
      </c>
      <c r="J4" s="89" t="s">
        <v>89</v>
      </c>
    </row>
    <row r="6" s="72" customFormat="true" ht="15" hidden="false" customHeight="false" outlineLevel="0" collapsed="false">
      <c r="A6" s="128"/>
      <c r="B6" s="128"/>
    </row>
    <row r="7" customFormat="false" ht="15" hidden="false" customHeight="false" outlineLevel="0" collapsed="false">
      <c r="A7" s="33" t="s">
        <v>195</v>
      </c>
      <c r="B7" s="128"/>
    </row>
    <row r="8" s="72" customFormat="true" ht="15" hidden="false" customHeight="false" outlineLevel="0" collapsed="false">
      <c r="A8" s="128"/>
      <c r="B8" s="128"/>
      <c r="D8" s="73"/>
      <c r="E8" s="73"/>
    </row>
    <row r="9" customFormat="false" ht="15" hidden="false" customHeight="false" outlineLevel="0" collapsed="false">
      <c r="A9" s="184" t="s">
        <v>198</v>
      </c>
      <c r="B9" s="184"/>
      <c r="C9" s="73"/>
      <c r="D9" s="73"/>
      <c r="E9" s="73"/>
      <c r="F9" s="73"/>
      <c r="G9" s="73"/>
      <c r="H9" s="73"/>
      <c r="I9" s="73"/>
      <c r="J9" s="73"/>
    </row>
    <row r="10" customFormat="false" ht="15" hidden="false" customHeight="false" outlineLevel="0" collapsed="false">
      <c r="C10" s="73"/>
      <c r="D10" s="73"/>
      <c r="E10" s="73"/>
      <c r="F10" s="73"/>
      <c r="G10" s="73"/>
      <c r="H10" s="73"/>
      <c r="I10" s="73"/>
      <c r="J10" s="73"/>
    </row>
    <row r="11" customFormat="false" ht="15" hidden="false" customHeight="false" outlineLevel="0" collapsed="false">
      <c r="A11" s="0" t="s">
        <v>199</v>
      </c>
      <c r="B11" s="73"/>
      <c r="C11" s="73"/>
      <c r="D11" s="73"/>
      <c r="E11" s="73"/>
      <c r="F11" s="73"/>
      <c r="G11" s="73"/>
      <c r="H11" s="73"/>
      <c r="I11" s="73"/>
      <c r="J11" s="73"/>
      <c r="K11" s="73"/>
    </row>
    <row r="12" customFormat="false" ht="15" hidden="false" customHeight="false" outlineLevel="0" collapsed="false">
      <c r="A12" s="185" t="s">
        <v>200</v>
      </c>
      <c r="B12" s="186" t="n">
        <v>266.3</v>
      </c>
      <c r="C12" s="158" t="n">
        <v>266.7</v>
      </c>
      <c r="D12" s="134" t="n">
        <v>268.8</v>
      </c>
      <c r="E12" s="73" t="n">
        <f aca="false">D12+'Cash Flow Statement'!E54</f>
        <v>268.8</v>
      </c>
      <c r="F12" s="187" t="n">
        <f aca="false">E12+'Cash Flow Statement'!F54</f>
        <v>268.8</v>
      </c>
      <c r="G12" s="187" t="n">
        <f aca="false">F12+'Cash Flow Statement'!G54+'Debt Schedule'!B208</f>
        <v>291.07616</v>
      </c>
      <c r="H12" s="187" t="n">
        <f aca="false">G12+'Cash Flow Statement'!H54</f>
        <v>291.07616</v>
      </c>
      <c r="I12" s="187" t="n">
        <f aca="false">H12+'Cash Flow Statement'!I54</f>
        <v>291.07616</v>
      </c>
      <c r="J12" s="187" t="n">
        <f aca="false">I12+'Cash Flow Statement'!J54</f>
        <v>291.07616</v>
      </c>
      <c r="K12" s="73"/>
    </row>
    <row r="13" customFormat="false" ht="15" hidden="false" customHeight="false" outlineLevel="0" collapsed="false">
      <c r="A13" s="185" t="s">
        <v>201</v>
      </c>
      <c r="B13" s="186" t="n">
        <v>0.4</v>
      </c>
      <c r="C13" s="158" t="n">
        <v>0.2</v>
      </c>
      <c r="D13" s="134" t="n">
        <v>0</v>
      </c>
      <c r="E13" s="73" t="n">
        <v>0</v>
      </c>
      <c r="F13" s="187" t="n">
        <v>0</v>
      </c>
      <c r="G13" s="187" t="n">
        <v>0</v>
      </c>
      <c r="H13" s="187" t="n">
        <v>0</v>
      </c>
      <c r="I13" s="187" t="n">
        <v>0</v>
      </c>
      <c r="J13" s="187" t="n">
        <v>0</v>
      </c>
      <c r="K13" s="73"/>
    </row>
    <row r="14" customFormat="false" ht="17.25" hidden="false" customHeight="false" outlineLevel="0" collapsed="false">
      <c r="A14" s="185" t="s">
        <v>202</v>
      </c>
      <c r="B14" s="188" t="n">
        <v>7882</v>
      </c>
      <c r="C14" s="189" t="n">
        <v>8593.2</v>
      </c>
      <c r="D14" s="190" t="n">
        <v>10971.4</v>
      </c>
      <c r="E14" s="191" t="n">
        <f aca="false">D14+'Profit &amp; Loss Consolidated'!Q45</f>
        <v>11970.33</v>
      </c>
      <c r="F14" s="192" t="n">
        <f aca="false">E14+'Profit &amp; Loss Consolidated'!V45</f>
        <v>16660.8662486852</v>
      </c>
      <c r="G14" s="192" t="n">
        <f aca="false">F14+'Profit &amp; Loss Consolidated'!AA45+'Debt Schedule'!B209</f>
        <v>24066.8857622315</v>
      </c>
      <c r="H14" s="192" t="n">
        <f aca="false">G14+'Profit &amp; Loss Consolidated'!AF45</f>
        <v>29802.1271868797</v>
      </c>
      <c r="I14" s="192" t="n">
        <f aca="false">H14+'Profit &amp; Loss Consolidated'!AK45</f>
        <v>37785.1004911315</v>
      </c>
      <c r="J14" s="192" t="n">
        <f aca="false">I14+'Profit &amp; Loss Consolidated'!AP45</f>
        <v>47417.557620346</v>
      </c>
      <c r="K14" s="73"/>
    </row>
    <row r="15" customFormat="false" ht="15" hidden="false" customHeight="false" outlineLevel="0" collapsed="false">
      <c r="B15" s="193" t="n">
        <f aca="false">SUM(B12:B14)</f>
        <v>8148.7</v>
      </c>
      <c r="C15" s="193" t="n">
        <f aca="false">SUM(C12:C14)</f>
        <v>8860.1</v>
      </c>
      <c r="D15" s="142" t="n">
        <f aca="false">SUM(D12:D14)</f>
        <v>11240.2</v>
      </c>
      <c r="E15" s="142" t="n">
        <f aca="false">SUM(E12:E14)</f>
        <v>12239.13</v>
      </c>
      <c r="F15" s="193" t="n">
        <f aca="false">SUM(F12:F14)</f>
        <v>16929.6662486852</v>
      </c>
      <c r="G15" s="193" t="n">
        <f aca="false">SUM(G12:G14)</f>
        <v>24357.9619222315</v>
      </c>
      <c r="H15" s="193" t="n">
        <f aca="false">SUM(H12:H14)</f>
        <v>30093.2033468797</v>
      </c>
      <c r="I15" s="193" t="n">
        <f aca="false">SUM(I12:I14)</f>
        <v>38076.1766511315</v>
      </c>
      <c r="J15" s="193" t="n">
        <f aca="false">SUM(J12:J14)</f>
        <v>47708.633780346</v>
      </c>
      <c r="K15" s="73"/>
    </row>
    <row r="16" customFormat="false" ht="15" hidden="false" customHeight="false" outlineLevel="0" collapsed="false">
      <c r="A16" s="45" t="s">
        <v>182</v>
      </c>
      <c r="B16" s="187" t="n">
        <v>24.3</v>
      </c>
      <c r="C16" s="187" t="n">
        <v>35.4</v>
      </c>
      <c r="D16" s="73" t="n">
        <v>32</v>
      </c>
      <c r="E16" s="148" t="n">
        <f aca="false">D16</f>
        <v>32</v>
      </c>
      <c r="F16" s="177" t="n">
        <f aca="false">E16</f>
        <v>32</v>
      </c>
      <c r="G16" s="177" t="n">
        <f aca="false">F16</f>
        <v>32</v>
      </c>
      <c r="H16" s="177" t="n">
        <f aca="false">G16</f>
        <v>32</v>
      </c>
      <c r="I16" s="177" t="n">
        <f aca="false">H16</f>
        <v>32</v>
      </c>
      <c r="J16" s="177" t="n">
        <f aca="false">I16</f>
        <v>32</v>
      </c>
      <c r="K16" s="73"/>
    </row>
    <row r="17" customFormat="false" ht="15" hidden="false" customHeight="false" outlineLevel="0" collapsed="false">
      <c r="B17" s="187"/>
      <c r="C17" s="187"/>
      <c r="D17" s="73"/>
      <c r="E17" s="73"/>
      <c r="F17" s="187"/>
      <c r="G17" s="187"/>
      <c r="H17" s="187"/>
      <c r="I17" s="187"/>
      <c r="J17" s="187"/>
      <c r="K17" s="73"/>
    </row>
    <row r="18" customFormat="false" ht="15" hidden="false" customHeight="false" outlineLevel="0" collapsed="false">
      <c r="A18" s="0" t="s">
        <v>203</v>
      </c>
      <c r="B18" s="187"/>
      <c r="C18" s="187"/>
      <c r="D18" s="73"/>
      <c r="E18" s="73"/>
      <c r="F18" s="187"/>
      <c r="G18" s="187"/>
      <c r="H18" s="187"/>
      <c r="I18" s="187"/>
      <c r="J18" s="187"/>
      <c r="K18" s="73"/>
    </row>
    <row r="19" customFormat="false" ht="15" hidden="false" customHeight="false" outlineLevel="0" collapsed="false">
      <c r="A19" s="185" t="s">
        <v>204</v>
      </c>
      <c r="B19" s="186" t="n">
        <v>7502.5</v>
      </c>
      <c r="C19" s="158" t="n">
        <v>7390.7</v>
      </c>
      <c r="D19" s="134" t="n">
        <v>6334.3</v>
      </c>
      <c r="E19" s="73" t="n">
        <f aca="false">'Debt Schedule'!F14</f>
        <v>6334.3</v>
      </c>
      <c r="F19" s="187" t="n">
        <f aca="false">'Debt Schedule'!G14</f>
        <v>6334.3</v>
      </c>
      <c r="G19" s="187" t="n">
        <f aca="false">'Debt Schedule'!H14</f>
        <v>8334.3</v>
      </c>
      <c r="H19" s="187" t="n">
        <f aca="false">'Debt Schedule'!I14</f>
        <v>13334.3</v>
      </c>
      <c r="I19" s="187" t="n">
        <f aca="false">'Debt Schedule'!J14</f>
        <v>13334.3</v>
      </c>
      <c r="J19" s="187" t="n">
        <f aca="false">'Debt Schedule'!K14</f>
        <v>13334.3</v>
      </c>
      <c r="K19" s="73"/>
    </row>
    <row r="20" customFormat="false" ht="17.25" hidden="false" customHeight="false" outlineLevel="0" collapsed="false">
      <c r="A20" s="185" t="s">
        <v>205</v>
      </c>
      <c r="B20" s="188" t="n">
        <v>6228.2</v>
      </c>
      <c r="C20" s="189" t="n">
        <v>13390.7</v>
      </c>
      <c r="D20" s="190" t="n">
        <v>12135.9</v>
      </c>
      <c r="E20" s="191" t="n">
        <f aca="false">'Debt Schedule'!F24</f>
        <v>12135.9</v>
      </c>
      <c r="F20" s="192" t="n">
        <f aca="false">'Debt Schedule'!G24</f>
        <v>11200.6304</v>
      </c>
      <c r="G20" s="192" t="n">
        <f aca="false">'Debt Schedule'!H24</f>
        <v>8638.6304</v>
      </c>
      <c r="H20" s="192" t="n">
        <f aca="false">'Debt Schedule'!I24</f>
        <v>2235.4304</v>
      </c>
      <c r="I20" s="192" t="n">
        <f aca="false">'Debt Schedule'!J24</f>
        <v>2235.4304</v>
      </c>
      <c r="J20" s="192" t="n">
        <f aca="false">'Debt Schedule'!K24</f>
        <v>2235.4304</v>
      </c>
      <c r="K20" s="73"/>
    </row>
    <row r="21" customFormat="false" ht="15" hidden="false" customHeight="false" outlineLevel="0" collapsed="false">
      <c r="B21" s="193" t="n">
        <f aca="false">SUM(B19:B20)</f>
        <v>13730.7</v>
      </c>
      <c r="C21" s="193" t="n">
        <f aca="false">SUM(C19:C20)</f>
        <v>20781.4</v>
      </c>
      <c r="D21" s="142" t="n">
        <f aca="false">SUM(D19:D20)</f>
        <v>18470.2</v>
      </c>
      <c r="E21" s="142" t="n">
        <f aca="false">SUM(E19:E20)</f>
        <v>18470.2</v>
      </c>
      <c r="F21" s="193" t="n">
        <f aca="false">SUM(F19:F20)</f>
        <v>17534.9304</v>
      </c>
      <c r="G21" s="193" t="n">
        <f aca="false">SUM(G19:G20)</f>
        <v>16972.9304</v>
      </c>
      <c r="H21" s="193" t="n">
        <f aca="false">SUM(H19:H20)</f>
        <v>15569.7304</v>
      </c>
      <c r="I21" s="193" t="n">
        <f aca="false">SUM(I19:I20)</f>
        <v>15569.7304</v>
      </c>
      <c r="J21" s="193" t="n">
        <f aca="false">SUM(J19:J20)</f>
        <v>15569.7304</v>
      </c>
      <c r="K21" s="73"/>
    </row>
    <row r="22" customFormat="false" ht="17.25" hidden="false" customHeight="false" outlineLevel="0" collapsed="false">
      <c r="A22" s="0" t="s">
        <v>206</v>
      </c>
      <c r="B22" s="158" t="n">
        <v>725.6</v>
      </c>
      <c r="C22" s="158" t="n">
        <v>681.9</v>
      </c>
      <c r="D22" s="134" t="n">
        <v>733.4</v>
      </c>
      <c r="E22" s="194" t="n">
        <f aca="false">D22</f>
        <v>733.4</v>
      </c>
      <c r="F22" s="195" t="n">
        <f aca="false">E22</f>
        <v>733.4</v>
      </c>
      <c r="G22" s="195" t="n">
        <f aca="false">F22</f>
        <v>733.4</v>
      </c>
      <c r="H22" s="195" t="n">
        <f aca="false">G22</f>
        <v>733.4</v>
      </c>
      <c r="I22" s="195" t="n">
        <f aca="false">H22</f>
        <v>733.4</v>
      </c>
      <c r="J22" s="195" t="n">
        <f aca="false">I22</f>
        <v>733.4</v>
      </c>
      <c r="K22" s="73"/>
    </row>
    <row r="23" customFormat="false" ht="15.75" hidden="false" customHeight="false" outlineLevel="0" collapsed="false">
      <c r="A23" s="196" t="s">
        <v>81</v>
      </c>
      <c r="B23" s="197" t="n">
        <f aca="false">B15+B16+B21+B22</f>
        <v>22629.3</v>
      </c>
      <c r="C23" s="197" t="n">
        <f aca="false">C15+C16+C21+C22</f>
        <v>30358.8</v>
      </c>
      <c r="D23" s="198" t="n">
        <f aca="false">D15+D16+D21+D22</f>
        <v>30475.8</v>
      </c>
      <c r="E23" s="198" t="n">
        <f aca="false">E15+E16+E21+E22</f>
        <v>31474.73</v>
      </c>
      <c r="F23" s="197" t="n">
        <f aca="false">F15+F16+F21+F22</f>
        <v>35229.9966486852</v>
      </c>
      <c r="G23" s="197" t="n">
        <f aca="false">G15+G16+G21+G22</f>
        <v>42096.2923222315</v>
      </c>
      <c r="H23" s="197" t="n">
        <f aca="false">H15+H16+H21+H22</f>
        <v>46428.3337468797</v>
      </c>
      <c r="I23" s="197" t="n">
        <f aca="false">I15+I16+I21+I22</f>
        <v>54411.3070511315</v>
      </c>
      <c r="J23" s="197" t="n">
        <f aca="false">J15+J16+J21+J22</f>
        <v>64043.764180346</v>
      </c>
      <c r="K23" s="73"/>
    </row>
    <row r="24" customFormat="false" ht="15.75" hidden="false" customHeight="false" outlineLevel="0" collapsed="false">
      <c r="B24" s="187"/>
      <c r="C24" s="187"/>
      <c r="D24" s="187"/>
      <c r="E24" s="187"/>
      <c r="F24" s="187"/>
      <c r="G24" s="187"/>
      <c r="H24" s="187"/>
      <c r="I24" s="187"/>
      <c r="J24" s="187"/>
      <c r="K24" s="73"/>
    </row>
    <row r="25" customFormat="false" ht="15" hidden="false" customHeight="false" outlineLevel="0" collapsed="false">
      <c r="A25" s="184" t="s">
        <v>207</v>
      </c>
      <c r="B25" s="199"/>
      <c r="C25" s="187"/>
      <c r="D25" s="187"/>
      <c r="E25" s="187"/>
      <c r="F25" s="187"/>
      <c r="G25" s="187"/>
      <c r="H25" s="187"/>
      <c r="I25" s="187"/>
      <c r="J25" s="187"/>
      <c r="K25" s="73"/>
    </row>
    <row r="26" customFormat="false" ht="15" hidden="false" customHeight="false" outlineLevel="0" collapsed="false">
      <c r="B26" s="187"/>
      <c r="C26" s="187"/>
      <c r="D26" s="187"/>
      <c r="E26" s="187"/>
      <c r="F26" s="187"/>
      <c r="G26" s="187"/>
      <c r="H26" s="187"/>
      <c r="I26" s="187"/>
      <c r="J26" s="187"/>
      <c r="K26" s="73"/>
    </row>
    <row r="27" customFormat="false" ht="15" hidden="false" customHeight="false" outlineLevel="0" collapsed="false">
      <c r="A27" s="0" t="s">
        <v>208</v>
      </c>
      <c r="B27" s="187"/>
      <c r="C27" s="187"/>
      <c r="D27" s="187"/>
      <c r="E27" s="187"/>
      <c r="F27" s="187"/>
      <c r="G27" s="187"/>
      <c r="H27" s="187"/>
      <c r="I27" s="187"/>
      <c r="J27" s="187"/>
      <c r="K27" s="73"/>
    </row>
    <row r="28" customFormat="false" ht="15" hidden="false" customHeight="false" outlineLevel="0" collapsed="false">
      <c r="A28" s="185" t="s">
        <v>209</v>
      </c>
      <c r="B28" s="186" t="n">
        <v>13561.6</v>
      </c>
      <c r="C28" s="158" t="n">
        <v>14681.4</v>
      </c>
      <c r="D28" s="134" t="n">
        <v>17179.9</v>
      </c>
      <c r="E28" s="73" t="n">
        <f aca="false">'Fixed Asset'!G7</f>
        <v>19472.17975</v>
      </c>
      <c r="F28" s="187" t="n">
        <f aca="false">'Fixed Asset'!H7</f>
        <v>22227.762076</v>
      </c>
      <c r="G28" s="187" t="n">
        <f aca="false">'Fixed Asset'!I7</f>
        <v>25644.68416024</v>
      </c>
      <c r="H28" s="187" t="n">
        <f aca="false">'Fixed Asset'!J7</f>
        <v>29276.3842040608</v>
      </c>
      <c r="I28" s="187" t="n">
        <f aca="false">'Fixed Asset'!K7</f>
        <v>33707.0582575222</v>
      </c>
      <c r="J28" s="187" t="n">
        <f aca="false">'Fixed Asset'!L7</f>
        <v>39023.8671216758</v>
      </c>
      <c r="K28" s="73"/>
    </row>
    <row r="29" customFormat="false" ht="32.25" hidden="false" customHeight="false" outlineLevel="0" collapsed="false">
      <c r="A29" s="200" t="s">
        <v>210</v>
      </c>
      <c r="B29" s="201" t="n">
        <v>2724.1</v>
      </c>
      <c r="C29" s="189" t="n">
        <v>3155.3</v>
      </c>
      <c r="D29" s="190" t="n">
        <v>4176.9</v>
      </c>
      <c r="E29" s="191" t="n">
        <f aca="false">'Fixed Asset'!G12</f>
        <v>5398.1</v>
      </c>
      <c r="F29" s="192" t="n">
        <f aca="false">'Fixed Asset'!H12</f>
        <v>6607.90753660391</v>
      </c>
      <c r="G29" s="192" t="n">
        <f aca="false">'Fixed Asset'!I12</f>
        <v>7964.63170969623</v>
      </c>
      <c r="H29" s="192" t="n">
        <f aca="false">'Fixed Asset'!J12</f>
        <v>9491.06756182506</v>
      </c>
      <c r="I29" s="192" t="n">
        <f aca="false">'Fixed Asset'!K12</f>
        <v>11213.613444378</v>
      </c>
      <c r="J29" s="192" t="n">
        <f aca="false">'Fixed Asset'!L12</f>
        <v>13182.882858271</v>
      </c>
      <c r="K29" s="73"/>
    </row>
    <row r="30" customFormat="false" ht="15" hidden="false" customHeight="false" outlineLevel="0" collapsed="false">
      <c r="A30" s="185" t="s">
        <v>211</v>
      </c>
      <c r="B30" s="187" t="n">
        <f aca="false">B28-B29</f>
        <v>10837.5</v>
      </c>
      <c r="C30" s="187" t="n">
        <f aca="false">C28-C29</f>
        <v>11526.1</v>
      </c>
      <c r="D30" s="73" t="n">
        <f aca="false">D28-D29</f>
        <v>13003</v>
      </c>
      <c r="E30" s="73" t="n">
        <f aca="false">E28-E29</f>
        <v>14074.07975</v>
      </c>
      <c r="F30" s="187" t="n">
        <f aca="false">F28-F29</f>
        <v>15619.8545393961</v>
      </c>
      <c r="G30" s="187" t="n">
        <f aca="false">G28-G29</f>
        <v>17680.0524505438</v>
      </c>
      <c r="H30" s="187" t="n">
        <f aca="false">H28-H29</f>
        <v>19785.3166422357</v>
      </c>
      <c r="I30" s="187" t="n">
        <f aca="false">I28-I29</f>
        <v>22493.4448131442</v>
      </c>
      <c r="J30" s="187" t="n">
        <f aca="false">J28-J29</f>
        <v>25840.9842634048</v>
      </c>
      <c r="K30" s="73"/>
    </row>
    <row r="31" customFormat="false" ht="32.25" hidden="false" customHeight="false" outlineLevel="0" collapsed="false">
      <c r="A31" s="200" t="s">
        <v>212</v>
      </c>
      <c r="B31" s="201" t="n">
        <v>1497.4</v>
      </c>
      <c r="C31" s="189" t="n">
        <v>2187.1</v>
      </c>
      <c r="D31" s="190" t="n">
        <v>2145.5</v>
      </c>
      <c r="E31" s="194" t="n">
        <f aca="false">D31</f>
        <v>2145.5</v>
      </c>
      <c r="F31" s="195" t="n">
        <f aca="false">E31</f>
        <v>2145.5</v>
      </c>
      <c r="G31" s="195" t="n">
        <f aca="false">F31</f>
        <v>2145.5</v>
      </c>
      <c r="H31" s="195" t="n">
        <f aca="false">G31</f>
        <v>2145.5</v>
      </c>
      <c r="I31" s="195" t="n">
        <f aca="false">H31</f>
        <v>2145.5</v>
      </c>
      <c r="J31" s="195" t="n">
        <f aca="false">I31</f>
        <v>2145.5</v>
      </c>
      <c r="K31" s="73"/>
    </row>
    <row r="32" customFormat="false" ht="15" hidden="false" customHeight="false" outlineLevel="0" collapsed="false">
      <c r="B32" s="193" t="n">
        <f aca="false">B30+B31</f>
        <v>12334.9</v>
      </c>
      <c r="C32" s="193" t="n">
        <f aca="false">C30+C31</f>
        <v>13713.2</v>
      </c>
      <c r="D32" s="142" t="n">
        <f aca="false">D30+D31</f>
        <v>15148.5</v>
      </c>
      <c r="E32" s="142" t="n">
        <f aca="false">E30+E31</f>
        <v>16219.57975</v>
      </c>
      <c r="F32" s="193" t="n">
        <f aca="false">F30+F31</f>
        <v>17765.3545393961</v>
      </c>
      <c r="G32" s="193" t="n">
        <f aca="false">G30+G31</f>
        <v>19825.5524505438</v>
      </c>
      <c r="H32" s="193" t="n">
        <f aca="false">H30+H31</f>
        <v>21930.8166422357</v>
      </c>
      <c r="I32" s="193" t="n">
        <f aca="false">I30+I31</f>
        <v>24638.9448131442</v>
      </c>
      <c r="J32" s="193" t="n">
        <f aca="false">J30+J31</f>
        <v>27986.4842634048</v>
      </c>
      <c r="K32" s="73"/>
    </row>
    <row r="33" customFormat="false" ht="15" hidden="false" customHeight="false" outlineLevel="0" collapsed="false">
      <c r="B33" s="187"/>
      <c r="C33" s="187"/>
      <c r="D33" s="142"/>
      <c r="E33" s="73"/>
      <c r="F33" s="187"/>
      <c r="G33" s="187"/>
      <c r="H33" s="187"/>
      <c r="I33" s="187"/>
      <c r="J33" s="187"/>
      <c r="K33" s="73"/>
    </row>
    <row r="34" customFormat="false" ht="15" hidden="false" customHeight="false" outlineLevel="0" collapsed="false">
      <c r="A34" s="0" t="s">
        <v>213</v>
      </c>
      <c r="B34" s="158" t="n">
        <v>2.8</v>
      </c>
      <c r="C34" s="158" t="n">
        <v>2.7</v>
      </c>
      <c r="D34" s="134" t="n">
        <v>604.3</v>
      </c>
      <c r="E34" s="148" t="n">
        <f aca="false">D34+'Cash Flow Statement'!E47</f>
        <v>604.3</v>
      </c>
      <c r="F34" s="177" t="n">
        <f aca="false">E34+'Cash Flow Statement'!F47</f>
        <v>604.3</v>
      </c>
      <c r="G34" s="177" t="n">
        <f aca="false">F34+'Cash Flow Statement'!G47</f>
        <v>604.3</v>
      </c>
      <c r="H34" s="177" t="n">
        <f aca="false">G34+'Cash Flow Statement'!H47</f>
        <v>604.3</v>
      </c>
      <c r="I34" s="177" t="n">
        <f aca="false">H34+'Cash Flow Statement'!I47</f>
        <v>604.3</v>
      </c>
      <c r="J34" s="177" t="n">
        <f aca="false">I34+'Cash Flow Statement'!J47</f>
        <v>604.3</v>
      </c>
      <c r="K34" s="73"/>
    </row>
    <row r="35" customFormat="false" ht="15" hidden="false" customHeight="false" outlineLevel="0" collapsed="false">
      <c r="B35" s="202"/>
      <c r="C35" s="158"/>
      <c r="D35" s="134"/>
      <c r="E35" s="73"/>
      <c r="F35" s="187"/>
      <c r="G35" s="187"/>
      <c r="H35" s="187"/>
      <c r="I35" s="187"/>
      <c r="J35" s="187"/>
      <c r="K35" s="73"/>
    </row>
    <row r="36" customFormat="false" ht="15" hidden="false" customHeight="false" outlineLevel="0" collapsed="false">
      <c r="A36" s="0" t="s">
        <v>214</v>
      </c>
      <c r="B36" s="158" t="n">
        <v>0.1</v>
      </c>
      <c r="C36" s="158" t="n">
        <v>0</v>
      </c>
      <c r="D36" s="134" t="n">
        <v>1.2</v>
      </c>
      <c r="E36" s="148" t="n">
        <f aca="false">D36</f>
        <v>1.2</v>
      </c>
      <c r="F36" s="177" t="n">
        <f aca="false">E36</f>
        <v>1.2</v>
      </c>
      <c r="G36" s="177" t="n">
        <f aca="false">F36</f>
        <v>1.2</v>
      </c>
      <c r="H36" s="177" t="n">
        <f aca="false">G36</f>
        <v>1.2</v>
      </c>
      <c r="I36" s="177" t="n">
        <f aca="false">H36</f>
        <v>1.2</v>
      </c>
      <c r="J36" s="177" t="n">
        <f aca="false">I36</f>
        <v>1.2</v>
      </c>
      <c r="K36" s="73"/>
    </row>
    <row r="37" customFormat="false" ht="15" hidden="false" customHeight="false" outlineLevel="0" collapsed="false">
      <c r="B37" s="187"/>
      <c r="C37" s="187"/>
      <c r="D37" s="73"/>
      <c r="E37" s="73"/>
      <c r="F37" s="187"/>
      <c r="G37" s="187"/>
      <c r="H37" s="187"/>
      <c r="I37" s="187"/>
      <c r="J37" s="187"/>
      <c r="K37" s="73"/>
    </row>
    <row r="38" customFormat="false" ht="15" hidden="false" customHeight="false" outlineLevel="0" collapsed="false">
      <c r="A38" s="0" t="s">
        <v>215</v>
      </c>
      <c r="B38" s="187"/>
      <c r="C38" s="187"/>
      <c r="D38" s="73"/>
      <c r="E38" s="73"/>
      <c r="F38" s="187"/>
      <c r="G38" s="187"/>
      <c r="H38" s="187"/>
      <c r="I38" s="187"/>
      <c r="J38" s="187"/>
      <c r="K38" s="73"/>
    </row>
    <row r="39" customFormat="false" ht="15" hidden="false" customHeight="false" outlineLevel="0" collapsed="false">
      <c r="A39" s="185" t="s">
        <v>216</v>
      </c>
      <c r="B39" s="186" t="n">
        <v>0.5</v>
      </c>
      <c r="C39" s="158" t="n">
        <v>0.5</v>
      </c>
      <c r="D39" s="134" t="n">
        <v>0.6</v>
      </c>
      <c r="E39" s="148" t="n">
        <f aca="false">D39</f>
        <v>0.6</v>
      </c>
      <c r="F39" s="177" t="n">
        <f aca="false">E39</f>
        <v>0.6</v>
      </c>
      <c r="G39" s="177" t="n">
        <f aca="false">F39</f>
        <v>0.6</v>
      </c>
      <c r="H39" s="177" t="n">
        <f aca="false">G39</f>
        <v>0.6</v>
      </c>
      <c r="I39" s="177" t="n">
        <f aca="false">H39</f>
        <v>0.6</v>
      </c>
      <c r="J39" s="177" t="n">
        <f aca="false">I39</f>
        <v>0.6</v>
      </c>
      <c r="K39" s="73"/>
    </row>
    <row r="40" customFormat="false" ht="15" hidden="false" customHeight="false" outlineLevel="0" collapsed="false">
      <c r="A40" s="185" t="s">
        <v>217</v>
      </c>
      <c r="B40" s="186" t="n">
        <v>4718.1</v>
      </c>
      <c r="C40" s="158" t="n">
        <v>6544</v>
      </c>
      <c r="D40" s="134" t="n">
        <v>7950.3</v>
      </c>
      <c r="E40" s="73" t="n">
        <f aca="false">E60*'Profit &amp; Loss Consolidated'!Q9/365</f>
        <v>8678.47838096376</v>
      </c>
      <c r="F40" s="187" t="n">
        <f aca="false">F60*'Profit &amp; Loss Consolidated'!V9/365</f>
        <v>11177.7034147323</v>
      </c>
      <c r="G40" s="187" t="n">
        <f aca="false">G60*'Profit &amp; Loss Consolidated'!AA9/365</f>
        <v>13860.352234268</v>
      </c>
      <c r="H40" s="187" t="n">
        <f aca="false">H60*'Profit &amp; Loss Consolidated'!AF9/365</f>
        <v>17186.8367704923</v>
      </c>
      <c r="I40" s="187" t="n">
        <f aca="false">I60*'Profit &amp; Loss Consolidated'!AK9/365</f>
        <v>20967.9408600006</v>
      </c>
      <c r="J40" s="187" t="n">
        <f aca="false">J60*'Profit &amp; Loss Consolidated'!AP9/365</f>
        <v>25161.5290320008</v>
      </c>
      <c r="K40" s="73"/>
    </row>
    <row r="41" customFormat="false" ht="15" hidden="false" customHeight="false" outlineLevel="0" collapsed="false">
      <c r="A41" s="185" t="s">
        <v>218</v>
      </c>
      <c r="B41" s="186" t="n">
        <v>5822.3</v>
      </c>
      <c r="C41" s="158" t="n">
        <v>6261.1</v>
      </c>
      <c r="D41" s="134" t="n">
        <v>6650.1</v>
      </c>
      <c r="E41" s="73" t="n">
        <f aca="false">E59*'Profit &amp; Loss Consolidated'!Q9/365</f>
        <v>7963.50966673066</v>
      </c>
      <c r="F41" s="187" t="n">
        <f aca="false">F59*'Profit &amp; Loss Consolidated'!V9/365</f>
        <v>10256.8382713634</v>
      </c>
      <c r="G41" s="187" t="n">
        <f aca="false">G59*'Profit &amp; Loss Consolidated'!AA9/365</f>
        <v>12718.4794564906</v>
      </c>
      <c r="H41" s="187" t="n">
        <f aca="false">H59*'Profit &amp; Loss Consolidated'!AF9/365</f>
        <v>15770.9145260483</v>
      </c>
      <c r="I41" s="187" t="n">
        <f aca="false">I59*'Profit &amp; Loss Consolidated'!AK9/365</f>
        <v>19240.5157217789</v>
      </c>
      <c r="J41" s="187" t="n">
        <f aca="false">J59*'Profit &amp; Loss Consolidated'!AP9/365</f>
        <v>23088.6188661347</v>
      </c>
      <c r="K41" s="73"/>
    </row>
    <row r="42" customFormat="false" ht="15" hidden="false" customHeight="false" outlineLevel="0" collapsed="false">
      <c r="A42" s="185" t="s">
        <v>219</v>
      </c>
      <c r="B42" s="186" t="n">
        <v>2019.3</v>
      </c>
      <c r="C42" s="158" t="n">
        <v>5824.6</v>
      </c>
      <c r="D42" s="134" t="n">
        <v>2825.7</v>
      </c>
      <c r="E42" s="73" t="n">
        <f aca="false">'Cash Flow Statement'!E70</f>
        <v>1594.63478286004</v>
      </c>
      <c r="F42" s="187" t="n">
        <f aca="false">'Cash Flow Statement'!F70</f>
        <v>869.293820356131</v>
      </c>
      <c r="G42" s="187" t="n">
        <f aca="false">'Cash Flow Statement'!G70</f>
        <v>2450.1651719119</v>
      </c>
      <c r="H42" s="187" t="n">
        <f aca="false">'Cash Flow Statement'!H70</f>
        <v>747.332476921988</v>
      </c>
      <c r="I42" s="187" t="n">
        <f aca="false">'Cash Flow Statement'!I70</f>
        <v>1555.52099216655</v>
      </c>
      <c r="J42" s="187" t="n">
        <f aca="false">'Cash Flow Statement'!J70</f>
        <v>2886.51042195621</v>
      </c>
      <c r="K42" s="73"/>
    </row>
    <row r="43" customFormat="false" ht="17.25" hidden="false" customHeight="false" outlineLevel="0" collapsed="false">
      <c r="A43" s="185" t="s">
        <v>220</v>
      </c>
      <c r="B43" s="188" t="n">
        <v>1996.6</v>
      </c>
      <c r="C43" s="189" t="n">
        <v>2718.9</v>
      </c>
      <c r="D43" s="190" t="n">
        <v>3164.1</v>
      </c>
      <c r="E43" s="194" t="n">
        <f aca="false">D43</f>
        <v>3164.1</v>
      </c>
      <c r="F43" s="195" t="n">
        <f aca="false">E43</f>
        <v>3164.1</v>
      </c>
      <c r="G43" s="195" t="n">
        <f aca="false">F43</f>
        <v>3164.1</v>
      </c>
      <c r="H43" s="195" t="n">
        <f aca="false">G43</f>
        <v>3164.1</v>
      </c>
      <c r="I43" s="195" t="n">
        <f aca="false">H43</f>
        <v>3164.1</v>
      </c>
      <c r="J43" s="195" t="n">
        <f aca="false">I43</f>
        <v>3164.1</v>
      </c>
      <c r="K43" s="73"/>
    </row>
    <row r="44" customFormat="false" ht="15" hidden="false" customHeight="false" outlineLevel="0" collapsed="false">
      <c r="A44" s="203" t="s">
        <v>221</v>
      </c>
      <c r="B44" s="193" t="n">
        <f aca="false">SUM(B39:B43)</f>
        <v>14556.8</v>
      </c>
      <c r="C44" s="193" t="n">
        <f aca="false">SUM(C39:C43)</f>
        <v>21349.1</v>
      </c>
      <c r="D44" s="142" t="n">
        <f aca="false">SUM(D39:D43)</f>
        <v>20590.8</v>
      </c>
      <c r="E44" s="142" t="n">
        <f aca="false">SUM(E39:E43)</f>
        <v>21401.3228305545</v>
      </c>
      <c r="F44" s="193" t="n">
        <f aca="false">SUM(F39:F43)</f>
        <v>25468.5355064518</v>
      </c>
      <c r="G44" s="193" t="n">
        <f aca="false">SUM(G39:G43)</f>
        <v>32193.6968626705</v>
      </c>
      <c r="H44" s="193" t="n">
        <f aca="false">SUM(H39:H43)</f>
        <v>36869.7837734626</v>
      </c>
      <c r="I44" s="193" t="n">
        <f aca="false">SUM(I39:I43)</f>
        <v>44928.6775739461</v>
      </c>
      <c r="J44" s="193" t="n">
        <f aca="false">SUM(J39:J43)</f>
        <v>54301.3583200917</v>
      </c>
      <c r="K44" s="73"/>
    </row>
    <row r="45" customFormat="false" ht="15" hidden="false" customHeight="false" outlineLevel="0" collapsed="false">
      <c r="A45" s="45" t="s">
        <v>222</v>
      </c>
      <c r="B45" s="187"/>
      <c r="C45" s="187"/>
      <c r="D45" s="73"/>
      <c r="E45" s="73"/>
      <c r="F45" s="187"/>
      <c r="G45" s="187"/>
      <c r="H45" s="187"/>
      <c r="I45" s="187"/>
      <c r="J45" s="187"/>
      <c r="K45" s="73"/>
    </row>
    <row r="46" customFormat="false" ht="15" hidden="false" customHeight="false" outlineLevel="0" collapsed="false">
      <c r="A46" s="185" t="s">
        <v>223</v>
      </c>
      <c r="B46" s="186" t="n">
        <v>4090.2</v>
      </c>
      <c r="C46" s="158" t="n">
        <v>4442.4</v>
      </c>
      <c r="D46" s="134" t="n">
        <v>5546</v>
      </c>
      <c r="E46" s="73" t="n">
        <f aca="false">E61*SUM('Profit &amp; Loss Consolidated'!Q17:Q18)/365</f>
        <v>6428.67258055446</v>
      </c>
      <c r="F46" s="187" t="n">
        <f aca="false">F61*SUM('Profit &amp; Loss Consolidated'!V17:V18)/365</f>
        <v>8286.39339716263</v>
      </c>
      <c r="G46" s="187" t="n">
        <f aca="false">G61*SUM('Profit &amp; Loss Consolidated'!AA17:AA18)/365</f>
        <v>10205.4569909828</v>
      </c>
      <c r="H46" s="187" t="n">
        <f aca="false">H61*SUM('Profit &amp; Loss Consolidated'!AF17:AF18)/365</f>
        <v>12654.7666688186</v>
      </c>
      <c r="I46" s="187" t="n">
        <f aca="false">I61*SUM('Profit &amp; Loss Consolidated'!AK17:AK18)/365</f>
        <v>15438.8153359587</v>
      </c>
      <c r="J46" s="187" t="n">
        <f aca="false">J61*SUM('Profit &amp; Loss Consolidated'!AP17:AP18)/365</f>
        <v>18526.5784031505</v>
      </c>
      <c r="K46" s="73"/>
    </row>
    <row r="47" customFormat="false" ht="15" hidden="false" customHeight="false" outlineLevel="0" collapsed="false">
      <c r="A47" s="185" t="s">
        <v>224</v>
      </c>
      <c r="B47" s="186" t="n">
        <v>175.1</v>
      </c>
      <c r="C47" s="158" t="n">
        <v>263.8</v>
      </c>
      <c r="D47" s="134" t="n">
        <v>323</v>
      </c>
      <c r="E47" s="148" t="n">
        <f aca="false">D47</f>
        <v>323</v>
      </c>
      <c r="F47" s="177" t="n">
        <f aca="false">E47</f>
        <v>323</v>
      </c>
      <c r="G47" s="177" t="n">
        <f aca="false">F47</f>
        <v>323</v>
      </c>
      <c r="H47" s="177" t="n">
        <f aca="false">G47</f>
        <v>323</v>
      </c>
      <c r="I47" s="177" t="n">
        <f aca="false">H47</f>
        <v>323</v>
      </c>
      <c r="J47" s="177" t="n">
        <f aca="false">I47</f>
        <v>323</v>
      </c>
      <c r="K47" s="73"/>
    </row>
    <row r="48" customFormat="false" ht="17.25" hidden="false" customHeight="false" outlineLevel="0" collapsed="false">
      <c r="A48" s="203" t="s">
        <v>225</v>
      </c>
      <c r="B48" s="192" t="n">
        <f aca="false">SUM(B46:B47)</f>
        <v>4265.3</v>
      </c>
      <c r="C48" s="192" t="n">
        <f aca="false">SUM(C46:C47)</f>
        <v>4706.2</v>
      </c>
      <c r="D48" s="191" t="n">
        <f aca="false">SUM(D46:D47)</f>
        <v>5869</v>
      </c>
      <c r="E48" s="191" t="n">
        <f aca="false">SUM(E46:E47)</f>
        <v>6751.67258055446</v>
      </c>
      <c r="F48" s="192" t="n">
        <f aca="false">SUM(F46:F47)</f>
        <v>8609.39339716263</v>
      </c>
      <c r="G48" s="192" t="n">
        <f aca="false">SUM(G46:G47)</f>
        <v>10528.4569909828</v>
      </c>
      <c r="H48" s="192" t="n">
        <f aca="false">SUM(H46:H47)</f>
        <v>12977.7666688186</v>
      </c>
      <c r="I48" s="192" t="n">
        <f aca="false">SUM(I46:I47)</f>
        <v>15761.8153359587</v>
      </c>
      <c r="J48" s="192" t="n">
        <f aca="false">SUM(J46:J47)</f>
        <v>18849.5784031505</v>
      </c>
      <c r="K48" s="73"/>
    </row>
    <row r="49" customFormat="false" ht="15" hidden="false" customHeight="false" outlineLevel="0" collapsed="false">
      <c r="A49" s="0" t="s">
        <v>226</v>
      </c>
      <c r="B49" s="193" t="n">
        <f aca="false">B44-B48</f>
        <v>10291.5</v>
      </c>
      <c r="C49" s="193" t="n">
        <f aca="false">C44-C48</f>
        <v>16642.9</v>
      </c>
      <c r="D49" s="142" t="n">
        <f aca="false">D44-D48</f>
        <v>14721.8</v>
      </c>
      <c r="E49" s="142" t="n">
        <f aca="false">E44-E48</f>
        <v>14649.65025</v>
      </c>
      <c r="F49" s="193" t="n">
        <f aca="false">F44-F48</f>
        <v>16859.1421092891</v>
      </c>
      <c r="G49" s="193" t="n">
        <f aca="false">G44-G48</f>
        <v>21665.2398716877</v>
      </c>
      <c r="H49" s="193" t="n">
        <f aca="false">H44-H48</f>
        <v>23892.017104644</v>
      </c>
      <c r="I49" s="193" t="n">
        <f aca="false">I44-I48</f>
        <v>29166.8622379874</v>
      </c>
      <c r="J49" s="193" t="n">
        <f aca="false">J44-J48</f>
        <v>35451.7799169412</v>
      </c>
      <c r="K49" s="73"/>
    </row>
    <row r="50" customFormat="false" ht="15.75" hidden="false" customHeight="false" outlineLevel="0" collapsed="false">
      <c r="A50" s="196" t="s">
        <v>81</v>
      </c>
      <c r="B50" s="197" t="n">
        <f aca="false">B32+B34+B36+B49</f>
        <v>22629.3</v>
      </c>
      <c r="C50" s="197" t="n">
        <f aca="false">C32+C34+C36+C49</f>
        <v>30358.8</v>
      </c>
      <c r="D50" s="198" t="n">
        <f aca="false">D32+D34+D36+D49</f>
        <v>30475.8</v>
      </c>
      <c r="E50" s="198" t="n">
        <f aca="false">E32+E34+E36+E49</f>
        <v>31474.73</v>
      </c>
      <c r="F50" s="197" t="n">
        <f aca="false">F32+F34+F36+F49</f>
        <v>35229.9966486852</v>
      </c>
      <c r="G50" s="197" t="n">
        <f aca="false">G32+G34+G36+G49</f>
        <v>42096.2923222315</v>
      </c>
      <c r="H50" s="197" t="n">
        <f aca="false">H32+H34+H36+H49</f>
        <v>46428.3337468797</v>
      </c>
      <c r="I50" s="197" t="n">
        <f aca="false">I32+I34+I36+I49</f>
        <v>54411.3070511315</v>
      </c>
      <c r="J50" s="197" t="n">
        <f aca="false">J32+J34+J36+J49</f>
        <v>64043.764180346</v>
      </c>
      <c r="K50" s="73"/>
    </row>
    <row r="51" customFormat="false" ht="15.75" hidden="false" customHeight="false" outlineLevel="0" collapsed="false">
      <c r="B51" s="187"/>
      <c r="C51" s="187"/>
      <c r="D51" s="187"/>
      <c r="E51" s="187"/>
      <c r="F51" s="187"/>
      <c r="G51" s="187"/>
      <c r="H51" s="187"/>
      <c r="I51" s="187"/>
      <c r="J51" s="187"/>
      <c r="K51" s="73"/>
    </row>
    <row r="52" customFormat="false" ht="15" hidden="false" customHeight="false" outlineLevel="0" collapsed="false">
      <c r="A52" s="204" t="s">
        <v>227</v>
      </c>
      <c r="B52" s="187" t="n">
        <f aca="false">B23-B50</f>
        <v>0</v>
      </c>
      <c r="C52" s="187" t="n">
        <f aca="false">C23-C50</f>
        <v>0</v>
      </c>
      <c r="D52" s="205" t="n">
        <f aca="false">D23-D50</f>
        <v>0</v>
      </c>
      <c r="E52" s="205" t="n">
        <f aca="false">E23-E50</f>
        <v>0</v>
      </c>
      <c r="F52" s="73" t="n">
        <f aca="false">F23-F50</f>
        <v>0</v>
      </c>
      <c r="G52" s="73" t="n">
        <f aca="false">G23-G50</f>
        <v>0</v>
      </c>
      <c r="H52" s="187" t="n">
        <f aca="false">H23-H50</f>
        <v>0</v>
      </c>
      <c r="I52" s="187" t="n">
        <f aca="false">I23-I50</f>
        <v>0</v>
      </c>
      <c r="J52" s="187" t="n">
        <f aca="false">J23-J50</f>
        <v>0</v>
      </c>
      <c r="K52" s="73"/>
    </row>
    <row r="53" customFormat="false" ht="15.75" hidden="false" customHeight="false" outlineLevel="0" collapsed="false">
      <c r="A53" s="31"/>
      <c r="B53" s="31"/>
      <c r="C53" s="31"/>
      <c r="D53" s="31"/>
      <c r="E53" s="31"/>
      <c r="F53" s="31"/>
      <c r="G53" s="31"/>
      <c r="H53" s="31"/>
      <c r="I53" s="31"/>
      <c r="J53" s="31"/>
      <c r="K53" s="73"/>
    </row>
    <row r="54" customFormat="false" ht="15" hidden="false" customHeight="false" outlineLevel="0" collapsed="false">
      <c r="B54" s="187"/>
      <c r="C54" s="187"/>
      <c r="D54" s="187"/>
      <c r="E54" s="187"/>
      <c r="F54" s="187"/>
      <c r="G54" s="187"/>
      <c r="H54" s="187"/>
      <c r="I54" s="187"/>
      <c r="J54" s="187"/>
      <c r="K54" s="73"/>
    </row>
    <row r="55" customFormat="false" ht="15" hidden="false" customHeight="false" outlineLevel="0" collapsed="false">
      <c r="A55" s="33" t="s">
        <v>228</v>
      </c>
      <c r="B55" s="73"/>
      <c r="C55" s="73"/>
      <c r="D55" s="73"/>
      <c r="E55" s="73"/>
      <c r="F55" s="73"/>
      <c r="G55" s="73"/>
      <c r="H55" s="73"/>
      <c r="I55" s="73"/>
      <c r="J55" s="73"/>
      <c r="K55" s="73"/>
    </row>
    <row r="56" customFormat="false" ht="15" hidden="false" customHeight="false" outlineLevel="0" collapsed="false">
      <c r="A56" s="37"/>
      <c r="B56" s="73"/>
      <c r="C56" s="73"/>
      <c r="D56" s="73"/>
      <c r="E56" s="73"/>
      <c r="F56" s="73"/>
      <c r="G56" s="73"/>
      <c r="H56" s="73"/>
      <c r="I56" s="73"/>
      <c r="J56" s="73"/>
      <c r="K56" s="73"/>
    </row>
    <row r="57" customFormat="false" ht="15" hidden="false" customHeight="false" outlineLevel="0" collapsed="false">
      <c r="A57" s="206" t="s">
        <v>229</v>
      </c>
      <c r="B57" s="73" t="n">
        <f aca="false">B44/B48</f>
        <v>3.41284317632992</v>
      </c>
      <c r="C57" s="73" t="n">
        <f aca="false">C44/C48</f>
        <v>4.53637754451575</v>
      </c>
      <c r="D57" s="73" t="n">
        <f aca="false">D44/D48</f>
        <v>3.50840006815471</v>
      </c>
      <c r="E57" s="73" t="n">
        <f aca="false">E44/E48</f>
        <v>3.16978090617021</v>
      </c>
      <c r="F57" s="73" t="n">
        <f aca="false">F44/F48</f>
        <v>2.95822647793576</v>
      </c>
      <c r="G57" s="73" t="n">
        <f aca="false">G44/G48</f>
        <v>3.05777920641583</v>
      </c>
      <c r="H57" s="73" t="n">
        <f aca="false">H44/H48</f>
        <v>2.84099604456973</v>
      </c>
      <c r="I57" s="73" t="n">
        <f aca="false">I44/I48</f>
        <v>2.85047607882111</v>
      </c>
      <c r="J57" s="73" t="n">
        <f aca="false">J44/J48</f>
        <v>2.88077309522296</v>
      </c>
      <c r="K57" s="73"/>
    </row>
    <row r="58" customFormat="false" ht="15" hidden="false" customHeight="false" outlineLevel="0" collapsed="false">
      <c r="A58" s="206" t="s">
        <v>230</v>
      </c>
      <c r="B58" s="73" t="n">
        <f aca="false">(B44-B40)/B48</f>
        <v>2.30668417227393</v>
      </c>
      <c r="C58" s="73" t="n">
        <f aca="false">(C44-C40)/C48</f>
        <v>3.14587140368025</v>
      </c>
      <c r="D58" s="73" t="n">
        <f aca="false">(D44-D40)/D48</f>
        <v>2.15377406713239</v>
      </c>
      <c r="E58" s="73" t="n">
        <f aca="false">(E44-E40)/E48</f>
        <v>1.8843989097211</v>
      </c>
      <c r="F58" s="73" t="n">
        <f aca="false">(F44-F40)/F48</f>
        <v>1.65991161426417</v>
      </c>
      <c r="G58" s="73" t="n">
        <f aca="false">(G44-G40)/G48</f>
        <v>1.74131353189782</v>
      </c>
      <c r="H58" s="73" t="n">
        <f aca="false">(H44-H40)/H48</f>
        <v>1.51666673513726</v>
      </c>
      <c r="I58" s="73" t="n">
        <f aca="false">(I44-I40)/I48</f>
        <v>1.52017621087603</v>
      </c>
      <c r="J58" s="73" t="n">
        <f aca="false">(J44-J40)/J48</f>
        <v>1.54591411356026</v>
      </c>
      <c r="K58" s="73"/>
    </row>
    <row r="59" customFormat="false" ht="15" hidden="false" customHeight="false" outlineLevel="0" collapsed="false">
      <c r="A59" s="206" t="s">
        <v>145</v>
      </c>
      <c r="B59" s="73" t="n">
        <f aca="false">B41/'Profit &amp; Loss Consolidated'!B9*365</f>
        <v>125.33998820407</v>
      </c>
      <c r="C59" s="73" t="n">
        <f aca="false">C41/'Profit &amp; Loss Consolidated'!G9*365</f>
        <v>101.559025339745</v>
      </c>
      <c r="D59" s="73" t="n">
        <f aca="false">D41/'Profit &amp; Loss Consolidated'!L9*365</f>
        <v>95.1023002871931</v>
      </c>
      <c r="E59" s="148" t="n">
        <f aca="false">D59</f>
        <v>95.1023002871931</v>
      </c>
      <c r="F59" s="148" t="n">
        <f aca="false">E59</f>
        <v>95.1023002871931</v>
      </c>
      <c r="G59" s="148" t="n">
        <f aca="false">F59</f>
        <v>95.1023002871931</v>
      </c>
      <c r="H59" s="148" t="n">
        <f aca="false">G59</f>
        <v>95.1023002871931</v>
      </c>
      <c r="I59" s="148" t="n">
        <f aca="false">H59</f>
        <v>95.1023002871931</v>
      </c>
      <c r="J59" s="148" t="n">
        <f aca="false">I59</f>
        <v>95.1023002871931</v>
      </c>
      <c r="K59" s="73"/>
    </row>
    <row r="60" customFormat="false" ht="15" hidden="false" customHeight="false" outlineLevel="0" collapsed="false">
      <c r="A60" s="206" t="s">
        <v>146</v>
      </c>
      <c r="B60" s="73"/>
      <c r="C60" s="73" t="n">
        <f aca="false">(AVERAGE(B40:C40)/'Profit &amp; Loss Consolidated'!G9)*365</f>
        <v>91.3392134991245</v>
      </c>
      <c r="D60" s="73" t="n">
        <f aca="false">(AVERAGE(C40:D40)/'Profit &amp; Loss Consolidated'!L9)*365</f>
        <v>103.640642325128</v>
      </c>
      <c r="E60" s="148" t="n">
        <f aca="false">D60</f>
        <v>103.640642325128</v>
      </c>
      <c r="F60" s="148" t="n">
        <f aca="false">E60</f>
        <v>103.640642325128</v>
      </c>
      <c r="G60" s="148" t="n">
        <f aca="false">F60</f>
        <v>103.640642325128</v>
      </c>
      <c r="H60" s="148" t="n">
        <f aca="false">G60</f>
        <v>103.640642325128</v>
      </c>
      <c r="I60" s="148" t="n">
        <f aca="false">H60</f>
        <v>103.640642325128</v>
      </c>
      <c r="J60" s="148" t="n">
        <f aca="false">I60</f>
        <v>103.640642325128</v>
      </c>
      <c r="K60" s="73"/>
    </row>
    <row r="61" customFormat="false" ht="15" hidden="false" customHeight="false" outlineLevel="0" collapsed="false">
      <c r="A61" s="206" t="s">
        <v>147</v>
      </c>
      <c r="B61" s="73" t="n">
        <f aca="false">B46/SUM('Profit &amp; Loss Consolidated'!B17:B18)*365</f>
        <v>148.478637068863</v>
      </c>
      <c r="C61" s="73" t="n">
        <f aca="false">C46/SUM('Profit &amp; Loss Consolidated'!G17:G18)*365</f>
        <v>123.712576677755</v>
      </c>
      <c r="D61" s="73" t="n">
        <f aca="false">D46/SUM('Profit &amp; Loss Consolidated'!L17:L18)*365</f>
        <v>142.291092616544</v>
      </c>
      <c r="E61" s="148" t="n">
        <f aca="false">D61</f>
        <v>142.291092616544</v>
      </c>
      <c r="F61" s="148" t="n">
        <f aca="false">E61</f>
        <v>142.291092616544</v>
      </c>
      <c r="G61" s="148" t="n">
        <f aca="false">F61</f>
        <v>142.291092616544</v>
      </c>
      <c r="H61" s="148" t="n">
        <f aca="false">G61</f>
        <v>142.291092616544</v>
      </c>
      <c r="I61" s="148" t="n">
        <f aca="false">H61</f>
        <v>142.291092616544</v>
      </c>
      <c r="J61" s="148" t="n">
        <f aca="false">I61</f>
        <v>142.291092616544</v>
      </c>
      <c r="K61" s="73"/>
    </row>
    <row r="62" customFormat="false" ht="15" hidden="false" customHeight="false" outlineLevel="0" collapsed="false">
      <c r="A62" s="206" t="s">
        <v>142</v>
      </c>
      <c r="B62" s="73" t="n">
        <f aca="false">B21</f>
        <v>13730.7</v>
      </c>
      <c r="C62" s="73" t="n">
        <f aca="false">C21</f>
        <v>20781.4</v>
      </c>
      <c r="D62" s="73" t="n">
        <f aca="false">D21</f>
        <v>18470.2</v>
      </c>
      <c r="E62" s="73" t="n">
        <f aca="false">E21</f>
        <v>18470.2</v>
      </c>
      <c r="F62" s="73" t="n">
        <f aca="false">F21</f>
        <v>17534.9304</v>
      </c>
      <c r="G62" s="73" t="n">
        <f aca="false">G21</f>
        <v>16972.9304</v>
      </c>
      <c r="H62" s="73" t="n">
        <f aca="false">H21</f>
        <v>15569.7304</v>
      </c>
      <c r="I62" s="73" t="n">
        <f aca="false">I21</f>
        <v>15569.7304</v>
      </c>
      <c r="J62" s="73" t="n">
        <f aca="false">J21</f>
        <v>15569.7304</v>
      </c>
      <c r="K62" s="73"/>
    </row>
    <row r="63" customFormat="false" ht="15" hidden="false" customHeight="false" outlineLevel="0" collapsed="false">
      <c r="A63" s="206" t="s">
        <v>231</v>
      </c>
      <c r="B63" s="73" t="n">
        <f aca="false">B62-B42</f>
        <v>11711.4</v>
      </c>
      <c r="C63" s="73" t="n">
        <f aca="false">C62-C42</f>
        <v>14956.8</v>
      </c>
      <c r="D63" s="73" t="n">
        <f aca="false">D62-D42</f>
        <v>15644.5</v>
      </c>
      <c r="E63" s="73" t="n">
        <f aca="false">E62-E42</f>
        <v>16875.56521714</v>
      </c>
      <c r="F63" s="73" t="n">
        <f aca="false">F62-F42</f>
        <v>16665.6365796439</v>
      </c>
      <c r="G63" s="73" t="n">
        <f aca="false">G62-G42</f>
        <v>14522.7652280881</v>
      </c>
      <c r="H63" s="73" t="n">
        <f aca="false">H62-H42</f>
        <v>14822.397923078</v>
      </c>
      <c r="I63" s="73" t="n">
        <f aca="false">I62-I42</f>
        <v>14014.2094078335</v>
      </c>
      <c r="J63" s="73" t="n">
        <f aca="false">J62-J42</f>
        <v>12683.2199780438</v>
      </c>
      <c r="K63" s="73"/>
    </row>
    <row r="64" customFormat="false" ht="15" hidden="false" customHeight="false" outlineLevel="0" collapsed="false">
      <c r="A64" s="206" t="s">
        <v>148</v>
      </c>
      <c r="B64" s="73" t="n">
        <f aca="false">B15/'Profit &amp; Loss Consolidated'!B55</f>
        <v>146.372631276901</v>
      </c>
      <c r="C64" s="73" t="n">
        <f aca="false">C15/'Profit &amp; Loss Consolidated'!G55</f>
        <v>133.463661109729</v>
      </c>
      <c r="D64" s="73" t="n">
        <f aca="false">D15/'Profit &amp; Loss Consolidated'!L55</f>
        <v>166.505771907757</v>
      </c>
      <c r="E64" s="73" t="n">
        <f aca="false">E15/'Profit &amp; Loss Consolidated'!Q55</f>
        <v>189.052061605918</v>
      </c>
      <c r="F64" s="73" t="n">
        <f aca="false">F15/'Profit &amp; Loss Consolidated'!V55</f>
        <v>262.005528727024</v>
      </c>
      <c r="G64" s="73" t="n">
        <f aca="false">G15/'Profit &amp; Loss Consolidated'!AA55</f>
        <v>376.966716201071</v>
      </c>
      <c r="H64" s="73" t="n">
        <f aca="false">H15/'Profit &amp; Loss Consolidated'!AF55</f>
        <v>517.212481894906</v>
      </c>
      <c r="I64" s="73" t="n">
        <f aca="false">I15/'Profit &amp; Loss Consolidated'!AK55</f>
        <v>654.416002171553</v>
      </c>
      <c r="J64" s="73" t="n">
        <f aca="false">J15/'Profit &amp; Loss Consolidated'!AP55</f>
        <v>819.969233614555</v>
      </c>
      <c r="K64" s="73"/>
    </row>
    <row r="65" customFormat="false" ht="15.75" hidden="false" customHeight="false" outlineLevel="0" collapsed="false">
      <c r="A65" s="31"/>
      <c r="B65" s="31"/>
      <c r="C65" s="31"/>
      <c r="D65" s="31"/>
      <c r="E65" s="31"/>
      <c r="F65" s="31"/>
      <c r="G65" s="31"/>
      <c r="H65" s="31"/>
      <c r="I65" s="31"/>
      <c r="J65" s="31"/>
      <c r="K65" s="73"/>
    </row>
    <row r="66" customFormat="false" ht="15" hidden="false" customHeight="false" outlineLevel="0" collapsed="false">
      <c r="A66" s="206"/>
      <c r="B66" s="73"/>
      <c r="C66" s="73"/>
      <c r="D66" s="73"/>
      <c r="E66" s="73"/>
      <c r="F66" s="73"/>
      <c r="G66" s="73"/>
      <c r="H66" s="73"/>
      <c r="I66" s="73"/>
      <c r="J66" s="73"/>
      <c r="K66" s="73"/>
    </row>
    <row r="67" customFormat="false" ht="15" hidden="false" customHeight="false" outlineLevel="0" collapsed="false">
      <c r="A67" s="206"/>
      <c r="B67" s="73"/>
      <c r="C67" s="73"/>
      <c r="D67" s="73"/>
      <c r="E67" s="73"/>
      <c r="F67" s="73"/>
      <c r="G67" s="73"/>
      <c r="H67" s="73"/>
      <c r="I67" s="73"/>
      <c r="J67" s="73"/>
      <c r="K67" s="73"/>
    </row>
    <row r="68" customFormat="false" ht="15" hidden="false" customHeight="false" outlineLevel="0" collapsed="false">
      <c r="B68" s="73"/>
      <c r="C68" s="73"/>
      <c r="D68" s="73"/>
      <c r="E68" s="73"/>
      <c r="F68" s="73"/>
      <c r="G68" s="73"/>
      <c r="H68" s="73"/>
      <c r="I68" s="73"/>
      <c r="J68" s="73"/>
      <c r="K68" s="73"/>
    </row>
    <row r="69" customFormat="false" ht="15" hidden="false" customHeight="false" outlineLevel="0" collapsed="false">
      <c r="B69" s="73"/>
      <c r="C69" s="73"/>
      <c r="D69" s="73"/>
      <c r="E69" s="73"/>
      <c r="F69" s="73"/>
      <c r="G69" s="73"/>
      <c r="H69" s="73"/>
      <c r="I69" s="73"/>
      <c r="J69" s="73"/>
      <c r="K69" s="73"/>
    </row>
    <row r="70" customFormat="false" ht="15" hidden="false" customHeight="false" outlineLevel="0" collapsed="false">
      <c r="B70" s="73"/>
      <c r="C70" s="73"/>
      <c r="D70" s="73"/>
      <c r="E70" s="73"/>
      <c r="F70" s="73"/>
      <c r="G70" s="73"/>
      <c r="H70" s="73"/>
      <c r="I70" s="73"/>
      <c r="J70" s="73"/>
      <c r="K70"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defaultColWidth="8.96875" defaultRowHeight="15" zeroHeight="false" outlineLevelRow="0" outlineLevelCol="0"/>
  <cols>
    <col collapsed="false" customWidth="true" hidden="false" outlineLevel="0" max="1" min="1" style="0" width="60.99"/>
    <col collapsed="false" customWidth="true" hidden="false" outlineLevel="0" max="5" min="2" style="0" width="10.28"/>
    <col collapsed="false" customWidth="true" hidden="false" outlineLevel="0" max="6" min="6" style="0" width="12.42"/>
    <col collapsed="false" customWidth="true" hidden="false" outlineLevel="0" max="8" min="7" style="0" width="10.28"/>
    <col collapsed="false" customWidth="true" hidden="false" outlineLevel="0" max="10" min="9" style="0" width="10.56"/>
  </cols>
  <sheetData>
    <row r="1" customFormat="false" ht="18.75" hidden="false" customHeight="false" outlineLevel="0" collapsed="false">
      <c r="A1" s="29" t="s">
        <v>1</v>
      </c>
      <c r="B1" s="29"/>
    </row>
    <row r="2" customFormat="false" ht="15.75" hidden="false" customHeight="false" outlineLevel="0" collapsed="false">
      <c r="A2" s="30" t="s">
        <v>232</v>
      </c>
      <c r="B2" s="123"/>
      <c r="C2" s="180"/>
      <c r="D2" s="123"/>
      <c r="E2" s="181"/>
      <c r="F2" s="123"/>
      <c r="G2" s="182"/>
    </row>
    <row r="3" customFormat="false" ht="15.75" hidden="false" customHeight="false" outlineLevel="0" collapsed="false">
      <c r="A3" s="31" t="s">
        <v>233</v>
      </c>
      <c r="B3" s="31"/>
      <c r="C3" s="31"/>
      <c r="D3" s="31"/>
      <c r="E3" s="31"/>
      <c r="F3" s="31"/>
      <c r="G3" s="31"/>
      <c r="H3" s="31"/>
      <c r="I3" s="31"/>
      <c r="J3" s="31"/>
      <c r="K3" s="32"/>
      <c r="L3" s="32"/>
    </row>
    <row r="4" customFormat="false" ht="15" hidden="false" customHeight="false" outlineLevel="0" collapsed="false">
      <c r="A4" s="85" t="s">
        <v>38</v>
      </c>
      <c r="B4" s="183" t="s">
        <v>196</v>
      </c>
      <c r="C4" s="86" t="s">
        <v>85</v>
      </c>
      <c r="D4" s="86" t="s">
        <v>86</v>
      </c>
      <c r="E4" s="89" t="s">
        <v>197</v>
      </c>
      <c r="F4" s="89" t="s">
        <v>48</v>
      </c>
      <c r="G4" s="89" t="s">
        <v>53</v>
      </c>
      <c r="H4" s="207" t="s">
        <v>87</v>
      </c>
      <c r="I4" s="89" t="s">
        <v>88</v>
      </c>
      <c r="J4" s="89" t="s">
        <v>89</v>
      </c>
    </row>
    <row r="7" customFormat="false" ht="15" hidden="false" customHeight="false" outlineLevel="0" collapsed="false">
      <c r="A7" s="33" t="s">
        <v>232</v>
      </c>
    </row>
    <row r="9" customFormat="false" ht="15" hidden="false" customHeight="false" outlineLevel="0" collapsed="false">
      <c r="A9" s="184" t="s">
        <v>234</v>
      </c>
      <c r="B9" s="73"/>
      <c r="C9" s="73"/>
      <c r="D9" s="73"/>
      <c r="E9" s="73"/>
      <c r="F9" s="73"/>
      <c r="G9" s="73"/>
      <c r="H9" s="73"/>
      <c r="I9" s="73"/>
      <c r="J9" s="73"/>
      <c r="K9" s="73"/>
      <c r="L9" s="73"/>
    </row>
    <row r="10" customFormat="false" ht="15" hidden="false" customHeight="false" outlineLevel="0" collapsed="false">
      <c r="B10" s="73"/>
      <c r="C10" s="73"/>
      <c r="D10" s="73"/>
      <c r="E10" s="73"/>
      <c r="F10" s="73"/>
      <c r="G10" s="73"/>
      <c r="H10" s="73"/>
      <c r="I10" s="73"/>
      <c r="J10" s="73"/>
      <c r="K10" s="73"/>
      <c r="L10" s="73"/>
    </row>
    <row r="11" customFormat="false" ht="30" hidden="false" customHeight="false" outlineLevel="0" collapsed="false">
      <c r="A11" s="200" t="s">
        <v>235</v>
      </c>
      <c r="B11" s="134" t="n">
        <v>985</v>
      </c>
      <c r="C11" s="134" t="n">
        <v>2064.2</v>
      </c>
      <c r="D11" s="134" t="n">
        <v>2917.4</v>
      </c>
      <c r="E11" s="73" t="n">
        <f aca="false">'Profit &amp; Loss Consolidated'!Q32</f>
        <v>1311.83</v>
      </c>
      <c r="F11" s="73" t="n">
        <f aca="false">'Profit &amp; Loss Consolidated'!V32</f>
        <v>5473.50258469565</v>
      </c>
      <c r="G11" s="73" t="n">
        <f aca="false">'Profit &amp; Loss Consolidated'!AA32</f>
        <v>5829.65181057474</v>
      </c>
      <c r="H11" s="73" t="n">
        <f aca="false">'Profit &amp; Loss Consolidated'!AF32</f>
        <v>6592.23152258419</v>
      </c>
      <c r="I11" s="73" t="n">
        <f aca="false">'Profit &amp; Loss Consolidated'!AK32</f>
        <v>9175.83138419749</v>
      </c>
      <c r="J11" s="73" t="n">
        <f aca="false">'Profit &amp; Loss Consolidated'!AP32</f>
        <v>11071.7898036948</v>
      </c>
      <c r="K11" s="73"/>
      <c r="L11" s="73"/>
    </row>
    <row r="12" customFormat="false" ht="15" hidden="false" customHeight="false" outlineLevel="0" collapsed="false">
      <c r="A12" s="185" t="s">
        <v>236</v>
      </c>
      <c r="B12" s="134"/>
      <c r="C12" s="134"/>
      <c r="D12" s="134"/>
      <c r="E12" s="73"/>
      <c r="F12" s="73"/>
      <c r="G12" s="73"/>
      <c r="H12" s="73"/>
      <c r="I12" s="73"/>
      <c r="J12" s="73"/>
      <c r="K12" s="73"/>
      <c r="L12" s="73"/>
    </row>
    <row r="13" customFormat="false" ht="15" hidden="false" customHeight="false" outlineLevel="0" collapsed="false">
      <c r="A13" s="208" t="s">
        <v>237</v>
      </c>
      <c r="B13" s="134" t="n">
        <v>721.3</v>
      </c>
      <c r="C13" s="134" t="n">
        <v>997.2</v>
      </c>
      <c r="D13" s="134" t="n">
        <v>1003.8</v>
      </c>
      <c r="E13" s="73" t="n">
        <f aca="false">'Profit &amp; Loss Consolidated'!Q20</f>
        <v>1221.2</v>
      </c>
      <c r="F13" s="73" t="n">
        <f aca="false">'Profit &amp; Loss Consolidated'!V20</f>
        <v>1209.80753660391</v>
      </c>
      <c r="G13" s="73" t="n">
        <f aca="false">'Profit &amp; Loss Consolidated'!AA20</f>
        <v>1356.72417309232</v>
      </c>
      <c r="H13" s="73" t="n">
        <f aca="false">'Profit &amp; Loss Consolidated'!AF20</f>
        <v>1526.43585212883</v>
      </c>
      <c r="I13" s="73" t="n">
        <f aca="false">'Profit &amp; Loss Consolidated'!AK20</f>
        <v>1722.54588255296</v>
      </c>
      <c r="J13" s="73" t="n">
        <f aca="false">'Profit &amp; Loss Consolidated'!AP20</f>
        <v>1969.26941389299</v>
      </c>
      <c r="K13" s="73"/>
      <c r="L13" s="73"/>
    </row>
    <row r="14" customFormat="false" ht="15" hidden="false" customHeight="false" outlineLevel="0" collapsed="false">
      <c r="A14" s="208" t="s">
        <v>238</v>
      </c>
      <c r="B14" s="134" t="n">
        <v>0</v>
      </c>
      <c r="C14" s="134" t="n">
        <v>0.1</v>
      </c>
      <c r="D14" s="134" t="n">
        <v>0</v>
      </c>
      <c r="E14" s="73" t="n">
        <v>0</v>
      </c>
      <c r="F14" s="73" t="n">
        <v>0</v>
      </c>
      <c r="G14" s="73" t="n">
        <v>0</v>
      </c>
      <c r="H14" s="73" t="n">
        <v>0</v>
      </c>
      <c r="I14" s="73" t="n">
        <v>0</v>
      </c>
      <c r="J14" s="73" t="n">
        <v>0</v>
      </c>
      <c r="K14" s="73"/>
      <c r="L14" s="73"/>
    </row>
    <row r="15" customFormat="false" ht="15" hidden="false" customHeight="false" outlineLevel="0" collapsed="false">
      <c r="A15" s="208" t="s">
        <v>239</v>
      </c>
      <c r="B15" s="134" t="n">
        <v>136.1</v>
      </c>
      <c r="C15" s="134" t="n">
        <v>82.5</v>
      </c>
      <c r="D15" s="134" t="n">
        <v>4.3</v>
      </c>
      <c r="E15" s="73" t="n">
        <v>0</v>
      </c>
      <c r="F15" s="73" t="n">
        <v>0</v>
      </c>
      <c r="G15" s="73" t="n">
        <v>0</v>
      </c>
      <c r="H15" s="73" t="n">
        <v>0</v>
      </c>
      <c r="I15" s="73" t="n">
        <v>0</v>
      </c>
      <c r="J15" s="73" t="n">
        <v>0</v>
      </c>
      <c r="K15" s="73"/>
      <c r="L15" s="73"/>
    </row>
    <row r="16" customFormat="false" ht="15" hidden="false" customHeight="false" outlineLevel="0" collapsed="false">
      <c r="A16" s="208" t="s">
        <v>240</v>
      </c>
      <c r="B16" s="134" t="n">
        <v>-28.7</v>
      </c>
      <c r="C16" s="134" t="n">
        <v>-41.2</v>
      </c>
      <c r="D16" s="134" t="n">
        <v>3.5</v>
      </c>
      <c r="E16" s="73" t="n">
        <v>0</v>
      </c>
      <c r="F16" s="73" t="n">
        <v>0</v>
      </c>
      <c r="G16" s="73" t="n">
        <v>0</v>
      </c>
      <c r="H16" s="73" t="n">
        <v>0</v>
      </c>
      <c r="I16" s="73" t="n">
        <v>0</v>
      </c>
      <c r="J16" s="73" t="n">
        <v>0</v>
      </c>
      <c r="K16" s="73"/>
      <c r="L16" s="73"/>
    </row>
    <row r="17" customFormat="false" ht="15" hidden="false" customHeight="false" outlineLevel="0" collapsed="false">
      <c r="A17" s="208" t="s">
        <v>241</v>
      </c>
      <c r="B17" s="134" t="n">
        <v>-88.2</v>
      </c>
      <c r="C17" s="134" t="n">
        <v>-45.1</v>
      </c>
      <c r="D17" s="134" t="n">
        <v>-124.1</v>
      </c>
      <c r="E17" s="73" t="n">
        <v>0</v>
      </c>
      <c r="F17" s="73" t="n">
        <v>0</v>
      </c>
      <c r="G17" s="73" t="n">
        <v>0</v>
      </c>
      <c r="H17" s="73" t="n">
        <v>0</v>
      </c>
      <c r="I17" s="73" t="n">
        <v>0</v>
      </c>
      <c r="J17" s="73" t="n">
        <v>0</v>
      </c>
      <c r="K17" s="73"/>
      <c r="L17" s="73"/>
    </row>
    <row r="18" customFormat="false" ht="15" hidden="false" customHeight="false" outlineLevel="0" collapsed="false">
      <c r="A18" s="208" t="s">
        <v>242</v>
      </c>
      <c r="B18" s="134" t="n">
        <v>16.1</v>
      </c>
      <c r="C18" s="134" t="n">
        <v>39.2</v>
      </c>
      <c r="D18" s="134" t="n">
        <v>45.1</v>
      </c>
      <c r="E18" s="73" t="n">
        <v>0</v>
      </c>
      <c r="F18" s="73" t="n">
        <v>0</v>
      </c>
      <c r="G18" s="73" t="n">
        <v>0</v>
      </c>
      <c r="H18" s="73" t="n">
        <v>0</v>
      </c>
      <c r="I18" s="73" t="n">
        <v>0</v>
      </c>
      <c r="J18" s="73" t="n">
        <v>0</v>
      </c>
      <c r="K18" s="73"/>
      <c r="L18" s="73"/>
    </row>
    <row r="19" customFormat="false" ht="15" hidden="false" customHeight="false" outlineLevel="0" collapsed="false">
      <c r="A19" s="208" t="s">
        <v>243</v>
      </c>
      <c r="B19" s="134" t="n">
        <v>-39.5</v>
      </c>
      <c r="C19" s="134" t="n">
        <v>-52.9</v>
      </c>
      <c r="D19" s="134" t="n">
        <v>-64.4</v>
      </c>
      <c r="E19" s="73" t="n">
        <v>0</v>
      </c>
      <c r="F19" s="73" t="n">
        <v>0</v>
      </c>
      <c r="G19" s="73" t="n">
        <v>0</v>
      </c>
      <c r="H19" s="73" t="n">
        <v>0</v>
      </c>
      <c r="I19" s="73" t="n">
        <v>0</v>
      </c>
      <c r="J19" s="73" t="n">
        <v>0</v>
      </c>
      <c r="K19" s="73"/>
      <c r="L19" s="73"/>
    </row>
    <row r="20" customFormat="false" ht="15" hidden="false" customHeight="false" outlineLevel="0" collapsed="false">
      <c r="A20" s="208" t="s">
        <v>244</v>
      </c>
      <c r="B20" s="134" t="n">
        <v>-39.9</v>
      </c>
      <c r="C20" s="134" t="n">
        <v>2.3</v>
      </c>
      <c r="D20" s="134" t="n">
        <v>32.3</v>
      </c>
      <c r="E20" s="73" t="n">
        <v>0</v>
      </c>
      <c r="F20" s="73" t="n">
        <v>0</v>
      </c>
      <c r="G20" s="73" t="n">
        <v>0</v>
      </c>
      <c r="H20" s="73" t="n">
        <v>0</v>
      </c>
      <c r="I20" s="73" t="n">
        <v>0</v>
      </c>
      <c r="J20" s="73" t="n">
        <v>0</v>
      </c>
      <c r="K20" s="73"/>
      <c r="L20" s="73"/>
    </row>
    <row r="21" customFormat="false" ht="15" hidden="false" customHeight="false" outlineLevel="0" collapsed="false">
      <c r="A21" s="208" t="s">
        <v>245</v>
      </c>
      <c r="B21" s="134" t="n">
        <v>0.1</v>
      </c>
      <c r="C21" s="134" t="n">
        <v>0.1</v>
      </c>
      <c r="D21" s="134" t="n">
        <v>0.1</v>
      </c>
      <c r="E21" s="73" t="n">
        <v>0</v>
      </c>
      <c r="F21" s="73" t="n">
        <v>0</v>
      </c>
      <c r="G21" s="73" t="n">
        <v>0</v>
      </c>
      <c r="H21" s="73" t="n">
        <v>0</v>
      </c>
      <c r="I21" s="73" t="n">
        <v>0</v>
      </c>
      <c r="J21" s="73" t="n">
        <v>0</v>
      </c>
      <c r="K21" s="73"/>
      <c r="L21" s="73"/>
    </row>
    <row r="22" customFormat="false" ht="15" hidden="false" customHeight="false" outlineLevel="0" collapsed="false">
      <c r="A22" s="208" t="s">
        <v>246</v>
      </c>
      <c r="B22" s="134" t="n">
        <v>13.7</v>
      </c>
      <c r="C22" s="134" t="n">
        <v>1</v>
      </c>
      <c r="D22" s="134" t="n">
        <v>0</v>
      </c>
      <c r="E22" s="73" t="n">
        <v>0</v>
      </c>
      <c r="F22" s="73" t="n">
        <v>0</v>
      </c>
      <c r="G22" s="73" t="n">
        <v>0</v>
      </c>
      <c r="H22" s="73" t="n">
        <v>0</v>
      </c>
      <c r="I22" s="73" t="n">
        <v>0</v>
      </c>
      <c r="J22" s="73" t="n">
        <v>0</v>
      </c>
      <c r="K22" s="73"/>
      <c r="L22" s="73"/>
    </row>
    <row r="23" customFormat="false" ht="15" hidden="false" customHeight="false" outlineLevel="0" collapsed="false">
      <c r="A23" s="208" t="s">
        <v>247</v>
      </c>
      <c r="B23" s="134" t="n">
        <v>8.6</v>
      </c>
      <c r="C23" s="134" t="n">
        <v>-327</v>
      </c>
      <c r="D23" s="134" t="n">
        <v>-878.9</v>
      </c>
      <c r="E23" s="73" t="n">
        <v>0</v>
      </c>
      <c r="F23" s="73" t="n">
        <f aca="false">'Debt Schedule'!G48</f>
        <v>-843.6928</v>
      </c>
      <c r="G23" s="73" t="n">
        <f aca="false">'Profit &amp; Loss Consolidated'!AA30</f>
        <v>-69.6</v>
      </c>
      <c r="H23" s="73" t="n">
        <v>0</v>
      </c>
      <c r="I23" s="73" t="n">
        <v>0</v>
      </c>
      <c r="J23" s="73" t="n">
        <v>0</v>
      </c>
      <c r="K23" s="73"/>
      <c r="L23" s="73"/>
    </row>
    <row r="24" customFormat="false" ht="15" hidden="false" customHeight="false" outlineLevel="0" collapsed="false">
      <c r="A24" s="208" t="s">
        <v>248</v>
      </c>
      <c r="B24" s="134" t="n">
        <v>-86.9</v>
      </c>
      <c r="C24" s="134" t="n">
        <v>-410.9</v>
      </c>
      <c r="D24" s="134" t="n">
        <v>-261.8</v>
      </c>
      <c r="E24" s="73" t="n">
        <v>0</v>
      </c>
      <c r="F24" s="73" t="n">
        <v>0</v>
      </c>
      <c r="G24" s="73" t="n">
        <v>0</v>
      </c>
      <c r="H24" s="73" t="n">
        <v>0</v>
      </c>
      <c r="I24" s="73" t="n">
        <v>0</v>
      </c>
      <c r="J24" s="73" t="n">
        <v>0</v>
      </c>
      <c r="K24" s="73"/>
      <c r="L24" s="73"/>
    </row>
    <row r="25" customFormat="false" ht="15" hidden="false" customHeight="false" outlineLevel="0" collapsed="false">
      <c r="A25" s="208" t="s">
        <v>249</v>
      </c>
      <c r="B25" s="134" t="n">
        <v>64.3</v>
      </c>
      <c r="C25" s="134" t="n">
        <v>-28.5</v>
      </c>
      <c r="D25" s="134" t="n">
        <v>19.1</v>
      </c>
      <c r="E25" s="73" t="n">
        <v>0</v>
      </c>
      <c r="F25" s="73" t="n">
        <v>0</v>
      </c>
      <c r="G25" s="73" t="n">
        <v>0</v>
      </c>
      <c r="H25" s="73" t="n">
        <v>0</v>
      </c>
      <c r="I25" s="73" t="n">
        <v>0</v>
      </c>
      <c r="J25" s="73" t="n">
        <v>0</v>
      </c>
      <c r="K25" s="73"/>
      <c r="L25" s="73"/>
    </row>
    <row r="26" customFormat="false" ht="15" hidden="false" customHeight="false" outlineLevel="0" collapsed="false">
      <c r="A26" s="208" t="s">
        <v>250</v>
      </c>
      <c r="B26" s="134" t="n">
        <v>0</v>
      </c>
      <c r="C26" s="134" t="n">
        <v>-58.5</v>
      </c>
      <c r="D26" s="134" t="n">
        <v>0</v>
      </c>
      <c r="E26" s="73" t="n">
        <v>0</v>
      </c>
      <c r="F26" s="73" t="n">
        <v>0</v>
      </c>
      <c r="G26" s="73" t="n">
        <v>0</v>
      </c>
      <c r="H26" s="73" t="n">
        <v>0</v>
      </c>
      <c r="I26" s="73" t="n">
        <v>0</v>
      </c>
      <c r="J26" s="73" t="n">
        <v>0</v>
      </c>
      <c r="K26" s="73"/>
      <c r="L26" s="73"/>
    </row>
    <row r="27" customFormat="false" ht="15" hidden="false" customHeight="false" outlineLevel="0" collapsed="false">
      <c r="A27" s="208" t="s">
        <v>174</v>
      </c>
      <c r="B27" s="134" t="n">
        <v>-309.8</v>
      </c>
      <c r="C27" s="134" t="n">
        <v>0</v>
      </c>
      <c r="D27" s="134" t="n">
        <v>0</v>
      </c>
      <c r="E27" s="73" t="n">
        <v>0</v>
      </c>
      <c r="F27" s="73" t="n">
        <v>0</v>
      </c>
      <c r="G27" s="73" t="n">
        <f aca="false">'Profit &amp; Loss Consolidated'!AA31</f>
        <v>-166.608507648</v>
      </c>
      <c r="H27" s="73" t="n">
        <v>0</v>
      </c>
      <c r="I27" s="73" t="n">
        <v>0</v>
      </c>
      <c r="J27" s="73" t="n">
        <v>0</v>
      </c>
      <c r="K27" s="73"/>
      <c r="L27" s="73"/>
    </row>
    <row r="28" customFormat="false" ht="17.25" hidden="false" customHeight="false" outlineLevel="0" collapsed="false">
      <c r="A28" s="208" t="s">
        <v>251</v>
      </c>
      <c r="B28" s="190" t="n">
        <v>691</v>
      </c>
      <c r="C28" s="190" t="n">
        <v>864.5</v>
      </c>
      <c r="D28" s="190" t="n">
        <v>621.1</v>
      </c>
      <c r="E28" s="191" t="n">
        <v>0</v>
      </c>
      <c r="F28" s="191" t="n">
        <v>0</v>
      </c>
      <c r="G28" s="191" t="n">
        <v>0</v>
      </c>
      <c r="H28" s="191" t="n">
        <v>0</v>
      </c>
      <c r="I28" s="191" t="n">
        <v>0</v>
      </c>
      <c r="J28" s="191" t="n">
        <v>0</v>
      </c>
      <c r="K28" s="73"/>
      <c r="L28" s="73"/>
    </row>
    <row r="29" customFormat="false" ht="15" hidden="false" customHeight="false" outlineLevel="0" collapsed="false">
      <c r="A29" s="209" t="s">
        <v>252</v>
      </c>
      <c r="B29" s="73" t="n">
        <f aca="false">SUM(B11:B28)</f>
        <v>2043.2</v>
      </c>
      <c r="C29" s="73" t="n">
        <f aca="false">SUM(C11:C28)</f>
        <v>3087</v>
      </c>
      <c r="D29" s="73" t="n">
        <f aca="false">SUM(D11:D28)</f>
        <v>3317.5</v>
      </c>
      <c r="E29" s="73" t="n">
        <f aca="false">SUM(E11:E28)</f>
        <v>2533.03</v>
      </c>
      <c r="F29" s="73" t="n">
        <f aca="false">SUM(F11:F28)</f>
        <v>5839.61732129956</v>
      </c>
      <c r="G29" s="73" t="n">
        <f aca="false">SUM(G11:G28)</f>
        <v>6950.16747601905</v>
      </c>
      <c r="H29" s="73" t="n">
        <f aca="false">SUM(H11:H28)</f>
        <v>8118.66737471302</v>
      </c>
      <c r="I29" s="73" t="n">
        <f aca="false">SUM(I11:I28)</f>
        <v>10898.3772667505</v>
      </c>
      <c r="J29" s="73" t="n">
        <f aca="false">SUM(J11:J28)</f>
        <v>13041.0592175878</v>
      </c>
      <c r="K29" s="73"/>
      <c r="L29" s="73"/>
    </row>
    <row r="30" customFormat="false" ht="15" hidden="false" customHeight="false" outlineLevel="0" collapsed="false">
      <c r="A30" s="185" t="s">
        <v>253</v>
      </c>
      <c r="B30" s="73"/>
      <c r="C30" s="73"/>
      <c r="D30" s="73"/>
      <c r="E30" s="73"/>
      <c r="F30" s="73"/>
      <c r="G30" s="73"/>
      <c r="H30" s="73"/>
      <c r="I30" s="73"/>
      <c r="J30" s="73"/>
      <c r="K30" s="73"/>
      <c r="L30" s="73"/>
    </row>
    <row r="31" customFormat="false" ht="15" hidden="false" customHeight="false" outlineLevel="0" collapsed="false">
      <c r="A31" s="208" t="s">
        <v>254</v>
      </c>
      <c r="B31" s="134" t="n">
        <v>-1411.6</v>
      </c>
      <c r="C31" s="134" t="n">
        <v>-796.4</v>
      </c>
      <c r="D31" s="134" t="n">
        <v>-297.2</v>
      </c>
      <c r="E31" s="73" t="n">
        <f aca="false">-('Balance Sheet'!E41-'Balance Sheet'!D41)</f>
        <v>-1313.40966673066</v>
      </c>
      <c r="F31" s="73" t="n">
        <f aca="false">-('Balance Sheet'!F41-'Balance Sheet'!E41)</f>
        <v>-2293.3286046327</v>
      </c>
      <c r="G31" s="73" t="n">
        <f aca="false">-('Balance Sheet'!G41-'Balance Sheet'!F41)</f>
        <v>-2461.64118512721</v>
      </c>
      <c r="H31" s="73" t="n">
        <f aca="false">-('Balance Sheet'!H41-'Balance Sheet'!G41)</f>
        <v>-3052.43506955774</v>
      </c>
      <c r="I31" s="73" t="n">
        <f aca="false">-('Balance Sheet'!I41-'Balance Sheet'!H41)</f>
        <v>-3469.60119573063</v>
      </c>
      <c r="J31" s="73" t="n">
        <f aca="false">-('Balance Sheet'!J41-'Balance Sheet'!I41)</f>
        <v>-3848.10314435579</v>
      </c>
      <c r="K31" s="73"/>
      <c r="L31" s="73"/>
    </row>
    <row r="32" customFormat="false" ht="15" hidden="false" customHeight="false" outlineLevel="0" collapsed="false">
      <c r="A32" s="208" t="s">
        <v>255</v>
      </c>
      <c r="B32" s="134" t="n">
        <v>-926.4</v>
      </c>
      <c r="C32" s="134" t="n">
        <v>-1832.2</v>
      </c>
      <c r="D32" s="134" t="n">
        <v>-1406.3</v>
      </c>
      <c r="E32" s="73" t="n">
        <f aca="false">-('Balance Sheet'!E40-'Balance Sheet'!D40)</f>
        <v>-728.178380963759</v>
      </c>
      <c r="F32" s="73" t="n">
        <f aca="false">-('Balance Sheet'!F40-'Balance Sheet'!E40)</f>
        <v>-2499.2250337685</v>
      </c>
      <c r="G32" s="73" t="n">
        <f aca="false">-('Balance Sheet'!G40-'Balance Sheet'!F40)</f>
        <v>-2682.64881953574</v>
      </c>
      <c r="H32" s="73" t="n">
        <f aca="false">-('Balance Sheet'!H40-'Balance Sheet'!G40)</f>
        <v>-3326.48453622432</v>
      </c>
      <c r="I32" s="73" t="n">
        <f aca="false">-('Balance Sheet'!I40-'Balance Sheet'!H40)</f>
        <v>-3781.10408950831</v>
      </c>
      <c r="J32" s="73" t="n">
        <f aca="false">-('Balance Sheet'!J40-'Balance Sheet'!I40)</f>
        <v>-4193.58817200012</v>
      </c>
      <c r="K32" s="73"/>
      <c r="L32" s="73"/>
    </row>
    <row r="33" customFormat="false" ht="15" hidden="false" customHeight="false" outlineLevel="0" collapsed="false">
      <c r="A33" s="208" t="s">
        <v>256</v>
      </c>
      <c r="B33" s="134" t="n">
        <v>-426.2</v>
      </c>
      <c r="C33" s="134" t="n">
        <v>-684.5</v>
      </c>
      <c r="D33" s="134" t="n">
        <v>-692.4</v>
      </c>
      <c r="E33" s="73" t="n">
        <v>0</v>
      </c>
      <c r="F33" s="73" t="n">
        <v>0</v>
      </c>
      <c r="G33" s="73" t="n">
        <v>0</v>
      </c>
      <c r="H33" s="73" t="n">
        <v>0</v>
      </c>
      <c r="I33" s="73" t="n">
        <v>0</v>
      </c>
      <c r="J33" s="73" t="n">
        <v>0</v>
      </c>
      <c r="K33" s="73"/>
      <c r="L33" s="73"/>
    </row>
    <row r="34" customFormat="false" ht="17.25" hidden="false" customHeight="false" outlineLevel="0" collapsed="false">
      <c r="A34" s="208" t="s">
        <v>257</v>
      </c>
      <c r="B34" s="190" t="n">
        <v>1202.2</v>
      </c>
      <c r="C34" s="190" t="n">
        <v>645.7</v>
      </c>
      <c r="D34" s="190" t="n">
        <v>1124.2</v>
      </c>
      <c r="E34" s="191" t="n">
        <f aca="false">('Balance Sheet'!E46-'Balance Sheet'!D46)</f>
        <v>882.672580554461</v>
      </c>
      <c r="F34" s="191" t="n">
        <f aca="false">('Balance Sheet'!F46-'Balance Sheet'!E46)</f>
        <v>1857.72081660817</v>
      </c>
      <c r="G34" s="191" t="n">
        <f aca="false">('Balance Sheet'!G46-'Balance Sheet'!F46)</f>
        <v>1919.06359382014</v>
      </c>
      <c r="H34" s="191" t="n">
        <f aca="false">('Balance Sheet'!H46-'Balance Sheet'!G46)</f>
        <v>2449.30967783587</v>
      </c>
      <c r="I34" s="191" t="n">
        <f aca="false">('Balance Sheet'!I46-'Balance Sheet'!H46)</f>
        <v>2784.0486671401</v>
      </c>
      <c r="J34" s="191" t="n">
        <f aca="false">('Balance Sheet'!J46-'Balance Sheet'!I46)</f>
        <v>3087.76306719175</v>
      </c>
      <c r="K34" s="73"/>
      <c r="L34" s="73"/>
    </row>
    <row r="35" customFormat="false" ht="15" hidden="false" customHeight="false" outlineLevel="0" collapsed="false">
      <c r="A35" s="208" t="s">
        <v>258</v>
      </c>
      <c r="B35" s="73" t="n">
        <f aca="false">B29+SUM(B31:B34)</f>
        <v>481.2</v>
      </c>
      <c r="C35" s="73" t="n">
        <f aca="false">C29+SUM(C31:C34)</f>
        <v>419.6</v>
      </c>
      <c r="D35" s="73" t="n">
        <f aca="false">D29+SUM(D31:D34)</f>
        <v>2045.8</v>
      </c>
      <c r="E35" s="73" t="n">
        <f aca="false">E29+SUM(E31:E34)</f>
        <v>1374.11453286004</v>
      </c>
      <c r="F35" s="73" t="n">
        <f aca="false">F29+SUM(F31:F34)</f>
        <v>2904.78449950652</v>
      </c>
      <c r="G35" s="73" t="n">
        <f aca="false">G29+SUM(G31:G34)</f>
        <v>3724.94106517624</v>
      </c>
      <c r="H35" s="73" t="n">
        <f aca="false">H29+SUM(H31:H34)</f>
        <v>4189.05744676683</v>
      </c>
      <c r="I35" s="73" t="n">
        <f aca="false">I29+SUM(I31:I34)</f>
        <v>6431.72064865162</v>
      </c>
      <c r="J35" s="73" t="n">
        <f aca="false">J29+SUM(J31:J34)</f>
        <v>8087.13096842364</v>
      </c>
      <c r="K35" s="73"/>
      <c r="L35" s="73"/>
    </row>
    <row r="36" customFormat="false" ht="17.25" hidden="false" customHeight="false" outlineLevel="0" collapsed="false">
      <c r="A36" s="208" t="s">
        <v>259</v>
      </c>
      <c r="B36" s="190" t="n">
        <v>-320.7</v>
      </c>
      <c r="C36" s="190" t="n">
        <v>-233.1</v>
      </c>
      <c r="D36" s="190" t="n">
        <v>-458.6</v>
      </c>
      <c r="E36" s="191" t="n">
        <f aca="false">-'Profit &amp; Loss Consolidated'!Q42</f>
        <v>-312.9</v>
      </c>
      <c r="F36" s="191" t="n">
        <f aca="false">-'Profit &amp; Loss Consolidated'!V42</f>
        <v>-782.966336010435</v>
      </c>
      <c r="G36" s="191" t="n">
        <f aca="false">-'Profit &amp; Loss Consolidated'!AA42</f>
        <v>-727.147629380475</v>
      </c>
      <c r="H36" s="191" t="n">
        <f aca="false">-'Profit &amp; Loss Consolidated'!AF42</f>
        <v>-856.990097935946</v>
      </c>
      <c r="I36" s="191" t="n">
        <f aca="false">-'Profit &amp; Loss Consolidated'!AK42</f>
        <v>-1192.85807994567</v>
      </c>
      <c r="J36" s="191" t="n">
        <f aca="false">-'Profit &amp; Loss Consolidated'!AP42</f>
        <v>-1439.33267448033</v>
      </c>
      <c r="K36" s="73"/>
      <c r="L36" s="73"/>
    </row>
    <row r="37" customFormat="false" ht="17.25" hidden="false" customHeight="false" outlineLevel="0" collapsed="false">
      <c r="A37" s="96" t="s">
        <v>260</v>
      </c>
      <c r="B37" s="210" t="n">
        <f aca="false">SUM(B35:B36)</f>
        <v>160.5</v>
      </c>
      <c r="C37" s="210" t="n">
        <f aca="false">SUM(C35:C36)</f>
        <v>186.5</v>
      </c>
      <c r="D37" s="210" t="n">
        <f aca="false">SUM(D35:D36)</f>
        <v>1587.2</v>
      </c>
      <c r="E37" s="210" t="n">
        <f aca="false">SUM(E35:E36)</f>
        <v>1061.21453286004</v>
      </c>
      <c r="F37" s="210" t="n">
        <f aca="false">SUM(F35:F36)</f>
        <v>2121.81816349609</v>
      </c>
      <c r="G37" s="210" t="n">
        <f aca="false">SUM(G35:G36)</f>
        <v>2997.79343579577</v>
      </c>
      <c r="H37" s="210" t="n">
        <f aca="false">SUM(H35:H36)</f>
        <v>3332.06734883089</v>
      </c>
      <c r="I37" s="210" t="n">
        <f aca="false">SUM(I35:I36)</f>
        <v>5238.86256870594</v>
      </c>
      <c r="J37" s="210" t="n">
        <f aca="false">SUM(J35:J36)</f>
        <v>6647.79829394331</v>
      </c>
      <c r="K37" s="73"/>
      <c r="L37" s="73"/>
    </row>
    <row r="38" customFormat="false" ht="15" hidden="false" customHeight="false" outlineLevel="0" collapsed="false">
      <c r="B38" s="73"/>
      <c r="C38" s="73"/>
      <c r="D38" s="73"/>
      <c r="E38" s="73"/>
      <c r="F38" s="73"/>
      <c r="G38" s="73"/>
      <c r="H38" s="73"/>
      <c r="I38" s="73"/>
      <c r="J38" s="73"/>
      <c r="K38" s="73"/>
      <c r="L38" s="73"/>
    </row>
    <row r="39" customFormat="false" ht="15" hidden="false" customHeight="false" outlineLevel="0" collapsed="false">
      <c r="A39" s="211" t="s">
        <v>261</v>
      </c>
      <c r="B39" s="73"/>
      <c r="C39" s="73"/>
      <c r="D39" s="73"/>
      <c r="E39" s="73"/>
      <c r="F39" s="73"/>
      <c r="G39" s="73"/>
      <c r="H39" s="73"/>
      <c r="I39" s="73"/>
      <c r="J39" s="73"/>
      <c r="K39" s="73"/>
      <c r="L39" s="73"/>
    </row>
    <row r="40" customFormat="false" ht="15" hidden="false" customHeight="false" outlineLevel="0" collapsed="false">
      <c r="A40" s="211"/>
      <c r="B40" s="73"/>
      <c r="C40" s="73"/>
      <c r="D40" s="73"/>
      <c r="E40" s="73"/>
      <c r="F40" s="73"/>
      <c r="G40" s="73"/>
      <c r="H40" s="73"/>
      <c r="I40" s="73"/>
      <c r="J40" s="73"/>
      <c r="K40" s="73"/>
      <c r="L40" s="73"/>
    </row>
    <row r="41" customFormat="false" ht="15" hidden="false" customHeight="false" outlineLevel="0" collapsed="false">
      <c r="A41" s="208" t="s">
        <v>262</v>
      </c>
      <c r="B41" s="134" t="n">
        <v>-2224</v>
      </c>
      <c r="C41" s="134" t="n">
        <v>-3318.7</v>
      </c>
      <c r="D41" s="134" t="n">
        <v>-2462.9</v>
      </c>
      <c r="E41" s="73" t="n">
        <f aca="false">-('Balance Sheet'!E28-'Balance Sheet'!D28)</f>
        <v>-2292.27975</v>
      </c>
      <c r="F41" s="73" t="n">
        <f aca="false">-('Balance Sheet'!F28-'Balance Sheet'!E28)</f>
        <v>-2755.582326</v>
      </c>
      <c r="G41" s="73" t="n">
        <f aca="false">-('Balance Sheet'!G28-'Balance Sheet'!F28)</f>
        <v>-3416.92208424</v>
      </c>
      <c r="H41" s="73" t="n">
        <f aca="false">-('Balance Sheet'!H28-'Balance Sheet'!G28)</f>
        <v>-3631.7000438208</v>
      </c>
      <c r="I41" s="73" t="n">
        <f aca="false">-('Balance Sheet'!I28-'Balance Sheet'!H28)</f>
        <v>-4430.67405346138</v>
      </c>
      <c r="J41" s="73" t="n">
        <f aca="false">-('Balance Sheet'!J28-'Balance Sheet'!I28)</f>
        <v>-5316.80886415365</v>
      </c>
      <c r="K41" s="73"/>
      <c r="L41" s="73"/>
    </row>
    <row r="42" customFormat="false" ht="15" hidden="false" customHeight="false" outlineLevel="0" collapsed="false">
      <c r="A42" s="208" t="s">
        <v>263</v>
      </c>
      <c r="B42" s="134" t="n">
        <v>56.5</v>
      </c>
      <c r="C42" s="134" t="n">
        <v>155.3</v>
      </c>
      <c r="D42" s="134" t="n">
        <v>19.4</v>
      </c>
      <c r="E42" s="73" t="n">
        <v>0</v>
      </c>
      <c r="F42" s="73" t="n">
        <v>0</v>
      </c>
      <c r="G42" s="73" t="n">
        <v>0</v>
      </c>
      <c r="H42" s="73" t="n">
        <v>0</v>
      </c>
      <c r="I42" s="73" t="n">
        <v>0</v>
      </c>
      <c r="J42" s="73" t="n">
        <v>0</v>
      </c>
      <c r="K42" s="73"/>
      <c r="L42" s="73"/>
    </row>
    <row r="43" customFormat="false" ht="30" hidden="false" customHeight="false" outlineLevel="0" collapsed="false">
      <c r="A43" s="212" t="s">
        <v>264</v>
      </c>
      <c r="B43" s="134" t="n">
        <v>-358.4</v>
      </c>
      <c r="C43" s="134" t="n">
        <v>-284.7</v>
      </c>
      <c r="D43" s="134" t="n">
        <v>0</v>
      </c>
      <c r="E43" s="73" t="n">
        <v>0</v>
      </c>
      <c r="F43" s="73" t="n">
        <v>0</v>
      </c>
      <c r="G43" s="73" t="n">
        <v>0</v>
      </c>
      <c r="H43" s="73" t="n">
        <v>0</v>
      </c>
      <c r="I43" s="73" t="n">
        <v>0</v>
      </c>
      <c r="J43" s="73" t="n">
        <v>0</v>
      </c>
      <c r="K43" s="73"/>
      <c r="L43" s="73"/>
    </row>
    <row r="44" customFormat="false" ht="15" hidden="false" customHeight="false" outlineLevel="0" collapsed="false">
      <c r="A44" s="212" t="s">
        <v>265</v>
      </c>
      <c r="B44" s="134" t="n">
        <v>-19.9</v>
      </c>
      <c r="C44" s="134" t="n">
        <v>0</v>
      </c>
      <c r="D44" s="134" t="n">
        <v>0</v>
      </c>
      <c r="E44" s="73" t="n">
        <v>0</v>
      </c>
      <c r="F44" s="73" t="n">
        <v>0</v>
      </c>
      <c r="G44" s="73" t="n">
        <v>0</v>
      </c>
      <c r="H44" s="73" t="n">
        <v>0</v>
      </c>
      <c r="I44" s="73" t="n">
        <v>0</v>
      </c>
      <c r="J44" s="73" t="n">
        <v>0</v>
      </c>
      <c r="K44" s="73"/>
      <c r="L44" s="73"/>
    </row>
    <row r="45" customFormat="false" ht="15" hidden="false" customHeight="false" outlineLevel="0" collapsed="false">
      <c r="A45" s="212" t="s">
        <v>266</v>
      </c>
      <c r="B45" s="134" t="n">
        <v>-18.8</v>
      </c>
      <c r="C45" s="134" t="n">
        <v>0</v>
      </c>
      <c r="D45" s="134" t="n">
        <v>0</v>
      </c>
      <c r="E45" s="73" t="n">
        <v>0</v>
      </c>
      <c r="F45" s="73" t="n">
        <v>0</v>
      </c>
      <c r="G45" s="73" t="n">
        <v>0</v>
      </c>
      <c r="H45" s="73" t="n">
        <v>0</v>
      </c>
      <c r="I45" s="73" t="n">
        <v>0</v>
      </c>
      <c r="J45" s="73" t="n">
        <v>0</v>
      </c>
      <c r="K45" s="73"/>
      <c r="L45" s="73"/>
    </row>
    <row r="46" customFormat="false" ht="30" hidden="false" customHeight="false" outlineLevel="0" collapsed="false">
      <c r="A46" s="212" t="s">
        <v>267</v>
      </c>
      <c r="B46" s="134" t="n">
        <v>0</v>
      </c>
      <c r="C46" s="134" t="n">
        <v>-24.5</v>
      </c>
      <c r="D46" s="134" t="n">
        <v>168.2</v>
      </c>
      <c r="E46" s="73" t="n">
        <v>0</v>
      </c>
      <c r="F46" s="73" t="n">
        <v>0</v>
      </c>
      <c r="G46" s="73" t="n">
        <v>0</v>
      </c>
      <c r="H46" s="73" t="n">
        <v>0</v>
      </c>
      <c r="I46" s="73" t="n">
        <v>0</v>
      </c>
      <c r="J46" s="73" t="n">
        <v>0</v>
      </c>
      <c r="K46" s="73"/>
      <c r="L46" s="73"/>
    </row>
    <row r="47" customFormat="false" ht="15" hidden="false" customHeight="false" outlineLevel="0" collapsed="false">
      <c r="A47" s="212" t="s">
        <v>268</v>
      </c>
      <c r="B47" s="134" t="n">
        <v>13</v>
      </c>
      <c r="C47" s="134" t="n">
        <v>-2026.6</v>
      </c>
      <c r="D47" s="134" t="n">
        <v>1108.2</v>
      </c>
      <c r="E47" s="73" t="n">
        <v>0</v>
      </c>
      <c r="F47" s="73" t="n">
        <v>0</v>
      </c>
      <c r="G47" s="73" t="n">
        <v>0</v>
      </c>
      <c r="H47" s="73" t="n">
        <v>0</v>
      </c>
      <c r="I47" s="73" t="n">
        <v>0</v>
      </c>
      <c r="J47" s="73" t="n">
        <v>0</v>
      </c>
      <c r="K47" s="73"/>
      <c r="L47" s="73"/>
    </row>
    <row r="48" customFormat="false" ht="15" hidden="false" customHeight="false" outlineLevel="0" collapsed="false">
      <c r="A48" s="212" t="s">
        <v>269</v>
      </c>
      <c r="B48" s="134" t="n">
        <v>-20.4</v>
      </c>
      <c r="C48" s="134" t="n">
        <v>0</v>
      </c>
      <c r="D48" s="134" t="n">
        <v>-36</v>
      </c>
      <c r="E48" s="73" t="n">
        <v>0</v>
      </c>
      <c r="F48" s="73" t="n">
        <v>0</v>
      </c>
      <c r="G48" s="73" t="n">
        <v>0</v>
      </c>
      <c r="H48" s="73" t="n">
        <v>0</v>
      </c>
      <c r="I48" s="73" t="n">
        <v>0</v>
      </c>
      <c r="J48" s="73" t="n">
        <v>0</v>
      </c>
      <c r="K48" s="73"/>
      <c r="L48" s="73"/>
    </row>
    <row r="49" customFormat="false" ht="17.25" hidden="false" customHeight="false" outlineLevel="0" collapsed="false">
      <c r="A49" s="212" t="s">
        <v>270</v>
      </c>
      <c r="B49" s="190" t="n">
        <v>86.7</v>
      </c>
      <c r="C49" s="190" t="n">
        <v>366</v>
      </c>
      <c r="D49" s="190" t="n">
        <v>453</v>
      </c>
      <c r="E49" s="191" t="n">
        <v>0</v>
      </c>
      <c r="F49" s="191" t="n">
        <v>0</v>
      </c>
      <c r="G49" s="191" t="n">
        <v>0</v>
      </c>
      <c r="H49" s="191" t="n">
        <v>0</v>
      </c>
      <c r="I49" s="191" t="n">
        <v>0</v>
      </c>
      <c r="J49" s="191" t="n">
        <v>0</v>
      </c>
      <c r="K49" s="73"/>
      <c r="L49" s="73"/>
    </row>
    <row r="50" customFormat="false" ht="17.25" hidden="false" customHeight="false" outlineLevel="0" collapsed="false">
      <c r="A50" s="96" t="s">
        <v>271</v>
      </c>
      <c r="B50" s="210" t="n">
        <f aca="false">SUM(B41:B49)</f>
        <v>-2485.3</v>
      </c>
      <c r="C50" s="210" t="n">
        <f aca="false">SUM(C41:C49)</f>
        <v>-5133.2</v>
      </c>
      <c r="D50" s="210" t="n">
        <f aca="false">SUM(D41:D49)</f>
        <v>-750.1</v>
      </c>
      <c r="E50" s="210" t="n">
        <f aca="false">SUM(E41:E49)</f>
        <v>-2292.27975</v>
      </c>
      <c r="F50" s="210" t="n">
        <f aca="false">SUM(F41:F49)</f>
        <v>-2755.582326</v>
      </c>
      <c r="G50" s="210" t="n">
        <f aca="false">SUM(G41:G49)</f>
        <v>-3416.92208424</v>
      </c>
      <c r="H50" s="210" t="n">
        <f aca="false">SUM(H41:H49)</f>
        <v>-3631.7000438208</v>
      </c>
      <c r="I50" s="210" t="n">
        <f aca="false">SUM(I41:I49)</f>
        <v>-4430.67405346138</v>
      </c>
      <c r="J50" s="210" t="n">
        <f aca="false">SUM(J41:J49)</f>
        <v>-5316.80886415365</v>
      </c>
      <c r="K50" s="73"/>
      <c r="L50" s="73"/>
    </row>
    <row r="51" customFormat="false" ht="15" hidden="false" customHeight="false" outlineLevel="0" collapsed="false">
      <c r="B51" s="73"/>
      <c r="C51" s="73"/>
      <c r="D51" s="73"/>
      <c r="E51" s="73"/>
      <c r="F51" s="73"/>
      <c r="G51" s="73"/>
      <c r="H51" s="73"/>
      <c r="I51" s="73"/>
      <c r="J51" s="73"/>
      <c r="K51" s="73"/>
      <c r="L51" s="73"/>
    </row>
    <row r="52" customFormat="false" ht="15" hidden="false" customHeight="false" outlineLevel="0" collapsed="false">
      <c r="A52" s="211" t="s">
        <v>272</v>
      </c>
      <c r="B52" s="73"/>
      <c r="C52" s="73"/>
      <c r="D52" s="73"/>
      <c r="E52" s="73"/>
      <c r="F52" s="73"/>
      <c r="G52" s="73"/>
      <c r="H52" s="73"/>
      <c r="I52" s="73"/>
      <c r="J52" s="73"/>
      <c r="K52" s="73"/>
      <c r="L52" s="73"/>
    </row>
    <row r="53" customFormat="false" ht="15" hidden="false" customHeight="false" outlineLevel="0" collapsed="false">
      <c r="B53" s="73"/>
      <c r="C53" s="73"/>
      <c r="D53" s="73"/>
      <c r="E53" s="73"/>
      <c r="F53" s="73"/>
      <c r="G53" s="73"/>
      <c r="H53" s="73"/>
      <c r="I53" s="73"/>
      <c r="J53" s="73"/>
      <c r="K53" s="73"/>
      <c r="L53" s="73"/>
    </row>
    <row r="54" customFormat="false" ht="15" hidden="false" customHeight="false" outlineLevel="0" collapsed="false">
      <c r="A54" s="208" t="s">
        <v>273</v>
      </c>
      <c r="B54" s="134" t="n">
        <v>587.5</v>
      </c>
      <c r="C54" s="134" t="n">
        <v>28.4</v>
      </c>
      <c r="D54" s="134" t="n">
        <v>15.3</v>
      </c>
      <c r="E54" s="73" t="n">
        <v>0</v>
      </c>
      <c r="F54" s="73" t="n">
        <v>0</v>
      </c>
      <c r="G54" s="73" t="n">
        <v>0</v>
      </c>
      <c r="H54" s="73" t="n">
        <v>0</v>
      </c>
      <c r="I54" s="73" t="n">
        <v>0</v>
      </c>
      <c r="J54" s="73" t="n">
        <v>0</v>
      </c>
      <c r="K54" s="73"/>
      <c r="L54" s="73"/>
    </row>
    <row r="55" customFormat="false" ht="15" hidden="false" customHeight="false" outlineLevel="0" collapsed="false">
      <c r="A55" s="208" t="s">
        <v>274</v>
      </c>
      <c r="B55" s="134" t="n">
        <v>0.4</v>
      </c>
      <c r="C55" s="134" t="n">
        <v>382.8</v>
      </c>
      <c r="D55" s="134" t="n">
        <v>29.8</v>
      </c>
      <c r="E55" s="73" t="n">
        <v>0</v>
      </c>
      <c r="F55" s="73" t="n">
        <v>0</v>
      </c>
      <c r="G55" s="213" t="n">
        <f aca="false">'Debt Schedule'!H43</f>
        <v>2000</v>
      </c>
      <c r="H55" s="213" t="n">
        <f aca="false">'Debt Schedule'!I43</f>
        <v>5000</v>
      </c>
      <c r="I55" s="73" t="n">
        <v>0</v>
      </c>
      <c r="J55" s="73" t="n">
        <v>0</v>
      </c>
      <c r="K55" s="73"/>
      <c r="L55" s="73"/>
    </row>
    <row r="56" customFormat="false" ht="15" hidden="false" customHeight="false" outlineLevel="0" collapsed="false">
      <c r="A56" s="208" t="s">
        <v>275</v>
      </c>
      <c r="B56" s="134" t="n">
        <v>70.3</v>
      </c>
      <c r="C56" s="134" t="n">
        <v>9102</v>
      </c>
      <c r="D56" s="134" t="n">
        <v>0</v>
      </c>
      <c r="E56" s="73" t="n">
        <v>0</v>
      </c>
      <c r="F56" s="73" t="n">
        <v>0</v>
      </c>
      <c r="G56" s="73" t="n">
        <v>0</v>
      </c>
      <c r="H56" s="73" t="n">
        <v>0</v>
      </c>
      <c r="I56" s="73" t="n">
        <v>0</v>
      </c>
      <c r="J56" s="73" t="n">
        <v>0</v>
      </c>
      <c r="K56" s="73"/>
      <c r="L56" s="73"/>
    </row>
    <row r="57" customFormat="false" ht="15" hidden="false" customHeight="false" outlineLevel="0" collapsed="false">
      <c r="A57" s="208" t="s">
        <v>276</v>
      </c>
      <c r="B57" s="134" t="n">
        <v>-680.5</v>
      </c>
      <c r="C57" s="134" t="n">
        <v>-2327.6</v>
      </c>
      <c r="D57" s="134" t="n">
        <v>-1179.8</v>
      </c>
      <c r="E57" s="73" t="n">
        <v>0</v>
      </c>
      <c r="F57" s="73" t="n">
        <f aca="false">'Debt Schedule'!G41</f>
        <v>-91.5767999999991</v>
      </c>
      <c r="G57" s="73" t="n">
        <v>0</v>
      </c>
      <c r="H57" s="73" t="n">
        <v>0</v>
      </c>
      <c r="I57" s="73" t="n">
        <v>0</v>
      </c>
      <c r="J57" s="73" t="n">
        <v>0</v>
      </c>
      <c r="K57" s="73"/>
      <c r="L57" s="73"/>
    </row>
    <row r="58" customFormat="false" ht="15" hidden="false" customHeight="false" outlineLevel="0" collapsed="false">
      <c r="A58" s="208" t="s">
        <v>277</v>
      </c>
      <c r="B58" s="134" t="n">
        <v>0</v>
      </c>
      <c r="C58" s="134" t="n">
        <v>0</v>
      </c>
      <c r="D58" s="134" t="n">
        <v>0</v>
      </c>
      <c r="E58" s="73" t="n">
        <v>0</v>
      </c>
      <c r="F58" s="73" t="n">
        <v>0</v>
      </c>
      <c r="G58" s="73" t="n">
        <v>0</v>
      </c>
      <c r="H58" s="73" t="n">
        <f aca="false">SUM('Debt Schedule'!I41:I42)</f>
        <v>-6403.2</v>
      </c>
      <c r="I58" s="73"/>
      <c r="J58" s="73"/>
      <c r="K58" s="73"/>
      <c r="L58" s="73"/>
    </row>
    <row r="59" customFormat="false" ht="15" hidden="false" customHeight="false" outlineLevel="0" collapsed="false">
      <c r="A59" s="208" t="s">
        <v>278</v>
      </c>
      <c r="B59" s="134" t="n">
        <v>4477.6</v>
      </c>
      <c r="C59" s="134" t="n">
        <v>757</v>
      </c>
      <c r="D59" s="134" t="n">
        <v>-258.8</v>
      </c>
      <c r="E59" s="73" t="n">
        <v>0</v>
      </c>
      <c r="F59" s="73" t="n">
        <v>0</v>
      </c>
      <c r="G59" s="73" t="n">
        <v>0</v>
      </c>
      <c r="H59" s="73" t="n">
        <v>0</v>
      </c>
      <c r="I59" s="73" t="n">
        <v>0</v>
      </c>
      <c r="J59" s="73" t="n">
        <v>0</v>
      </c>
      <c r="K59" s="73"/>
      <c r="L59" s="73"/>
    </row>
    <row r="60" customFormat="false" ht="15" hidden="false" customHeight="false" outlineLevel="0" collapsed="false">
      <c r="A60" s="208" t="s">
        <v>279</v>
      </c>
      <c r="B60" s="134" t="n">
        <v>-690.8</v>
      </c>
      <c r="C60" s="134" t="n">
        <v>-875.9</v>
      </c>
      <c r="D60" s="134" t="n">
        <v>-624.9</v>
      </c>
      <c r="E60" s="73" t="n">
        <v>0</v>
      </c>
      <c r="F60" s="73" t="n">
        <v>0</v>
      </c>
      <c r="G60" s="73" t="n">
        <v>0</v>
      </c>
      <c r="H60" s="73" t="n">
        <v>0</v>
      </c>
      <c r="I60" s="73" t="n">
        <v>0</v>
      </c>
      <c r="J60" s="73" t="n">
        <v>0</v>
      </c>
      <c r="K60" s="73"/>
      <c r="L60" s="73"/>
    </row>
    <row r="61" customFormat="false" ht="15" hidden="false" customHeight="false" outlineLevel="0" collapsed="false">
      <c r="A61" s="208" t="s">
        <v>280</v>
      </c>
      <c r="B61" s="134" t="n">
        <v>-70.2</v>
      </c>
      <c r="C61" s="134" t="n">
        <v>-135.6</v>
      </c>
      <c r="D61" s="134" t="n">
        <v>0</v>
      </c>
      <c r="E61" s="73" t="n">
        <v>0</v>
      </c>
      <c r="F61" s="73" t="n">
        <v>0</v>
      </c>
      <c r="G61" s="73" t="n">
        <v>0</v>
      </c>
      <c r="H61" s="73" t="n">
        <v>0</v>
      </c>
      <c r="I61" s="73" t="n">
        <v>0</v>
      </c>
      <c r="J61" s="73" t="n">
        <v>0</v>
      </c>
      <c r="K61" s="73"/>
      <c r="L61" s="73"/>
    </row>
    <row r="62" customFormat="false" ht="17.25" hidden="false" customHeight="false" outlineLevel="0" collapsed="false">
      <c r="A62" s="208" t="s">
        <v>281</v>
      </c>
      <c r="B62" s="190" t="n">
        <v>-30.3</v>
      </c>
      <c r="C62" s="190" t="n">
        <v>-92.3</v>
      </c>
      <c r="D62" s="190" t="n">
        <v>-157.1</v>
      </c>
      <c r="E62" s="191" t="n">
        <v>0</v>
      </c>
      <c r="F62" s="191" t="n">
        <v>0</v>
      </c>
      <c r="G62" s="191" t="n">
        <v>0</v>
      </c>
      <c r="H62" s="191" t="n">
        <v>0</v>
      </c>
      <c r="I62" s="191" t="n">
        <v>0</v>
      </c>
      <c r="J62" s="191" t="n">
        <v>0</v>
      </c>
      <c r="K62" s="73"/>
      <c r="L62" s="73"/>
    </row>
    <row r="63" customFormat="false" ht="17.25" hidden="false" customHeight="false" outlineLevel="0" collapsed="false">
      <c r="A63" s="96" t="s">
        <v>282</v>
      </c>
      <c r="B63" s="210" t="n">
        <f aca="false">SUM(B54:B62)</f>
        <v>3664</v>
      </c>
      <c r="C63" s="210" t="n">
        <f aca="false">SUM(C54:C62)</f>
        <v>6838.8</v>
      </c>
      <c r="D63" s="210" t="n">
        <f aca="false">SUM(D54:D62)</f>
        <v>-2175.5</v>
      </c>
      <c r="E63" s="210" t="n">
        <f aca="false">SUM(E54:E62)</f>
        <v>0</v>
      </c>
      <c r="F63" s="210" t="n">
        <f aca="false">SUM(F54:F62)</f>
        <v>-91.5767999999991</v>
      </c>
      <c r="G63" s="210" t="n">
        <f aca="false">SUM(G54:G62)</f>
        <v>2000</v>
      </c>
      <c r="H63" s="210" t="n">
        <f aca="false">SUM(H54:H62)</f>
        <v>-1403.2</v>
      </c>
      <c r="I63" s="210" t="n">
        <f aca="false">SUM(I54:I62)</f>
        <v>0</v>
      </c>
      <c r="J63" s="210" t="n">
        <f aca="false">SUM(J54:J62)</f>
        <v>0</v>
      </c>
      <c r="K63" s="73"/>
      <c r="L63" s="73"/>
    </row>
    <row r="64" customFormat="false" ht="15" hidden="false" customHeight="false" outlineLevel="0" collapsed="false">
      <c r="A64" s="96"/>
      <c r="B64" s="73"/>
      <c r="C64" s="73"/>
      <c r="D64" s="73"/>
      <c r="E64" s="73"/>
      <c r="F64" s="73"/>
      <c r="G64" s="73"/>
      <c r="H64" s="73"/>
      <c r="I64" s="73"/>
      <c r="J64" s="73"/>
      <c r="K64" s="73"/>
      <c r="L64" s="73"/>
    </row>
    <row r="65" customFormat="false" ht="30" hidden="false" customHeight="false" outlineLevel="0" collapsed="false">
      <c r="A65" s="214" t="s">
        <v>283</v>
      </c>
      <c r="B65" s="134" t="n">
        <v>43.4</v>
      </c>
      <c r="C65" s="134" t="n">
        <v>7.6</v>
      </c>
      <c r="D65" s="134" t="n">
        <v>-9.7</v>
      </c>
      <c r="E65" s="73" t="n">
        <v>0</v>
      </c>
      <c r="F65" s="73" t="n">
        <v>0</v>
      </c>
      <c r="G65" s="73" t="n">
        <v>0</v>
      </c>
      <c r="H65" s="73" t="n">
        <v>0</v>
      </c>
      <c r="I65" s="73" t="n">
        <v>0</v>
      </c>
      <c r="J65" s="73" t="n">
        <v>0</v>
      </c>
      <c r="K65" s="73"/>
      <c r="L65" s="73"/>
    </row>
    <row r="66" customFormat="false" ht="15" hidden="false" customHeight="false" outlineLevel="0" collapsed="false">
      <c r="B66" s="134"/>
      <c r="C66" s="215"/>
      <c r="D66" s="134"/>
      <c r="E66" s="73"/>
      <c r="F66" s="73"/>
      <c r="G66" s="73"/>
      <c r="H66" s="73"/>
      <c r="I66" s="73"/>
      <c r="J66" s="73"/>
      <c r="K66" s="73"/>
      <c r="L66" s="73"/>
    </row>
    <row r="67" customFormat="false" ht="15" hidden="false" customHeight="false" outlineLevel="0" collapsed="false">
      <c r="A67" s="147" t="s">
        <v>284</v>
      </c>
      <c r="B67" s="142" t="n">
        <f aca="false">B37+B50+B63+B65</f>
        <v>1382.6</v>
      </c>
      <c r="C67" s="142" t="n">
        <f aca="false">C37+C50+C63+C65</f>
        <v>1899.7</v>
      </c>
      <c r="D67" s="142" t="n">
        <f aca="false">D37+D50+D63+D65</f>
        <v>-1348.1</v>
      </c>
      <c r="E67" s="142" t="n">
        <f aca="false">E37+E50+E63+E65</f>
        <v>-1231.06521713996</v>
      </c>
      <c r="F67" s="142" t="n">
        <f aca="false">F37+F50+F63+F65</f>
        <v>-725.340962503911</v>
      </c>
      <c r="G67" s="142" t="n">
        <f aca="false">G37+G50+G63+G65</f>
        <v>1580.87135155577</v>
      </c>
      <c r="H67" s="142" t="n">
        <f aca="false">H37+H50+H63+H65</f>
        <v>-1702.83269498991</v>
      </c>
      <c r="I67" s="142" t="n">
        <f aca="false">I37+I50+I63+I65</f>
        <v>808.188515244565</v>
      </c>
      <c r="J67" s="142" t="n">
        <f aca="false">J37+J50+J63+J65</f>
        <v>1330.98942978966</v>
      </c>
      <c r="K67" s="73"/>
      <c r="L67" s="73"/>
    </row>
    <row r="68" customFormat="false" ht="15" hidden="false" customHeight="false" outlineLevel="0" collapsed="false">
      <c r="A68" s="216" t="s">
        <v>285</v>
      </c>
      <c r="B68" s="134" t="n">
        <v>593.8</v>
      </c>
      <c r="C68" s="134" t="n">
        <v>1961.7</v>
      </c>
      <c r="D68" s="134" t="n">
        <v>3747.5</v>
      </c>
      <c r="E68" s="73" t="n">
        <f aca="false">D77</f>
        <v>2825.7</v>
      </c>
      <c r="F68" s="73" t="n">
        <f aca="false">E70</f>
        <v>1594.63478286004</v>
      </c>
      <c r="G68" s="73" t="n">
        <f aca="false">F70</f>
        <v>869.293820356131</v>
      </c>
      <c r="H68" s="73" t="n">
        <f aca="false">G70</f>
        <v>2450.1651719119</v>
      </c>
      <c r="I68" s="73" t="n">
        <f aca="false">H70</f>
        <v>747.332476921988</v>
      </c>
      <c r="J68" s="73" t="n">
        <f aca="false">I70</f>
        <v>1555.52099216655</v>
      </c>
      <c r="K68" s="73"/>
      <c r="L68" s="73"/>
    </row>
    <row r="69" customFormat="false" ht="17.25" hidden="false" customHeight="false" outlineLevel="0" collapsed="false">
      <c r="A69" s="208" t="s">
        <v>286</v>
      </c>
      <c r="B69" s="190" t="n">
        <v>0</v>
      </c>
      <c r="C69" s="190" t="n">
        <v>0.1</v>
      </c>
      <c r="D69" s="190" t="n">
        <v>0</v>
      </c>
      <c r="E69" s="191" t="n">
        <v>0</v>
      </c>
      <c r="F69" s="191" t="n">
        <v>0</v>
      </c>
      <c r="G69" s="191" t="n">
        <v>0</v>
      </c>
      <c r="H69" s="191" t="n">
        <v>0</v>
      </c>
      <c r="I69" s="191" t="n">
        <v>0</v>
      </c>
      <c r="J69" s="191" t="n">
        <v>0</v>
      </c>
      <c r="K69" s="73"/>
      <c r="L69" s="73"/>
    </row>
    <row r="70" customFormat="false" ht="17.25" hidden="false" customHeight="false" outlineLevel="0" collapsed="false">
      <c r="A70" s="216" t="s">
        <v>287</v>
      </c>
      <c r="B70" s="210" t="n">
        <f aca="false">SUM(B67:B69)</f>
        <v>1976.4</v>
      </c>
      <c r="C70" s="210" t="n">
        <f aca="false">SUM(C67:C69)</f>
        <v>3861.5</v>
      </c>
      <c r="D70" s="210" t="n">
        <f aca="false">SUM(D67:D69)</f>
        <v>2399.4</v>
      </c>
      <c r="E70" s="210" t="n">
        <f aca="false">SUM(E67:E69)</f>
        <v>1594.63478286004</v>
      </c>
      <c r="F70" s="210" t="n">
        <f aca="false">SUM(F67:F69)</f>
        <v>869.293820356131</v>
      </c>
      <c r="G70" s="210" t="n">
        <f aca="false">SUM(G67:G69)</f>
        <v>2450.1651719119</v>
      </c>
      <c r="H70" s="210" t="n">
        <f aca="false">SUM(H67:H69)</f>
        <v>747.332476921988</v>
      </c>
      <c r="I70" s="210" t="n">
        <f aca="false">SUM(I67:I69)</f>
        <v>1555.52099216655</v>
      </c>
      <c r="J70" s="210" t="n">
        <f aca="false">SUM(J67:J69)</f>
        <v>2886.51042195621</v>
      </c>
      <c r="K70" s="73"/>
      <c r="L70" s="73"/>
    </row>
    <row r="71" customFormat="false" ht="15.75" hidden="false" customHeight="false" outlineLevel="0" collapsed="false">
      <c r="A71" s="31"/>
      <c r="B71" s="31"/>
      <c r="C71" s="31"/>
      <c r="D71" s="31"/>
      <c r="E71" s="31"/>
      <c r="F71" s="31"/>
      <c r="G71" s="31"/>
      <c r="H71" s="31"/>
      <c r="I71" s="31"/>
      <c r="J71" s="31"/>
      <c r="K71" s="32"/>
      <c r="L71" s="32"/>
    </row>
    <row r="72" customFormat="false" ht="15" hidden="false" customHeight="false" outlineLevel="0" collapsed="false">
      <c r="A72" s="0" t="s">
        <v>288</v>
      </c>
      <c r="B72" s="134" t="n">
        <v>50.5</v>
      </c>
      <c r="C72" s="134" t="n">
        <v>9.3</v>
      </c>
      <c r="D72" s="134" t="n">
        <v>5</v>
      </c>
      <c r="E72" s="73"/>
      <c r="F72" s="73"/>
      <c r="G72" s="73"/>
      <c r="H72" s="73"/>
      <c r="I72" s="73"/>
      <c r="J72" s="73"/>
      <c r="K72" s="73"/>
      <c r="L72" s="73"/>
    </row>
    <row r="73" customFormat="false" ht="15" hidden="false" customHeight="false" outlineLevel="0" collapsed="false">
      <c r="A73" s="72" t="s">
        <v>289</v>
      </c>
      <c r="B73" s="134" t="n">
        <v>796.3</v>
      </c>
      <c r="C73" s="134" t="n">
        <v>765.9</v>
      </c>
      <c r="D73" s="134" t="n">
        <v>249.1</v>
      </c>
      <c r="E73" s="73"/>
      <c r="F73" s="73"/>
      <c r="G73" s="73"/>
      <c r="H73" s="73"/>
      <c r="I73" s="73"/>
      <c r="J73" s="73"/>
      <c r="K73" s="73"/>
      <c r="L73" s="73"/>
    </row>
    <row r="74" customFormat="false" ht="15" hidden="false" customHeight="false" outlineLevel="0" collapsed="false">
      <c r="A74" s="217" t="s">
        <v>290</v>
      </c>
      <c r="B74" s="134" t="n">
        <v>138.7</v>
      </c>
      <c r="C74" s="134" t="n">
        <v>5046.6</v>
      </c>
      <c r="D74" s="134" t="n">
        <v>2568.6</v>
      </c>
      <c r="E74" s="73"/>
      <c r="F74" s="73"/>
      <c r="G74" s="73"/>
      <c r="H74" s="73"/>
      <c r="I74" s="73"/>
      <c r="J74" s="73"/>
      <c r="K74" s="73"/>
      <c r="L74" s="73"/>
    </row>
    <row r="75" customFormat="false" ht="15" hidden="false" customHeight="false" outlineLevel="0" collapsed="false">
      <c r="A75" s="72" t="s">
        <v>291</v>
      </c>
      <c r="B75" s="134" t="n">
        <v>2.6</v>
      </c>
      <c r="C75" s="134" t="n">
        <v>2.8</v>
      </c>
      <c r="D75" s="134" t="n">
        <v>3</v>
      </c>
      <c r="E75" s="73"/>
      <c r="F75" s="73"/>
      <c r="G75" s="73"/>
      <c r="H75" s="73"/>
      <c r="I75" s="73"/>
      <c r="J75" s="73"/>
      <c r="K75" s="73"/>
      <c r="L75" s="73"/>
    </row>
    <row r="76" customFormat="false" ht="17.25" hidden="false" customHeight="false" outlineLevel="0" collapsed="false">
      <c r="A76" s="218" t="s">
        <v>292</v>
      </c>
      <c r="B76" s="190" t="n">
        <v>1031.2</v>
      </c>
      <c r="C76" s="190" t="n">
        <v>0</v>
      </c>
      <c r="D76" s="190" t="n">
        <v>0</v>
      </c>
      <c r="E76" s="73"/>
      <c r="F76" s="73"/>
      <c r="G76" s="73"/>
      <c r="H76" s="73"/>
      <c r="I76" s="73"/>
      <c r="J76" s="73"/>
      <c r="K76" s="73"/>
      <c r="L76" s="73"/>
    </row>
    <row r="77" customFormat="false" ht="17.25" hidden="false" customHeight="false" outlineLevel="0" collapsed="false">
      <c r="A77" s="219" t="s">
        <v>293</v>
      </c>
      <c r="B77" s="210" t="n">
        <f aca="false">SUM(B72:B76)</f>
        <v>2019.3</v>
      </c>
      <c r="C77" s="210" t="n">
        <f aca="false">SUM(C72:C76)</f>
        <v>5824.6</v>
      </c>
      <c r="D77" s="210" t="n">
        <f aca="false">SUM(D72:D76)</f>
        <v>2825.7</v>
      </c>
      <c r="E77" s="73"/>
      <c r="F77" s="73"/>
      <c r="G77" s="73"/>
      <c r="H77" s="73"/>
      <c r="I77" s="73"/>
      <c r="J77" s="73"/>
      <c r="K77" s="73"/>
      <c r="L77" s="73"/>
    </row>
    <row r="78" customFormat="false" ht="15" hidden="false" customHeight="false" outlineLevel="0" collapsed="false">
      <c r="A78" s="220" t="s">
        <v>294</v>
      </c>
      <c r="B78" s="134" t="n">
        <v>-57.6</v>
      </c>
      <c r="C78" s="134" t="n">
        <v>-66.3</v>
      </c>
      <c r="D78" s="134" t="n">
        <v>-103.6</v>
      </c>
      <c r="E78" s="73"/>
      <c r="F78" s="73"/>
      <c r="G78" s="73"/>
      <c r="H78" s="73"/>
      <c r="I78" s="73"/>
      <c r="J78" s="73"/>
      <c r="K78" s="73"/>
      <c r="L78" s="73"/>
    </row>
    <row r="79" customFormat="false" ht="15" hidden="false" customHeight="false" outlineLevel="0" collapsed="false">
      <c r="A79" s="220" t="s">
        <v>295</v>
      </c>
      <c r="B79" s="134" t="n">
        <v>13.4</v>
      </c>
      <c r="C79" s="134" t="n">
        <v>-2010.8</v>
      </c>
      <c r="D79" s="134" t="n">
        <v>-301</v>
      </c>
      <c r="E79" s="73"/>
      <c r="F79" s="73"/>
      <c r="G79" s="73"/>
      <c r="H79" s="73"/>
      <c r="I79" s="73"/>
      <c r="J79" s="73"/>
      <c r="K79" s="73"/>
      <c r="L79" s="73"/>
    </row>
    <row r="80" customFormat="false" ht="15" hidden="false" customHeight="false" outlineLevel="0" collapsed="false">
      <c r="A80" s="220" t="s">
        <v>296</v>
      </c>
      <c r="B80" s="134" t="n">
        <v>1.3</v>
      </c>
      <c r="C80" s="134" t="n">
        <v>114</v>
      </c>
      <c r="D80" s="134" t="n">
        <v>-21.7</v>
      </c>
      <c r="E80" s="73"/>
      <c r="F80" s="73"/>
      <c r="G80" s="73"/>
      <c r="H80" s="73"/>
      <c r="I80" s="73"/>
      <c r="J80" s="73"/>
      <c r="K80" s="73"/>
      <c r="L80" s="73"/>
    </row>
    <row r="81" s="19" customFormat="true" ht="15" hidden="false" customHeight="false" outlineLevel="0" collapsed="false">
      <c r="A81" s="221" t="s">
        <v>297</v>
      </c>
      <c r="B81" s="222" t="n">
        <f aca="false">SUM(B77:B80)</f>
        <v>1976.4</v>
      </c>
      <c r="C81" s="222" t="n">
        <f aca="false">SUM(C77:C80)</f>
        <v>3861.5</v>
      </c>
      <c r="D81" s="222" t="n">
        <f aca="false">SUM(D77:D80)</f>
        <v>2399.4</v>
      </c>
      <c r="E81" s="32"/>
      <c r="F81" s="32"/>
      <c r="G81" s="32"/>
      <c r="H81" s="32"/>
      <c r="I81" s="32"/>
      <c r="J81" s="32"/>
      <c r="K81" s="32"/>
      <c r="L81" s="32"/>
    </row>
    <row r="82" customFormat="false" ht="15.75" hidden="false" customHeight="false" outlineLevel="0" collapsed="false">
      <c r="A82" s="223"/>
      <c r="B82" s="224"/>
      <c r="C82" s="224"/>
      <c r="D82" s="224"/>
      <c r="E82" s="31"/>
      <c r="F82" s="31"/>
      <c r="G82" s="31"/>
      <c r="H82" s="31"/>
      <c r="I82" s="31"/>
      <c r="J82" s="31"/>
      <c r="K82" s="32"/>
      <c r="L82" s="32"/>
    </row>
    <row r="83" customFormat="false" ht="15" hidden="false" customHeight="false" outlineLevel="0" collapsed="false">
      <c r="A83" s="220"/>
      <c r="B83" s="73"/>
      <c r="C83" s="73"/>
      <c r="D83" s="73"/>
      <c r="E83" s="73"/>
      <c r="F83" s="73"/>
      <c r="G83" s="73"/>
      <c r="H83" s="73"/>
      <c r="I83" s="73"/>
      <c r="J83" s="73"/>
      <c r="K83" s="73"/>
      <c r="L83" s="73"/>
    </row>
    <row r="84" customFormat="false" ht="15" hidden="false" customHeight="false" outlineLevel="0" collapsed="false">
      <c r="A84" s="220"/>
      <c r="B84" s="73"/>
      <c r="C84" s="73"/>
      <c r="D84" s="73"/>
      <c r="E84" s="73"/>
      <c r="F84" s="73"/>
      <c r="G84" s="73"/>
      <c r="H84" s="73"/>
      <c r="I84" s="73"/>
      <c r="J84" s="73"/>
      <c r="K84" s="73"/>
      <c r="L84" s="73"/>
    </row>
    <row r="85" customFormat="false" ht="15" hidden="false" customHeight="false" outlineLevel="0" collapsed="false">
      <c r="A85" s="72"/>
      <c r="B85" s="73"/>
      <c r="C85" s="73"/>
      <c r="D85" s="73"/>
      <c r="E85" s="73"/>
      <c r="F85" s="73"/>
      <c r="G85" s="73"/>
      <c r="H85" s="73"/>
      <c r="I85" s="73"/>
      <c r="J85" s="73"/>
      <c r="K85" s="73"/>
      <c r="L85" s="73"/>
    </row>
    <row r="86" customFormat="false" ht="15" hidden="false" customHeight="false" outlineLevel="0" collapsed="false">
      <c r="B86" s="73"/>
      <c r="C86" s="73"/>
      <c r="D86" s="73"/>
      <c r="E86" s="73"/>
      <c r="F86" s="73"/>
      <c r="G86" s="73"/>
      <c r="H86" s="73"/>
      <c r="I86" s="73"/>
      <c r="J86" s="73"/>
      <c r="K86" s="73"/>
      <c r="L86" s="73"/>
    </row>
    <row r="87" customFormat="false" ht="15" hidden="false" customHeight="false" outlineLevel="0" collapsed="false">
      <c r="B87" s="73"/>
      <c r="C87" s="73"/>
      <c r="D87" s="73"/>
      <c r="E87" s="73"/>
      <c r="F87" s="73"/>
      <c r="G87" s="73"/>
      <c r="H87" s="73"/>
      <c r="I87" s="73"/>
      <c r="J87" s="73"/>
      <c r="K87" s="73"/>
      <c r="L87" s="73"/>
    </row>
    <row r="88" customFormat="false" ht="15" hidden="false" customHeight="false" outlineLevel="0" collapsed="false">
      <c r="B88" s="73"/>
      <c r="C88" s="73"/>
      <c r="D88" s="73"/>
      <c r="E88" s="73"/>
      <c r="F88" s="73"/>
      <c r="G88" s="73"/>
      <c r="H88" s="73"/>
      <c r="I88" s="73"/>
      <c r="J88" s="73"/>
      <c r="K88" s="73"/>
      <c r="L88" s="73"/>
    </row>
    <row r="89" customFormat="false" ht="15" hidden="false" customHeight="false" outlineLevel="0" collapsed="false">
      <c r="B89" s="73"/>
      <c r="C89" s="73"/>
      <c r="D89" s="73"/>
      <c r="E89" s="73"/>
      <c r="F89" s="73"/>
      <c r="G89" s="73"/>
      <c r="H89" s="73"/>
      <c r="I89" s="73"/>
      <c r="J89" s="73"/>
      <c r="K89" s="73"/>
      <c r="L89" s="73"/>
    </row>
    <row r="90" customFormat="false" ht="15" hidden="false" customHeight="false" outlineLevel="0" collapsed="false">
      <c r="B90" s="73"/>
      <c r="C90" s="73"/>
      <c r="D90" s="73"/>
      <c r="E90" s="73"/>
      <c r="F90" s="73"/>
      <c r="G90" s="73"/>
      <c r="H90" s="73"/>
      <c r="I90" s="73"/>
      <c r="J90" s="73"/>
      <c r="K90" s="73"/>
      <c r="L90" s="73"/>
    </row>
    <row r="91" customFormat="false" ht="15" hidden="false" customHeight="false" outlineLevel="0" collapsed="false">
      <c r="B91" s="73"/>
      <c r="C91" s="73"/>
      <c r="D91" s="73"/>
      <c r="E91" s="73"/>
      <c r="F91" s="73"/>
      <c r="G91" s="73"/>
      <c r="H91" s="73"/>
      <c r="I91" s="73"/>
      <c r="J91" s="73"/>
      <c r="K91" s="73"/>
      <c r="L91" s="73"/>
    </row>
    <row r="92" customFormat="false" ht="15" hidden="false" customHeight="false" outlineLevel="0" collapsed="false">
      <c r="B92" s="73"/>
      <c r="C92" s="73"/>
      <c r="D92" s="73"/>
      <c r="E92" s="73"/>
      <c r="F92" s="73"/>
      <c r="G92" s="73"/>
      <c r="H92" s="73"/>
      <c r="I92" s="73"/>
      <c r="J92" s="73"/>
      <c r="K92" s="73"/>
      <c r="L92" s="73"/>
    </row>
    <row r="93" customFormat="false" ht="15" hidden="false" customHeight="false" outlineLevel="0" collapsed="false">
      <c r="B93" s="73"/>
      <c r="C93" s="73"/>
      <c r="D93" s="73"/>
      <c r="E93" s="73"/>
      <c r="F93" s="73"/>
      <c r="G93" s="73"/>
      <c r="H93" s="73"/>
      <c r="I93" s="73"/>
      <c r="J93" s="73"/>
      <c r="K93" s="73"/>
      <c r="L93" s="73"/>
    </row>
    <row r="94" customFormat="false" ht="15" hidden="false" customHeight="false" outlineLevel="0" collapsed="false">
      <c r="B94" s="73"/>
      <c r="C94" s="73"/>
      <c r="D94" s="73"/>
      <c r="E94" s="73"/>
      <c r="F94" s="73"/>
      <c r="G94" s="73"/>
      <c r="H94" s="73"/>
      <c r="I94" s="73"/>
      <c r="J94" s="73"/>
      <c r="K94" s="73"/>
      <c r="L94" s="73"/>
    </row>
    <row r="95" customFormat="false" ht="15" hidden="false" customHeight="false" outlineLevel="0" collapsed="false">
      <c r="B95" s="73"/>
      <c r="C95" s="73"/>
      <c r="D95" s="73"/>
      <c r="E95" s="73"/>
      <c r="F95" s="73"/>
      <c r="G95" s="73"/>
      <c r="H95" s="73"/>
      <c r="I95" s="73"/>
      <c r="J95" s="73"/>
      <c r="K95" s="73"/>
      <c r="L95" s="73"/>
    </row>
    <row r="96" customFormat="false" ht="15" hidden="false" customHeight="false" outlineLevel="0" collapsed="false">
      <c r="B96" s="73"/>
      <c r="C96" s="73"/>
      <c r="D96" s="73"/>
      <c r="E96" s="73"/>
      <c r="F96" s="73"/>
      <c r="G96" s="73"/>
      <c r="H96" s="73"/>
      <c r="I96" s="73"/>
      <c r="J96" s="73"/>
      <c r="K96" s="73"/>
      <c r="L96" s="73"/>
    </row>
    <row r="97" customFormat="false" ht="15" hidden="false" customHeight="false" outlineLevel="0" collapsed="false">
      <c r="B97" s="73"/>
      <c r="C97" s="73"/>
      <c r="D97" s="73"/>
      <c r="E97" s="73"/>
      <c r="F97" s="73"/>
      <c r="G97" s="73"/>
      <c r="H97" s="73"/>
      <c r="I97" s="73"/>
      <c r="J97" s="73"/>
      <c r="K97" s="73"/>
      <c r="L97" s="73"/>
    </row>
    <row r="98" customFormat="false" ht="15" hidden="false" customHeight="false" outlineLevel="0" collapsed="false">
      <c r="B98" s="73"/>
      <c r="C98" s="73"/>
      <c r="D98" s="73"/>
      <c r="E98" s="73"/>
      <c r="F98" s="73"/>
      <c r="G98" s="73"/>
      <c r="H98" s="73"/>
      <c r="I98" s="73"/>
      <c r="J98" s="73"/>
      <c r="K98" s="73"/>
      <c r="L98"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defaultColWidth="8.96875" defaultRowHeight="15" zeroHeight="false" outlineLevelRow="0" outlineLevelCol="0"/>
  <cols>
    <col collapsed="false" customWidth="true" hidden="false" outlineLevel="0" max="1" min="1" style="0" width="40.13"/>
    <col collapsed="false" customWidth="true" hidden="false" outlineLevel="0" max="2" min="2" style="72" width="10.99"/>
    <col collapsed="false" customWidth="true" hidden="false" outlineLevel="0" max="6" min="3" style="0" width="10.56"/>
    <col collapsed="false" customWidth="true" hidden="false" outlineLevel="0" max="7" min="7" style="0" width="12.42"/>
    <col collapsed="false" customWidth="true" hidden="false" outlineLevel="0" max="8" min="8" style="0" width="14.85"/>
    <col collapsed="false" customWidth="true" hidden="false" outlineLevel="0" max="11" min="9" style="0" width="10.56"/>
    <col collapsed="false" customWidth="true" hidden="false" outlineLevel="0" max="14" min="14" style="0" width="9.56"/>
    <col collapsed="false" customWidth="true" hidden="false" outlineLevel="0" max="18" min="18" style="0" width="10.56"/>
    <col collapsed="false" customWidth="true" hidden="false" outlineLevel="0" max="19" min="19" style="0" width="9.56"/>
  </cols>
  <sheetData>
    <row r="1" customFormat="false" ht="18.75" hidden="false" customHeight="false" outlineLevel="0" collapsed="false">
      <c r="A1" s="29" t="s">
        <v>1</v>
      </c>
      <c r="B1" s="225"/>
      <c r="D1" s="122"/>
      <c r="F1" s="122"/>
    </row>
    <row r="2" customFormat="false" ht="15.75" hidden="false" customHeight="false" outlineLevel="0" collapsed="false">
      <c r="A2" s="30" t="s">
        <v>298</v>
      </c>
      <c r="B2" s="77"/>
      <c r="C2" s="123"/>
      <c r="D2" s="180"/>
      <c r="E2" s="123"/>
      <c r="F2" s="181"/>
      <c r="G2" s="123"/>
      <c r="H2" s="182"/>
    </row>
    <row r="3" customFormat="false" ht="15.75" hidden="false" customHeight="false" outlineLevel="0" collapsed="false">
      <c r="A3" s="31" t="s">
        <v>233</v>
      </c>
      <c r="B3" s="31"/>
      <c r="C3" s="31"/>
      <c r="D3" s="31"/>
      <c r="E3" s="31"/>
      <c r="F3" s="31"/>
      <c r="G3" s="31"/>
      <c r="H3" s="31"/>
      <c r="I3" s="31"/>
      <c r="J3" s="31"/>
      <c r="K3" s="31"/>
      <c r="L3" s="31"/>
      <c r="M3" s="32"/>
      <c r="N3" s="32"/>
      <c r="O3" s="32"/>
      <c r="P3" s="32"/>
      <c r="Q3" s="32"/>
      <c r="R3" s="32"/>
      <c r="S3" s="32"/>
      <c r="T3" s="32"/>
      <c r="U3" s="32"/>
      <c r="V3" s="32"/>
      <c r="W3" s="32"/>
      <c r="X3" s="32"/>
      <c r="Y3" s="32"/>
      <c r="Z3" s="32"/>
      <c r="AA3" s="32"/>
      <c r="AB3" s="32"/>
      <c r="AC3" s="32"/>
      <c r="AD3" s="32"/>
      <c r="AE3" s="32"/>
      <c r="AF3" s="32"/>
      <c r="AG3" s="32"/>
      <c r="AH3" s="19"/>
      <c r="AI3" s="19"/>
      <c r="AJ3" s="19"/>
      <c r="AK3" s="19"/>
    </row>
    <row r="4" customFormat="false" ht="15" hidden="false" customHeight="false" outlineLevel="0" collapsed="false">
      <c r="A4" s="226"/>
      <c r="B4" s="226"/>
      <c r="C4" s="227"/>
      <c r="D4" s="87"/>
      <c r="E4" s="87"/>
      <c r="F4" s="87"/>
      <c r="G4" s="87"/>
      <c r="H4" s="227"/>
      <c r="I4" s="228"/>
      <c r="J4" s="228"/>
      <c r="K4" s="228"/>
      <c r="L4" s="228"/>
      <c r="M4" s="229"/>
      <c r="N4" s="228"/>
      <c r="O4" s="228"/>
      <c r="P4" s="228"/>
      <c r="Q4" s="228"/>
      <c r="R4" s="229"/>
      <c r="S4" s="228"/>
      <c r="T4" s="228"/>
      <c r="U4" s="228"/>
      <c r="V4" s="228"/>
      <c r="W4" s="229"/>
      <c r="X4" s="228"/>
      <c r="Y4" s="228"/>
      <c r="Z4" s="228"/>
      <c r="AA4" s="228"/>
      <c r="AB4" s="229"/>
      <c r="AC4" s="228"/>
      <c r="AD4" s="228"/>
      <c r="AE4" s="228"/>
      <c r="AF4" s="228"/>
      <c r="AG4" s="229"/>
      <c r="AH4" s="228"/>
      <c r="AI4" s="228"/>
      <c r="AJ4" s="228"/>
      <c r="AK4" s="228"/>
      <c r="AL4" s="227"/>
    </row>
    <row r="5" customFormat="false" ht="15" hidden="false" customHeight="false" outlineLevel="0" collapsed="false">
      <c r="A5" s="72"/>
      <c r="B5" s="230" t="s">
        <v>299</v>
      </c>
      <c r="C5" s="230" t="s">
        <v>153</v>
      </c>
      <c r="D5" s="230" t="s">
        <v>85</v>
      </c>
      <c r="E5" s="230" t="s">
        <v>86</v>
      </c>
      <c r="F5" s="230" t="s">
        <v>43</v>
      </c>
      <c r="G5" s="231" t="s">
        <v>48</v>
      </c>
      <c r="H5" s="89" t="s">
        <v>53</v>
      </c>
      <c r="I5" s="89" t="s">
        <v>87</v>
      </c>
      <c r="J5" s="89" t="s">
        <v>88</v>
      </c>
      <c r="K5" s="89" t="s">
        <v>89</v>
      </c>
      <c r="L5" s="72"/>
      <c r="M5" s="227"/>
      <c r="N5" s="72"/>
      <c r="O5" s="72"/>
      <c r="P5" s="72"/>
      <c r="Q5" s="72"/>
      <c r="R5" s="227"/>
      <c r="S5" s="72"/>
      <c r="T5" s="72"/>
      <c r="U5" s="72"/>
      <c r="V5" s="72"/>
      <c r="W5" s="227"/>
      <c r="X5" s="72"/>
      <c r="Y5" s="72"/>
      <c r="Z5" s="72"/>
      <c r="AA5" s="72"/>
      <c r="AB5" s="227"/>
      <c r="AC5" s="72"/>
      <c r="AD5" s="72"/>
      <c r="AE5" s="72"/>
      <c r="AF5" s="72"/>
      <c r="AG5" s="227"/>
      <c r="AH5" s="72"/>
      <c r="AI5" s="72"/>
      <c r="AJ5" s="72"/>
      <c r="AK5" s="72"/>
      <c r="AL5" s="227"/>
    </row>
    <row r="6" s="72" customFormat="true" ht="15" hidden="false" customHeight="false" outlineLevel="0" collapsed="false">
      <c r="A6" s="128"/>
      <c r="B6" s="128"/>
      <c r="C6" s="227"/>
      <c r="H6" s="227"/>
      <c r="M6" s="227"/>
      <c r="R6" s="227"/>
      <c r="W6" s="227"/>
      <c r="AB6" s="227"/>
      <c r="AG6" s="227"/>
      <c r="AL6" s="227"/>
    </row>
    <row r="7" s="72" customFormat="true" ht="15" hidden="false" customHeight="false" outlineLevel="0" collapsed="false">
      <c r="A7" s="33" t="s">
        <v>116</v>
      </c>
      <c r="B7" s="128"/>
      <c r="C7" s="76"/>
      <c r="D7" s="73"/>
      <c r="E7" s="73"/>
      <c r="F7" s="73"/>
      <c r="G7" s="73"/>
      <c r="H7" s="76"/>
      <c r="M7" s="227"/>
      <c r="R7" s="227"/>
      <c r="W7" s="227"/>
      <c r="AB7" s="227"/>
      <c r="AG7" s="227"/>
      <c r="AL7" s="227"/>
    </row>
    <row r="8" customFormat="false" ht="15" hidden="false" customHeight="false" outlineLevel="0" collapsed="false">
      <c r="A8" s="72" t="s">
        <v>69</v>
      </c>
      <c r="B8" s="134" t="n">
        <v>10664.4</v>
      </c>
      <c r="C8" s="232" t="n">
        <v>12507.4</v>
      </c>
      <c r="D8" s="134" t="n">
        <v>16023.4</v>
      </c>
      <c r="E8" s="134" t="n">
        <v>19058.3</v>
      </c>
      <c r="F8" s="73" t="n">
        <f aca="false">F$11*F36</f>
        <v>24443.8443149965</v>
      </c>
      <c r="G8" s="73" t="n">
        <f aca="false">G$11*G36</f>
        <v>31492.36944</v>
      </c>
      <c r="H8" s="73" t="n">
        <f aca="false">H$11*H36</f>
        <v>39538.66983192</v>
      </c>
      <c r="I8" s="73" t="n">
        <f aca="false">I$11*I36</f>
        <v>47817.3839103072</v>
      </c>
      <c r="J8" s="73" t="n">
        <f aca="false">J$11*J36</f>
        <v>57598.7626949979</v>
      </c>
      <c r="K8" s="73" t="n">
        <f aca="false">K$11*K36</f>
        <v>70890.784855382</v>
      </c>
      <c r="L8" s="72"/>
      <c r="M8" s="227"/>
      <c r="N8" s="72"/>
      <c r="O8" s="72"/>
      <c r="P8" s="72"/>
      <c r="Q8" s="72"/>
      <c r="R8" s="233"/>
      <c r="S8" s="72"/>
      <c r="T8" s="72"/>
      <c r="U8" s="72"/>
      <c r="V8" s="72"/>
      <c r="W8" s="227"/>
      <c r="X8" s="72"/>
      <c r="Y8" s="72"/>
      <c r="Z8" s="72"/>
      <c r="AA8" s="72"/>
      <c r="AB8" s="227"/>
      <c r="AC8" s="72"/>
      <c r="AD8" s="72"/>
      <c r="AE8" s="72"/>
      <c r="AF8" s="72"/>
      <c r="AG8" s="227"/>
      <c r="AH8" s="72"/>
      <c r="AI8" s="72"/>
      <c r="AJ8" s="72"/>
      <c r="AK8" s="72"/>
      <c r="AL8" s="227"/>
    </row>
    <row r="9" customFormat="false" ht="15" hidden="false" customHeight="false" outlineLevel="0" collapsed="false">
      <c r="A9" s="72" t="s">
        <v>72</v>
      </c>
      <c r="B9" s="134" t="n">
        <v>1232.5</v>
      </c>
      <c r="C9" s="232" t="n">
        <v>1306.6</v>
      </c>
      <c r="D9" s="134" t="n">
        <v>976</v>
      </c>
      <c r="E9" s="134" t="n">
        <v>285.8</v>
      </c>
      <c r="F9" s="73" t="n">
        <f aca="false">F$11*F37</f>
        <v>366.562112319882</v>
      </c>
      <c r="G9" s="73" t="n">
        <f aca="false">G$11*G37</f>
        <v>461.868261523051</v>
      </c>
      <c r="H9" s="73" t="n">
        <f aca="false">H$11*H37</f>
        <v>572.716644288583</v>
      </c>
      <c r="I9" s="73" t="n">
        <f aca="false">I$11*I37</f>
        <v>710.168638917843</v>
      </c>
      <c r="J9" s="73" t="n">
        <f aca="false">J$11*J37</f>
        <v>866.405739479769</v>
      </c>
      <c r="K9" s="73" t="n">
        <f aca="false">K$11*K37</f>
        <v>1039.68688737572</v>
      </c>
      <c r="L9" s="72"/>
      <c r="M9" s="227"/>
      <c r="N9" s="234"/>
      <c r="O9" s="234"/>
      <c r="P9" s="234"/>
      <c r="Q9" s="234"/>
      <c r="R9" s="232"/>
      <c r="S9" s="134"/>
      <c r="T9" s="72"/>
      <c r="U9" s="72"/>
      <c r="V9" s="72"/>
      <c r="W9" s="227"/>
      <c r="X9" s="72"/>
      <c r="Y9" s="72"/>
      <c r="Z9" s="72"/>
      <c r="AA9" s="72"/>
      <c r="AB9" s="227"/>
      <c r="AC9" s="72"/>
      <c r="AD9" s="72"/>
      <c r="AE9" s="72"/>
      <c r="AF9" s="72"/>
      <c r="AG9" s="227"/>
      <c r="AH9" s="72"/>
      <c r="AI9" s="72"/>
      <c r="AJ9" s="72"/>
      <c r="AK9" s="72"/>
      <c r="AL9" s="227"/>
    </row>
    <row r="10" customFormat="false" ht="15" hidden="false" customHeight="false" outlineLevel="0" collapsed="false">
      <c r="A10" s="72" t="s">
        <v>75</v>
      </c>
      <c r="B10" s="134" t="n">
        <v>1319.1</v>
      </c>
      <c r="C10" s="232" t="n">
        <v>2122.1</v>
      </c>
      <c r="D10" s="134" t="n">
        <v>4229.8</v>
      </c>
      <c r="E10" s="134" t="n">
        <v>5014.9</v>
      </c>
      <c r="F10" s="73" t="n">
        <f aca="false">F$11*F38</f>
        <v>6432.02357268361</v>
      </c>
      <c r="G10" s="73" t="n">
        <f aca="false">G$11*G38</f>
        <v>7479.437742</v>
      </c>
      <c r="H10" s="73" t="n">
        <f aca="false">H$11*H38</f>
        <v>8786.37107376</v>
      </c>
      <c r="I10" s="73" t="n">
        <f aca="false">I$11*I38</f>
        <v>12105.666812736</v>
      </c>
      <c r="J10" s="73" t="n">
        <f aca="false">J$11*J38</f>
        <v>15507.3591871148</v>
      </c>
      <c r="K10" s="73" t="n">
        <f aca="false">K$11*K38</f>
        <v>16836.5614031532</v>
      </c>
      <c r="L10" s="72"/>
      <c r="M10" s="227"/>
      <c r="N10" s="234"/>
      <c r="O10" s="234"/>
      <c r="P10" s="234"/>
      <c r="Q10" s="234"/>
      <c r="R10" s="232"/>
      <c r="S10" s="134"/>
      <c r="T10" s="72"/>
      <c r="U10" s="72"/>
      <c r="V10" s="72"/>
      <c r="W10" s="227"/>
      <c r="X10" s="72"/>
      <c r="Y10" s="72"/>
      <c r="Z10" s="72"/>
      <c r="AA10" s="72"/>
      <c r="AB10" s="227"/>
      <c r="AC10" s="72"/>
      <c r="AD10" s="72"/>
      <c r="AE10" s="72"/>
      <c r="AF10" s="72"/>
      <c r="AG10" s="227"/>
      <c r="AH10" s="72"/>
      <c r="AI10" s="72"/>
      <c r="AJ10" s="72"/>
      <c r="AK10" s="72"/>
      <c r="AL10" s="227"/>
    </row>
    <row r="11" customFormat="false" ht="15" hidden="false" customHeight="false" outlineLevel="0" collapsed="false">
      <c r="A11" s="77" t="s">
        <v>78</v>
      </c>
      <c r="B11" s="76" t="n">
        <f aca="false">SUM(B8:B10)</f>
        <v>13216</v>
      </c>
      <c r="C11" s="76" t="n">
        <f aca="false">SUM(C8:C10)</f>
        <v>15936.1</v>
      </c>
      <c r="D11" s="76" t="n">
        <f aca="false">SUM(D8:D10)</f>
        <v>21229.2</v>
      </c>
      <c r="E11" s="76" t="n">
        <f aca="false">SUM(E8:E10)</f>
        <v>24359</v>
      </c>
      <c r="F11" s="213" t="n">
        <f aca="false">'Profit &amp; Loss Consolidated'!Q13</f>
        <v>31242.43</v>
      </c>
      <c r="G11" s="73" t="n">
        <f aca="false">F11*(1+G46)</f>
        <v>39365.4618</v>
      </c>
      <c r="H11" s="76" t="n">
        <f aca="false">G11*(1+H46)</f>
        <v>48813.172632</v>
      </c>
      <c r="I11" s="76" t="n">
        <f aca="false">H11*(1+I46)</f>
        <v>60528.33406368</v>
      </c>
      <c r="J11" s="76" t="n">
        <f aca="false">I11*(1+J46)</f>
        <v>73844.5675576896</v>
      </c>
      <c r="K11" s="76" t="n">
        <f aca="false">J11*(1+K46)</f>
        <v>88613.4810692275</v>
      </c>
      <c r="L11" s="72"/>
      <c r="M11" s="227"/>
      <c r="N11" s="160"/>
      <c r="O11" s="160"/>
      <c r="P11" s="160"/>
      <c r="Q11" s="160"/>
      <c r="R11" s="233"/>
      <c r="S11" s="72"/>
      <c r="T11" s="72"/>
      <c r="U11" s="72"/>
      <c r="V11" s="72"/>
      <c r="W11" s="227"/>
      <c r="X11" s="72"/>
      <c r="Y11" s="72"/>
      <c r="Z11" s="72"/>
      <c r="AA11" s="72"/>
      <c r="AB11" s="227"/>
      <c r="AC11" s="72"/>
      <c r="AD11" s="72"/>
      <c r="AE11" s="72"/>
      <c r="AF11" s="72"/>
      <c r="AG11" s="227"/>
      <c r="AH11" s="72"/>
      <c r="AI11" s="72"/>
      <c r="AJ11" s="72"/>
      <c r="AK11" s="72"/>
      <c r="AL11" s="227"/>
    </row>
    <row r="12" customFormat="false" ht="15" hidden="false" customHeight="false" outlineLevel="0" collapsed="false">
      <c r="A12" s="77"/>
      <c r="B12" s="142"/>
      <c r="C12" s="76"/>
      <c r="D12" s="73"/>
      <c r="E12" s="73"/>
      <c r="F12" s="73"/>
      <c r="G12" s="73"/>
      <c r="H12" s="235"/>
      <c r="I12" s="72"/>
      <c r="J12" s="72"/>
      <c r="K12" s="72"/>
      <c r="L12" s="72"/>
      <c r="M12" s="227"/>
      <c r="N12" s="72"/>
      <c r="O12" s="72"/>
      <c r="P12" s="72"/>
      <c r="Q12" s="72"/>
      <c r="R12" s="233"/>
      <c r="S12" s="72"/>
      <c r="T12" s="72"/>
      <c r="U12" s="72"/>
      <c r="V12" s="72"/>
      <c r="W12" s="227"/>
      <c r="X12" s="72"/>
      <c r="Y12" s="72"/>
      <c r="Z12" s="72"/>
      <c r="AA12" s="72"/>
      <c r="AB12" s="227"/>
      <c r="AC12" s="72"/>
      <c r="AD12" s="72"/>
      <c r="AE12" s="72"/>
      <c r="AF12" s="72"/>
      <c r="AG12" s="227"/>
      <c r="AH12" s="72"/>
      <c r="AI12" s="72"/>
      <c r="AJ12" s="72"/>
      <c r="AK12" s="72"/>
      <c r="AL12" s="227"/>
    </row>
    <row r="13" customFormat="false" ht="15" hidden="false" customHeight="false" outlineLevel="0" collapsed="false">
      <c r="A13" s="33" t="s">
        <v>300</v>
      </c>
      <c r="B13" s="236"/>
      <c r="C13" s="76"/>
      <c r="D13" s="73"/>
      <c r="E13" s="73"/>
      <c r="F13" s="73"/>
      <c r="G13" s="73"/>
      <c r="H13" s="76"/>
      <c r="I13" s="72"/>
      <c r="J13" s="72"/>
      <c r="K13" s="72"/>
      <c r="L13" s="72"/>
      <c r="M13" s="227"/>
      <c r="N13" s="145"/>
      <c r="O13" s="145"/>
      <c r="P13" s="145"/>
      <c r="Q13" s="145"/>
      <c r="R13" s="145"/>
      <c r="S13" s="145"/>
      <c r="T13" s="72"/>
      <c r="U13" s="72"/>
      <c r="V13" s="72"/>
      <c r="W13" s="227"/>
      <c r="X13" s="72"/>
      <c r="Y13" s="72"/>
      <c r="Z13" s="72"/>
      <c r="AA13" s="72"/>
      <c r="AB13" s="227"/>
      <c r="AC13" s="72"/>
      <c r="AD13" s="72"/>
      <c r="AE13" s="72"/>
      <c r="AF13" s="72"/>
      <c r="AG13" s="227"/>
      <c r="AH13" s="72"/>
      <c r="AI13" s="72"/>
      <c r="AJ13" s="72"/>
      <c r="AK13" s="72"/>
      <c r="AL13" s="227"/>
    </row>
    <row r="14" customFormat="false" ht="15" hidden="false" customHeight="false" outlineLevel="0" collapsed="false">
      <c r="A14" s="72" t="s">
        <v>69</v>
      </c>
      <c r="B14" s="134" t="n">
        <v>572.8</v>
      </c>
      <c r="C14" s="134" t="n">
        <v>1357.5</v>
      </c>
      <c r="D14" s="134" t="n">
        <v>2450.4</v>
      </c>
      <c r="E14" s="232" t="n">
        <v>3545.1</v>
      </c>
      <c r="F14" s="73"/>
      <c r="G14" s="73"/>
      <c r="H14" s="76"/>
      <c r="I14" s="72"/>
      <c r="J14" s="72"/>
      <c r="K14" s="72"/>
      <c r="L14" s="72"/>
      <c r="M14" s="227"/>
      <c r="N14" s="145"/>
      <c r="O14" s="145"/>
      <c r="P14" s="145"/>
      <c r="Q14" s="145"/>
      <c r="R14" s="145"/>
      <c r="S14" s="145"/>
      <c r="T14" s="72"/>
      <c r="U14" s="72"/>
      <c r="V14" s="72"/>
      <c r="W14" s="227"/>
      <c r="X14" s="72"/>
      <c r="Y14" s="72"/>
      <c r="Z14" s="72"/>
      <c r="AA14" s="72"/>
      <c r="AB14" s="227"/>
      <c r="AC14" s="72"/>
      <c r="AD14" s="72"/>
      <c r="AE14" s="72"/>
      <c r="AF14" s="72"/>
      <c r="AG14" s="227"/>
      <c r="AH14" s="72"/>
      <c r="AI14" s="72"/>
      <c r="AJ14" s="72"/>
      <c r="AK14" s="72"/>
      <c r="AL14" s="227"/>
    </row>
    <row r="15" customFormat="false" ht="15" hidden="false" customHeight="false" outlineLevel="0" collapsed="false">
      <c r="A15" s="72" t="s">
        <v>72</v>
      </c>
      <c r="B15" s="134" t="n">
        <v>-32.8</v>
      </c>
      <c r="C15" s="134" t="n">
        <v>-101.7</v>
      </c>
      <c r="D15" s="134" t="n">
        <v>-129</v>
      </c>
      <c r="E15" s="232" t="n">
        <v>525.9</v>
      </c>
      <c r="F15" s="73"/>
      <c r="G15" s="73"/>
      <c r="H15" s="76"/>
      <c r="I15" s="72"/>
      <c r="J15" s="72"/>
      <c r="K15" s="72"/>
      <c r="L15" s="72"/>
      <c r="M15" s="227"/>
      <c r="N15" s="145"/>
      <c r="O15" s="145"/>
      <c r="P15" s="145"/>
      <c r="Q15" s="145"/>
      <c r="R15" s="145"/>
      <c r="S15" s="145"/>
      <c r="T15" s="72"/>
      <c r="U15" s="72"/>
      <c r="V15" s="72"/>
      <c r="W15" s="227"/>
      <c r="X15" s="72"/>
      <c r="Y15" s="72"/>
      <c r="Z15" s="72"/>
      <c r="AA15" s="72"/>
      <c r="AB15" s="227"/>
      <c r="AC15" s="72"/>
      <c r="AD15" s="72"/>
      <c r="AE15" s="72"/>
      <c r="AF15" s="72"/>
      <c r="AG15" s="227"/>
      <c r="AH15" s="72"/>
      <c r="AI15" s="72"/>
      <c r="AJ15" s="72"/>
      <c r="AK15" s="72"/>
      <c r="AL15" s="227"/>
    </row>
    <row r="16" customFormat="false" ht="15" hidden="false" customHeight="false" outlineLevel="0" collapsed="false">
      <c r="A16" s="72" t="s">
        <v>75</v>
      </c>
      <c r="B16" s="134" t="n">
        <v>-104.1</v>
      </c>
      <c r="C16" s="134" t="n">
        <v>82</v>
      </c>
      <c r="D16" s="134" t="n">
        <v>-18.1</v>
      </c>
      <c r="E16" s="134" t="n">
        <v>-332.4</v>
      </c>
      <c r="F16" s="73"/>
      <c r="G16" s="73"/>
      <c r="H16" s="73"/>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row>
    <row r="17" customFormat="false" ht="15" hidden="false" customHeight="false" outlineLevel="0" collapsed="false">
      <c r="A17" s="72" t="s">
        <v>301</v>
      </c>
      <c r="B17" s="134" t="n">
        <v>47.1</v>
      </c>
      <c r="C17" s="134" t="n">
        <v>208.7</v>
      </c>
      <c r="D17" s="134" t="n">
        <v>139.1</v>
      </c>
      <c r="E17" s="134" t="n">
        <v>-453.6</v>
      </c>
      <c r="F17" s="73"/>
      <c r="G17" s="73"/>
      <c r="H17" s="73"/>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row>
    <row r="18" customFormat="false" ht="15" hidden="false" customHeight="false" outlineLevel="0" collapsed="false">
      <c r="A18" s="77" t="s">
        <v>78</v>
      </c>
      <c r="B18" s="80" t="n">
        <f aca="false">SUM(B14:B16)+B17</f>
        <v>483</v>
      </c>
      <c r="C18" s="80" t="n">
        <f aca="false">SUM(C14:C16)+C17</f>
        <v>1546.5</v>
      </c>
      <c r="D18" s="76" t="n">
        <f aca="false">SUM(D14:D16)+D17</f>
        <v>2442.4</v>
      </c>
      <c r="E18" s="76" t="n">
        <f aca="false">SUM(E14:E16)+E17</f>
        <v>3285</v>
      </c>
      <c r="F18" s="73"/>
      <c r="G18" s="73"/>
      <c r="H18" s="73"/>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row>
    <row r="19" customFormat="false" ht="15" hidden="false" customHeight="false" outlineLevel="0" collapsed="false">
      <c r="B19" s="73"/>
      <c r="C19" s="73"/>
      <c r="D19" s="73"/>
      <c r="E19" s="73"/>
      <c r="F19" s="73"/>
      <c r="G19" s="73"/>
      <c r="H19" s="73"/>
    </row>
    <row r="20" customFormat="false" ht="15" hidden="false" customHeight="false" outlineLevel="0" collapsed="false">
      <c r="A20" s="33" t="s">
        <v>302</v>
      </c>
      <c r="B20" s="236"/>
      <c r="C20" s="73"/>
      <c r="D20" s="73"/>
      <c r="E20" s="73"/>
      <c r="F20" s="73"/>
      <c r="G20" s="73"/>
      <c r="H20" s="73"/>
    </row>
    <row r="21" customFormat="false" ht="15" hidden="false" customHeight="false" outlineLevel="0" collapsed="false">
      <c r="A21" s="72" t="s">
        <v>69</v>
      </c>
      <c r="B21" s="134" t="n">
        <v>2275.2</v>
      </c>
      <c r="C21" s="134" t="n">
        <v>1549</v>
      </c>
      <c r="D21" s="134" t="n">
        <v>1801.3</v>
      </c>
      <c r="E21" s="134" t="n">
        <v>1322.2</v>
      </c>
      <c r="F21" s="73"/>
      <c r="G21" s="73"/>
      <c r="H21" s="73"/>
    </row>
    <row r="22" customFormat="false" ht="15" hidden="false" customHeight="false" outlineLevel="0" collapsed="false">
      <c r="A22" s="72" t="s">
        <v>72</v>
      </c>
      <c r="B22" s="134" t="n">
        <v>459.2</v>
      </c>
      <c r="C22" s="134" t="n">
        <v>262.8</v>
      </c>
      <c r="D22" s="134" t="n">
        <v>191.4</v>
      </c>
      <c r="E22" s="134" t="n">
        <v>494.2</v>
      </c>
      <c r="F22" s="73"/>
      <c r="G22" s="73"/>
      <c r="H22" s="73"/>
    </row>
    <row r="23" customFormat="false" ht="15" hidden="false" customHeight="false" outlineLevel="0" collapsed="false">
      <c r="A23" s="72" t="s">
        <v>75</v>
      </c>
      <c r="B23" s="134" t="n">
        <v>568.1</v>
      </c>
      <c r="C23" s="134" t="n">
        <v>257.7</v>
      </c>
      <c r="D23" s="134" t="n">
        <v>1494.8</v>
      </c>
      <c r="E23" s="134" t="n">
        <v>707.8</v>
      </c>
      <c r="F23" s="73"/>
      <c r="G23" s="73"/>
      <c r="H23" s="73"/>
    </row>
    <row r="24" customFormat="false" ht="15" hidden="false" customHeight="false" outlineLevel="0" collapsed="false">
      <c r="A24" s="72" t="s">
        <v>303</v>
      </c>
      <c r="B24" s="134" t="n">
        <v>0</v>
      </c>
      <c r="C24" s="134" t="n">
        <v>0</v>
      </c>
      <c r="D24" s="134" t="n">
        <v>0</v>
      </c>
      <c r="E24" s="134" t="n">
        <v>0</v>
      </c>
      <c r="F24" s="73"/>
      <c r="G24" s="73"/>
      <c r="H24" s="73"/>
    </row>
    <row r="25" customFormat="false" ht="15" hidden="false" customHeight="false" outlineLevel="0" collapsed="false">
      <c r="A25" s="77" t="s">
        <v>78</v>
      </c>
      <c r="B25" s="76" t="n">
        <f aca="false">SUM(B21:B23)-B24</f>
        <v>3302.5</v>
      </c>
      <c r="C25" s="76" t="n">
        <f aca="false">SUM(C21:C23)-C24</f>
        <v>2069.5</v>
      </c>
      <c r="D25" s="76" t="n">
        <f aca="false">SUM(D21:D23)-D24</f>
        <v>3487.5</v>
      </c>
      <c r="E25" s="76" t="n">
        <f aca="false">SUM(E21:E23)-E24</f>
        <v>2524.2</v>
      </c>
      <c r="F25" s="73"/>
      <c r="G25" s="73"/>
      <c r="H25" s="73"/>
    </row>
    <row r="26" customFormat="false" ht="15" hidden="false" customHeight="false" outlineLevel="0" collapsed="false">
      <c r="A26" s="77"/>
      <c r="B26" s="142"/>
      <c r="C26" s="73"/>
      <c r="D26" s="73"/>
      <c r="E26" s="73"/>
      <c r="F26" s="73"/>
      <c r="G26" s="73"/>
      <c r="H26" s="73"/>
    </row>
    <row r="27" customFormat="false" ht="15" hidden="false" customHeight="false" outlineLevel="0" collapsed="false">
      <c r="A27" s="33" t="s">
        <v>304</v>
      </c>
      <c r="B27" s="236"/>
      <c r="C27" s="73"/>
      <c r="D27" s="237"/>
      <c r="E27" s="73"/>
      <c r="F27" s="73"/>
      <c r="G27" s="73"/>
      <c r="H27" s="73"/>
    </row>
    <row r="28" customFormat="false" ht="15" hidden="false" customHeight="false" outlineLevel="0" collapsed="false">
      <c r="A28" s="72" t="s">
        <v>69</v>
      </c>
      <c r="B28" s="134" t="n">
        <v>445.1</v>
      </c>
      <c r="C28" s="134" t="n">
        <v>511.3</v>
      </c>
      <c r="D28" s="134" t="n">
        <v>718.4</v>
      </c>
      <c r="E28" s="134" t="n">
        <v>746</v>
      </c>
      <c r="F28" s="73"/>
      <c r="G28" s="73"/>
      <c r="H28" s="73"/>
    </row>
    <row r="29" customFormat="false" ht="15" hidden="false" customHeight="false" outlineLevel="0" collapsed="false">
      <c r="A29" s="72" t="s">
        <v>72</v>
      </c>
      <c r="B29" s="134" t="n">
        <v>177.2</v>
      </c>
      <c r="C29" s="134" t="n">
        <v>200.8</v>
      </c>
      <c r="D29" s="134" t="n">
        <v>258.9</v>
      </c>
      <c r="E29" s="134" t="n">
        <v>225.4</v>
      </c>
      <c r="F29" s="73"/>
      <c r="G29" s="73"/>
      <c r="H29" s="73"/>
    </row>
    <row r="30" customFormat="false" ht="15" hidden="false" customHeight="false" outlineLevel="0" collapsed="false">
      <c r="A30" s="72" t="s">
        <v>75</v>
      </c>
      <c r="B30" s="134" t="n">
        <v>24.4</v>
      </c>
      <c r="C30" s="134" t="n">
        <v>9.2</v>
      </c>
      <c r="D30" s="134" t="n">
        <v>19.9</v>
      </c>
      <c r="E30" s="134" t="n">
        <v>77.6</v>
      </c>
      <c r="F30" s="73"/>
      <c r="G30" s="73"/>
      <c r="H30" s="73"/>
    </row>
    <row r="31" customFormat="false" ht="15" hidden="false" customHeight="false" outlineLevel="0" collapsed="false">
      <c r="A31" s="72" t="s">
        <v>303</v>
      </c>
      <c r="B31" s="134" t="n">
        <v>0</v>
      </c>
      <c r="C31" s="134" t="n">
        <v>0</v>
      </c>
      <c r="D31" s="134" t="n">
        <v>0</v>
      </c>
      <c r="E31" s="134" t="n">
        <v>-45.2</v>
      </c>
      <c r="F31" s="73"/>
      <c r="G31" s="73"/>
      <c r="H31" s="73"/>
    </row>
    <row r="32" customFormat="false" ht="15" hidden="false" customHeight="false" outlineLevel="0" collapsed="false">
      <c r="A32" s="77" t="s">
        <v>78</v>
      </c>
      <c r="B32" s="76" t="n">
        <f aca="false">SUM(B28:B30)+B31</f>
        <v>646.7</v>
      </c>
      <c r="C32" s="76" t="n">
        <f aca="false">SUM(C28:C30)+C31</f>
        <v>721.3</v>
      </c>
      <c r="D32" s="76" t="n">
        <f aca="false">SUM(D28:D30)+D31</f>
        <v>997.2</v>
      </c>
      <c r="E32" s="76" t="n">
        <f aca="false">SUM(E28:E30)+E31</f>
        <v>1003.8</v>
      </c>
      <c r="F32" s="73"/>
      <c r="G32" s="73"/>
      <c r="H32" s="73"/>
    </row>
    <row r="33" customFormat="false" ht="15.75" hidden="false" customHeight="false" outlineLevel="0" collapsed="false">
      <c r="A33" s="31"/>
      <c r="B33" s="84"/>
      <c r="C33" s="31"/>
      <c r="D33" s="31"/>
      <c r="E33" s="31"/>
      <c r="F33" s="31"/>
      <c r="G33" s="31"/>
      <c r="H33" s="31"/>
      <c r="I33" s="31"/>
      <c r="J33" s="31"/>
      <c r="K33" s="31"/>
      <c r="L33" s="31"/>
    </row>
    <row r="34" customFormat="false" ht="15" hidden="false" customHeight="false" outlineLevel="0" collapsed="false">
      <c r="B34" s="73"/>
      <c r="C34" s="73"/>
      <c r="D34" s="73"/>
      <c r="E34" s="73"/>
      <c r="F34" s="73"/>
      <c r="G34" s="73"/>
      <c r="H34" s="73"/>
    </row>
    <row r="35" customFormat="false" ht="15" hidden="false" customHeight="false" outlineLevel="0" collapsed="false">
      <c r="A35" s="33" t="s">
        <v>305</v>
      </c>
      <c r="B35" s="236"/>
      <c r="C35" s="73"/>
      <c r="D35" s="73"/>
      <c r="E35" s="73"/>
      <c r="F35" s="73"/>
      <c r="G35" s="73"/>
      <c r="H35" s="73"/>
    </row>
    <row r="36" customFormat="false" ht="15" hidden="false" customHeight="false" outlineLevel="0" collapsed="false">
      <c r="A36" s="72" t="s">
        <v>69</v>
      </c>
      <c r="B36" s="82" t="n">
        <f aca="false">B8/B$11</f>
        <v>0.806930992736078</v>
      </c>
      <c r="C36" s="82" t="n">
        <f aca="false">C8/C$11</f>
        <v>0.784846982636906</v>
      </c>
      <c r="D36" s="82" t="n">
        <f aca="false">D8/D$11</f>
        <v>0.754781150490833</v>
      </c>
      <c r="E36" s="82" t="n">
        <f aca="false">E8/E$11</f>
        <v>0.782392544849953</v>
      </c>
      <c r="F36" s="238" t="n">
        <f aca="false">E36</f>
        <v>0.782392544849953</v>
      </c>
      <c r="G36" s="238" t="n">
        <v>0.8</v>
      </c>
      <c r="H36" s="238" t="n">
        <v>0.81</v>
      </c>
      <c r="I36" s="238" t="n">
        <v>0.79</v>
      </c>
      <c r="J36" s="238" t="n">
        <v>0.78</v>
      </c>
      <c r="K36" s="238" t="n">
        <v>0.8</v>
      </c>
    </row>
    <row r="37" customFormat="false" ht="15" hidden="false" customHeight="false" outlineLevel="0" collapsed="false">
      <c r="A37" s="72" t="s">
        <v>72</v>
      </c>
      <c r="B37" s="82" t="n">
        <f aca="false">B9/B$11</f>
        <v>0.0932581719128329</v>
      </c>
      <c r="C37" s="82" t="n">
        <f aca="false">C9/C$11</f>
        <v>0.081989947352238</v>
      </c>
      <c r="D37" s="82" t="n">
        <f aca="false">D9/D$11</f>
        <v>0.0459744126015111</v>
      </c>
      <c r="E37" s="82" t="n">
        <f aca="false">E9/E$11</f>
        <v>0.011732829754916</v>
      </c>
      <c r="F37" s="238" t="n">
        <f aca="false">E37</f>
        <v>0.011732829754916</v>
      </c>
      <c r="G37" s="238" t="n">
        <f aca="false">F37</f>
        <v>0.011732829754916</v>
      </c>
      <c r="H37" s="238" t="n">
        <f aca="false">G37</f>
        <v>0.011732829754916</v>
      </c>
      <c r="I37" s="238" t="n">
        <f aca="false">H37</f>
        <v>0.011732829754916</v>
      </c>
      <c r="J37" s="238" t="n">
        <f aca="false">I37</f>
        <v>0.011732829754916</v>
      </c>
      <c r="K37" s="238" t="n">
        <f aca="false">J37</f>
        <v>0.011732829754916</v>
      </c>
    </row>
    <row r="38" customFormat="false" ht="15" hidden="false" customHeight="false" outlineLevel="0" collapsed="false">
      <c r="A38" s="72" t="s">
        <v>75</v>
      </c>
      <c r="B38" s="82" t="n">
        <f aca="false">B10/B$11</f>
        <v>0.0998108353510896</v>
      </c>
      <c r="C38" s="82" t="n">
        <f aca="false">C10/C$11</f>
        <v>0.133163070010856</v>
      </c>
      <c r="D38" s="82" t="n">
        <f aca="false">D10/D$11</f>
        <v>0.199244436907656</v>
      </c>
      <c r="E38" s="82" t="n">
        <f aca="false">E10/E$11</f>
        <v>0.205874625395131</v>
      </c>
      <c r="F38" s="238" t="n">
        <f aca="false">E38</f>
        <v>0.205874625395131</v>
      </c>
      <c r="G38" s="238" t="n">
        <v>0.19</v>
      </c>
      <c r="H38" s="238" t="n">
        <v>0.18</v>
      </c>
      <c r="I38" s="238" t="n">
        <v>0.2</v>
      </c>
      <c r="J38" s="238" t="n">
        <v>0.21</v>
      </c>
      <c r="K38" s="238" t="n">
        <v>0.19</v>
      </c>
    </row>
    <row r="39" customFormat="false" ht="15" hidden="false" customHeight="false" outlineLevel="0" collapsed="false">
      <c r="A39" s="77" t="s">
        <v>78</v>
      </c>
      <c r="B39" s="145" t="n">
        <f aca="false">B11/B$11</f>
        <v>1</v>
      </c>
      <c r="C39" s="145" t="n">
        <f aca="false">C11/C$11</f>
        <v>1</v>
      </c>
      <c r="D39" s="145" t="n">
        <f aca="false">D11/D$11</f>
        <v>1</v>
      </c>
      <c r="E39" s="145" t="n">
        <f aca="false">E11/E$11</f>
        <v>1</v>
      </c>
      <c r="F39" s="145" t="n">
        <f aca="false">F11/F$11</f>
        <v>1</v>
      </c>
      <c r="G39" s="145" t="n">
        <f aca="false">G11/G$11</f>
        <v>1</v>
      </c>
      <c r="H39" s="145" t="n">
        <f aca="false">H11/H$11</f>
        <v>1</v>
      </c>
      <c r="I39" s="145" t="n">
        <f aca="false">I11/I$11</f>
        <v>1</v>
      </c>
      <c r="J39" s="145" t="n">
        <f aca="false">J11/J$11</f>
        <v>1</v>
      </c>
      <c r="K39" s="145" t="n">
        <f aca="false">K11/K$11</f>
        <v>1</v>
      </c>
    </row>
    <row r="40" customFormat="false" ht="15" hidden="false" customHeight="false" outlineLevel="0" collapsed="false">
      <c r="B40" s="73"/>
      <c r="C40" s="73"/>
      <c r="D40" s="73"/>
      <c r="E40" s="73"/>
      <c r="F40" s="73"/>
      <c r="G40" s="73"/>
      <c r="H40" s="73"/>
    </row>
    <row r="41" customFormat="false" ht="15" hidden="false" customHeight="false" outlineLevel="0" collapsed="false">
      <c r="B41" s="73"/>
      <c r="C41" s="73"/>
      <c r="D41" s="73"/>
      <c r="E41" s="73"/>
      <c r="F41" s="73"/>
      <c r="G41" s="73"/>
      <c r="H41" s="73"/>
    </row>
    <row r="42" customFormat="false" ht="15" hidden="false" customHeight="false" outlineLevel="0" collapsed="false">
      <c r="A42" s="33" t="s">
        <v>306</v>
      </c>
      <c r="B42" s="236"/>
      <c r="C42" s="73"/>
      <c r="D42" s="73"/>
      <c r="E42" s="73"/>
      <c r="F42" s="73"/>
      <c r="G42" s="73"/>
      <c r="H42" s="73"/>
    </row>
    <row r="43" customFormat="false" ht="15" hidden="false" customHeight="false" outlineLevel="0" collapsed="false">
      <c r="A43" s="72" t="s">
        <v>69</v>
      </c>
      <c r="B43" s="73"/>
      <c r="C43" s="145" t="n">
        <f aca="false">C8/B8-1</f>
        <v>0.172817973819437</v>
      </c>
      <c r="D43" s="145" t="n">
        <f aca="false">D8/C8-1</f>
        <v>0.28111358076019</v>
      </c>
      <c r="E43" s="145" t="n">
        <f aca="false">E8/D8-1</f>
        <v>0.189404246289801</v>
      </c>
      <c r="F43" s="145" t="n">
        <f aca="false">F8/E8-1</f>
        <v>0.282582618334086</v>
      </c>
      <c r="G43" s="145" t="n">
        <f aca="false">G8/F8-1</f>
        <v>0.288355834465823</v>
      </c>
      <c r="H43" s="145" t="n">
        <f aca="false">H8/G8-1</f>
        <v>0.2555</v>
      </c>
      <c r="I43" s="145" t="n">
        <f aca="false">I8/H8-1</f>
        <v>0.209382716049383</v>
      </c>
      <c r="J43" s="145" t="n">
        <f aca="false">J8/I8-1</f>
        <v>0.204556962025316</v>
      </c>
      <c r="K43" s="145" t="n">
        <f aca="false">K8/J8-1</f>
        <v>0.230769230769231</v>
      </c>
    </row>
    <row r="44" customFormat="false" ht="15" hidden="false" customHeight="false" outlineLevel="0" collapsed="false">
      <c r="A44" s="72" t="s">
        <v>72</v>
      </c>
      <c r="B44" s="73"/>
      <c r="C44" s="145" t="n">
        <f aca="false">C9/B9-1</f>
        <v>0.0601217038539552</v>
      </c>
      <c r="D44" s="145" t="n">
        <f aca="false">D9/C9-1</f>
        <v>-0.253023113424154</v>
      </c>
      <c r="E44" s="145" t="n">
        <f aca="false">E9/D9-1</f>
        <v>-0.707172131147541</v>
      </c>
      <c r="F44" s="145" t="n">
        <f aca="false">F9/E9-1</f>
        <v>0.282582618334086</v>
      </c>
      <c r="G44" s="145" t="n">
        <f aca="false">G9/F9-1</f>
        <v>0.26</v>
      </c>
      <c r="H44" s="145" t="n">
        <f aca="false">H9/G9-1</f>
        <v>0.24</v>
      </c>
      <c r="I44" s="145" t="n">
        <f aca="false">I9/H9-1</f>
        <v>0.24</v>
      </c>
      <c r="J44" s="145" t="n">
        <f aca="false">J9/I9-1</f>
        <v>0.22</v>
      </c>
      <c r="K44" s="145" t="n">
        <f aca="false">K9/J9-1</f>
        <v>0.2</v>
      </c>
    </row>
    <row r="45" customFormat="false" ht="15" hidden="false" customHeight="false" outlineLevel="0" collapsed="false">
      <c r="A45" s="72" t="s">
        <v>75</v>
      </c>
      <c r="B45" s="73"/>
      <c r="C45" s="145" t="n">
        <f aca="false">C10/B10-1</f>
        <v>0.608748389053142</v>
      </c>
      <c r="D45" s="145" t="n">
        <f aca="false">D10/C10-1</f>
        <v>0.993214268884596</v>
      </c>
      <c r="E45" s="145" t="n">
        <f aca="false">E10/D10-1</f>
        <v>0.185611612842215</v>
      </c>
      <c r="F45" s="145" t="n">
        <f aca="false">F10/E10-1</f>
        <v>0.282582618334086</v>
      </c>
      <c r="G45" s="145" t="n">
        <f aca="false">G10/F10-1</f>
        <v>0.162843645935113</v>
      </c>
      <c r="H45" s="145" t="n">
        <f aca="false">H10/G10-1</f>
        <v>0.174736842105263</v>
      </c>
      <c r="I45" s="145" t="n">
        <f aca="false">I10/H10-1</f>
        <v>0.377777777777778</v>
      </c>
      <c r="J45" s="145" t="n">
        <f aca="false">J10/I10-1</f>
        <v>0.281</v>
      </c>
      <c r="K45" s="145" t="n">
        <f aca="false">K10/J10-1</f>
        <v>0.0857142857142859</v>
      </c>
    </row>
    <row r="46" customFormat="false" ht="15" hidden="false" customHeight="false" outlineLevel="0" collapsed="false">
      <c r="A46" s="77" t="s">
        <v>78</v>
      </c>
      <c r="B46" s="142"/>
      <c r="C46" s="145" t="n">
        <f aca="false">C11/B11-1</f>
        <v>0.205818704600484</v>
      </c>
      <c r="D46" s="145" t="n">
        <f aca="false">D11/C11-1</f>
        <v>0.332145255112606</v>
      </c>
      <c r="E46" s="145" t="n">
        <f aca="false">E11/D11-1</f>
        <v>0.147429012869067</v>
      </c>
      <c r="F46" s="145" t="n">
        <f aca="false">F11/E11-1</f>
        <v>0.282582618334086</v>
      </c>
      <c r="G46" s="238" t="n">
        <v>0.26</v>
      </c>
      <c r="H46" s="238" t="n">
        <v>0.24</v>
      </c>
      <c r="I46" s="238" t="n">
        <v>0.24</v>
      </c>
      <c r="J46" s="238" t="n">
        <v>0.22</v>
      </c>
      <c r="K46" s="238" t="n">
        <v>0.2</v>
      </c>
    </row>
    <row r="47" customFormat="false" ht="15.75" hidden="false" customHeight="false" outlineLevel="0" collapsed="false">
      <c r="A47" s="31"/>
      <c r="B47" s="84"/>
      <c r="C47" s="31"/>
      <c r="D47" s="31"/>
      <c r="E47" s="31"/>
      <c r="F47" s="31"/>
      <c r="G47" s="31"/>
      <c r="H47" s="31"/>
      <c r="I47" s="31"/>
      <c r="J47" s="31"/>
      <c r="K47" s="31"/>
      <c r="L47" s="31"/>
    </row>
    <row r="48" customFormat="false" ht="15" hidden="false" customHeight="false" outlineLevel="0" collapsed="false">
      <c r="B48" s="73"/>
      <c r="C48" s="73"/>
      <c r="D48" s="73"/>
      <c r="E48" s="73"/>
      <c r="F48" s="73"/>
      <c r="G48" s="239"/>
      <c r="H48" s="239"/>
      <c r="I48" s="239"/>
      <c r="J48" s="239"/>
      <c r="K48" s="239"/>
    </row>
    <row r="49" customFormat="false" ht="15" hidden="false" customHeight="false" outlineLevel="0" collapsed="false">
      <c r="B49" s="73"/>
      <c r="C49" s="73"/>
      <c r="D49" s="73"/>
      <c r="E49" s="73"/>
      <c r="F49" s="73"/>
      <c r="G49" s="239"/>
      <c r="H49" s="239"/>
      <c r="I49" s="239"/>
      <c r="J49" s="239"/>
      <c r="K49" s="239"/>
    </row>
    <row r="50" customFormat="false" ht="15" hidden="false" customHeight="false" outlineLevel="0" collapsed="false">
      <c r="B50" s="73"/>
      <c r="C50" s="73"/>
      <c r="D50" s="73"/>
      <c r="E50" s="73"/>
      <c r="F50" s="73"/>
      <c r="G50" s="73"/>
      <c r="H50" s="73"/>
    </row>
    <row r="51" customFormat="false" ht="15" hidden="false" customHeight="false" outlineLevel="0" collapsed="false">
      <c r="B51" s="73"/>
      <c r="C51" s="73"/>
      <c r="D51" s="73"/>
      <c r="E51" s="73"/>
      <c r="F51" s="73"/>
      <c r="G51" s="73"/>
      <c r="H51" s="73"/>
    </row>
    <row r="52" customFormat="false" ht="15" hidden="false" customHeight="false" outlineLevel="0" collapsed="false">
      <c r="B52" s="73"/>
      <c r="C52" s="73"/>
      <c r="D52" s="73"/>
      <c r="E52" s="73"/>
      <c r="F52" s="73"/>
      <c r="G52" s="73"/>
      <c r="H52" s="73"/>
    </row>
    <row r="53" customFormat="false" ht="15" hidden="false" customHeight="false" outlineLevel="0" collapsed="false">
      <c r="B53" s="73"/>
      <c r="C53" s="73"/>
      <c r="D53" s="73"/>
      <c r="E53" s="73"/>
      <c r="F53" s="73"/>
      <c r="G53" s="73"/>
      <c r="H53" s="73"/>
    </row>
    <row r="54" customFormat="false" ht="15" hidden="false" customHeight="false" outlineLevel="0" collapsed="false">
      <c r="B54" s="73"/>
      <c r="C54" s="73"/>
      <c r="D54" s="73"/>
      <c r="E54" s="73"/>
      <c r="F54" s="73"/>
      <c r="G54" s="73"/>
      <c r="H54" s="73"/>
    </row>
    <row r="55" customFormat="false" ht="15" hidden="false" customHeight="false" outlineLevel="0" collapsed="false">
      <c r="B55" s="73"/>
      <c r="C55" s="73"/>
      <c r="D55" s="73"/>
      <c r="E55" s="73"/>
      <c r="F55" s="73"/>
      <c r="G55" s="73"/>
      <c r="H55" s="73"/>
    </row>
    <row r="56" customFormat="false" ht="15" hidden="false" customHeight="false" outlineLevel="0" collapsed="false">
      <c r="B56" s="73"/>
      <c r="C56" s="73"/>
      <c r="D56" s="73"/>
      <c r="E56" s="73"/>
      <c r="F56" s="73"/>
      <c r="G56" s="73"/>
      <c r="H56" s="73"/>
    </row>
    <row r="57" customFormat="false" ht="15" hidden="false" customHeight="false" outlineLevel="0" collapsed="false">
      <c r="B57" s="73"/>
      <c r="C57" s="73"/>
      <c r="D57" s="73"/>
      <c r="E57" s="73"/>
      <c r="F57" s="73"/>
      <c r="G57" s="73"/>
      <c r="H57" s="73"/>
    </row>
    <row r="58" customFormat="false" ht="15" hidden="false" customHeight="false" outlineLevel="0" collapsed="false">
      <c r="B58" s="73"/>
      <c r="C58" s="73"/>
      <c r="D58" s="73"/>
      <c r="E58" s="73"/>
      <c r="F58" s="73"/>
      <c r="G58" s="73"/>
      <c r="H58" s="73"/>
    </row>
    <row r="59" customFormat="false" ht="15" hidden="false" customHeight="false" outlineLevel="0" collapsed="false">
      <c r="B59" s="73"/>
      <c r="C59" s="73"/>
      <c r="D59" s="73"/>
      <c r="E59" s="73"/>
      <c r="F59" s="73"/>
      <c r="G59" s="73"/>
      <c r="H59" s="73"/>
    </row>
    <row r="60" customFormat="false" ht="15" hidden="false" customHeight="false" outlineLevel="0" collapsed="false">
      <c r="B60" s="73"/>
      <c r="C60" s="73"/>
      <c r="D60" s="73"/>
      <c r="E60" s="73"/>
      <c r="F60" s="73"/>
      <c r="G60" s="73"/>
      <c r="H60" s="73"/>
    </row>
    <row r="61" customFormat="false" ht="15" hidden="false" customHeight="false" outlineLevel="0" collapsed="false">
      <c r="B61" s="73"/>
      <c r="C61" s="73"/>
      <c r="D61" s="73"/>
      <c r="E61" s="73"/>
      <c r="F61" s="73"/>
      <c r="G61" s="73"/>
      <c r="H61" s="73"/>
    </row>
    <row r="62" customFormat="false" ht="15" hidden="false" customHeight="false" outlineLevel="0" collapsed="false">
      <c r="B62" s="73"/>
      <c r="C62" s="73"/>
      <c r="D62" s="73"/>
      <c r="E62" s="73"/>
      <c r="F62" s="73"/>
      <c r="G62" s="73"/>
      <c r="H62" s="73"/>
    </row>
    <row r="63" customFormat="false" ht="15" hidden="false" customHeight="false" outlineLevel="0" collapsed="false">
      <c r="B63" s="73"/>
      <c r="C63" s="73"/>
      <c r="D63" s="73"/>
      <c r="E63" s="73"/>
      <c r="F63" s="73"/>
      <c r="G63" s="73"/>
      <c r="H63" s="73"/>
    </row>
    <row r="64" customFormat="false" ht="15" hidden="false" customHeight="false" outlineLevel="0" collapsed="false">
      <c r="B64" s="73"/>
      <c r="C64" s="73"/>
      <c r="D64" s="73"/>
      <c r="E64" s="73"/>
      <c r="F64" s="73"/>
      <c r="G64" s="73"/>
      <c r="H64" s="73"/>
    </row>
    <row r="65" customFormat="false" ht="15" hidden="false" customHeight="false" outlineLevel="0" collapsed="false">
      <c r="B65" s="73"/>
      <c r="C65" s="73"/>
      <c r="D65" s="73"/>
      <c r="E65" s="73"/>
      <c r="F65" s="73"/>
      <c r="G65" s="73"/>
      <c r="H65" s="73"/>
    </row>
    <row r="66" customFormat="false" ht="15" hidden="false" customHeight="false" outlineLevel="0" collapsed="false">
      <c r="B66" s="73"/>
      <c r="C66" s="73"/>
      <c r="D66" s="73"/>
      <c r="E66" s="73"/>
      <c r="F66" s="73"/>
      <c r="G66" s="73"/>
      <c r="H66" s="73"/>
    </row>
    <row r="67" customFormat="false" ht="15" hidden="false" customHeight="false" outlineLevel="0" collapsed="false">
      <c r="B67" s="73"/>
      <c r="C67" s="73"/>
      <c r="D67" s="73"/>
      <c r="E67" s="73"/>
      <c r="F67" s="73"/>
      <c r="G67" s="73"/>
      <c r="H67" s="73"/>
    </row>
    <row r="68" customFormat="false" ht="15" hidden="false" customHeight="false" outlineLevel="0" collapsed="false">
      <c r="B68" s="73"/>
      <c r="C68" s="73"/>
      <c r="D68" s="73"/>
      <c r="E68" s="73"/>
      <c r="F68" s="73"/>
      <c r="G68" s="73"/>
      <c r="H68" s="73"/>
    </row>
    <row r="69" customFormat="false" ht="15" hidden="false" customHeight="false" outlineLevel="0" collapsed="false">
      <c r="B69" s="73"/>
      <c r="C69" s="73"/>
      <c r="D69" s="73"/>
      <c r="E69" s="73"/>
      <c r="F69" s="73"/>
      <c r="G69" s="73"/>
      <c r="H69" s="73"/>
    </row>
    <row r="70" customFormat="false" ht="15" hidden="false" customHeight="false" outlineLevel="0" collapsed="false">
      <c r="B70" s="73"/>
      <c r="C70" s="73"/>
      <c r="D70" s="73"/>
      <c r="E70" s="73"/>
      <c r="F70" s="73"/>
      <c r="G70" s="73"/>
      <c r="H70" s="73"/>
    </row>
    <row r="71" customFormat="false" ht="15" hidden="false" customHeight="false" outlineLevel="0" collapsed="false">
      <c r="B71" s="73"/>
      <c r="C71" s="73"/>
      <c r="D71" s="73"/>
      <c r="E71" s="73"/>
      <c r="F71" s="73"/>
      <c r="G71" s="73"/>
      <c r="H71" s="73"/>
    </row>
    <row r="72" customFormat="false" ht="15" hidden="false" customHeight="false" outlineLevel="0" collapsed="false">
      <c r="B72" s="73"/>
      <c r="C72" s="73"/>
      <c r="D72" s="73"/>
      <c r="E72" s="73"/>
      <c r="F72" s="73"/>
      <c r="G72" s="73"/>
      <c r="H72" s="73"/>
    </row>
    <row r="73" customFormat="false" ht="15" hidden="false" customHeight="false" outlineLevel="0" collapsed="false">
      <c r="B73" s="73"/>
      <c r="C73" s="73"/>
      <c r="D73" s="73"/>
      <c r="E73" s="73"/>
      <c r="F73" s="73"/>
      <c r="G73" s="73"/>
      <c r="H73" s="73"/>
    </row>
    <row r="74" customFormat="false" ht="15" hidden="false" customHeight="false" outlineLevel="0" collapsed="false">
      <c r="B74" s="73"/>
      <c r="C74" s="73"/>
      <c r="D74" s="73"/>
      <c r="E74" s="73"/>
      <c r="F74" s="73"/>
      <c r="G74" s="73"/>
      <c r="H74" s="73"/>
    </row>
    <row r="75" customFormat="false" ht="15" hidden="false" customHeight="false" outlineLevel="0" collapsed="false">
      <c r="B75" s="73"/>
      <c r="C75" s="73"/>
      <c r="D75" s="73"/>
      <c r="E75" s="73"/>
      <c r="F75" s="73"/>
      <c r="G75" s="73"/>
      <c r="H75" s="73"/>
    </row>
    <row r="76" customFormat="false" ht="15" hidden="false" customHeight="false" outlineLevel="0" collapsed="false">
      <c r="B76" s="73"/>
      <c r="C76" s="73"/>
      <c r="D76" s="73"/>
      <c r="E76" s="73"/>
      <c r="F76" s="73"/>
      <c r="G76" s="73"/>
      <c r="H76" s="73"/>
    </row>
    <row r="77" customFormat="false" ht="15" hidden="false" customHeight="false" outlineLevel="0" collapsed="false">
      <c r="B77" s="73"/>
      <c r="C77" s="73"/>
      <c r="D77" s="73"/>
      <c r="E77" s="73"/>
      <c r="F77" s="73"/>
      <c r="G77" s="73"/>
      <c r="H77" s="73"/>
    </row>
    <row r="78" customFormat="false" ht="15" hidden="false" customHeight="false" outlineLevel="0" collapsed="false">
      <c r="B78" s="73"/>
      <c r="C78" s="73"/>
      <c r="D78" s="73"/>
      <c r="E78" s="73"/>
      <c r="F78" s="73"/>
      <c r="G78" s="73"/>
      <c r="H78" s="73"/>
    </row>
    <row r="79" customFormat="false" ht="15" hidden="false" customHeight="false" outlineLevel="0" collapsed="false">
      <c r="B79" s="73"/>
      <c r="C79" s="73"/>
      <c r="D79" s="73"/>
      <c r="E79" s="73"/>
      <c r="F79" s="73"/>
      <c r="G79" s="73"/>
      <c r="H79" s="73"/>
    </row>
    <row r="80" customFormat="false" ht="15" hidden="false" customHeight="false" outlineLevel="0" collapsed="false">
      <c r="B80" s="73"/>
      <c r="C80" s="73"/>
      <c r="D80" s="73"/>
      <c r="E80" s="73"/>
      <c r="F80" s="73"/>
      <c r="G80" s="73"/>
      <c r="H80" s="73"/>
    </row>
    <row r="81" customFormat="false" ht="15" hidden="false" customHeight="false" outlineLevel="0" collapsed="false">
      <c r="B81" s="73"/>
      <c r="C81" s="73"/>
      <c r="D81" s="73"/>
      <c r="E81" s="73"/>
      <c r="F81" s="73"/>
      <c r="G81" s="73"/>
      <c r="H81" s="73"/>
    </row>
    <row r="82" customFormat="false" ht="15" hidden="false" customHeight="false" outlineLevel="0" collapsed="false">
      <c r="B82" s="73"/>
      <c r="C82" s="73"/>
      <c r="D82" s="73"/>
      <c r="E82" s="73"/>
      <c r="F82" s="73"/>
      <c r="G82" s="73"/>
      <c r="H82" s="73"/>
    </row>
    <row r="83" customFormat="false" ht="15" hidden="false" customHeight="false" outlineLevel="0" collapsed="false">
      <c r="B83" s="73"/>
      <c r="C83" s="73"/>
      <c r="D83" s="73"/>
      <c r="E83" s="73"/>
      <c r="F83" s="73"/>
      <c r="G83" s="73"/>
      <c r="H83" s="73"/>
    </row>
    <row r="84" customFormat="false" ht="15" hidden="false" customHeight="false" outlineLevel="0" collapsed="false">
      <c r="B84" s="73"/>
      <c r="C84" s="73"/>
      <c r="D84" s="73"/>
      <c r="E84" s="73"/>
      <c r="F84" s="73"/>
      <c r="G84" s="73"/>
      <c r="H84" s="73"/>
    </row>
    <row r="85" customFormat="false" ht="15" hidden="false" customHeight="false" outlineLevel="0" collapsed="false">
      <c r="B85" s="73"/>
      <c r="C85" s="73"/>
      <c r="D85" s="73"/>
      <c r="E85" s="73"/>
      <c r="F85" s="73"/>
      <c r="G85" s="73"/>
      <c r="H85" s="73"/>
    </row>
    <row r="86" customFormat="false" ht="15" hidden="false" customHeight="false" outlineLevel="0" collapsed="false">
      <c r="B86" s="73"/>
      <c r="C86" s="73"/>
      <c r="D86" s="73"/>
      <c r="E86" s="73"/>
      <c r="F86" s="73"/>
      <c r="G86" s="73"/>
      <c r="H86" s="73"/>
    </row>
    <row r="87" customFormat="false" ht="15" hidden="false" customHeight="false" outlineLevel="0" collapsed="false">
      <c r="B87" s="73"/>
      <c r="C87" s="73"/>
      <c r="D87" s="73"/>
      <c r="E87" s="73"/>
      <c r="F87" s="73"/>
      <c r="G87" s="73"/>
      <c r="H87" s="73"/>
    </row>
    <row r="88" customFormat="false" ht="15" hidden="false" customHeight="false" outlineLevel="0" collapsed="false">
      <c r="B88" s="73"/>
      <c r="C88" s="73"/>
      <c r="D88" s="73"/>
      <c r="E88" s="73"/>
      <c r="F88" s="73"/>
      <c r="G88" s="73"/>
      <c r="H88" s="73"/>
    </row>
    <row r="89" customFormat="false" ht="15" hidden="false" customHeight="false" outlineLevel="0" collapsed="false">
      <c r="B89" s="73"/>
      <c r="C89" s="73"/>
      <c r="D89" s="73"/>
      <c r="E89" s="73"/>
      <c r="F89" s="73"/>
      <c r="G89" s="73"/>
      <c r="H89" s="73"/>
    </row>
    <row r="90" customFormat="false" ht="15" hidden="false" customHeight="false" outlineLevel="0" collapsed="false">
      <c r="C90" s="73"/>
      <c r="D90" s="73"/>
      <c r="E90" s="73"/>
      <c r="F90" s="73"/>
      <c r="G90" s="73"/>
      <c r="H90" s="73"/>
    </row>
    <row r="91" customFormat="false" ht="15" hidden="false" customHeight="false" outlineLevel="0" collapsed="false">
      <c r="C91" s="73"/>
      <c r="D91" s="73"/>
      <c r="E91" s="73"/>
      <c r="F91" s="73"/>
      <c r="G91" s="73"/>
      <c r="H91" s="73"/>
    </row>
    <row r="92" customFormat="false" ht="15" hidden="false" customHeight="false" outlineLevel="0" collapsed="false">
      <c r="C92" s="73"/>
      <c r="D92" s="73"/>
      <c r="E92" s="73"/>
      <c r="F92" s="73"/>
      <c r="G92" s="73"/>
      <c r="H92" s="73"/>
    </row>
    <row r="93" customFormat="false" ht="15" hidden="false" customHeight="false" outlineLevel="0" collapsed="false">
      <c r="C93" s="73"/>
      <c r="D93" s="73"/>
      <c r="E93" s="73"/>
      <c r="F93" s="73"/>
      <c r="G93" s="73"/>
      <c r="H93" s="73"/>
    </row>
    <row r="94" customFormat="false" ht="15" hidden="false" customHeight="false" outlineLevel="0" collapsed="false">
      <c r="C94" s="73"/>
      <c r="D94" s="73"/>
      <c r="E94" s="73"/>
      <c r="F94" s="73"/>
      <c r="G94" s="73"/>
      <c r="H94" s="73"/>
    </row>
    <row r="95" customFormat="false" ht="15" hidden="false" customHeight="false" outlineLevel="0" collapsed="false">
      <c r="C95" s="73"/>
      <c r="D95" s="73"/>
      <c r="E95" s="73"/>
      <c r="F95" s="73"/>
      <c r="G95" s="73"/>
      <c r="H95" s="73"/>
    </row>
    <row r="96" customFormat="false" ht="15" hidden="false" customHeight="false" outlineLevel="0" collapsed="false">
      <c r="C96" s="73"/>
      <c r="D96" s="73"/>
      <c r="E96" s="73"/>
      <c r="F96" s="73"/>
      <c r="G96" s="73"/>
      <c r="H96" s="73"/>
    </row>
    <row r="97" customFormat="false" ht="15" hidden="false" customHeight="false" outlineLevel="0" collapsed="false">
      <c r="C97" s="73"/>
      <c r="D97" s="73"/>
      <c r="E97" s="73"/>
      <c r="F97" s="73"/>
      <c r="G97" s="73"/>
      <c r="H97" s="73"/>
    </row>
    <row r="98" customFormat="false" ht="15" hidden="false" customHeight="false" outlineLevel="0" collapsed="false">
      <c r="C98" s="73"/>
      <c r="D98" s="73"/>
      <c r="E98" s="73"/>
      <c r="F98" s="73"/>
      <c r="G98" s="73"/>
      <c r="H98" s="73"/>
    </row>
    <row r="99" customFormat="false" ht="15" hidden="false" customHeight="false" outlineLevel="0" collapsed="false">
      <c r="C99" s="73"/>
      <c r="D99" s="73"/>
      <c r="E99" s="73"/>
      <c r="F99" s="73"/>
      <c r="G99" s="73"/>
      <c r="H99" s="73"/>
    </row>
    <row r="100" customFormat="false" ht="15" hidden="false" customHeight="false" outlineLevel="0" collapsed="false">
      <c r="C100" s="73"/>
      <c r="D100" s="73"/>
      <c r="E100" s="73"/>
      <c r="F100" s="73"/>
      <c r="G100" s="73"/>
      <c r="H100" s="73"/>
    </row>
    <row r="101" customFormat="false" ht="15" hidden="false" customHeight="false" outlineLevel="0" collapsed="false">
      <c r="C101" s="73"/>
      <c r="D101" s="73"/>
      <c r="E101" s="73"/>
      <c r="F101" s="73"/>
      <c r="G101" s="73"/>
      <c r="H101" s="73"/>
    </row>
    <row r="102" customFormat="false" ht="15" hidden="false" customHeight="false" outlineLevel="0" collapsed="false">
      <c r="C102" s="73"/>
      <c r="D102" s="73"/>
      <c r="E102" s="73"/>
      <c r="F102" s="73"/>
      <c r="G102" s="73"/>
      <c r="H102" s="73"/>
    </row>
    <row r="103" customFormat="false" ht="15" hidden="false" customHeight="false" outlineLevel="0" collapsed="false">
      <c r="C103" s="73"/>
      <c r="D103" s="73"/>
      <c r="E103" s="73"/>
      <c r="F103" s="73"/>
      <c r="G103" s="73"/>
      <c r="H103" s="73"/>
    </row>
    <row r="104" customFormat="false" ht="15" hidden="false" customHeight="false" outlineLevel="0" collapsed="false">
      <c r="C104" s="73"/>
      <c r="D104" s="73"/>
      <c r="E104" s="73"/>
      <c r="F104" s="73"/>
      <c r="G104" s="73"/>
      <c r="H104" s="73"/>
    </row>
    <row r="105" customFormat="false" ht="15" hidden="false" customHeight="false" outlineLevel="0" collapsed="false">
      <c r="C105" s="73"/>
      <c r="D105" s="73"/>
      <c r="E105" s="73"/>
      <c r="F105" s="73"/>
      <c r="G105" s="73"/>
      <c r="H105" s="73"/>
    </row>
    <row r="106" customFormat="false" ht="15" hidden="false" customHeight="false" outlineLevel="0" collapsed="false">
      <c r="C106" s="73"/>
      <c r="D106" s="73"/>
      <c r="E106" s="73"/>
      <c r="F106" s="73"/>
      <c r="G106" s="73"/>
      <c r="H106"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defaultColWidth="8.96875" defaultRowHeight="15" zeroHeight="false" outlineLevelRow="0" outlineLevelCol="2"/>
  <cols>
    <col collapsed="false" customWidth="true" hidden="false" outlineLevel="0" max="1" min="1" style="0" width="35.99"/>
    <col collapsed="false" customWidth="true" hidden="false" outlineLevel="0" max="2" min="2" style="72" width="10.56"/>
    <col collapsed="false" customWidth="true" hidden="true" outlineLevel="1" max="5" min="3" style="0" width="9.56"/>
    <col collapsed="false" customWidth="true" hidden="true" outlineLevel="1" max="6" min="6" style="0" width="12.42"/>
    <col collapsed="false" customWidth="true" hidden="false" outlineLevel="0" max="7" min="7" style="72" width="12.42"/>
    <col collapsed="false" customWidth="true" hidden="true" outlineLevel="1" max="8" min="8" style="0" width="9.56"/>
    <col collapsed="false" customWidth="true" hidden="true" outlineLevel="1" max="9" min="9" style="0" width="11.71"/>
    <col collapsed="false" customWidth="true" hidden="true" outlineLevel="1" max="11" min="10" style="0" width="9.56"/>
    <col collapsed="false" customWidth="true" hidden="false" outlineLevel="0" max="12" min="12" style="72" width="10.56"/>
    <col collapsed="false" customWidth="true" hidden="true" outlineLevel="1" max="13" min="13" style="0" width="9.56"/>
    <col collapsed="false" customWidth="true" hidden="true" outlineLevel="1" max="16" min="14" style="0" width="10.56"/>
    <col collapsed="false" customWidth="true" hidden="false" outlineLevel="0" max="17" min="17" style="72" width="10.56"/>
    <col collapsed="false" customWidth="true" hidden="true" outlineLevel="1" max="18" min="18" style="0" width="11.99"/>
    <col collapsed="false" customWidth="true" hidden="true" outlineLevel="1" max="21" min="19" style="0" width="10.56"/>
    <col collapsed="false" customWidth="true" hidden="false" outlineLevel="0" max="22" min="22" style="72" width="10.56"/>
    <col collapsed="false" customWidth="true" hidden="true" outlineLevel="1" max="26" min="23" style="0" width="10.56"/>
    <col collapsed="false" customWidth="true" hidden="false" outlineLevel="0" max="27" min="27" style="72" width="10.56"/>
    <col collapsed="false" customWidth="true" hidden="true" outlineLevel="2" max="31" min="28" style="0" width="10.56"/>
    <col collapsed="true" customWidth="true" hidden="false" outlineLevel="0" max="32" min="32" style="72" width="10.56"/>
    <col collapsed="false" customWidth="true" hidden="true" outlineLevel="1" max="36" min="33" style="0" width="10.56"/>
    <col collapsed="false" customWidth="true" hidden="false" outlineLevel="0" max="37" min="37" style="72" width="10.56"/>
  </cols>
  <sheetData>
    <row r="1" customFormat="false" ht="18.75" hidden="false" customHeight="false" outlineLevel="0" collapsed="false">
      <c r="A1" s="29" t="s">
        <v>1</v>
      </c>
      <c r="C1" s="72"/>
      <c r="D1" s="72"/>
      <c r="E1" s="72"/>
      <c r="F1" s="72"/>
    </row>
    <row r="2" customFormat="false" ht="15.75" hidden="false" customHeight="false" outlineLevel="0" collapsed="false">
      <c r="A2" s="30" t="s">
        <v>307</v>
      </c>
      <c r="B2" s="240"/>
      <c r="C2" s="180"/>
      <c r="D2" s="123"/>
      <c r="E2" s="181"/>
      <c r="F2" s="123"/>
      <c r="G2" s="182"/>
    </row>
    <row r="3" customFormat="false" ht="15.75" hidden="false" customHeight="false" outlineLevel="0" collapsed="false">
      <c r="A3" s="31" t="s">
        <v>233</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74" customFormat="true" ht="45" hidden="false" customHeight="false" outlineLevel="0" collapsed="false">
      <c r="A4" s="85" t="s">
        <v>38</v>
      </c>
      <c r="B4" s="86" t="s">
        <v>85</v>
      </c>
      <c r="C4" s="87" t="s">
        <v>97</v>
      </c>
      <c r="D4" s="87" t="s">
        <v>98</v>
      </c>
      <c r="E4" s="87" t="s">
        <v>99</v>
      </c>
      <c r="F4" s="87" t="s">
        <v>100</v>
      </c>
      <c r="G4" s="86" t="s">
        <v>86</v>
      </c>
      <c r="H4" s="87" t="s">
        <v>101</v>
      </c>
      <c r="I4" s="87" t="s">
        <v>40</v>
      </c>
      <c r="J4" s="87" t="s">
        <v>41</v>
      </c>
      <c r="K4" s="87" t="s">
        <v>42</v>
      </c>
      <c r="L4" s="86" t="s">
        <v>43</v>
      </c>
      <c r="M4" s="87" t="s">
        <v>44</v>
      </c>
      <c r="N4" s="88" t="s">
        <v>45</v>
      </c>
      <c r="O4" s="88" t="s">
        <v>102</v>
      </c>
      <c r="P4" s="88" t="s">
        <v>47</v>
      </c>
      <c r="Q4" s="89" t="s">
        <v>48</v>
      </c>
      <c r="R4" s="88" t="s">
        <v>103</v>
      </c>
      <c r="S4" s="88" t="s">
        <v>50</v>
      </c>
      <c r="T4" s="88" t="s">
        <v>51</v>
      </c>
      <c r="U4" s="88" t="s">
        <v>52</v>
      </c>
      <c r="V4" s="89" t="s">
        <v>53</v>
      </c>
      <c r="W4" s="88" t="s">
        <v>104</v>
      </c>
      <c r="X4" s="88" t="s">
        <v>105</v>
      </c>
      <c r="Y4" s="88" t="s">
        <v>106</v>
      </c>
      <c r="Z4" s="88" t="s">
        <v>107</v>
      </c>
      <c r="AA4" s="89" t="s">
        <v>87</v>
      </c>
      <c r="AB4" s="88" t="s">
        <v>108</v>
      </c>
      <c r="AC4" s="88" t="s">
        <v>109</v>
      </c>
      <c r="AD4" s="88" t="s">
        <v>110</v>
      </c>
      <c r="AE4" s="88" t="s">
        <v>111</v>
      </c>
      <c r="AF4" s="89" t="s">
        <v>88</v>
      </c>
      <c r="AG4" s="88" t="s">
        <v>112</v>
      </c>
      <c r="AH4" s="88" t="s">
        <v>113</v>
      </c>
      <c r="AI4" s="88" t="s">
        <v>114</v>
      </c>
      <c r="AJ4" s="88" t="s">
        <v>115</v>
      </c>
      <c r="AK4" s="89" t="s">
        <v>89</v>
      </c>
    </row>
    <row r="5" customFormat="false" ht="15" hidden="false" customHeight="false" outlineLevel="0" collapsed="false">
      <c r="B5" s="241"/>
      <c r="G5" s="86"/>
      <c r="L5" s="86"/>
      <c r="Q5" s="86"/>
      <c r="V5" s="86"/>
      <c r="AA5" s="86"/>
      <c r="AF5" s="86"/>
      <c r="AK5" s="86"/>
    </row>
    <row r="6" s="72" customFormat="true" ht="15" hidden="false" customHeight="false" outlineLevel="0" collapsed="false">
      <c r="A6" s="128"/>
      <c r="B6" s="241"/>
      <c r="G6" s="86"/>
      <c r="L6" s="86"/>
      <c r="Q6" s="86"/>
      <c r="V6" s="86"/>
      <c r="AA6" s="86"/>
      <c r="AF6" s="86"/>
      <c r="AK6" s="86"/>
    </row>
    <row r="7" s="72" customFormat="true" ht="15" hidden="false" customHeight="false" outlineLevel="0" collapsed="false">
      <c r="A7" s="33" t="s">
        <v>117</v>
      </c>
      <c r="B7" s="241"/>
      <c r="G7" s="241"/>
      <c r="L7" s="241"/>
      <c r="Q7" s="241"/>
      <c r="R7" s="145"/>
      <c r="V7" s="241"/>
      <c r="AA7" s="241"/>
      <c r="AF7" s="241"/>
      <c r="AK7" s="241"/>
    </row>
    <row r="8" s="72" customFormat="true" ht="15" hidden="false" customHeight="false" outlineLevel="0" collapsed="false">
      <c r="B8" s="241"/>
      <c r="G8" s="241"/>
      <c r="L8" s="241"/>
      <c r="Q8" s="241"/>
      <c r="V8" s="242"/>
      <c r="AA8" s="241"/>
      <c r="AF8" s="241"/>
      <c r="AK8" s="241"/>
    </row>
    <row r="9" customFormat="false" ht="15" hidden="false" customHeight="false" outlineLevel="0" collapsed="false">
      <c r="A9" s="74" t="s">
        <v>70</v>
      </c>
      <c r="B9" s="241"/>
      <c r="C9" s="73"/>
      <c r="D9" s="73"/>
      <c r="E9" s="73"/>
      <c r="F9" s="73"/>
      <c r="G9" s="241"/>
      <c r="H9" s="37"/>
      <c r="I9" s="37"/>
      <c r="J9" s="37"/>
      <c r="K9" s="37"/>
      <c r="L9" s="241"/>
      <c r="M9" s="37"/>
      <c r="N9" s="37"/>
      <c r="O9" s="37"/>
      <c r="P9" s="37"/>
      <c r="Q9" s="241"/>
      <c r="R9" s="37"/>
      <c r="S9" s="37"/>
      <c r="T9" s="37"/>
      <c r="U9" s="37"/>
      <c r="V9" s="241"/>
      <c r="W9" s="37"/>
      <c r="X9" s="37"/>
      <c r="Y9" s="37"/>
      <c r="Z9" s="37"/>
      <c r="AA9" s="241"/>
      <c r="AB9" s="37"/>
      <c r="AC9" s="37"/>
      <c r="AD9" s="37"/>
      <c r="AE9" s="37"/>
      <c r="AF9" s="241"/>
      <c r="AG9" s="37"/>
      <c r="AH9" s="37"/>
      <c r="AI9" s="37"/>
      <c r="AJ9" s="37"/>
      <c r="AK9" s="241"/>
    </row>
    <row r="10" customFormat="false" ht="15" hidden="false" customHeight="false" outlineLevel="0" collapsed="false">
      <c r="A10" s="0" t="s">
        <v>73</v>
      </c>
      <c r="B10" s="243" t="n">
        <v>1563</v>
      </c>
      <c r="C10" s="134" t="n">
        <v>546</v>
      </c>
      <c r="D10" s="134" t="n">
        <v>518</v>
      </c>
      <c r="E10" s="134" t="n">
        <v>497</v>
      </c>
      <c r="F10" s="134" t="n">
        <v>798</v>
      </c>
      <c r="G10" s="244" t="n">
        <f aca="false">SUM(C10:F10)</f>
        <v>2359</v>
      </c>
      <c r="H10" s="134" t="n">
        <v>817</v>
      </c>
      <c r="I10" s="134" t="n">
        <v>1051</v>
      </c>
      <c r="J10" s="134" t="n">
        <v>1427</v>
      </c>
      <c r="K10" s="134" t="n">
        <v>2289</v>
      </c>
      <c r="L10" s="244" t="n">
        <f aca="false">SUM(H10:K10)</f>
        <v>5584</v>
      </c>
      <c r="M10" s="134" t="n">
        <v>2310</v>
      </c>
      <c r="N10" s="245" t="n">
        <f aca="false">N69*N$14</f>
        <v>1777.77256246889</v>
      </c>
      <c r="O10" s="245" t="n">
        <f aca="false">O69*O$14</f>
        <v>2247.85716632468</v>
      </c>
      <c r="P10" s="245" t="n">
        <f aca="false">P69*P$14</f>
        <v>2943.1287035422</v>
      </c>
      <c r="Q10" s="244" t="n">
        <f aca="false">SUM(M10:P10)</f>
        <v>9278.75843233577</v>
      </c>
      <c r="R10" s="245" t="n">
        <f aca="false">R69*R$14</f>
        <v>3265.36697756981</v>
      </c>
      <c r="S10" s="245" t="n">
        <f aca="false">S69*S$14</f>
        <v>2135.2521973175</v>
      </c>
      <c r="T10" s="245" t="n">
        <f aca="false">T69*T$14</f>
        <v>2767.4999404159</v>
      </c>
      <c r="U10" s="245" t="n">
        <f aca="false">U69*U$14</f>
        <v>4152.31378505458</v>
      </c>
      <c r="V10" s="244" t="n">
        <f aca="false">SUM(R10:U10)</f>
        <v>12320.4329003578</v>
      </c>
      <c r="W10" s="245" t="n">
        <f aca="false">W69*W$14</f>
        <v>4049.05505218656</v>
      </c>
      <c r="X10" s="245" t="n">
        <f aca="false">X69*X$14</f>
        <v>2647.7127246737</v>
      </c>
      <c r="Y10" s="245" t="n">
        <f aca="false">Y69*Y$14</f>
        <v>3431.69992611572</v>
      </c>
      <c r="Z10" s="245" t="n">
        <f aca="false">Z69*Z$14</f>
        <v>5148.86909346768</v>
      </c>
      <c r="AA10" s="244" t="n">
        <f aca="false">SUM(W10:Z10)</f>
        <v>15277.3367964437</v>
      </c>
      <c r="AB10" s="245" t="n">
        <f aca="false">AB69*AB$14</f>
        <v>4939.84716366761</v>
      </c>
      <c r="AC10" s="245" t="n">
        <f aca="false">AC69*AC$14</f>
        <v>3230.20952410192</v>
      </c>
      <c r="AD10" s="245" t="n">
        <f aca="false">AD69*AD$14</f>
        <v>4186.67390986118</v>
      </c>
      <c r="AE10" s="245" t="n">
        <f aca="false">AE69*AE$14</f>
        <v>6281.62029403057</v>
      </c>
      <c r="AF10" s="244" t="n">
        <f aca="false">SUM(AB10:AE10)</f>
        <v>18638.3508916613</v>
      </c>
      <c r="AG10" s="245" t="n">
        <f aca="false">AG69*AG$14</f>
        <v>5927.81659640113</v>
      </c>
      <c r="AH10" s="245" t="n">
        <f aca="false">AH69*AH$14</f>
        <v>3876.2514289223</v>
      </c>
      <c r="AI10" s="245" t="n">
        <f aca="false">AI69*AI$14</f>
        <v>5024.00869183341</v>
      </c>
      <c r="AJ10" s="245" t="n">
        <f aca="false">AJ69*AJ$14</f>
        <v>7537.94435283669</v>
      </c>
      <c r="AK10" s="244" t="n">
        <f aca="false">SUM(AG10:AJ10)</f>
        <v>22366.0210699935</v>
      </c>
    </row>
    <row r="11" customFormat="false" ht="15" hidden="false" customHeight="false" outlineLevel="0" collapsed="false">
      <c r="A11" s="0" t="s">
        <v>76</v>
      </c>
      <c r="B11" s="243" t="n">
        <v>1280</v>
      </c>
      <c r="C11" s="134" t="n">
        <v>362</v>
      </c>
      <c r="D11" s="134" t="n">
        <v>562</v>
      </c>
      <c r="E11" s="134" t="n">
        <v>641</v>
      </c>
      <c r="F11" s="134" t="n">
        <v>446</v>
      </c>
      <c r="G11" s="244" t="n">
        <f aca="false">SUM(C11:F11)</f>
        <v>2011</v>
      </c>
      <c r="H11" s="134" t="n">
        <v>447</v>
      </c>
      <c r="I11" s="134" t="n">
        <v>557</v>
      </c>
      <c r="J11" s="134" t="n">
        <v>467</v>
      </c>
      <c r="K11" s="134" t="n">
        <v>452</v>
      </c>
      <c r="L11" s="244" t="n">
        <f aca="false">SUM(H11:K11)</f>
        <v>1923</v>
      </c>
      <c r="M11" s="134" t="n">
        <v>464</v>
      </c>
      <c r="N11" s="245" t="n">
        <f aca="false">N70*N$14</f>
        <v>942.168712935463</v>
      </c>
      <c r="O11" s="245" t="n">
        <f aca="false">O70*O$14</f>
        <v>735.633704746758</v>
      </c>
      <c r="P11" s="245" t="n">
        <f aca="false">P70*P$14</f>
        <v>581.168271734852</v>
      </c>
      <c r="Q11" s="244" t="n">
        <f aca="false">SUM(M11:P11)</f>
        <v>2722.97068941707</v>
      </c>
      <c r="R11" s="245" t="n">
        <f aca="false">R70*R$14</f>
        <v>655.9005530703</v>
      </c>
      <c r="S11" s="245" t="n">
        <f aca="false">S70*S$14</f>
        <v>1131.62271541946</v>
      </c>
      <c r="T11" s="245" t="n">
        <f aca="false">T70*T$14</f>
        <v>905.691991712842</v>
      </c>
      <c r="U11" s="245" t="n">
        <f aca="false">U70*U$14</f>
        <v>819.941385253242</v>
      </c>
      <c r="V11" s="244" t="n">
        <f aca="false">SUM(R11:U11)</f>
        <v>3513.15664545584</v>
      </c>
      <c r="W11" s="245" t="n">
        <f aca="false">W70*W$14</f>
        <v>813.316685807171</v>
      </c>
      <c r="X11" s="245" t="n">
        <f aca="false">X70*X$14</f>
        <v>1403.21216712013</v>
      </c>
      <c r="Y11" s="245" t="n">
        <f aca="false">Y70*Y$14</f>
        <v>1123.05806972392</v>
      </c>
      <c r="Z11" s="245" t="n">
        <f aca="false">Z70*Z$14</f>
        <v>1016.72731771402</v>
      </c>
      <c r="AA11" s="244" t="n">
        <f aca="false">SUM(W11:Z11)</f>
        <v>4356.31424036524</v>
      </c>
      <c r="AB11" s="245" t="n">
        <f aca="false">AB70*AB$14</f>
        <v>992.246356684749</v>
      </c>
      <c r="AC11" s="245" t="n">
        <f aca="false">AC70*AC$14</f>
        <v>1711.91884388655</v>
      </c>
      <c r="AD11" s="245" t="n">
        <f aca="false">AD70*AD$14</f>
        <v>1370.13084506319</v>
      </c>
      <c r="AE11" s="245" t="n">
        <f aca="false">AE70*AE$14</f>
        <v>1240.4073276111</v>
      </c>
      <c r="AF11" s="244" t="n">
        <f aca="false">SUM(AB11:AE11)</f>
        <v>5314.7033732456</v>
      </c>
      <c r="AG11" s="245" t="n">
        <f aca="false">AG70*AG$14</f>
        <v>1190.6956280217</v>
      </c>
      <c r="AH11" s="245" t="n">
        <f aca="false">AH70*AH$14</f>
        <v>2054.30261266386</v>
      </c>
      <c r="AI11" s="245" t="n">
        <f aca="false">AI70*AI$14</f>
        <v>1644.15701407583</v>
      </c>
      <c r="AJ11" s="245" t="n">
        <f aca="false">AJ70*AJ$14</f>
        <v>1488.48879313333</v>
      </c>
      <c r="AK11" s="244" t="n">
        <f aca="false">SUM(AG11:AJ11)</f>
        <v>6377.64404789471</v>
      </c>
    </row>
    <row r="12" customFormat="false" ht="15" hidden="false" customHeight="false" outlineLevel="0" collapsed="false">
      <c r="A12" s="0" t="s">
        <v>79</v>
      </c>
      <c r="B12" s="243" t="n">
        <v>2875</v>
      </c>
      <c r="C12" s="134" t="n">
        <v>642</v>
      </c>
      <c r="D12" s="134" t="n">
        <v>1072</v>
      </c>
      <c r="E12" s="134" t="n">
        <v>939</v>
      </c>
      <c r="F12" s="134" t="n">
        <v>1391</v>
      </c>
      <c r="G12" s="244" t="n">
        <f aca="false">SUM(C12:F12)</f>
        <v>4044</v>
      </c>
      <c r="H12" s="134" t="n">
        <v>1249</v>
      </c>
      <c r="I12" s="134" t="n">
        <v>858</v>
      </c>
      <c r="J12" s="134" t="n">
        <v>1215</v>
      </c>
      <c r="K12" s="134" t="n">
        <v>1318</v>
      </c>
      <c r="L12" s="244" t="n">
        <f aca="false">SUM(H12:K12)</f>
        <v>4640</v>
      </c>
      <c r="M12" s="134" t="n">
        <v>1375.1</v>
      </c>
      <c r="N12" s="245" t="n">
        <f aca="false">N71*N$14</f>
        <v>1451.31194918964</v>
      </c>
      <c r="O12" s="245" t="n">
        <f aca="false">O71*O$14</f>
        <v>1913.90781855955</v>
      </c>
      <c r="P12" s="245" t="n">
        <f aca="false">P71*P$14</f>
        <v>1694.64553572242</v>
      </c>
      <c r="Q12" s="244" t="n">
        <f aca="false">SUM(M12:P12)</f>
        <v>6434.96530347161</v>
      </c>
      <c r="R12" s="245" t="n">
        <f aca="false">R71*R$14</f>
        <v>1943.81217785985</v>
      </c>
      <c r="S12" s="245" t="n">
        <f aca="false">S71*S$14</f>
        <v>1743.14594224397</v>
      </c>
      <c r="T12" s="245" t="n">
        <f aca="false">T71*T$14</f>
        <v>2356.35068507731</v>
      </c>
      <c r="U12" s="245" t="n">
        <f aca="false">U71*U$14</f>
        <v>2390.89103045083</v>
      </c>
      <c r="V12" s="244" t="n">
        <f aca="false">SUM(R12:U12)</f>
        <v>8434.19983563196</v>
      </c>
      <c r="W12" s="245" t="n">
        <f aca="false">W71*W$14</f>
        <v>2410.32710054621</v>
      </c>
      <c r="X12" s="245" t="n">
        <f aca="false">X71*X$14</f>
        <v>2161.50096838253</v>
      </c>
      <c r="Y12" s="245" t="n">
        <f aca="false">Y71*Y$14</f>
        <v>2921.87484949586</v>
      </c>
      <c r="Z12" s="245" t="n">
        <f aca="false">Z71*Z$14</f>
        <v>2964.70487775902</v>
      </c>
      <c r="AA12" s="244" t="n">
        <f aca="false">SUM(W12:Z12)</f>
        <v>10458.4077961836</v>
      </c>
      <c r="AB12" s="245" t="n">
        <f aca="false">AB71*AB$14</f>
        <v>2940.59906266638</v>
      </c>
      <c r="AC12" s="245" t="n">
        <f aca="false">AC71*AC$14</f>
        <v>2637.03118142668</v>
      </c>
      <c r="AD12" s="245" t="n">
        <f aca="false">AD71*AD$14</f>
        <v>3564.68731638495</v>
      </c>
      <c r="AE12" s="245" t="n">
        <f aca="false">AE71*AE$14</f>
        <v>3616.93995086601</v>
      </c>
      <c r="AF12" s="244" t="n">
        <f aca="false">SUM(AB12:AE12)</f>
        <v>12759.257511344</v>
      </c>
      <c r="AG12" s="245" t="n">
        <f aca="false">AG71*AG$14</f>
        <v>3528.71887519965</v>
      </c>
      <c r="AH12" s="245" t="n">
        <f aca="false">AH71*AH$14</f>
        <v>3164.43741771202</v>
      </c>
      <c r="AI12" s="245" t="n">
        <f aca="false">AI71*AI$14</f>
        <v>4277.62477966194</v>
      </c>
      <c r="AJ12" s="245" t="n">
        <f aca="false">AJ71*AJ$14</f>
        <v>4340.32794103921</v>
      </c>
      <c r="AK12" s="244" t="n">
        <f aca="false">SUM(AG12:AJ12)</f>
        <v>15311.1090136128</v>
      </c>
    </row>
    <row r="13" customFormat="false" ht="15" hidden="false" customHeight="false" outlineLevel="0" collapsed="false">
      <c r="A13" s="0" t="s">
        <v>75</v>
      </c>
      <c r="B13" s="243" t="n">
        <v>1478.2</v>
      </c>
      <c r="C13" s="134" t="n">
        <v>246</v>
      </c>
      <c r="D13" s="134" t="n">
        <v>245</v>
      </c>
      <c r="E13" s="134" t="n">
        <v>389</v>
      </c>
      <c r="F13" s="134" t="n">
        <v>754</v>
      </c>
      <c r="G13" s="244" t="n">
        <f aca="false">SUM(C13:F13)</f>
        <v>1634</v>
      </c>
      <c r="H13" s="134" t="n">
        <v>384</v>
      </c>
      <c r="I13" s="134" t="n">
        <v>727</v>
      </c>
      <c r="J13" s="134" t="n">
        <v>422</v>
      </c>
      <c r="K13" s="134" t="n">
        <v>418</v>
      </c>
      <c r="L13" s="244" t="n">
        <f aca="false">SUM(H13:K13)</f>
        <v>1951</v>
      </c>
      <c r="M13" s="134" t="n">
        <v>540</v>
      </c>
      <c r="N13" s="245" t="n">
        <f aca="false">N72*N$14</f>
        <v>1229.72469354413</v>
      </c>
      <c r="O13" s="245" t="n">
        <f aca="false">O72*O$14</f>
        <v>664.748229985293</v>
      </c>
      <c r="P13" s="245" t="n">
        <f aca="false">P72*P$14</f>
        <v>537.452074303469</v>
      </c>
      <c r="Q13" s="244" t="n">
        <f aca="false">SUM(M13:P13)</f>
        <v>2971.92499783289</v>
      </c>
      <c r="R13" s="245" t="n">
        <f aca="false">R72*R$14</f>
        <v>763.332540211124</v>
      </c>
      <c r="S13" s="245" t="n">
        <f aca="false">S72*S$14</f>
        <v>1477.00128206453</v>
      </c>
      <c r="T13" s="245" t="n">
        <f aca="false">T72*T$14</f>
        <v>818.419744117386</v>
      </c>
      <c r="U13" s="245" t="n">
        <f aca="false">U72*U$14</f>
        <v>758.26437839791</v>
      </c>
      <c r="V13" s="244" t="n">
        <f aca="false">SUM(R13:U13)</f>
        <v>3817.01794479095</v>
      </c>
      <c r="W13" s="245" t="n">
        <f aca="false">W72*W$14</f>
        <v>946.532349861794</v>
      </c>
      <c r="X13" s="245" t="n">
        <f aca="false">X72*X$14</f>
        <v>1831.48158976002</v>
      </c>
      <c r="Y13" s="245" t="n">
        <f aca="false">Y72*Y$14</f>
        <v>1014.84048270556</v>
      </c>
      <c r="Z13" s="245" t="n">
        <f aca="false">Z72*Z$14</f>
        <v>940.247829213408</v>
      </c>
      <c r="AA13" s="244" t="n">
        <f aca="false">SUM(W13:Z13)</f>
        <v>4733.10225154078</v>
      </c>
      <c r="AB13" s="245" t="n">
        <f aca="false">AB72*AB$14</f>
        <v>1154.76946683139</v>
      </c>
      <c r="AC13" s="245" t="n">
        <f aca="false">AC72*AC$14</f>
        <v>2234.40753950722</v>
      </c>
      <c r="AD13" s="245" t="n">
        <f aca="false">AD72*AD$14</f>
        <v>1238.10538890078</v>
      </c>
      <c r="AE13" s="245" t="n">
        <f aca="false">AE72*AE$14</f>
        <v>1147.10235164036</v>
      </c>
      <c r="AF13" s="244" t="n">
        <f aca="false">SUM(AB13:AE13)</f>
        <v>5774.38474687975</v>
      </c>
      <c r="AG13" s="245" t="n">
        <f aca="false">AG72*AG$14</f>
        <v>1385.72336019767</v>
      </c>
      <c r="AH13" s="245" t="n">
        <f aca="false">AH72*AH$14</f>
        <v>2681.28904740867</v>
      </c>
      <c r="AI13" s="245" t="n">
        <f aca="false">AI72*AI$14</f>
        <v>1485.72646668094</v>
      </c>
      <c r="AJ13" s="245" t="n">
        <f aca="false">AJ72*AJ$14</f>
        <v>1376.52282196843</v>
      </c>
      <c r="AK13" s="244" t="n">
        <f aca="false">SUM(AG13:AJ13)</f>
        <v>6929.26169625571</v>
      </c>
    </row>
    <row r="14" customFormat="false" ht="15" hidden="false" customHeight="false" outlineLevel="0" collapsed="false">
      <c r="A14" s="74" t="s">
        <v>81</v>
      </c>
      <c r="B14" s="244" t="n">
        <f aca="false">SUM(B10:B13)</f>
        <v>7196.2</v>
      </c>
      <c r="C14" s="73" t="n">
        <f aca="false">SUM(C10:C13)</f>
        <v>1796</v>
      </c>
      <c r="D14" s="73" t="n">
        <f aca="false">SUM(D10:D13)</f>
        <v>2397</v>
      </c>
      <c r="E14" s="73" t="n">
        <f aca="false">SUM(E10:E13)</f>
        <v>2466</v>
      </c>
      <c r="F14" s="73" t="n">
        <f aca="false">SUM(F10:F13)</f>
        <v>3389</v>
      </c>
      <c r="G14" s="244" t="n">
        <f aca="false">SUM(C14:F14)</f>
        <v>10048</v>
      </c>
      <c r="H14" s="73" t="n">
        <f aca="false">SUM(H10:H13)</f>
        <v>2897</v>
      </c>
      <c r="I14" s="73" t="n">
        <f aca="false">SUM(I10:I13)</f>
        <v>3193</v>
      </c>
      <c r="J14" s="73" t="n">
        <f aca="false">SUM(J10:J13)</f>
        <v>3531</v>
      </c>
      <c r="K14" s="73" t="n">
        <f aca="false">SUM(K10:K13)</f>
        <v>4477</v>
      </c>
      <c r="L14" s="244" t="n">
        <f aca="false">SUM(H14:K14)</f>
        <v>14098</v>
      </c>
      <c r="M14" s="245" t="n">
        <f aca="false">SUM(M10:M13)</f>
        <v>4689.1</v>
      </c>
      <c r="N14" s="245" t="n">
        <f aca="false">N23</f>
        <v>5400.97791813812</v>
      </c>
      <c r="O14" s="245" t="n">
        <f aca="false">O23</f>
        <v>5562.14691961628</v>
      </c>
      <c r="P14" s="245" t="n">
        <f aca="false">P23</f>
        <v>5756.39458530295</v>
      </c>
      <c r="Q14" s="244" t="n">
        <f aca="false">Q23</f>
        <v>21408.6194230573</v>
      </c>
      <c r="R14" s="245" t="n">
        <f aca="false">R23</f>
        <v>6628.41224871108</v>
      </c>
      <c r="S14" s="245" t="n">
        <f aca="false">S23</f>
        <v>6487.02213704547</v>
      </c>
      <c r="T14" s="245" t="n">
        <f aca="false">T23</f>
        <v>6847.96236132344</v>
      </c>
      <c r="U14" s="245" t="n">
        <f aca="false">U23</f>
        <v>8121.41057915656</v>
      </c>
      <c r="V14" s="244" t="n">
        <f aca="false">V23</f>
        <v>28084.8073262365</v>
      </c>
      <c r="W14" s="245" t="n">
        <f aca="false">W23</f>
        <v>8219.23118840174</v>
      </c>
      <c r="X14" s="245" t="n">
        <f aca="false">X23</f>
        <v>8043.90744993638</v>
      </c>
      <c r="Y14" s="245" t="n">
        <f aca="false">Y23</f>
        <v>8491.47332804106</v>
      </c>
      <c r="Z14" s="245" t="n">
        <f aca="false">Z23</f>
        <v>10070.5491181541</v>
      </c>
      <c r="AA14" s="244" t="n">
        <f aca="false">AA23</f>
        <v>34825.1610845333</v>
      </c>
      <c r="AB14" s="245" t="n">
        <f aca="false">AB23</f>
        <v>10027.4620498501</v>
      </c>
      <c r="AC14" s="245" t="n">
        <f aca="false">AC23</f>
        <v>9813.56708892238</v>
      </c>
      <c r="AD14" s="245" t="n">
        <f aca="false">AD23</f>
        <v>10359.5974602101</v>
      </c>
      <c r="AE14" s="245" t="n">
        <f aca="false">AE23</f>
        <v>12286.069924148</v>
      </c>
      <c r="AF14" s="244" t="n">
        <f aca="false">AF23</f>
        <v>42486.6965231306</v>
      </c>
      <c r="AG14" s="245" t="n">
        <f aca="false">AG23</f>
        <v>12032.9544598201</v>
      </c>
      <c r="AH14" s="245" t="n">
        <f aca="false">AH23</f>
        <v>11776.2805067069</v>
      </c>
      <c r="AI14" s="245" t="n">
        <f aca="false">AI23</f>
        <v>12431.5169522521</v>
      </c>
      <c r="AJ14" s="245" t="n">
        <f aca="false">AJ23</f>
        <v>14743.2839089777</v>
      </c>
      <c r="AK14" s="244" t="n">
        <f aca="false">AK23</f>
        <v>50984.0358277568</v>
      </c>
    </row>
    <row r="15" customFormat="false" ht="15" hidden="false" customHeight="false" outlineLevel="0" collapsed="false">
      <c r="B15" s="244"/>
      <c r="C15" s="73"/>
      <c r="D15" s="73"/>
      <c r="E15" s="73"/>
      <c r="F15" s="73"/>
      <c r="G15" s="244"/>
      <c r="H15" s="37"/>
      <c r="I15" s="37"/>
      <c r="J15" s="37"/>
      <c r="K15" s="37"/>
      <c r="L15" s="244"/>
      <c r="M15" s="37"/>
      <c r="N15" s="37"/>
      <c r="O15" s="37"/>
      <c r="P15" s="37"/>
      <c r="Q15" s="244"/>
      <c r="R15" s="37"/>
      <c r="S15" s="37"/>
      <c r="T15" s="37"/>
      <c r="U15" s="37"/>
      <c r="V15" s="244"/>
      <c r="W15" s="37"/>
      <c r="X15" s="37"/>
      <c r="Y15" s="37"/>
      <c r="Z15" s="37"/>
      <c r="AA15" s="244"/>
      <c r="AB15" s="37"/>
      <c r="AC15" s="37"/>
      <c r="AD15" s="37"/>
      <c r="AE15" s="37"/>
      <c r="AF15" s="244"/>
      <c r="AG15" s="37"/>
      <c r="AH15" s="37"/>
      <c r="AI15" s="37"/>
      <c r="AJ15" s="37"/>
      <c r="AK15" s="244"/>
    </row>
    <row r="16" customFormat="false" ht="15" hidden="false" customHeight="false" outlineLevel="0" collapsed="false">
      <c r="A16" s="74" t="s">
        <v>71</v>
      </c>
      <c r="B16" s="244"/>
      <c r="C16" s="73"/>
      <c r="D16" s="73"/>
      <c r="E16" s="73"/>
      <c r="F16" s="73"/>
      <c r="G16" s="244"/>
      <c r="H16" s="37"/>
      <c r="I16" s="37"/>
      <c r="J16" s="37"/>
      <c r="K16" s="37"/>
      <c r="L16" s="244"/>
      <c r="M16" s="37"/>
      <c r="N16" s="37"/>
      <c r="O16" s="37"/>
      <c r="P16" s="37"/>
      <c r="Q16" s="244"/>
      <c r="R16" s="37"/>
      <c r="S16" s="37"/>
      <c r="T16" s="37"/>
      <c r="U16" s="37"/>
      <c r="V16" s="244"/>
      <c r="W16" s="37"/>
      <c r="X16" s="37"/>
      <c r="Y16" s="37"/>
      <c r="Z16" s="37"/>
      <c r="AA16" s="244"/>
      <c r="AB16" s="37"/>
      <c r="AC16" s="37"/>
      <c r="AD16" s="37"/>
      <c r="AE16" s="37"/>
      <c r="AF16" s="244"/>
      <c r="AG16" s="37"/>
      <c r="AH16" s="37"/>
      <c r="AI16" s="37"/>
      <c r="AJ16" s="37"/>
      <c r="AK16" s="244"/>
    </row>
    <row r="17" customFormat="false" ht="15" hidden="false" customHeight="false" outlineLevel="0" collapsed="false">
      <c r="A17" s="0" t="s">
        <v>74</v>
      </c>
      <c r="B17" s="243" t="n">
        <v>5913</v>
      </c>
      <c r="C17" s="134" t="n">
        <v>2123</v>
      </c>
      <c r="D17" s="134" t="n">
        <v>2278</v>
      </c>
      <c r="E17" s="134" t="n">
        <v>1748</v>
      </c>
      <c r="F17" s="134" t="n">
        <v>1892</v>
      </c>
      <c r="G17" s="244" t="n">
        <f aca="false">SUM(C17:F17)</f>
        <v>8041</v>
      </c>
      <c r="H17" s="134" t="n">
        <v>2140</v>
      </c>
      <c r="I17" s="134" t="n">
        <v>1856</v>
      </c>
      <c r="J17" s="134" t="n">
        <v>1744</v>
      </c>
      <c r="K17" s="134" t="n">
        <v>1639</v>
      </c>
      <c r="L17" s="244" t="n">
        <f aca="false">SUM(H17:K17)</f>
        <v>7379</v>
      </c>
      <c r="M17" s="134" t="n">
        <v>1517</v>
      </c>
      <c r="N17" s="245" t="n">
        <f aca="false">N76*N$20</f>
        <v>2277.0706245455</v>
      </c>
      <c r="O17" s="245" t="n">
        <f aca="false">O76*O$20</f>
        <v>2075.33566970255</v>
      </c>
      <c r="P17" s="245" t="n">
        <f aca="false">P76*P$20</f>
        <v>1794.19162623806</v>
      </c>
      <c r="Q17" s="244" t="n">
        <f aca="false">SUM(M17:P17)</f>
        <v>7663.59792048612</v>
      </c>
      <c r="R17" s="245" t="n">
        <f aca="false">R76*R$20</f>
        <v>1975.64180217705</v>
      </c>
      <c r="S17" s="245" t="n">
        <f aca="false">S76*S$20</f>
        <v>2327.83844014826</v>
      </c>
      <c r="T17" s="245" t="n">
        <f aca="false">T76*T$20</f>
        <v>2263.15813207039</v>
      </c>
      <c r="U17" s="245" t="n">
        <f aca="false">U76*U$20</f>
        <v>2239.57459650359</v>
      </c>
      <c r="V17" s="244" t="n">
        <f aca="false">SUM(R17:U17)</f>
        <v>8806.21297089929</v>
      </c>
      <c r="W17" s="245" t="n">
        <f aca="false">W76*W$20</f>
        <v>2449.79583469954</v>
      </c>
      <c r="X17" s="245" t="n">
        <f aca="false">X76*X$20</f>
        <v>2886.51966578384</v>
      </c>
      <c r="Y17" s="245" t="n">
        <f aca="false">Y76*Y$20</f>
        <v>2806.31608376729</v>
      </c>
      <c r="Z17" s="245" t="n">
        <f aca="false">Z76*Z$20</f>
        <v>2777.07249966446</v>
      </c>
      <c r="AA17" s="244" t="n">
        <f aca="false">SUM(W17:Z17)</f>
        <v>10919.7040839151</v>
      </c>
      <c r="AB17" s="245" t="n">
        <f aca="false">AB76*AB$20</f>
        <v>2988.75091833344</v>
      </c>
      <c r="AC17" s="245" t="n">
        <f aca="false">AC76*AC$20</f>
        <v>3521.55399225628</v>
      </c>
      <c r="AD17" s="245" t="n">
        <f aca="false">AD76*AD$20</f>
        <v>3423.70562219609</v>
      </c>
      <c r="AE17" s="245" t="n">
        <f aca="false">AE76*AE$20</f>
        <v>3388.02844959064</v>
      </c>
      <c r="AF17" s="244" t="n">
        <f aca="false">SUM(AB17:AE17)</f>
        <v>13322.0389823764</v>
      </c>
      <c r="AG17" s="245" t="n">
        <f aca="false">AG76*AG$20</f>
        <v>3586.50110200012</v>
      </c>
      <c r="AH17" s="245" t="n">
        <f aca="false">AH76*AH$20</f>
        <v>4225.86479070754</v>
      </c>
      <c r="AI17" s="245" t="n">
        <f aca="false">AI76*AI$20</f>
        <v>4108.44674663531</v>
      </c>
      <c r="AJ17" s="245" t="n">
        <f aca="false">AJ76*AJ$20</f>
        <v>4065.63413950876</v>
      </c>
      <c r="AK17" s="244" t="n">
        <f aca="false">SUM(AG17:AJ17)</f>
        <v>15986.4467788517</v>
      </c>
    </row>
    <row r="18" customFormat="false" ht="15" hidden="false" customHeight="false" outlineLevel="0" collapsed="false">
      <c r="A18" s="37" t="s">
        <v>77</v>
      </c>
      <c r="B18" s="243" t="n">
        <v>6429</v>
      </c>
      <c r="C18" s="134" t="n">
        <v>1309</v>
      </c>
      <c r="D18" s="134" t="n">
        <v>1577</v>
      </c>
      <c r="E18" s="134" t="n">
        <v>1620</v>
      </c>
      <c r="F18" s="134" t="n">
        <v>1412</v>
      </c>
      <c r="G18" s="244" t="n">
        <f aca="false">SUM(C18:F18)</f>
        <v>5918</v>
      </c>
      <c r="H18" s="134" t="n">
        <v>1564</v>
      </c>
      <c r="I18" s="134" t="n">
        <v>1560</v>
      </c>
      <c r="J18" s="134" t="n">
        <v>1543</v>
      </c>
      <c r="K18" s="134" t="n">
        <v>1677</v>
      </c>
      <c r="L18" s="244" t="n">
        <f aca="false">SUM(H18:K18)</f>
        <v>6344</v>
      </c>
      <c r="M18" s="134" t="n">
        <v>1390</v>
      </c>
      <c r="N18" s="245" t="n">
        <f aca="false">N77*N$20</f>
        <v>1913.91711976885</v>
      </c>
      <c r="O18" s="245" t="n">
        <f aca="false">O77*O$20</f>
        <v>1836.14847382514</v>
      </c>
      <c r="P18" s="245" t="n">
        <f aca="false">P77*P$20</f>
        <v>1835.78972373473</v>
      </c>
      <c r="Q18" s="244" t="n">
        <f aca="false">SUM(M18:P18)</f>
        <v>6975.85531732872</v>
      </c>
      <c r="R18" s="245" t="n">
        <f aca="false">R77*R$20</f>
        <v>1810.24529006334</v>
      </c>
      <c r="S18" s="245" t="n">
        <f aca="false">S77*S$20</f>
        <v>1956.58834409013</v>
      </c>
      <c r="T18" s="245" t="n">
        <f aca="false">T77*T$20</f>
        <v>2002.32396661962</v>
      </c>
      <c r="U18" s="245" t="n">
        <f aca="false">U77*U$20</f>
        <v>2291.49883974163</v>
      </c>
      <c r="V18" s="244" t="n">
        <f aca="false">SUM(R18:U18)</f>
        <v>8060.65644051472</v>
      </c>
      <c r="W18" s="245" t="n">
        <f aca="false">W77*W$20</f>
        <v>2244.70415967855</v>
      </c>
      <c r="X18" s="245" t="n">
        <f aca="false">X77*X$20</f>
        <v>2426.16954667176</v>
      </c>
      <c r="Y18" s="245" t="n">
        <f aca="false">Y77*Y$20</f>
        <v>2482.88171860833</v>
      </c>
      <c r="Z18" s="245" t="n">
        <f aca="false">Z77*Z$20</f>
        <v>2841.45856127962</v>
      </c>
      <c r="AA18" s="244" t="n">
        <f aca="false">SUM(W18:Z18)</f>
        <v>9995.21398623825</v>
      </c>
      <c r="AB18" s="245" t="n">
        <f aca="false">AB77*AB$20</f>
        <v>2738.53907480783</v>
      </c>
      <c r="AC18" s="245" t="n">
        <f aca="false">AC77*AC$20</f>
        <v>2959.92684693955</v>
      </c>
      <c r="AD18" s="245" t="n">
        <f aca="false">AD77*AD$20</f>
        <v>3029.11569670216</v>
      </c>
      <c r="AE18" s="245" t="n">
        <f aca="false">AE77*AE$20</f>
        <v>3466.57944476113</v>
      </c>
      <c r="AF18" s="244" t="n">
        <f aca="false">SUM(AB18:AE18)</f>
        <v>12194.1610632107</v>
      </c>
      <c r="AG18" s="245" t="n">
        <f aca="false">AG77*AG$20</f>
        <v>3286.24688976939</v>
      </c>
      <c r="AH18" s="245" t="n">
        <f aca="false">AH77*AH$20</f>
        <v>3551.91221632746</v>
      </c>
      <c r="AI18" s="245" t="n">
        <f aca="false">AI77*AI$20</f>
        <v>3634.93883604259</v>
      </c>
      <c r="AJ18" s="245" t="n">
        <f aca="false">AJ77*AJ$20</f>
        <v>4159.89533371336</v>
      </c>
      <c r="AK18" s="244" t="n">
        <f aca="false">SUM(AG18:AJ18)</f>
        <v>14632.9932758528</v>
      </c>
    </row>
    <row r="19" customFormat="false" ht="15" hidden="false" customHeight="false" outlineLevel="0" collapsed="false">
      <c r="A19" s="0" t="s">
        <v>80</v>
      </c>
      <c r="B19" s="243" t="n">
        <v>2964</v>
      </c>
      <c r="C19" s="134" t="n">
        <v>436</v>
      </c>
      <c r="D19" s="134" t="n">
        <v>418</v>
      </c>
      <c r="E19" s="134" t="n">
        <v>268</v>
      </c>
      <c r="F19" s="134" t="n">
        <v>395</v>
      </c>
      <c r="G19" s="244" t="n">
        <f aca="false">SUM(C19:F19)</f>
        <v>1517</v>
      </c>
      <c r="H19" s="134" t="n">
        <v>467</v>
      </c>
      <c r="I19" s="134" t="n">
        <v>631</v>
      </c>
      <c r="J19" s="134" t="n">
        <v>750</v>
      </c>
      <c r="K19" s="134" t="n">
        <v>895</v>
      </c>
      <c r="L19" s="244" t="n">
        <f aca="false">SUM(H19:K19)</f>
        <v>2743</v>
      </c>
      <c r="M19" s="134" t="n">
        <v>671</v>
      </c>
      <c r="N19" s="245" t="n">
        <f aca="false">N78*N$20</f>
        <v>774.154937547528</v>
      </c>
      <c r="O19" s="245" t="n">
        <f aca="false">O78*O$20</f>
        <v>892.489536856029</v>
      </c>
      <c r="P19" s="245" t="n">
        <f aca="false">P78*P$20</f>
        <v>979.744664724261</v>
      </c>
      <c r="Q19" s="244" t="n">
        <f aca="false">SUM(M19:P19)</f>
        <v>3317.38913912782</v>
      </c>
      <c r="R19" s="245" t="n">
        <f aca="false">R78*R$20</f>
        <v>873.866611246406</v>
      </c>
      <c r="S19" s="245" t="n">
        <f aca="false">S78*S$20</f>
        <v>791.414900718507</v>
      </c>
      <c r="T19" s="245" t="n">
        <f aca="false">T78*T$20</f>
        <v>973.261811383484</v>
      </c>
      <c r="U19" s="245" t="n">
        <f aca="false">U78*U$20</f>
        <v>1222.95257100105</v>
      </c>
      <c r="V19" s="244" t="n">
        <f aca="false">SUM(R19:U19)</f>
        <v>3861.49589434944</v>
      </c>
      <c r="W19" s="245" t="n">
        <f aca="false">W78*W$20</f>
        <v>1083.59459794554</v>
      </c>
      <c r="X19" s="245" t="n">
        <f aca="false">X78*X$20</f>
        <v>981.354476890949</v>
      </c>
      <c r="Y19" s="245" t="n">
        <f aca="false">Y78*Y$20</f>
        <v>1206.84464611552</v>
      </c>
      <c r="Z19" s="245" t="n">
        <f aca="false">Z78*Z$20</f>
        <v>1516.4611880413</v>
      </c>
      <c r="AA19" s="244" t="n">
        <f aca="false">SUM(W19:Z19)</f>
        <v>4788.25490899331</v>
      </c>
      <c r="AB19" s="245" t="n">
        <f aca="false">AB78*AB$20</f>
        <v>1321.98540949356</v>
      </c>
      <c r="AC19" s="245" t="n">
        <f aca="false">AC78*AC$20</f>
        <v>1197.25246180696</v>
      </c>
      <c r="AD19" s="245" t="n">
        <f aca="false">AD78*AD$20</f>
        <v>1472.35046826093</v>
      </c>
      <c r="AE19" s="245" t="n">
        <f aca="false">AE78*AE$20</f>
        <v>1850.08264941038</v>
      </c>
      <c r="AF19" s="244" t="n">
        <f aca="false">SUM(AB19:AE19)</f>
        <v>5841.67098897184</v>
      </c>
      <c r="AG19" s="245" t="n">
        <f aca="false">AG78*AG$20</f>
        <v>1586.38249139228</v>
      </c>
      <c r="AH19" s="245" t="n">
        <f aca="false">AH78*AH$20</f>
        <v>1436.70295416835</v>
      </c>
      <c r="AI19" s="245" t="n">
        <f aca="false">AI78*AI$20</f>
        <v>1766.82056191312</v>
      </c>
      <c r="AJ19" s="245" t="n">
        <f aca="false">AJ78*AJ$20</f>
        <v>2220.09917929246</v>
      </c>
      <c r="AK19" s="244" t="n">
        <f aca="false">SUM(AG19:AJ19)</f>
        <v>7010.0051867662</v>
      </c>
    </row>
    <row r="20" customFormat="false" ht="15" hidden="false" customHeight="false" outlineLevel="0" collapsed="false">
      <c r="A20" s="74" t="s">
        <v>81</v>
      </c>
      <c r="B20" s="244" t="n">
        <f aca="false">SUM(B17:B19)</f>
        <v>15306</v>
      </c>
      <c r="C20" s="138" t="n">
        <f aca="false">SUM(C17:C19)</f>
        <v>3868</v>
      </c>
      <c r="D20" s="138" t="n">
        <f aca="false">SUM(D17:D19)</f>
        <v>4273</v>
      </c>
      <c r="E20" s="138" t="n">
        <f aca="false">SUM(E17:E19)</f>
        <v>3636</v>
      </c>
      <c r="F20" s="138" t="n">
        <f aca="false">SUM(F17:F19)</f>
        <v>3699</v>
      </c>
      <c r="G20" s="244" t="n">
        <f aca="false">SUM(C20:F20)</f>
        <v>15476</v>
      </c>
      <c r="H20" s="73" t="n">
        <f aca="false">SUM(H17:H19)</f>
        <v>4171</v>
      </c>
      <c r="I20" s="73" t="n">
        <f aca="false">SUM(I17:I19)</f>
        <v>4047</v>
      </c>
      <c r="J20" s="73" t="n">
        <f aca="false">SUM(J17:J19)</f>
        <v>4037</v>
      </c>
      <c r="K20" s="73" t="n">
        <f aca="false">SUM(K17:K19)</f>
        <v>4211</v>
      </c>
      <c r="L20" s="244" t="n">
        <f aca="false">SUM(H20:K20)</f>
        <v>16466</v>
      </c>
      <c r="M20" s="73" t="n">
        <f aca="false">SUM(M17:M19)</f>
        <v>3578</v>
      </c>
      <c r="N20" s="245" t="n">
        <f aca="false">N24</f>
        <v>4965.14268186188</v>
      </c>
      <c r="O20" s="245" t="n">
        <f aca="false">O24</f>
        <v>4803.97368038372</v>
      </c>
      <c r="P20" s="245" t="n">
        <f aca="false">P24</f>
        <v>4609.72601469705</v>
      </c>
      <c r="Q20" s="244" t="n">
        <f aca="false">Q24</f>
        <v>17956.8423769427</v>
      </c>
      <c r="R20" s="245" t="n">
        <f aca="false">R24</f>
        <v>4659.7537034868</v>
      </c>
      <c r="S20" s="245" t="n">
        <f aca="false">S24</f>
        <v>5075.84168495689</v>
      </c>
      <c r="T20" s="245" t="n">
        <f aca="false">T24</f>
        <v>5238.7439100735</v>
      </c>
      <c r="U20" s="245" t="n">
        <f aca="false">U24</f>
        <v>5754.02600724627</v>
      </c>
      <c r="V20" s="244" t="n">
        <f aca="false">V24</f>
        <v>20728.3653057635</v>
      </c>
      <c r="W20" s="245" t="n">
        <f aca="false">W24</f>
        <v>5778.09459232363</v>
      </c>
      <c r="X20" s="245" t="n">
        <f aca="false">X24</f>
        <v>6294.04368934654</v>
      </c>
      <c r="Y20" s="245" t="n">
        <f aca="false">Y24</f>
        <v>6496.04244849114</v>
      </c>
      <c r="Z20" s="245" t="n">
        <f aca="false">Z24</f>
        <v>7134.99224898537</v>
      </c>
      <c r="AA20" s="244" t="n">
        <f aca="false">AA24</f>
        <v>25703.1729791467</v>
      </c>
      <c r="AB20" s="245" t="n">
        <f aca="false">AB24</f>
        <v>7049.27540263483</v>
      </c>
      <c r="AC20" s="245" t="n">
        <f aca="false">AC24</f>
        <v>7678.73330100278</v>
      </c>
      <c r="AD20" s="245" t="n">
        <f aca="false">AD24</f>
        <v>7925.17178715919</v>
      </c>
      <c r="AE20" s="245" t="n">
        <f aca="false">AE24</f>
        <v>8704.69054376215</v>
      </c>
      <c r="AF20" s="244" t="n">
        <f aca="false">AF24</f>
        <v>31357.8710345589</v>
      </c>
      <c r="AG20" s="245" t="n">
        <f aca="false">AG24</f>
        <v>8459.13048316179</v>
      </c>
      <c r="AH20" s="245" t="n">
        <f aca="false">AH24</f>
        <v>9214.47996120334</v>
      </c>
      <c r="AI20" s="245" t="n">
        <f aca="false">AI24</f>
        <v>9510.20614459102</v>
      </c>
      <c r="AJ20" s="245" t="n">
        <f aca="false">AJ24</f>
        <v>10445.6286525146</v>
      </c>
      <c r="AK20" s="244" t="n">
        <f aca="false">AK24</f>
        <v>37629.4452414707</v>
      </c>
    </row>
    <row r="21" customFormat="false" ht="15" hidden="false" customHeight="false" outlineLevel="0" collapsed="false">
      <c r="B21" s="244"/>
      <c r="C21" s="73"/>
      <c r="D21" s="73"/>
      <c r="E21" s="73"/>
      <c r="F21" s="73"/>
      <c r="G21" s="244"/>
      <c r="H21" s="37"/>
      <c r="I21" s="37"/>
      <c r="J21" s="37"/>
      <c r="K21" s="37"/>
      <c r="L21" s="244"/>
      <c r="M21" s="37"/>
      <c r="N21" s="37"/>
      <c r="O21" s="37"/>
      <c r="P21" s="37"/>
      <c r="Q21" s="244"/>
      <c r="R21" s="37"/>
      <c r="S21" s="37"/>
      <c r="T21" s="37"/>
      <c r="U21" s="37"/>
      <c r="V21" s="244"/>
      <c r="W21" s="37"/>
      <c r="X21" s="37"/>
      <c r="Y21" s="37"/>
      <c r="Z21" s="37"/>
      <c r="AA21" s="244"/>
      <c r="AB21" s="37"/>
      <c r="AC21" s="37"/>
      <c r="AD21" s="37"/>
      <c r="AE21" s="37"/>
      <c r="AF21" s="244"/>
      <c r="AG21" s="37"/>
      <c r="AH21" s="37"/>
      <c r="AI21" s="37"/>
      <c r="AJ21" s="37"/>
      <c r="AK21" s="244"/>
    </row>
    <row r="22" customFormat="false" ht="15" hidden="false" customHeight="false" outlineLevel="0" collapsed="false">
      <c r="B22" s="244"/>
      <c r="C22" s="73"/>
      <c r="D22" s="73"/>
      <c r="E22" s="73"/>
      <c r="F22" s="73"/>
      <c r="G22" s="244"/>
      <c r="H22" s="37"/>
      <c r="I22" s="37"/>
      <c r="J22" s="37"/>
      <c r="K22" s="37"/>
      <c r="L22" s="244"/>
      <c r="M22" s="37"/>
      <c r="N22" s="37"/>
      <c r="O22" s="37"/>
      <c r="P22" s="37"/>
      <c r="Q22" s="244"/>
      <c r="R22" s="37"/>
      <c r="S22" s="37"/>
      <c r="T22" s="37"/>
      <c r="U22" s="82"/>
      <c r="V22" s="244"/>
      <c r="W22" s="37"/>
      <c r="X22" s="37"/>
      <c r="Y22" s="37"/>
      <c r="Z22" s="37"/>
      <c r="AA22" s="244"/>
      <c r="AB22" s="37"/>
      <c r="AC22" s="37"/>
      <c r="AD22" s="37"/>
      <c r="AE22" s="37"/>
      <c r="AF22" s="244"/>
      <c r="AG22" s="37"/>
      <c r="AH22" s="37"/>
      <c r="AI22" s="37"/>
      <c r="AJ22" s="37"/>
      <c r="AK22" s="244"/>
    </row>
    <row r="23" customFormat="false" ht="15" hidden="false" customHeight="false" outlineLevel="0" collapsed="false">
      <c r="A23" s="37" t="s">
        <v>70</v>
      </c>
      <c r="B23" s="244" t="n">
        <f aca="false">B14</f>
        <v>7196.2</v>
      </c>
      <c r="C23" s="73" t="n">
        <f aca="false">C14</f>
        <v>1796</v>
      </c>
      <c r="D23" s="73" t="n">
        <f aca="false">D14</f>
        <v>2397</v>
      </c>
      <c r="E23" s="73" t="n">
        <f aca="false">E14</f>
        <v>2466</v>
      </c>
      <c r="F23" s="73" t="n">
        <f aca="false">F14</f>
        <v>3389</v>
      </c>
      <c r="G23" s="244" t="n">
        <f aca="false">SUM(C23:F23)</f>
        <v>10048</v>
      </c>
      <c r="H23" s="245" t="n">
        <f aca="false">H14</f>
        <v>2897</v>
      </c>
      <c r="I23" s="245" t="n">
        <f aca="false">I14</f>
        <v>3193</v>
      </c>
      <c r="J23" s="245" t="n">
        <f aca="false">J14</f>
        <v>3531</v>
      </c>
      <c r="K23" s="245" t="n">
        <f aca="false">K14</f>
        <v>4477</v>
      </c>
      <c r="L23" s="244" t="n">
        <f aca="false">SUM(H23:K23)</f>
        <v>14098</v>
      </c>
      <c r="M23" s="245" t="n">
        <f aca="false">M14</f>
        <v>4689.1</v>
      </c>
      <c r="N23" s="245" t="n">
        <f aca="false">N$25*N82</f>
        <v>5400.97791813812</v>
      </c>
      <c r="O23" s="245" t="n">
        <f aca="false">O$25*O82</f>
        <v>5562.14691961628</v>
      </c>
      <c r="P23" s="245" t="n">
        <f aca="false">P$25*P82</f>
        <v>5756.39458530295</v>
      </c>
      <c r="Q23" s="244" t="n">
        <f aca="false">SUM(M23:P23)</f>
        <v>21408.6194230573</v>
      </c>
      <c r="R23" s="245" t="n">
        <f aca="false">R82*R$25</f>
        <v>6628.41224871108</v>
      </c>
      <c r="S23" s="245" t="n">
        <f aca="false">S82*S$25</f>
        <v>6487.02213704547</v>
      </c>
      <c r="T23" s="245" t="n">
        <f aca="false">T82*T$25</f>
        <v>6847.96236132344</v>
      </c>
      <c r="U23" s="245" t="n">
        <f aca="false">U82*U$25</f>
        <v>8121.41057915656</v>
      </c>
      <c r="V23" s="244" t="n">
        <f aca="false">SUM(R23:U23)</f>
        <v>28084.8073262365</v>
      </c>
      <c r="W23" s="245" t="n">
        <f aca="false">W82*W$25</f>
        <v>8219.23118840174</v>
      </c>
      <c r="X23" s="245" t="n">
        <f aca="false">X82*X$25</f>
        <v>8043.90744993638</v>
      </c>
      <c r="Y23" s="245" t="n">
        <f aca="false">Y82*Y$25</f>
        <v>8491.47332804106</v>
      </c>
      <c r="Z23" s="245" t="n">
        <f aca="false">Z82*Z$25</f>
        <v>10070.5491181541</v>
      </c>
      <c r="AA23" s="244" t="n">
        <f aca="false">SUM(W23:Z23)</f>
        <v>34825.1610845333</v>
      </c>
      <c r="AB23" s="245" t="n">
        <f aca="false">AB82*AB$25</f>
        <v>10027.4620498501</v>
      </c>
      <c r="AC23" s="245" t="n">
        <f aca="false">AC82*AC$25</f>
        <v>9813.56708892238</v>
      </c>
      <c r="AD23" s="245" t="n">
        <f aca="false">AD82*AD$25</f>
        <v>10359.5974602101</v>
      </c>
      <c r="AE23" s="245" t="n">
        <f aca="false">AE82*AE$25</f>
        <v>12286.069924148</v>
      </c>
      <c r="AF23" s="244" t="n">
        <f aca="false">SUM(AB23:AE23)</f>
        <v>42486.6965231306</v>
      </c>
      <c r="AG23" s="245" t="n">
        <f aca="false">AG82*AG$25</f>
        <v>12032.9544598201</v>
      </c>
      <c r="AH23" s="245" t="n">
        <f aca="false">AH82*AH$25</f>
        <v>11776.2805067069</v>
      </c>
      <c r="AI23" s="245" t="n">
        <f aca="false">AI82*AI$25</f>
        <v>12431.5169522521</v>
      </c>
      <c r="AJ23" s="245" t="n">
        <f aca="false">AJ82*AJ$25</f>
        <v>14743.2839089777</v>
      </c>
      <c r="AK23" s="244" t="n">
        <f aca="false">SUM(AG23:AJ23)</f>
        <v>50984.0358277568</v>
      </c>
    </row>
    <row r="24" customFormat="false" ht="15" hidden="false" customHeight="false" outlineLevel="0" collapsed="false">
      <c r="A24" s="37" t="s">
        <v>71</v>
      </c>
      <c r="B24" s="244" t="n">
        <f aca="false">B20</f>
        <v>15306</v>
      </c>
      <c r="C24" s="73" t="n">
        <f aca="false">C20</f>
        <v>3868</v>
      </c>
      <c r="D24" s="73" t="n">
        <f aca="false">D20</f>
        <v>4273</v>
      </c>
      <c r="E24" s="73" t="n">
        <f aca="false">E20</f>
        <v>3636</v>
      </c>
      <c r="F24" s="73" t="n">
        <f aca="false">F20</f>
        <v>3699</v>
      </c>
      <c r="G24" s="244" t="n">
        <f aca="false">SUM(C24:F24)</f>
        <v>15476</v>
      </c>
      <c r="H24" s="245" t="n">
        <f aca="false">H20</f>
        <v>4171</v>
      </c>
      <c r="I24" s="245" t="n">
        <f aca="false">I20</f>
        <v>4047</v>
      </c>
      <c r="J24" s="245" t="n">
        <f aca="false">J20</f>
        <v>4037</v>
      </c>
      <c r="K24" s="245" t="n">
        <f aca="false">K20</f>
        <v>4211</v>
      </c>
      <c r="L24" s="244" t="n">
        <f aca="false">SUM(H24:K24)</f>
        <v>16466</v>
      </c>
      <c r="M24" s="245" t="n">
        <f aca="false">M20</f>
        <v>3578</v>
      </c>
      <c r="N24" s="245" t="n">
        <f aca="false">N$25*N83</f>
        <v>4965.14268186188</v>
      </c>
      <c r="O24" s="245" t="n">
        <f aca="false">O$25*O83</f>
        <v>4803.97368038372</v>
      </c>
      <c r="P24" s="245" t="n">
        <f aca="false">P$25*P83</f>
        <v>4609.72601469705</v>
      </c>
      <c r="Q24" s="244" t="n">
        <f aca="false">SUM(M24:P24)</f>
        <v>17956.8423769427</v>
      </c>
      <c r="R24" s="245" t="n">
        <f aca="false">R83*R$25</f>
        <v>4659.7537034868</v>
      </c>
      <c r="S24" s="245" t="n">
        <f aca="false">S83*S$25</f>
        <v>5075.84168495689</v>
      </c>
      <c r="T24" s="245" t="n">
        <f aca="false">T83*T$25</f>
        <v>5238.7439100735</v>
      </c>
      <c r="U24" s="245" t="n">
        <f aca="false">U83*U$25</f>
        <v>5754.02600724627</v>
      </c>
      <c r="V24" s="244" t="n">
        <f aca="false">SUM(R24:U24)</f>
        <v>20728.3653057635</v>
      </c>
      <c r="W24" s="245" t="n">
        <f aca="false">W83*W$25</f>
        <v>5778.09459232363</v>
      </c>
      <c r="X24" s="245" t="n">
        <f aca="false">X83*X$25</f>
        <v>6294.04368934654</v>
      </c>
      <c r="Y24" s="245" t="n">
        <f aca="false">Y83*Y$25</f>
        <v>6496.04244849114</v>
      </c>
      <c r="Z24" s="245" t="n">
        <f aca="false">Z83*Z$25</f>
        <v>7134.99224898537</v>
      </c>
      <c r="AA24" s="244" t="n">
        <f aca="false">SUM(W24:Z24)</f>
        <v>25703.1729791467</v>
      </c>
      <c r="AB24" s="245" t="n">
        <f aca="false">AB83*AB$25</f>
        <v>7049.27540263483</v>
      </c>
      <c r="AC24" s="245" t="n">
        <f aca="false">AC83*AC$25</f>
        <v>7678.73330100278</v>
      </c>
      <c r="AD24" s="245" t="n">
        <f aca="false">AD83*AD$25</f>
        <v>7925.17178715919</v>
      </c>
      <c r="AE24" s="245" t="n">
        <f aca="false">AE83*AE$25</f>
        <v>8704.69054376215</v>
      </c>
      <c r="AF24" s="244" t="n">
        <f aca="false">SUM(AB24:AE24)</f>
        <v>31357.8710345589</v>
      </c>
      <c r="AG24" s="245" t="n">
        <f aca="false">AG83*AG$25</f>
        <v>8459.13048316179</v>
      </c>
      <c r="AH24" s="245" t="n">
        <f aca="false">AH83*AH$25</f>
        <v>9214.47996120334</v>
      </c>
      <c r="AI24" s="245" t="n">
        <f aca="false">AI83*AI$25</f>
        <v>9510.20614459102</v>
      </c>
      <c r="AJ24" s="245" t="n">
        <f aca="false">AJ83*AJ$25</f>
        <v>10445.6286525146</v>
      </c>
      <c r="AK24" s="244" t="n">
        <f aca="false">SUM(AG24:AJ24)</f>
        <v>37629.4452414707</v>
      </c>
    </row>
    <row r="25" customFormat="false" ht="15" hidden="false" customHeight="false" outlineLevel="0" collapsed="false">
      <c r="A25" s="74" t="s">
        <v>81</v>
      </c>
      <c r="B25" s="244" t="n">
        <f aca="false">SUM(B23:B24)</f>
        <v>22502.2</v>
      </c>
      <c r="C25" s="73" t="n">
        <f aca="false">SUM(C23:C24)</f>
        <v>5664</v>
      </c>
      <c r="D25" s="73" t="n">
        <f aca="false">SUM(D23:D24)</f>
        <v>6670</v>
      </c>
      <c r="E25" s="73" t="n">
        <f aca="false">SUM(E23:E24)</f>
        <v>6102</v>
      </c>
      <c r="F25" s="73" t="n">
        <f aca="false">SUM(F23:F24)</f>
        <v>7088</v>
      </c>
      <c r="G25" s="244" t="n">
        <f aca="false">SUM(G23:G24)</f>
        <v>25524</v>
      </c>
      <c r="H25" s="245" t="n">
        <f aca="false">SUM(H23:H24)</f>
        <v>7068</v>
      </c>
      <c r="I25" s="245" t="n">
        <f aca="false">SUM(I23:I24)</f>
        <v>7240</v>
      </c>
      <c r="J25" s="245" t="n">
        <f aca="false">SUM(J23:J24)</f>
        <v>7568</v>
      </c>
      <c r="K25" s="245" t="n">
        <f aca="false">SUM(K23:K24)</f>
        <v>8688</v>
      </c>
      <c r="L25" s="244" t="n">
        <f aca="false">SUM(L23:L24)</f>
        <v>30564</v>
      </c>
      <c r="M25" s="245" t="n">
        <f aca="false">SUM(M23:M24)</f>
        <v>8267.1</v>
      </c>
      <c r="N25" s="245" t="n">
        <f aca="false">($Q$25-$M$25)/3</f>
        <v>10366.1206</v>
      </c>
      <c r="O25" s="245" t="n">
        <f aca="false">($Q$25-$M$25)/3</f>
        <v>10366.1206</v>
      </c>
      <c r="P25" s="245" t="n">
        <f aca="false">($Q$25-$M$25)/3</f>
        <v>10366.1206</v>
      </c>
      <c r="Q25" s="244" t="n">
        <f aca="false">'Geographic Revenue Model'!G11</f>
        <v>39365.4618</v>
      </c>
      <c r="R25" s="73" t="n">
        <f aca="false">$V25*R89</f>
        <v>11288.1659521979</v>
      </c>
      <c r="S25" s="73" t="n">
        <f aca="false">$V25*S89</f>
        <v>11562.8638220024</v>
      </c>
      <c r="T25" s="73" t="n">
        <f aca="false">$V25*T89</f>
        <v>12086.7062713969</v>
      </c>
      <c r="U25" s="73" t="n">
        <f aca="false">$V25*U89</f>
        <v>13875.4365864028</v>
      </c>
      <c r="V25" s="244" t="n">
        <f aca="false">'Geographic Revenue Model'!H11</f>
        <v>48813.172632</v>
      </c>
      <c r="W25" s="73" t="n">
        <f aca="false">$AA25*W89</f>
        <v>13997.3257807254</v>
      </c>
      <c r="X25" s="73" t="n">
        <f aca="false">$AA25*X89</f>
        <v>14337.9511392829</v>
      </c>
      <c r="Y25" s="73" t="n">
        <f aca="false">$AA25*Y89</f>
        <v>14987.5157765322</v>
      </c>
      <c r="Z25" s="73" t="n">
        <f aca="false">$AA25*Z89</f>
        <v>17205.5413671395</v>
      </c>
      <c r="AA25" s="244" t="n">
        <f aca="false">'Geographic Revenue Model'!I11</f>
        <v>60528.33406368</v>
      </c>
      <c r="AB25" s="73" t="n">
        <f aca="false">$AF25*AB89</f>
        <v>17076.7374524849</v>
      </c>
      <c r="AC25" s="73" t="n">
        <f aca="false">$AF25*AC89</f>
        <v>17492.3003899252</v>
      </c>
      <c r="AD25" s="73" t="n">
        <f aca="false">$AF25*AD89</f>
        <v>18284.7692473693</v>
      </c>
      <c r="AE25" s="73" t="n">
        <f aca="false">$AF25*AE89</f>
        <v>20990.7604679102</v>
      </c>
      <c r="AF25" s="244" t="n">
        <f aca="false">'Geographic Revenue Model'!J11</f>
        <v>73844.5675576896</v>
      </c>
      <c r="AG25" s="73" t="n">
        <f aca="false">$AK25*AG89</f>
        <v>20492.0849429819</v>
      </c>
      <c r="AH25" s="73" t="n">
        <f aca="false">$AK25*AH89</f>
        <v>20990.7604679102</v>
      </c>
      <c r="AI25" s="73" t="n">
        <f aca="false">$AK25*AI89</f>
        <v>21941.7230968431</v>
      </c>
      <c r="AJ25" s="73" t="n">
        <f aca="false">$AK25*AJ89</f>
        <v>25188.9125614922</v>
      </c>
      <c r="AK25" s="244" t="n">
        <f aca="false">'Geographic Revenue Model'!K11</f>
        <v>88613.4810692275</v>
      </c>
    </row>
    <row r="26" customFormat="false" ht="15.75" hidden="false" customHeight="false" outlineLevel="0" collapsed="false">
      <c r="A26" s="31"/>
      <c r="B26" s="91"/>
      <c r="C26" s="31"/>
      <c r="D26" s="31"/>
      <c r="E26" s="31"/>
      <c r="F26" s="31"/>
      <c r="G26" s="91"/>
      <c r="H26" s="31"/>
      <c r="I26" s="31"/>
      <c r="J26" s="31"/>
      <c r="K26" s="31"/>
      <c r="L26" s="91"/>
      <c r="M26" s="31"/>
      <c r="N26" s="31"/>
      <c r="O26" s="31"/>
      <c r="P26" s="31"/>
      <c r="Q26" s="91"/>
      <c r="R26" s="31"/>
      <c r="S26" s="31"/>
      <c r="T26" s="31"/>
      <c r="U26" s="31"/>
      <c r="V26" s="91"/>
      <c r="W26" s="31"/>
      <c r="X26" s="31"/>
      <c r="Y26" s="31"/>
      <c r="Z26" s="31"/>
      <c r="AA26" s="91"/>
      <c r="AB26" s="31"/>
      <c r="AC26" s="31"/>
      <c r="AD26" s="31"/>
      <c r="AE26" s="31"/>
      <c r="AF26" s="91"/>
      <c r="AG26" s="31"/>
      <c r="AH26" s="31"/>
      <c r="AI26" s="31"/>
      <c r="AJ26" s="31"/>
      <c r="AK26" s="91"/>
    </row>
    <row r="27" customFormat="false" ht="15" hidden="false" customHeight="false" outlineLevel="0" collapsed="false">
      <c r="B27" s="244"/>
      <c r="C27" s="145"/>
      <c r="D27" s="145"/>
      <c r="E27" s="145"/>
      <c r="F27" s="145"/>
      <c r="G27" s="244"/>
      <c r="H27" s="37"/>
      <c r="I27" s="37"/>
      <c r="J27" s="37"/>
      <c r="K27" s="37"/>
      <c r="L27" s="244"/>
      <c r="M27" s="37"/>
      <c r="N27" s="37"/>
      <c r="O27" s="145"/>
      <c r="P27" s="145"/>
      <c r="Q27" s="244"/>
      <c r="R27" s="37"/>
      <c r="S27" s="37"/>
      <c r="T27" s="37"/>
      <c r="U27" s="37"/>
      <c r="V27" s="244"/>
      <c r="W27" s="37"/>
      <c r="X27" s="37"/>
      <c r="Y27" s="37"/>
      <c r="Z27" s="37"/>
      <c r="AA27" s="244"/>
      <c r="AB27" s="37"/>
      <c r="AC27" s="37"/>
      <c r="AD27" s="37"/>
      <c r="AE27" s="37"/>
      <c r="AF27" s="244"/>
      <c r="AG27" s="37"/>
      <c r="AH27" s="37"/>
      <c r="AI27" s="37"/>
      <c r="AJ27" s="37"/>
      <c r="AK27" s="244"/>
    </row>
    <row r="28" customFormat="false" ht="15" hidden="false" customHeight="false" outlineLevel="0" collapsed="false">
      <c r="A28" s="33" t="s">
        <v>308</v>
      </c>
      <c r="B28" s="244"/>
      <c r="C28" s="73"/>
      <c r="D28" s="73"/>
      <c r="E28" s="73"/>
      <c r="F28" s="73"/>
      <c r="G28" s="244"/>
      <c r="H28" s="37"/>
      <c r="I28" s="37"/>
      <c r="J28" s="37"/>
      <c r="K28" s="37"/>
      <c r="L28" s="244"/>
      <c r="M28" s="37"/>
      <c r="N28" s="37"/>
      <c r="O28" s="37"/>
      <c r="P28" s="145"/>
      <c r="Q28" s="244"/>
      <c r="R28" s="37"/>
      <c r="S28" s="37"/>
      <c r="T28" s="37"/>
      <c r="U28" s="37"/>
      <c r="V28" s="244"/>
      <c r="W28" s="37"/>
      <c r="X28" s="37"/>
      <c r="Y28" s="37"/>
      <c r="Z28" s="37"/>
      <c r="AA28" s="244"/>
      <c r="AB28" s="37"/>
      <c r="AC28" s="37"/>
      <c r="AD28" s="37"/>
      <c r="AE28" s="37"/>
      <c r="AF28" s="244"/>
      <c r="AG28" s="37"/>
      <c r="AH28" s="37"/>
      <c r="AI28" s="246"/>
      <c r="AJ28" s="37"/>
      <c r="AK28" s="244"/>
    </row>
    <row r="29" customFormat="false" ht="15" hidden="false" customHeight="false" outlineLevel="0" collapsed="false">
      <c r="B29" s="244"/>
      <c r="C29" s="73"/>
      <c r="D29" s="73"/>
      <c r="E29" s="73"/>
      <c r="F29" s="73"/>
      <c r="G29" s="244"/>
      <c r="H29" s="37"/>
      <c r="I29" s="37"/>
      <c r="J29" s="37"/>
      <c r="K29" s="37"/>
      <c r="L29" s="244"/>
      <c r="M29" s="37"/>
      <c r="N29" s="37"/>
      <c r="O29" s="37"/>
      <c r="P29" s="37"/>
      <c r="Q29" s="244"/>
      <c r="R29" s="37"/>
      <c r="S29" s="37"/>
      <c r="T29" s="37"/>
      <c r="U29" s="37"/>
      <c r="V29" s="244"/>
      <c r="W29" s="37"/>
      <c r="X29" s="37"/>
      <c r="Y29" s="37"/>
      <c r="Z29" s="37"/>
      <c r="AA29" s="244"/>
      <c r="AB29" s="37"/>
      <c r="AC29" s="37"/>
      <c r="AD29" s="37"/>
      <c r="AE29" s="37"/>
      <c r="AF29" s="244"/>
      <c r="AG29" s="37"/>
      <c r="AH29" s="37"/>
      <c r="AI29" s="37"/>
      <c r="AJ29" s="37"/>
      <c r="AK29" s="244"/>
    </row>
    <row r="30" customFormat="false" ht="15" hidden="false" customHeight="false" outlineLevel="0" collapsed="false">
      <c r="A30" s="74" t="s">
        <v>70</v>
      </c>
      <c r="B30" s="244"/>
      <c r="C30" s="73"/>
      <c r="D30" s="73"/>
      <c r="E30" s="73"/>
      <c r="F30" s="73"/>
      <c r="G30" s="244"/>
      <c r="H30" s="37"/>
      <c r="I30" s="37"/>
      <c r="J30" s="37"/>
      <c r="K30" s="37"/>
      <c r="L30" s="244"/>
      <c r="M30" s="37"/>
      <c r="N30" s="37"/>
      <c r="O30" s="37"/>
      <c r="P30" s="37"/>
      <c r="Q30" s="244"/>
      <c r="R30" s="37"/>
      <c r="S30" s="37"/>
      <c r="T30" s="37"/>
      <c r="U30" s="37"/>
      <c r="V30" s="244"/>
      <c r="W30" s="37"/>
      <c r="X30" s="37"/>
      <c r="Y30" s="37"/>
      <c r="Z30" s="37"/>
      <c r="AA30" s="244"/>
      <c r="AB30" s="37"/>
      <c r="AC30" s="37"/>
      <c r="AD30" s="37"/>
      <c r="AE30" s="37"/>
      <c r="AF30" s="244"/>
      <c r="AG30" s="37"/>
      <c r="AH30" s="37"/>
      <c r="AI30" s="37"/>
      <c r="AJ30" s="37"/>
      <c r="AK30" s="244"/>
    </row>
    <row r="31" customFormat="false" ht="15" hidden="false" customHeight="false" outlineLevel="0" collapsed="false">
      <c r="A31" s="0" t="s">
        <v>73</v>
      </c>
      <c r="B31" s="244"/>
      <c r="C31" s="73"/>
      <c r="D31" s="73"/>
      <c r="E31" s="73"/>
      <c r="F31" s="73"/>
      <c r="G31" s="247" t="n">
        <f aca="false">G10/B10-1</f>
        <v>0.509277031349968</v>
      </c>
      <c r="H31" s="145" t="n">
        <f aca="false">H10/C10-1</f>
        <v>0.496336996336996</v>
      </c>
      <c r="I31" s="145" t="n">
        <f aca="false">I10/D10-1</f>
        <v>1.02895752895753</v>
      </c>
      <c r="J31" s="145" t="n">
        <f aca="false">J10/E10-1</f>
        <v>1.87122736418511</v>
      </c>
      <c r="K31" s="145" t="n">
        <f aca="false">K10/F10-1</f>
        <v>1.86842105263158</v>
      </c>
      <c r="L31" s="248" t="n">
        <f aca="false">L10/G10-1</f>
        <v>1.36710470538364</v>
      </c>
      <c r="M31" s="145" t="n">
        <f aca="false">M10/H10-1</f>
        <v>1.82741738066095</v>
      </c>
      <c r="N31" s="145" t="n">
        <f aca="false">N10/I10-1</f>
        <v>0.691505768286289</v>
      </c>
      <c r="O31" s="145" t="n">
        <f aca="false">O10/J10-1</f>
        <v>0.575232772476998</v>
      </c>
      <c r="P31" s="145" t="n">
        <f aca="false">P10/K10-1</f>
        <v>0.285770512687726</v>
      </c>
      <c r="Q31" s="248" t="n">
        <f aca="false">Q10/L10-1</f>
        <v>0.661668773699099</v>
      </c>
      <c r="R31" s="145" t="n">
        <f aca="false">R10/M10-1</f>
        <v>0.413578778168749</v>
      </c>
      <c r="S31" s="145" t="n">
        <f aca="false">S10/N10-1</f>
        <v>0.201082884501356</v>
      </c>
      <c r="T31" s="145" t="n">
        <f aca="false">T10/O10-1</f>
        <v>0.231172505920765</v>
      </c>
      <c r="U31" s="145" t="n">
        <f aca="false">U10/P10-1</f>
        <v>0.410850222097683</v>
      </c>
      <c r="V31" s="248" t="n">
        <f aca="false">V10/Q10-1</f>
        <v>0.327810502903279</v>
      </c>
      <c r="W31" s="145" t="n">
        <f aca="false">W10/R10-1</f>
        <v>0.24</v>
      </c>
      <c r="X31" s="145" t="n">
        <f aca="false">X10/S10-1</f>
        <v>0.24</v>
      </c>
      <c r="Y31" s="145" t="n">
        <f aca="false">Y10/T10-1</f>
        <v>0.24</v>
      </c>
      <c r="Z31" s="145" t="n">
        <f aca="false">Z10/U10-1</f>
        <v>0.24</v>
      </c>
      <c r="AA31" s="248" t="n">
        <f aca="false">AA10/V10-1</f>
        <v>0.24</v>
      </c>
      <c r="AB31" s="145" t="n">
        <f aca="false">AB10/W10-1</f>
        <v>0.22</v>
      </c>
      <c r="AC31" s="145" t="n">
        <f aca="false">AC10/X10-1</f>
        <v>0.22</v>
      </c>
      <c r="AD31" s="145" t="n">
        <f aca="false">AD10/Y10-1</f>
        <v>0.22</v>
      </c>
      <c r="AE31" s="145" t="n">
        <f aca="false">AE10/Z10-1</f>
        <v>0.22</v>
      </c>
      <c r="AF31" s="248" t="n">
        <f aca="false">AF10/AA10-1</f>
        <v>0.22</v>
      </c>
      <c r="AG31" s="145" t="n">
        <f aca="false">AG10/AB10-1</f>
        <v>0.2</v>
      </c>
      <c r="AH31" s="145" t="n">
        <f aca="false">AH10/AC10-1</f>
        <v>0.2</v>
      </c>
      <c r="AI31" s="145" t="n">
        <f aca="false">AI10/AD10-1</f>
        <v>0.2</v>
      </c>
      <c r="AJ31" s="145" t="n">
        <f aca="false">AJ10/AE10-1</f>
        <v>0.2</v>
      </c>
      <c r="AK31" s="248" t="n">
        <f aca="false">AK10/AF10-1</f>
        <v>0.2</v>
      </c>
    </row>
    <row r="32" customFormat="false" ht="15" hidden="false" customHeight="false" outlineLevel="0" collapsed="false">
      <c r="A32" s="0" t="s">
        <v>76</v>
      </c>
      <c r="B32" s="244"/>
      <c r="C32" s="73"/>
      <c r="D32" s="73"/>
      <c r="E32" s="73"/>
      <c r="F32" s="73"/>
      <c r="G32" s="247" t="n">
        <f aca="false">G11/B11-1</f>
        <v>0.57109375</v>
      </c>
      <c r="H32" s="145" t="n">
        <f aca="false">H11/C11-1</f>
        <v>0.234806629834254</v>
      </c>
      <c r="I32" s="145" t="n">
        <f aca="false">I11/D11-1</f>
        <v>-0.00889679715302494</v>
      </c>
      <c r="J32" s="145" t="n">
        <f aca="false">J11/E11-1</f>
        <v>-0.271450858034321</v>
      </c>
      <c r="K32" s="145" t="n">
        <f aca="false">K11/F11-1</f>
        <v>0.0134529147982063</v>
      </c>
      <c r="L32" s="248" t="n">
        <f aca="false">L11/G11-1</f>
        <v>-0.0437593237195425</v>
      </c>
      <c r="M32" s="145" t="n">
        <f aca="false">M11/H11-1</f>
        <v>0.0380313199105145</v>
      </c>
      <c r="N32" s="145" t="n">
        <f aca="false">N11/I11-1</f>
        <v>0.691505768286289</v>
      </c>
      <c r="O32" s="145" t="n">
        <f aca="false">O11/J11-1</f>
        <v>0.575232772476998</v>
      </c>
      <c r="P32" s="145" t="n">
        <f aca="false">P11/K11-1</f>
        <v>0.285770512687725</v>
      </c>
      <c r="Q32" s="248" t="n">
        <f aca="false">Q11/L11-1</f>
        <v>0.41600139855282</v>
      </c>
      <c r="R32" s="145" t="n">
        <f aca="false">R11/M11-1</f>
        <v>0.413578778168749</v>
      </c>
      <c r="S32" s="145" t="n">
        <f aca="false">S11/N11-1</f>
        <v>0.201082884501356</v>
      </c>
      <c r="T32" s="145" t="n">
        <f aca="false">T11/O11-1</f>
        <v>0.231172505920765</v>
      </c>
      <c r="U32" s="145" t="n">
        <f aca="false">U11/P11-1</f>
        <v>0.410850222097683</v>
      </c>
      <c r="V32" s="248" t="n">
        <f aca="false">V11/Q11-1</f>
        <v>0.290192604389704</v>
      </c>
      <c r="W32" s="145" t="n">
        <f aca="false">W11/R11-1</f>
        <v>0.24</v>
      </c>
      <c r="X32" s="145" t="n">
        <f aca="false">X11/S11-1</f>
        <v>0.24</v>
      </c>
      <c r="Y32" s="145" t="n">
        <f aca="false">Y11/T11-1</f>
        <v>0.24</v>
      </c>
      <c r="Z32" s="145" t="n">
        <f aca="false">Z11/U11-1</f>
        <v>0.24</v>
      </c>
      <c r="AA32" s="248" t="n">
        <f aca="false">AA11/V11-1</f>
        <v>0.24</v>
      </c>
      <c r="AB32" s="145" t="n">
        <f aca="false">AB11/W11-1</f>
        <v>0.22</v>
      </c>
      <c r="AC32" s="145" t="n">
        <f aca="false">AC11/X11-1</f>
        <v>0.22</v>
      </c>
      <c r="AD32" s="145" t="n">
        <f aca="false">AD11/Y11-1</f>
        <v>0.22</v>
      </c>
      <c r="AE32" s="145" t="n">
        <f aca="false">AE11/Z11-1</f>
        <v>0.22</v>
      </c>
      <c r="AF32" s="248" t="n">
        <f aca="false">AF11/AA11-1</f>
        <v>0.22</v>
      </c>
      <c r="AG32" s="145" t="n">
        <f aca="false">AG11/AB11-1</f>
        <v>0.2</v>
      </c>
      <c r="AH32" s="145" t="n">
        <f aca="false">AH11/AC11-1</f>
        <v>0.2</v>
      </c>
      <c r="AI32" s="145" t="n">
        <f aca="false">AI11/AD11-1</f>
        <v>0.2</v>
      </c>
      <c r="AJ32" s="145" t="n">
        <f aca="false">AJ11/AE11-1</f>
        <v>0.2</v>
      </c>
      <c r="AK32" s="248" t="n">
        <f aca="false">AK11/AF11-1</f>
        <v>0.2</v>
      </c>
    </row>
    <row r="33" customFormat="false" ht="15" hidden="false" customHeight="false" outlineLevel="0" collapsed="false">
      <c r="A33" s="0" t="s">
        <v>79</v>
      </c>
      <c r="B33" s="244"/>
      <c r="C33" s="73"/>
      <c r="D33" s="73"/>
      <c r="E33" s="73"/>
      <c r="F33" s="73"/>
      <c r="G33" s="247" t="n">
        <f aca="false">G12/B12-1</f>
        <v>0.406608695652174</v>
      </c>
      <c r="H33" s="145" t="n">
        <f aca="false">H12/C12-1</f>
        <v>0.945482866043614</v>
      </c>
      <c r="I33" s="145" t="n">
        <f aca="false">I12/D12-1</f>
        <v>-0.199626865671642</v>
      </c>
      <c r="J33" s="145" t="n">
        <f aca="false">J12/E12-1</f>
        <v>0.293929712460064</v>
      </c>
      <c r="K33" s="145" t="n">
        <f aca="false">K12/F12-1</f>
        <v>-0.0524802300503235</v>
      </c>
      <c r="L33" s="248" t="n">
        <f aca="false">L12/G12-1</f>
        <v>0.147378832838774</v>
      </c>
      <c r="M33" s="145" t="n">
        <f aca="false">M12/H12-1</f>
        <v>0.100960768614892</v>
      </c>
      <c r="N33" s="145" t="n">
        <f aca="false">N12/I12-1</f>
        <v>0.691505768286289</v>
      </c>
      <c r="O33" s="145" t="n">
        <f aca="false">O12/J12-1</f>
        <v>0.575232772476997</v>
      </c>
      <c r="P33" s="145" t="n">
        <f aca="false">P12/K12-1</f>
        <v>0.285770512687726</v>
      </c>
      <c r="Q33" s="248" t="n">
        <f aca="false">Q12/L12-1</f>
        <v>0.386845970575778</v>
      </c>
      <c r="R33" s="145" t="n">
        <f aca="false">R12/M12-1</f>
        <v>0.413578778168749</v>
      </c>
      <c r="S33" s="145" t="n">
        <f aca="false">S12/N12-1</f>
        <v>0.201082884501356</v>
      </c>
      <c r="T33" s="145" t="n">
        <f aca="false">T12/O12-1</f>
        <v>0.231172505920765</v>
      </c>
      <c r="U33" s="145" t="n">
        <f aca="false">U12/P12-1</f>
        <v>0.410850222097683</v>
      </c>
      <c r="V33" s="248" t="n">
        <f aca="false">V12/Q12-1</f>
        <v>0.310683032134109</v>
      </c>
      <c r="W33" s="145" t="n">
        <f aca="false">W12/R12-1</f>
        <v>0.24</v>
      </c>
      <c r="X33" s="145" t="n">
        <f aca="false">X12/S12-1</f>
        <v>0.24</v>
      </c>
      <c r="Y33" s="145" t="n">
        <f aca="false">Y12/T12-1</f>
        <v>0.24</v>
      </c>
      <c r="Z33" s="145" t="n">
        <f aca="false">Z12/U12-1</f>
        <v>0.24</v>
      </c>
      <c r="AA33" s="248" t="n">
        <f aca="false">AA12/V12-1</f>
        <v>0.24</v>
      </c>
      <c r="AB33" s="145" t="n">
        <f aca="false">AB12/W12-1</f>
        <v>0.22</v>
      </c>
      <c r="AC33" s="145" t="n">
        <f aca="false">AC12/X12-1</f>
        <v>0.22</v>
      </c>
      <c r="AD33" s="145" t="n">
        <f aca="false">AD12/Y12-1</f>
        <v>0.22</v>
      </c>
      <c r="AE33" s="145" t="n">
        <f aca="false">AE12/Z12-1</f>
        <v>0.22</v>
      </c>
      <c r="AF33" s="248" t="n">
        <f aca="false">AF12/AA12-1</f>
        <v>0.22</v>
      </c>
      <c r="AG33" s="145" t="n">
        <f aca="false">AG12/AB12-1</f>
        <v>0.2</v>
      </c>
      <c r="AH33" s="145" t="n">
        <f aca="false">AH12/AC12-1</f>
        <v>0.2</v>
      </c>
      <c r="AI33" s="145" t="n">
        <f aca="false">AI12/AD12-1</f>
        <v>0.2</v>
      </c>
      <c r="AJ33" s="145" t="n">
        <f aca="false">AJ12/AE12-1</f>
        <v>0.2</v>
      </c>
      <c r="AK33" s="248" t="n">
        <f aca="false">AK12/AF12-1</f>
        <v>0.2</v>
      </c>
    </row>
    <row r="34" customFormat="false" ht="15" hidden="false" customHeight="false" outlineLevel="0" collapsed="false">
      <c r="A34" s="0" t="s">
        <v>75</v>
      </c>
      <c r="B34" s="244"/>
      <c r="C34" s="73"/>
      <c r="D34" s="73"/>
      <c r="E34" s="73"/>
      <c r="F34" s="73"/>
      <c r="G34" s="247" t="n">
        <f aca="false">G13/B13-1</f>
        <v>0.105398457583548</v>
      </c>
      <c r="H34" s="145" t="n">
        <f aca="false">H13/C13-1</f>
        <v>0.560975609756098</v>
      </c>
      <c r="I34" s="145" t="n">
        <f aca="false">I13/D13-1</f>
        <v>1.96734693877551</v>
      </c>
      <c r="J34" s="145" t="n">
        <f aca="false">J13/E13-1</f>
        <v>0.0848329048843188</v>
      </c>
      <c r="K34" s="145" t="n">
        <f aca="false">K13/F13-1</f>
        <v>-0.445623342175066</v>
      </c>
      <c r="L34" s="248" t="n">
        <f aca="false">L13/G13-1</f>
        <v>0.194002447980416</v>
      </c>
      <c r="M34" s="145" t="n">
        <f aca="false">M13/H13-1</f>
        <v>0.40625</v>
      </c>
      <c r="N34" s="145" t="n">
        <f aca="false">N13/I13-1</f>
        <v>0.691505768286289</v>
      </c>
      <c r="O34" s="145" t="n">
        <f aca="false">O13/J13-1</f>
        <v>0.575232772476998</v>
      </c>
      <c r="P34" s="145" t="n">
        <f aca="false">P13/K13-1</f>
        <v>0.285770512687725</v>
      </c>
      <c r="Q34" s="248" t="n">
        <f aca="false">Q13/L13-1</f>
        <v>0.523282930719064</v>
      </c>
      <c r="R34" s="145" t="n">
        <f aca="false">R13/M13-1</f>
        <v>0.413578778168749</v>
      </c>
      <c r="S34" s="145" t="n">
        <f aca="false">S13/N13-1</f>
        <v>0.201082884501356</v>
      </c>
      <c r="T34" s="145" t="n">
        <f aca="false">T13/O13-1</f>
        <v>0.231172505920765</v>
      </c>
      <c r="U34" s="145" t="n">
        <f aca="false">U13/P13-1</f>
        <v>0.410850222097683</v>
      </c>
      <c r="V34" s="248" t="n">
        <f aca="false">V13/Q13-1</f>
        <v>0.28435877337897</v>
      </c>
      <c r="W34" s="145" t="n">
        <f aca="false">W13/R13-1</f>
        <v>0.24</v>
      </c>
      <c r="X34" s="145" t="n">
        <f aca="false">X13/S13-1</f>
        <v>0.24</v>
      </c>
      <c r="Y34" s="145" t="n">
        <f aca="false">Y13/T13-1</f>
        <v>0.24</v>
      </c>
      <c r="Z34" s="145" t="n">
        <f aca="false">Z13/U13-1</f>
        <v>0.24</v>
      </c>
      <c r="AA34" s="248" t="n">
        <f aca="false">AA13/V13-1</f>
        <v>0.24</v>
      </c>
      <c r="AB34" s="145" t="n">
        <f aca="false">AB13/W13-1</f>
        <v>0.22</v>
      </c>
      <c r="AC34" s="145" t="n">
        <f aca="false">AC13/X13-1</f>
        <v>0.22</v>
      </c>
      <c r="AD34" s="145" t="n">
        <f aca="false">AD13/Y13-1</f>
        <v>0.22</v>
      </c>
      <c r="AE34" s="145" t="n">
        <f aca="false">AE13/Z13-1</f>
        <v>0.22</v>
      </c>
      <c r="AF34" s="248" t="n">
        <f aca="false">AF13/AA13-1</f>
        <v>0.22</v>
      </c>
      <c r="AG34" s="145" t="n">
        <f aca="false">AG13/AB13-1</f>
        <v>0.2</v>
      </c>
      <c r="AH34" s="145" t="n">
        <f aca="false">AH13/AC13-1</f>
        <v>0.2</v>
      </c>
      <c r="AI34" s="145" t="n">
        <f aca="false">AI13/AD13-1</f>
        <v>0.2</v>
      </c>
      <c r="AJ34" s="145" t="n">
        <f aca="false">AJ13/AE13-1</f>
        <v>0.2</v>
      </c>
      <c r="AK34" s="248" t="n">
        <f aca="false">AK13/AF13-1</f>
        <v>0.2</v>
      </c>
    </row>
    <row r="35" customFormat="false" ht="15" hidden="false" customHeight="false" outlineLevel="0" collapsed="false">
      <c r="A35" s="74" t="s">
        <v>81</v>
      </c>
      <c r="B35" s="244"/>
      <c r="C35" s="73"/>
      <c r="D35" s="73"/>
      <c r="E35" s="73"/>
      <c r="F35" s="73"/>
      <c r="G35" s="247" t="n">
        <f aca="false">G14/B14-1</f>
        <v>0.396292487701843</v>
      </c>
      <c r="H35" s="145" t="n">
        <f aca="false">H14/C14-1</f>
        <v>0.613028953229399</v>
      </c>
      <c r="I35" s="145" t="n">
        <f aca="false">I14/D14-1</f>
        <v>0.332081768877764</v>
      </c>
      <c r="J35" s="145" t="n">
        <f aca="false">J14/E14-1</f>
        <v>0.431873479318735</v>
      </c>
      <c r="K35" s="145" t="n">
        <f aca="false">K14/F14-1</f>
        <v>0.321038654470345</v>
      </c>
      <c r="L35" s="248" t="n">
        <f aca="false">L14/G14-1</f>
        <v>0.403065286624204</v>
      </c>
      <c r="M35" s="145" t="n">
        <f aca="false">M14/H14-1</f>
        <v>0.618605453917846</v>
      </c>
      <c r="N35" s="145" t="n">
        <f aca="false">N14/I14-1</f>
        <v>0.691505768286289</v>
      </c>
      <c r="O35" s="145" t="n">
        <f aca="false">O14/J14-1</f>
        <v>0.575232772476998</v>
      </c>
      <c r="P35" s="145" t="n">
        <f aca="false">P14/K14-1</f>
        <v>0.285770512687725</v>
      </c>
      <c r="Q35" s="248" t="n">
        <f aca="false">Q14/L14-1</f>
        <v>0.518557201238285</v>
      </c>
      <c r="R35" s="145" t="n">
        <f aca="false">R14/M14-1</f>
        <v>0.413578778168749</v>
      </c>
      <c r="S35" s="145" t="n">
        <f aca="false">S14/N14-1</f>
        <v>0.201082884501356</v>
      </c>
      <c r="T35" s="145" t="n">
        <f aca="false">T14/O14-1</f>
        <v>0.231172505920765</v>
      </c>
      <c r="U35" s="145" t="n">
        <f aca="false">U14/P14-1</f>
        <v>0.410850222097683</v>
      </c>
      <c r="V35" s="248" t="n">
        <f aca="false">V14/Q14-1</f>
        <v>0.311845793100926</v>
      </c>
      <c r="W35" s="145" t="n">
        <f aca="false">W14/R14-1</f>
        <v>0.24</v>
      </c>
      <c r="X35" s="145" t="n">
        <f aca="false">X14/S14-1</f>
        <v>0.24</v>
      </c>
      <c r="Y35" s="145" t="n">
        <f aca="false">Y14/T14-1</f>
        <v>0.24</v>
      </c>
      <c r="Z35" s="145" t="n">
        <f aca="false">Z14/U14-1</f>
        <v>0.24</v>
      </c>
      <c r="AA35" s="248" t="n">
        <f aca="false">AA14/V14-1</f>
        <v>0.24</v>
      </c>
      <c r="AB35" s="145" t="n">
        <f aca="false">AB14/W14-1</f>
        <v>0.22</v>
      </c>
      <c r="AC35" s="145" t="n">
        <f aca="false">AC14/X14-1</f>
        <v>0.22</v>
      </c>
      <c r="AD35" s="145" t="n">
        <f aca="false">AD14/Y14-1</f>
        <v>0.22</v>
      </c>
      <c r="AE35" s="145" t="n">
        <f aca="false">AE14/Z14-1</f>
        <v>0.22</v>
      </c>
      <c r="AF35" s="248" t="n">
        <f aca="false">AF14/AA14-1</f>
        <v>0.22</v>
      </c>
      <c r="AG35" s="145" t="n">
        <f aca="false">AG14/AB14-1</f>
        <v>0.2</v>
      </c>
      <c r="AH35" s="145" t="n">
        <f aca="false">AH14/AC14-1</f>
        <v>0.2</v>
      </c>
      <c r="AI35" s="145" t="n">
        <f aca="false">AI14/AD14-1</f>
        <v>0.2</v>
      </c>
      <c r="AJ35" s="145" t="n">
        <f aca="false">AJ14/AE14-1</f>
        <v>0.2</v>
      </c>
      <c r="AK35" s="248" t="n">
        <f aca="false">AK14/AF14-1</f>
        <v>0.2</v>
      </c>
    </row>
    <row r="36" customFormat="false" ht="15" hidden="false" customHeight="false" outlineLevel="0" collapsed="false">
      <c r="B36" s="244"/>
      <c r="C36" s="73"/>
      <c r="D36" s="73"/>
      <c r="E36" s="73"/>
      <c r="F36" s="73"/>
      <c r="G36" s="244"/>
      <c r="H36" s="37"/>
      <c r="I36" s="37"/>
      <c r="J36" s="37"/>
      <c r="K36" s="37"/>
      <c r="L36" s="249"/>
      <c r="M36" s="37"/>
      <c r="N36" s="37"/>
      <c r="O36" s="37"/>
      <c r="P36" s="37"/>
      <c r="Q36" s="249"/>
      <c r="R36" s="37"/>
      <c r="S36" s="37"/>
      <c r="T36" s="37"/>
      <c r="U36" s="37"/>
      <c r="V36" s="244"/>
      <c r="W36" s="37"/>
      <c r="X36" s="37"/>
      <c r="Y36" s="37"/>
      <c r="Z36" s="37"/>
      <c r="AA36" s="244"/>
      <c r="AB36" s="37"/>
      <c r="AC36" s="37"/>
      <c r="AD36" s="37"/>
      <c r="AE36" s="37"/>
      <c r="AF36" s="244"/>
      <c r="AG36" s="37"/>
      <c r="AH36" s="37"/>
      <c r="AI36" s="37"/>
      <c r="AJ36" s="37"/>
      <c r="AK36" s="244"/>
    </row>
    <row r="37" customFormat="false" ht="15" hidden="false" customHeight="false" outlineLevel="0" collapsed="false">
      <c r="A37" s="74" t="s">
        <v>71</v>
      </c>
      <c r="B37" s="244"/>
      <c r="C37" s="73"/>
      <c r="D37" s="73"/>
      <c r="E37" s="73"/>
      <c r="F37" s="73"/>
      <c r="G37" s="244"/>
      <c r="H37" s="37"/>
      <c r="I37" s="37"/>
      <c r="J37" s="37"/>
      <c r="K37" s="37"/>
      <c r="L37" s="249"/>
      <c r="M37" s="37"/>
      <c r="N37" s="37"/>
      <c r="O37" s="37"/>
      <c r="P37" s="37"/>
      <c r="Q37" s="249"/>
      <c r="R37" s="37"/>
      <c r="S37" s="37"/>
      <c r="T37" s="37"/>
      <c r="U37" s="37"/>
      <c r="V37" s="244"/>
      <c r="W37" s="37"/>
      <c r="X37" s="37"/>
      <c r="Y37" s="37"/>
      <c r="Z37" s="37"/>
      <c r="AA37" s="244"/>
      <c r="AB37" s="37"/>
      <c r="AC37" s="37"/>
      <c r="AD37" s="37"/>
      <c r="AE37" s="37"/>
      <c r="AF37" s="244"/>
      <c r="AG37" s="37"/>
      <c r="AH37" s="37"/>
      <c r="AI37" s="37"/>
      <c r="AJ37" s="37"/>
      <c r="AK37" s="244"/>
    </row>
    <row r="38" customFormat="false" ht="15" hidden="false" customHeight="false" outlineLevel="0" collapsed="false">
      <c r="A38" s="0" t="s">
        <v>74</v>
      </c>
      <c r="B38" s="244"/>
      <c r="C38" s="73"/>
      <c r="D38" s="73"/>
      <c r="E38" s="73"/>
      <c r="F38" s="73"/>
      <c r="G38" s="247" t="n">
        <f aca="false">G17/B17-1</f>
        <v>0.359884999154406</v>
      </c>
      <c r="H38" s="145" t="n">
        <f aca="false">H17/C17-1</f>
        <v>0.0080075365049459</v>
      </c>
      <c r="I38" s="145" t="n">
        <f aca="false">I17/D17-1</f>
        <v>-0.185250219490781</v>
      </c>
      <c r="J38" s="145" t="n">
        <f aca="false">J17/E17-1</f>
        <v>-0.00228832951945079</v>
      </c>
      <c r="K38" s="145" t="n">
        <f aca="false">K17/F17-1</f>
        <v>-0.133720930232558</v>
      </c>
      <c r="L38" s="249" t="n">
        <f aca="false">L17/G17-1</f>
        <v>-0.0823280686481781</v>
      </c>
      <c r="M38" s="145" t="n">
        <f aca="false">M17/H17-1</f>
        <v>-0.291121495327103</v>
      </c>
      <c r="N38" s="145" t="n">
        <f aca="false">N17/I17-1</f>
        <v>0.226869948569775</v>
      </c>
      <c r="O38" s="145" t="n">
        <f aca="false">O17/J17-1</f>
        <v>0.189986049141373</v>
      </c>
      <c r="P38" s="145" t="n">
        <f aca="false">P17/K17-1</f>
        <v>0.0946867762282246</v>
      </c>
      <c r="Q38" s="249" t="n">
        <f aca="false">Q17/L17-1</f>
        <v>0.0385686299615282</v>
      </c>
      <c r="R38" s="145" t="n">
        <f aca="false">R17/M17-1</f>
        <v>0.302334741052766</v>
      </c>
      <c r="S38" s="145" t="n">
        <f aca="false">S17/N17-1</f>
        <v>0.0222952310110656</v>
      </c>
      <c r="T38" s="145" t="n">
        <f aca="false">T17/O17-1</f>
        <v>0.0905022089244771</v>
      </c>
      <c r="U38" s="145" t="n">
        <f aca="false">U17/P17-1</f>
        <v>0.248236009884508</v>
      </c>
      <c r="V38" s="248" t="n">
        <f aca="false">V17/Q17-1</f>
        <v>0.149096424717007</v>
      </c>
      <c r="W38" s="145" t="n">
        <f aca="false">W17/R17-1</f>
        <v>0.24</v>
      </c>
      <c r="X38" s="145" t="n">
        <f aca="false">X17/S17-1</f>
        <v>0.24</v>
      </c>
      <c r="Y38" s="145" t="n">
        <f aca="false">Y17/T17-1</f>
        <v>0.24</v>
      </c>
      <c r="Z38" s="145" t="n">
        <f aca="false">Z17/U17-1</f>
        <v>0.24</v>
      </c>
      <c r="AA38" s="248" t="n">
        <f aca="false">AA17/V17-1</f>
        <v>0.24</v>
      </c>
      <c r="AB38" s="145" t="n">
        <f aca="false">AB17/W17-1</f>
        <v>0.22</v>
      </c>
      <c r="AC38" s="145" t="n">
        <f aca="false">AC17/X17-1</f>
        <v>0.22</v>
      </c>
      <c r="AD38" s="145" t="n">
        <f aca="false">AD17/Y17-1</f>
        <v>0.22</v>
      </c>
      <c r="AE38" s="145" t="n">
        <f aca="false">AE17/Z17-1</f>
        <v>0.22</v>
      </c>
      <c r="AF38" s="248" t="n">
        <f aca="false">AF17/AA17-1</f>
        <v>0.22</v>
      </c>
      <c r="AG38" s="145" t="n">
        <f aca="false">AG17/AB17-1</f>
        <v>0.2</v>
      </c>
      <c r="AH38" s="145" t="n">
        <f aca="false">AH17/AC17-1</f>
        <v>0.2</v>
      </c>
      <c r="AI38" s="145" t="n">
        <f aca="false">AI17/AD17-1</f>
        <v>0.2</v>
      </c>
      <c r="AJ38" s="145" t="n">
        <f aca="false">AJ17/AE17-1</f>
        <v>0.2</v>
      </c>
      <c r="AK38" s="248" t="n">
        <f aca="false">AK17/AF17-1</f>
        <v>0.2</v>
      </c>
    </row>
    <row r="39" customFormat="false" ht="15" hidden="false" customHeight="false" outlineLevel="0" collapsed="false">
      <c r="A39" s="37" t="s">
        <v>77</v>
      </c>
      <c r="B39" s="244"/>
      <c r="C39" s="73"/>
      <c r="D39" s="73"/>
      <c r="E39" s="73"/>
      <c r="F39" s="73"/>
      <c r="G39" s="247" t="n">
        <f aca="false">G18/B18-1</f>
        <v>-0.0794835899828901</v>
      </c>
      <c r="H39" s="145" t="n">
        <f aca="false">H18/C18-1</f>
        <v>0.194805194805195</v>
      </c>
      <c r="I39" s="145" t="n">
        <f aca="false">I18/D18-1</f>
        <v>-0.0107799619530755</v>
      </c>
      <c r="J39" s="145" t="n">
        <f aca="false">J18/E18-1</f>
        <v>-0.0475308641975308</v>
      </c>
      <c r="K39" s="145" t="n">
        <f aca="false">K18/F18-1</f>
        <v>0.187677053824363</v>
      </c>
      <c r="L39" s="249" t="n">
        <f aca="false">L18/G18-1</f>
        <v>0.0719837783034809</v>
      </c>
      <c r="M39" s="145" t="n">
        <f aca="false">M18/H18-1</f>
        <v>-0.111253196930946</v>
      </c>
      <c r="N39" s="145" t="n">
        <f aca="false">N18/I18-1</f>
        <v>0.226869948569775</v>
      </c>
      <c r="O39" s="145" t="n">
        <f aca="false">O18/J18-1</f>
        <v>0.189986049141373</v>
      </c>
      <c r="P39" s="145" t="n">
        <f aca="false">P18/K18-1</f>
        <v>0.0946867762282246</v>
      </c>
      <c r="Q39" s="249" t="n">
        <f aca="false">Q18/L18-1</f>
        <v>0.0995988835637958</v>
      </c>
      <c r="R39" s="145" t="n">
        <f aca="false">R18/M18-1</f>
        <v>0.302334741052766</v>
      </c>
      <c r="S39" s="145" t="n">
        <f aca="false">S18/N18-1</f>
        <v>0.0222952310110656</v>
      </c>
      <c r="T39" s="145" t="n">
        <f aca="false">T18/O18-1</f>
        <v>0.0905022089244771</v>
      </c>
      <c r="U39" s="145" t="n">
        <f aca="false">U18/P18-1</f>
        <v>0.248236009884508</v>
      </c>
      <c r="V39" s="248" t="n">
        <f aca="false">V18/Q18-1</f>
        <v>0.155507973408113</v>
      </c>
      <c r="W39" s="145" t="n">
        <f aca="false">W18/R18-1</f>
        <v>0.24</v>
      </c>
      <c r="X39" s="145" t="n">
        <f aca="false">X18/S18-1</f>
        <v>0.24</v>
      </c>
      <c r="Y39" s="145" t="n">
        <f aca="false">Y18/T18-1</f>
        <v>0.24</v>
      </c>
      <c r="Z39" s="145" t="n">
        <f aca="false">Z18/U18-1</f>
        <v>0.24</v>
      </c>
      <c r="AA39" s="248" t="n">
        <f aca="false">AA18/V18-1</f>
        <v>0.24</v>
      </c>
      <c r="AB39" s="145" t="n">
        <f aca="false">AB18/W18-1</f>
        <v>0.22</v>
      </c>
      <c r="AC39" s="145" t="n">
        <f aca="false">AC18/X18-1</f>
        <v>0.22</v>
      </c>
      <c r="AD39" s="145" t="n">
        <f aca="false">AD18/Y18-1</f>
        <v>0.22</v>
      </c>
      <c r="AE39" s="145" t="n">
        <f aca="false">AE18/Z18-1</f>
        <v>0.22</v>
      </c>
      <c r="AF39" s="248" t="n">
        <f aca="false">AF18/AA18-1</f>
        <v>0.22</v>
      </c>
      <c r="AG39" s="145" t="n">
        <f aca="false">AG18/AB18-1</f>
        <v>0.2</v>
      </c>
      <c r="AH39" s="145" t="n">
        <f aca="false">AH18/AC18-1</f>
        <v>0.2</v>
      </c>
      <c r="AI39" s="145" t="n">
        <f aca="false">AI18/AD18-1</f>
        <v>0.2</v>
      </c>
      <c r="AJ39" s="145" t="n">
        <f aca="false">AJ18/AE18-1</f>
        <v>0.2</v>
      </c>
      <c r="AK39" s="248" t="n">
        <f aca="false">AK18/AF18-1</f>
        <v>0.2</v>
      </c>
    </row>
    <row r="40" customFormat="false" ht="15" hidden="false" customHeight="false" outlineLevel="0" collapsed="false">
      <c r="A40" s="0" t="s">
        <v>80</v>
      </c>
      <c r="B40" s="244"/>
      <c r="C40" s="73"/>
      <c r="D40" s="73"/>
      <c r="E40" s="73"/>
      <c r="F40" s="73"/>
      <c r="G40" s="247" t="n">
        <f aca="false">G19/B19-1</f>
        <v>-0.488191632928475</v>
      </c>
      <c r="H40" s="145" t="n">
        <f aca="false">H19/C19-1</f>
        <v>0.0711009174311927</v>
      </c>
      <c r="I40" s="145" t="n">
        <f aca="false">I19/D19-1</f>
        <v>0.509569377990431</v>
      </c>
      <c r="J40" s="145" t="n">
        <f aca="false">J19/E19-1</f>
        <v>1.79850746268657</v>
      </c>
      <c r="K40" s="145" t="n">
        <f aca="false">K19/F19-1</f>
        <v>1.26582278481013</v>
      </c>
      <c r="L40" s="248" t="n">
        <f aca="false">L19/G19-1</f>
        <v>0.808174027686223</v>
      </c>
      <c r="M40" s="145" t="n">
        <f aca="false">M19/H19-1</f>
        <v>0.436830835117773</v>
      </c>
      <c r="N40" s="145" t="n">
        <f aca="false">N19/I19-1</f>
        <v>0.226869948569775</v>
      </c>
      <c r="O40" s="145" t="n">
        <f aca="false">O19/J19-1</f>
        <v>0.189986049141373</v>
      </c>
      <c r="P40" s="145" t="n">
        <f aca="false">P19/K19-1</f>
        <v>0.0946867762282246</v>
      </c>
      <c r="Q40" s="248" t="n">
        <f aca="false">Q19/L19-1</f>
        <v>0.209401800629901</v>
      </c>
      <c r="R40" s="145" t="n">
        <f aca="false">R19/M19-1</f>
        <v>0.302334741052766</v>
      </c>
      <c r="S40" s="145" t="n">
        <f aca="false">S19/N19-1</f>
        <v>0.0222952310110656</v>
      </c>
      <c r="T40" s="145" t="n">
        <f aca="false">T19/O19-1</f>
        <v>0.0905022089244771</v>
      </c>
      <c r="U40" s="145" t="n">
        <f aca="false">U19/P19-1</f>
        <v>0.248236009884508</v>
      </c>
      <c r="V40" s="248" t="n">
        <f aca="false">V19/Q19-1</f>
        <v>0.164016560132791</v>
      </c>
      <c r="W40" s="145" t="n">
        <f aca="false">W19/R19-1</f>
        <v>0.24</v>
      </c>
      <c r="X40" s="145" t="n">
        <f aca="false">X19/S19-1</f>
        <v>0.24</v>
      </c>
      <c r="Y40" s="145" t="n">
        <f aca="false">Y19/T19-1</f>
        <v>0.24</v>
      </c>
      <c r="Z40" s="145" t="n">
        <f aca="false">Z19/U19-1</f>
        <v>0.24</v>
      </c>
      <c r="AA40" s="248" t="n">
        <f aca="false">AA19/V19-1</f>
        <v>0.24</v>
      </c>
      <c r="AB40" s="145" t="n">
        <f aca="false">AB19/W19-1</f>
        <v>0.22</v>
      </c>
      <c r="AC40" s="145" t="n">
        <f aca="false">AC19/X19-1</f>
        <v>0.22</v>
      </c>
      <c r="AD40" s="145" t="n">
        <f aca="false">AD19/Y19-1</f>
        <v>0.22</v>
      </c>
      <c r="AE40" s="145" t="n">
        <f aca="false">AE19/Z19-1</f>
        <v>0.22</v>
      </c>
      <c r="AF40" s="248" t="n">
        <f aca="false">AF19/AA19-1</f>
        <v>0.22</v>
      </c>
      <c r="AG40" s="145" t="n">
        <f aca="false">AG19/AB19-1</f>
        <v>0.2</v>
      </c>
      <c r="AH40" s="145" t="n">
        <f aca="false">AH19/AC19-1</f>
        <v>0.2</v>
      </c>
      <c r="AI40" s="145" t="n">
        <f aca="false">AI19/AD19-1</f>
        <v>0.2</v>
      </c>
      <c r="AJ40" s="145" t="n">
        <f aca="false">AJ19/AE19-1</f>
        <v>0.2</v>
      </c>
      <c r="AK40" s="248" t="n">
        <f aca="false">AK19/AF19-1</f>
        <v>0.2</v>
      </c>
    </row>
    <row r="41" customFormat="false" ht="15" hidden="false" customHeight="false" outlineLevel="0" collapsed="false">
      <c r="A41" s="74" t="s">
        <v>81</v>
      </c>
      <c r="B41" s="244"/>
      <c r="C41" s="73"/>
      <c r="D41" s="73"/>
      <c r="E41" s="73"/>
      <c r="F41" s="73"/>
      <c r="G41" s="247" t="n">
        <f aca="false">G20/B20-1</f>
        <v>0.0111067555207109</v>
      </c>
      <c r="H41" s="145" t="n">
        <f aca="false">H20/C20-1</f>
        <v>0.078335056876939</v>
      </c>
      <c r="I41" s="145" t="n">
        <f aca="false">I20/D20-1</f>
        <v>-0.0528902410484438</v>
      </c>
      <c r="J41" s="145" t="n">
        <f aca="false">J20/E20-1</f>
        <v>0.11028602860286</v>
      </c>
      <c r="K41" s="145" t="n">
        <f aca="false">K20/F20-1</f>
        <v>0.138415788050825</v>
      </c>
      <c r="L41" s="248" t="n">
        <f aca="false">L20/G20-1</f>
        <v>0.0639700180925305</v>
      </c>
      <c r="M41" s="145" t="n">
        <f aca="false">M20/H20-1</f>
        <v>-0.142172140973388</v>
      </c>
      <c r="N41" s="145" t="n">
        <f aca="false">N20/I20-1</f>
        <v>0.226869948569775</v>
      </c>
      <c r="O41" s="145" t="n">
        <f aca="false">O20/J20-1</f>
        <v>0.189986049141373</v>
      </c>
      <c r="P41" s="145" t="n">
        <f aca="false">P20/K20-1</f>
        <v>0.0946867762282246</v>
      </c>
      <c r="Q41" s="248" t="n">
        <f aca="false">Q20/L20-1</f>
        <v>0.0905406520674512</v>
      </c>
      <c r="R41" s="145" t="n">
        <f aca="false">R20/M20-1</f>
        <v>0.302334741052766</v>
      </c>
      <c r="S41" s="145" t="n">
        <f aca="false">S20/N20-1</f>
        <v>0.0222952310110656</v>
      </c>
      <c r="T41" s="145" t="n">
        <f aca="false">T20/O20-1</f>
        <v>0.0905022089244771</v>
      </c>
      <c r="U41" s="145" t="n">
        <f aca="false">U20/P20-1</f>
        <v>0.248236009884508</v>
      </c>
      <c r="V41" s="248" t="n">
        <f aca="false">V20/Q20-1</f>
        <v>0.154343557215803</v>
      </c>
      <c r="W41" s="145" t="n">
        <f aca="false">W20/R20-1</f>
        <v>0.24</v>
      </c>
      <c r="X41" s="145" t="n">
        <f aca="false">X20/S20-1</f>
        <v>0.24</v>
      </c>
      <c r="Y41" s="145" t="n">
        <f aca="false">Y20/T20-1</f>
        <v>0.24</v>
      </c>
      <c r="Z41" s="145" t="n">
        <f aca="false">Z20/U20-1</f>
        <v>0.24</v>
      </c>
      <c r="AA41" s="248" t="n">
        <f aca="false">AA20/V20-1</f>
        <v>0.24</v>
      </c>
      <c r="AB41" s="145" t="n">
        <f aca="false">AB20/W20-1</f>
        <v>0.22</v>
      </c>
      <c r="AC41" s="145" t="n">
        <f aca="false">AC20/X20-1</f>
        <v>0.22</v>
      </c>
      <c r="AD41" s="145" t="n">
        <f aca="false">AD20/Y20-1</f>
        <v>0.22</v>
      </c>
      <c r="AE41" s="145" t="n">
        <f aca="false">AE20/Z20-1</f>
        <v>0.22</v>
      </c>
      <c r="AF41" s="248" t="n">
        <f aca="false">AF20/AA20-1</f>
        <v>0.22</v>
      </c>
      <c r="AG41" s="145" t="n">
        <f aca="false">AG20/AB20-1</f>
        <v>0.2</v>
      </c>
      <c r="AH41" s="145" t="n">
        <f aca="false">AH20/AC20-1</f>
        <v>0.2</v>
      </c>
      <c r="AI41" s="145" t="n">
        <f aca="false">AI20/AD20-1</f>
        <v>0.2</v>
      </c>
      <c r="AJ41" s="145" t="n">
        <f aca="false">AJ20/AE20-1</f>
        <v>0.2</v>
      </c>
      <c r="AK41" s="248" t="n">
        <f aca="false">AK20/AF20-1</f>
        <v>0.2</v>
      </c>
    </row>
    <row r="42" customFormat="false" ht="15" hidden="false" customHeight="false" outlineLevel="0" collapsed="false">
      <c r="B42" s="244"/>
      <c r="C42" s="73"/>
      <c r="D42" s="73"/>
      <c r="E42" s="73"/>
      <c r="F42" s="73"/>
      <c r="G42" s="244"/>
      <c r="H42" s="37"/>
      <c r="I42" s="37"/>
      <c r="J42" s="37"/>
      <c r="K42" s="37"/>
      <c r="L42" s="248"/>
      <c r="M42" s="37"/>
      <c r="N42" s="37"/>
      <c r="O42" s="37"/>
      <c r="P42" s="37"/>
      <c r="Q42" s="248"/>
      <c r="R42" s="37"/>
      <c r="S42" s="37"/>
      <c r="T42" s="37"/>
      <c r="U42" s="37"/>
      <c r="V42" s="248"/>
      <c r="W42" s="37"/>
      <c r="X42" s="37"/>
      <c r="Y42" s="37"/>
      <c r="Z42" s="37"/>
      <c r="AA42" s="248"/>
      <c r="AB42" s="37"/>
      <c r="AC42" s="37"/>
      <c r="AD42" s="37"/>
      <c r="AE42" s="37"/>
      <c r="AF42" s="248"/>
      <c r="AG42" s="37"/>
      <c r="AH42" s="37"/>
      <c r="AI42" s="37"/>
      <c r="AJ42" s="37"/>
      <c r="AK42" s="248"/>
    </row>
    <row r="43" customFormat="false" ht="15" hidden="false" customHeight="false" outlineLevel="0" collapsed="false">
      <c r="B43" s="117"/>
      <c r="C43" s="73"/>
      <c r="D43" s="73"/>
      <c r="E43" s="73"/>
      <c r="F43" s="73"/>
      <c r="G43" s="117"/>
      <c r="H43" s="37"/>
      <c r="I43" s="37"/>
      <c r="J43" s="37"/>
      <c r="K43" s="37"/>
      <c r="L43" s="249"/>
      <c r="M43" s="37"/>
      <c r="N43" s="37"/>
      <c r="O43" s="37"/>
      <c r="P43" s="37"/>
      <c r="Q43" s="249"/>
      <c r="R43" s="37"/>
      <c r="S43" s="37"/>
      <c r="T43" s="37"/>
      <c r="U43" s="37"/>
      <c r="V43" s="249"/>
      <c r="W43" s="37"/>
      <c r="X43" s="37"/>
      <c r="Y43" s="37"/>
      <c r="Z43" s="37"/>
      <c r="AA43" s="249"/>
      <c r="AB43" s="37"/>
      <c r="AC43" s="37"/>
      <c r="AD43" s="37"/>
      <c r="AE43" s="37"/>
      <c r="AF43" s="249"/>
      <c r="AG43" s="37"/>
      <c r="AH43" s="37"/>
      <c r="AI43" s="37"/>
      <c r="AJ43" s="37"/>
      <c r="AK43" s="249"/>
    </row>
    <row r="44" customFormat="false" ht="15" hidden="false" customHeight="false" outlineLevel="0" collapsed="false">
      <c r="A44" s="37" t="s">
        <v>70</v>
      </c>
      <c r="B44" s="117"/>
      <c r="C44" s="73"/>
      <c r="D44" s="73"/>
      <c r="E44" s="73"/>
      <c r="F44" s="73"/>
      <c r="G44" s="249" t="n">
        <f aca="false">G23/B23-1</f>
        <v>0.396292487701843</v>
      </c>
      <c r="H44" s="145" t="n">
        <f aca="false">H23/C23-1</f>
        <v>0.613028953229399</v>
      </c>
      <c r="I44" s="145" t="n">
        <f aca="false">I23/D23-1</f>
        <v>0.332081768877764</v>
      </c>
      <c r="J44" s="145" t="n">
        <f aca="false">J23/E23-1</f>
        <v>0.431873479318735</v>
      </c>
      <c r="K44" s="145" t="n">
        <f aca="false">K23/F23-1</f>
        <v>0.321038654470345</v>
      </c>
      <c r="L44" s="249" t="n">
        <f aca="false">L23/G23-1</f>
        <v>0.403065286624204</v>
      </c>
      <c r="M44" s="145" t="n">
        <f aca="false">M23/H23-1</f>
        <v>0.618605453917846</v>
      </c>
      <c r="N44" s="145" t="n">
        <f aca="false">N23/I23-1</f>
        <v>0.691505768286289</v>
      </c>
      <c r="O44" s="145" t="n">
        <f aca="false">O23/J23-1</f>
        <v>0.575232772476998</v>
      </c>
      <c r="P44" s="145" t="n">
        <f aca="false">P23/K23-1</f>
        <v>0.285770512687725</v>
      </c>
      <c r="Q44" s="249" t="n">
        <f aca="false">Q23/L23-1</f>
        <v>0.518557201238285</v>
      </c>
      <c r="R44" s="145" t="n">
        <f aca="false">R23/M23-1</f>
        <v>0.413578778168749</v>
      </c>
      <c r="S44" s="145" t="n">
        <f aca="false">S23/N23-1</f>
        <v>0.201082884501356</v>
      </c>
      <c r="T44" s="145" t="n">
        <f aca="false">T23/O23-1</f>
        <v>0.231172505920765</v>
      </c>
      <c r="U44" s="145" t="n">
        <f aca="false">U23/P23-1</f>
        <v>0.410850222097683</v>
      </c>
      <c r="V44" s="249" t="n">
        <f aca="false">V23/Q23-1</f>
        <v>0.311845793100926</v>
      </c>
      <c r="W44" s="145" t="n">
        <f aca="false">W23/R23-1</f>
        <v>0.24</v>
      </c>
      <c r="X44" s="145" t="n">
        <f aca="false">X23/S23-1</f>
        <v>0.24</v>
      </c>
      <c r="Y44" s="145" t="n">
        <f aca="false">Y23/T23-1</f>
        <v>0.24</v>
      </c>
      <c r="Z44" s="145" t="n">
        <f aca="false">Z23/U23-1</f>
        <v>0.24</v>
      </c>
      <c r="AA44" s="249" t="n">
        <f aca="false">AA23/V23-1</f>
        <v>0.24</v>
      </c>
      <c r="AB44" s="145" t="n">
        <f aca="false">AB23/W23-1</f>
        <v>0.22</v>
      </c>
      <c r="AC44" s="145" t="n">
        <f aca="false">AC23/X23-1</f>
        <v>0.22</v>
      </c>
      <c r="AD44" s="145" t="n">
        <f aca="false">AD23/Y23-1</f>
        <v>0.22</v>
      </c>
      <c r="AE44" s="145" t="n">
        <f aca="false">AE23/Z23-1</f>
        <v>0.22</v>
      </c>
      <c r="AF44" s="249" t="n">
        <f aca="false">AF23/AA23-1</f>
        <v>0.22</v>
      </c>
      <c r="AG44" s="145" t="n">
        <f aca="false">AG23/AB23-1</f>
        <v>0.2</v>
      </c>
      <c r="AH44" s="145" t="n">
        <f aca="false">AH23/AC23-1</f>
        <v>0.2</v>
      </c>
      <c r="AI44" s="145" t="n">
        <f aca="false">AI23/AD23-1</f>
        <v>0.2</v>
      </c>
      <c r="AJ44" s="145" t="n">
        <f aca="false">AJ23/AE23-1</f>
        <v>0.2</v>
      </c>
      <c r="AK44" s="249" t="n">
        <f aca="false">AK23/AF23-1</f>
        <v>0.2</v>
      </c>
    </row>
    <row r="45" customFormat="false" ht="15" hidden="false" customHeight="false" outlineLevel="0" collapsed="false">
      <c r="A45" s="37" t="s">
        <v>71</v>
      </c>
      <c r="B45" s="117"/>
      <c r="C45" s="73"/>
      <c r="D45" s="73"/>
      <c r="E45" s="73"/>
      <c r="F45" s="73"/>
      <c r="G45" s="249" t="n">
        <f aca="false">G24/B24-1</f>
        <v>0.0111067555207109</v>
      </c>
      <c r="H45" s="145" t="n">
        <f aca="false">H24/C24-1</f>
        <v>0.078335056876939</v>
      </c>
      <c r="I45" s="145" t="n">
        <f aca="false">I24/D24-1</f>
        <v>-0.0528902410484438</v>
      </c>
      <c r="J45" s="145" t="n">
        <f aca="false">J24/E24-1</f>
        <v>0.11028602860286</v>
      </c>
      <c r="K45" s="145" t="n">
        <f aca="false">K24/F24-1</f>
        <v>0.138415788050825</v>
      </c>
      <c r="L45" s="249" t="n">
        <f aca="false">L24/G24-1</f>
        <v>0.0639700180925305</v>
      </c>
      <c r="M45" s="145" t="n">
        <f aca="false">M24/H24-1</f>
        <v>-0.142172140973388</v>
      </c>
      <c r="N45" s="145" t="n">
        <f aca="false">N24/I24-1</f>
        <v>0.226869948569775</v>
      </c>
      <c r="O45" s="145" t="n">
        <f aca="false">O24/J24-1</f>
        <v>0.189986049141373</v>
      </c>
      <c r="P45" s="145" t="n">
        <f aca="false">P24/K24-1</f>
        <v>0.0946867762282246</v>
      </c>
      <c r="Q45" s="249" t="n">
        <f aca="false">Q24/L24-1</f>
        <v>0.0905406520674512</v>
      </c>
      <c r="R45" s="145" t="n">
        <f aca="false">R24/M24-1</f>
        <v>0.302334741052766</v>
      </c>
      <c r="S45" s="145" t="n">
        <f aca="false">S24/N24-1</f>
        <v>0.0222952310110656</v>
      </c>
      <c r="T45" s="145" t="n">
        <f aca="false">T24/O24-1</f>
        <v>0.0905022089244771</v>
      </c>
      <c r="U45" s="145" t="n">
        <f aca="false">U24/P24-1</f>
        <v>0.248236009884508</v>
      </c>
      <c r="V45" s="249" t="n">
        <f aca="false">V24/Q24-1</f>
        <v>0.154343557215803</v>
      </c>
      <c r="W45" s="145" t="n">
        <f aca="false">W24/R24-1</f>
        <v>0.24</v>
      </c>
      <c r="X45" s="145" t="n">
        <f aca="false">X24/S24-1</f>
        <v>0.24</v>
      </c>
      <c r="Y45" s="145" t="n">
        <f aca="false">Y24/T24-1</f>
        <v>0.24</v>
      </c>
      <c r="Z45" s="145" t="n">
        <f aca="false">Z24/U24-1</f>
        <v>0.24</v>
      </c>
      <c r="AA45" s="249" t="n">
        <f aca="false">AA24/V24-1</f>
        <v>0.24</v>
      </c>
      <c r="AB45" s="145" t="n">
        <f aca="false">AB24/W24-1</f>
        <v>0.22</v>
      </c>
      <c r="AC45" s="145" t="n">
        <f aca="false">AC24/X24-1</f>
        <v>0.22</v>
      </c>
      <c r="AD45" s="145" t="n">
        <f aca="false">AD24/Y24-1</f>
        <v>0.22</v>
      </c>
      <c r="AE45" s="145" t="n">
        <f aca="false">AE24/Z24-1</f>
        <v>0.22</v>
      </c>
      <c r="AF45" s="249" t="n">
        <f aca="false">AF24/AA24-1</f>
        <v>0.22</v>
      </c>
      <c r="AG45" s="145" t="n">
        <f aca="false">AG24/AB24-1</f>
        <v>0.2</v>
      </c>
      <c r="AH45" s="145" t="n">
        <f aca="false">AH24/AC24-1</f>
        <v>0.2</v>
      </c>
      <c r="AI45" s="145" t="n">
        <f aca="false">AI24/AD24-1</f>
        <v>0.2</v>
      </c>
      <c r="AJ45" s="145" t="n">
        <f aca="false">AJ24/AE24-1</f>
        <v>0.2</v>
      </c>
      <c r="AK45" s="249" t="n">
        <f aca="false">AK24/AF24-1</f>
        <v>0.2</v>
      </c>
    </row>
    <row r="46" customFormat="false" ht="15" hidden="false" customHeight="false" outlineLevel="0" collapsed="false">
      <c r="A46" s="74" t="s">
        <v>81</v>
      </c>
      <c r="B46" s="117"/>
      <c r="C46" s="73"/>
      <c r="D46" s="73"/>
      <c r="E46" s="73"/>
      <c r="F46" s="73"/>
      <c r="G46" s="249" t="n">
        <f aca="false">G25/B25-1</f>
        <v>0.134289091733253</v>
      </c>
      <c r="H46" s="145" t="n">
        <f aca="false">H25/C25-1</f>
        <v>0.247881355932203</v>
      </c>
      <c r="I46" s="145" t="n">
        <f aca="false">I25/D25-1</f>
        <v>0.0854572713643178</v>
      </c>
      <c r="J46" s="145" t="n">
        <f aca="false">J25/E25-1</f>
        <v>0.240249098656178</v>
      </c>
      <c r="K46" s="145" t="n">
        <f aca="false">K25/F25-1</f>
        <v>0.225733634311512</v>
      </c>
      <c r="L46" s="249" t="n">
        <f aca="false">L25/G25-1</f>
        <v>0.197461212976022</v>
      </c>
      <c r="M46" s="145" t="n">
        <f aca="false">M25/H25-1</f>
        <v>0.1696519524618</v>
      </c>
      <c r="N46" s="145" t="n">
        <f aca="false">N25/I25-1</f>
        <v>0.431784613259669</v>
      </c>
      <c r="O46" s="145" t="n">
        <f aca="false">O25/J25-1</f>
        <v>0.369730523255814</v>
      </c>
      <c r="P46" s="145" t="n">
        <f aca="false">P25/K25-1</f>
        <v>0.193153844383057</v>
      </c>
      <c r="Q46" s="249" t="n">
        <f aca="false">Q25/L25-1</f>
        <v>0.287968256772674</v>
      </c>
      <c r="R46" s="145" t="n">
        <f aca="false">R25/M25-1</f>
        <v>0.365432370746438</v>
      </c>
      <c r="S46" s="145" t="n">
        <f aca="false">S25/N25-1</f>
        <v>0.115447549587871</v>
      </c>
      <c r="T46" s="145" t="n">
        <f aca="false">T25/O25-1</f>
        <v>0.165981637469753</v>
      </c>
      <c r="U46" s="145" t="n">
        <f aca="false">U25/P25-1</f>
        <v>0.338537059505446</v>
      </c>
      <c r="V46" s="249" t="n">
        <f aca="false">V25/Q25-1</f>
        <v>0.24</v>
      </c>
      <c r="W46" s="145" t="n">
        <f aca="false">W25/R25-1</f>
        <v>0.24</v>
      </c>
      <c r="X46" s="145" t="n">
        <f aca="false">X25/S25-1</f>
        <v>0.24</v>
      </c>
      <c r="Y46" s="145" t="n">
        <f aca="false">Y25/T25-1</f>
        <v>0.24</v>
      </c>
      <c r="Z46" s="145" t="n">
        <f aca="false">Z25/U25-1</f>
        <v>0.24</v>
      </c>
      <c r="AA46" s="249" t="n">
        <f aca="false">AA25/V25-1</f>
        <v>0.24</v>
      </c>
      <c r="AB46" s="145" t="n">
        <f aca="false">AB25/W25-1</f>
        <v>0.22</v>
      </c>
      <c r="AC46" s="145" t="n">
        <f aca="false">AC25/X25-1</f>
        <v>0.22</v>
      </c>
      <c r="AD46" s="145" t="n">
        <f aca="false">AD25/Y25-1</f>
        <v>0.22</v>
      </c>
      <c r="AE46" s="145" t="n">
        <f aca="false">AE25/Z25-1</f>
        <v>0.22</v>
      </c>
      <c r="AF46" s="249" t="n">
        <f aca="false">AF25/AA25-1</f>
        <v>0.22</v>
      </c>
      <c r="AG46" s="145" t="n">
        <f aca="false">AG25/AB25-1</f>
        <v>0.2</v>
      </c>
      <c r="AH46" s="145" t="n">
        <f aca="false">AH25/AC25-1</f>
        <v>0.2</v>
      </c>
      <c r="AI46" s="145" t="n">
        <f aca="false">AI25/AD25-1</f>
        <v>0.2</v>
      </c>
      <c r="AJ46" s="145" t="n">
        <f aca="false">AJ25/AE25-1</f>
        <v>0.2</v>
      </c>
      <c r="AK46" s="249" t="n">
        <f aca="false">AK25/AF25-1</f>
        <v>0.2</v>
      </c>
    </row>
    <row r="47" customFormat="false" ht="15" hidden="false" customHeight="false" outlineLevel="0" collapsed="false">
      <c r="A47" s="74"/>
      <c r="B47" s="117"/>
      <c r="C47" s="73"/>
      <c r="D47" s="73"/>
      <c r="E47" s="73"/>
      <c r="F47" s="73"/>
      <c r="G47" s="117"/>
      <c r="H47" s="145"/>
      <c r="I47" s="145"/>
      <c r="J47" s="145"/>
      <c r="K47" s="145"/>
      <c r="L47" s="117"/>
      <c r="M47" s="145"/>
      <c r="N47" s="37"/>
      <c r="O47" s="37"/>
      <c r="P47" s="37"/>
      <c r="Q47" s="117"/>
      <c r="R47" s="37"/>
      <c r="S47" s="37"/>
      <c r="T47" s="37"/>
      <c r="U47" s="37"/>
      <c r="V47" s="117"/>
      <c r="W47" s="37"/>
      <c r="X47" s="37"/>
      <c r="Y47" s="37"/>
      <c r="Z47" s="37"/>
      <c r="AA47" s="117"/>
      <c r="AB47" s="37"/>
      <c r="AC47" s="37"/>
      <c r="AD47" s="37"/>
      <c r="AE47" s="37"/>
      <c r="AF47" s="117"/>
      <c r="AG47" s="37"/>
      <c r="AH47" s="37"/>
      <c r="AI47" s="37"/>
      <c r="AJ47" s="37"/>
      <c r="AK47" s="117"/>
    </row>
    <row r="48" customFormat="false" ht="15" hidden="false" customHeight="false" outlineLevel="0" collapsed="false">
      <c r="A48" s="74"/>
      <c r="B48" s="117"/>
      <c r="C48" s="73"/>
      <c r="D48" s="73"/>
      <c r="E48" s="73"/>
      <c r="F48" s="73"/>
      <c r="G48" s="117"/>
      <c r="H48" s="145"/>
      <c r="I48" s="145"/>
      <c r="J48" s="145"/>
      <c r="K48" s="145"/>
      <c r="L48" s="117"/>
      <c r="M48" s="145"/>
      <c r="Q48" s="117"/>
      <c r="V48" s="117"/>
      <c r="AA48" s="117"/>
      <c r="AF48" s="117"/>
      <c r="AK48" s="117"/>
    </row>
    <row r="49" customFormat="false" ht="15" hidden="false" customHeight="false" outlineLevel="0" collapsed="false">
      <c r="B49" s="117"/>
      <c r="C49" s="73"/>
      <c r="D49" s="73"/>
      <c r="E49" s="73"/>
      <c r="F49" s="73"/>
      <c r="G49" s="117"/>
      <c r="L49" s="117"/>
      <c r="Q49" s="117"/>
      <c r="V49" s="117"/>
      <c r="AA49" s="117"/>
      <c r="AF49" s="117"/>
      <c r="AK49" s="117"/>
    </row>
    <row r="50" customFormat="false" ht="15" hidden="false" customHeight="false" outlineLevel="0" collapsed="false">
      <c r="A50" s="33" t="s">
        <v>309</v>
      </c>
      <c r="B50" s="117"/>
      <c r="C50" s="73"/>
      <c r="D50" s="73"/>
      <c r="E50" s="73"/>
      <c r="F50" s="73"/>
      <c r="G50" s="117"/>
      <c r="L50" s="117"/>
      <c r="Q50" s="117"/>
      <c r="V50" s="117"/>
      <c r="AA50" s="117"/>
      <c r="AF50" s="117"/>
      <c r="AK50" s="117"/>
    </row>
    <row r="51" s="72" customFormat="true" ht="15" hidden="false" customHeight="false" outlineLevel="0" collapsed="false">
      <c r="A51" s="128"/>
      <c r="B51" s="117"/>
      <c r="C51" s="73"/>
      <c r="D51" s="73"/>
      <c r="E51" s="73"/>
      <c r="F51" s="73"/>
      <c r="G51" s="117"/>
      <c r="L51" s="117"/>
      <c r="Q51" s="117"/>
      <c r="V51" s="117"/>
      <c r="AA51" s="117"/>
      <c r="AF51" s="117"/>
      <c r="AK51" s="117"/>
    </row>
    <row r="52" customFormat="false" ht="15" hidden="false" customHeight="false" outlineLevel="0" collapsed="false">
      <c r="A52" s="74" t="s">
        <v>70</v>
      </c>
      <c r="B52" s="117"/>
      <c r="C52" s="73"/>
      <c r="D52" s="73"/>
      <c r="E52" s="73"/>
      <c r="F52" s="73"/>
      <c r="G52" s="117"/>
      <c r="L52" s="117"/>
      <c r="Q52" s="117"/>
      <c r="V52" s="117"/>
      <c r="AA52" s="117"/>
      <c r="AF52" s="117"/>
      <c r="AK52" s="117"/>
    </row>
    <row r="53" customFormat="false" ht="15" hidden="false" customHeight="false" outlineLevel="0" collapsed="false">
      <c r="A53" s="0" t="s">
        <v>73</v>
      </c>
      <c r="B53" s="117"/>
      <c r="C53" s="73"/>
      <c r="D53" s="145" t="n">
        <f aca="false">D10/C10-1</f>
        <v>-0.0512820512820513</v>
      </c>
      <c r="E53" s="145" t="n">
        <f aca="false">E10/D10-1</f>
        <v>-0.0405405405405406</v>
      </c>
      <c r="F53" s="145" t="n">
        <f aca="false">F10/E10-1</f>
        <v>0.605633802816902</v>
      </c>
      <c r="G53" s="250" t="n">
        <f aca="false">G10/B10-1</f>
        <v>0.509277031349968</v>
      </c>
      <c r="H53" s="145" t="n">
        <f aca="false">H10/F10-1</f>
        <v>0.0238095238095237</v>
      </c>
      <c r="I53" s="145" t="n">
        <f aca="false">I10/H10-1</f>
        <v>0.28641370869033</v>
      </c>
      <c r="J53" s="145" t="n">
        <f aca="false">J10/I10-1</f>
        <v>0.357754519505233</v>
      </c>
      <c r="K53" s="145" t="n">
        <f aca="false">K10/J10-1</f>
        <v>0.60406447091801</v>
      </c>
      <c r="L53" s="249" t="n">
        <f aca="false">L10/G10-1</f>
        <v>1.36710470538364</v>
      </c>
      <c r="M53" s="145" t="n">
        <f aca="false">M10/K10-1</f>
        <v>0.00917431192660545</v>
      </c>
      <c r="Q53" s="117"/>
      <c r="V53" s="117"/>
      <c r="AA53" s="117"/>
      <c r="AF53" s="117"/>
      <c r="AK53" s="117"/>
    </row>
    <row r="54" customFormat="false" ht="15" hidden="false" customHeight="false" outlineLevel="0" collapsed="false">
      <c r="A54" s="0" t="s">
        <v>76</v>
      </c>
      <c r="B54" s="117"/>
      <c r="C54" s="73"/>
      <c r="D54" s="145" t="n">
        <f aca="false">D11/C11-1</f>
        <v>0.552486187845304</v>
      </c>
      <c r="E54" s="145" t="n">
        <f aca="false">E11/D11-1</f>
        <v>0.140569395017794</v>
      </c>
      <c r="F54" s="145" t="n">
        <f aca="false">F11/E11-1</f>
        <v>-0.30421216848674</v>
      </c>
      <c r="G54" s="250" t="n">
        <f aca="false">G11/B11-1</f>
        <v>0.57109375</v>
      </c>
      <c r="H54" s="145" t="n">
        <f aca="false">H11/F11-1</f>
        <v>0.00224215246636761</v>
      </c>
      <c r="I54" s="145" t="n">
        <f aca="false">I11/H11-1</f>
        <v>0.246085011185682</v>
      </c>
      <c r="J54" s="145" t="n">
        <f aca="false">J11/I11-1</f>
        <v>-0.161579892280072</v>
      </c>
      <c r="K54" s="145" t="n">
        <f aca="false">K11/J11-1</f>
        <v>-0.0321199143468951</v>
      </c>
      <c r="L54" s="249" t="n">
        <f aca="false">L11/G11-1</f>
        <v>-0.0437593237195425</v>
      </c>
      <c r="M54" s="145" t="n">
        <f aca="false">M11/K11-1</f>
        <v>0.0265486725663717</v>
      </c>
      <c r="Q54" s="117"/>
      <c r="V54" s="117"/>
      <c r="AA54" s="117"/>
      <c r="AF54" s="117"/>
      <c r="AK54" s="117"/>
    </row>
    <row r="55" customFormat="false" ht="15" hidden="false" customHeight="false" outlineLevel="0" collapsed="false">
      <c r="A55" s="0" t="s">
        <v>79</v>
      </c>
      <c r="B55" s="117"/>
      <c r="C55" s="73"/>
      <c r="D55" s="145" t="n">
        <f aca="false">D12/C12-1</f>
        <v>0.669781931464174</v>
      </c>
      <c r="E55" s="145" t="n">
        <f aca="false">E12/D12-1</f>
        <v>-0.124067164179104</v>
      </c>
      <c r="F55" s="145" t="n">
        <f aca="false">F12/E12-1</f>
        <v>0.48136315228967</v>
      </c>
      <c r="G55" s="250" t="n">
        <f aca="false">G12/B12-1</f>
        <v>0.406608695652174</v>
      </c>
      <c r="H55" s="145" t="n">
        <f aca="false">H12/F12-1</f>
        <v>-0.102084831056794</v>
      </c>
      <c r="I55" s="145" t="n">
        <f aca="false">I12/H12-1</f>
        <v>-0.313050440352282</v>
      </c>
      <c r="J55" s="145" t="n">
        <f aca="false">J12/I12-1</f>
        <v>0.416083916083916</v>
      </c>
      <c r="K55" s="145" t="n">
        <f aca="false">K12/J12-1</f>
        <v>0.0847736625514404</v>
      </c>
      <c r="L55" s="249" t="n">
        <f aca="false">L12/G12-1</f>
        <v>0.147378832838774</v>
      </c>
      <c r="M55" s="145" t="n">
        <f aca="false">M12/K12-1</f>
        <v>0.0433232169954476</v>
      </c>
      <c r="Q55" s="117"/>
      <c r="V55" s="117"/>
      <c r="AA55" s="117"/>
      <c r="AF55" s="117"/>
      <c r="AK55" s="117"/>
    </row>
    <row r="56" customFormat="false" ht="15" hidden="false" customHeight="false" outlineLevel="0" collapsed="false">
      <c r="A56" s="0" t="s">
        <v>75</v>
      </c>
      <c r="B56" s="117"/>
      <c r="C56" s="73"/>
      <c r="D56" s="145" t="n">
        <f aca="false">D13/C13-1</f>
        <v>-0.00406504065040647</v>
      </c>
      <c r="E56" s="145" t="n">
        <f aca="false">E13/D13-1</f>
        <v>0.587755102040816</v>
      </c>
      <c r="F56" s="145" t="n">
        <f aca="false">F13/E13-1</f>
        <v>0.938303341902314</v>
      </c>
      <c r="G56" s="250" t="n">
        <f aca="false">G13/B13-1</f>
        <v>0.105398457583548</v>
      </c>
      <c r="H56" s="145" t="n">
        <f aca="false">H13/F13-1</f>
        <v>-0.490716180371353</v>
      </c>
      <c r="I56" s="145" t="n">
        <f aca="false">I13/H13-1</f>
        <v>0.893229166666667</v>
      </c>
      <c r="J56" s="145" t="n">
        <f aca="false">J13/I13-1</f>
        <v>-0.419532324621733</v>
      </c>
      <c r="K56" s="145" t="n">
        <f aca="false">K13/J13-1</f>
        <v>-0.00947867298578198</v>
      </c>
      <c r="L56" s="249" t="n">
        <f aca="false">L13/G13-1</f>
        <v>0.194002447980416</v>
      </c>
      <c r="M56" s="145" t="n">
        <f aca="false">M13/K13-1</f>
        <v>0.291866028708134</v>
      </c>
      <c r="Q56" s="117"/>
      <c r="V56" s="117"/>
      <c r="AA56" s="117"/>
      <c r="AF56" s="117"/>
      <c r="AK56" s="117"/>
    </row>
    <row r="57" customFormat="false" ht="15" hidden="false" customHeight="false" outlineLevel="0" collapsed="false">
      <c r="A57" s="74" t="s">
        <v>81</v>
      </c>
      <c r="B57" s="117"/>
      <c r="C57" s="73"/>
      <c r="D57" s="145" t="n">
        <f aca="false">D14/C14-1</f>
        <v>0.334632516703786</v>
      </c>
      <c r="E57" s="145" t="n">
        <f aca="false">E14/D14-1</f>
        <v>0.0287859824780976</v>
      </c>
      <c r="F57" s="145" t="n">
        <f aca="false">F14/E14-1</f>
        <v>0.374290348742903</v>
      </c>
      <c r="G57" s="250" t="n">
        <f aca="false">G14/B14-1</f>
        <v>0.396292487701843</v>
      </c>
      <c r="H57" s="145" t="n">
        <f aca="false">H14/F14-1</f>
        <v>-0.145175568014163</v>
      </c>
      <c r="I57" s="145" t="n">
        <f aca="false">I14/H14-1</f>
        <v>0.102174663444943</v>
      </c>
      <c r="J57" s="145" t="n">
        <f aca="false">J14/I14-1</f>
        <v>0.105856561227686</v>
      </c>
      <c r="K57" s="145" t="n">
        <f aca="false">K14/J14-1</f>
        <v>0.26791277258567</v>
      </c>
      <c r="L57" s="249" t="n">
        <f aca="false">L14/G14-1</f>
        <v>0.403065286624204</v>
      </c>
      <c r="M57" s="145" t="n">
        <f aca="false">M14/K14-1</f>
        <v>0.047375474648202</v>
      </c>
      <c r="Q57" s="117"/>
      <c r="V57" s="117"/>
      <c r="AA57" s="117"/>
      <c r="AF57" s="117"/>
      <c r="AK57" s="117"/>
    </row>
    <row r="58" customFormat="false" ht="15" hidden="false" customHeight="false" outlineLevel="0" collapsed="false">
      <c r="B58" s="117"/>
      <c r="C58" s="73"/>
      <c r="D58" s="145"/>
      <c r="E58" s="145"/>
      <c r="F58" s="145"/>
      <c r="G58" s="250"/>
      <c r="L58" s="249"/>
      <c r="Q58" s="117"/>
      <c r="V58" s="117"/>
      <c r="AA58" s="117"/>
      <c r="AF58" s="117"/>
      <c r="AK58" s="117"/>
    </row>
    <row r="59" customFormat="false" ht="15" hidden="false" customHeight="false" outlineLevel="0" collapsed="false">
      <c r="A59" s="74" t="s">
        <v>71</v>
      </c>
      <c r="B59" s="117"/>
      <c r="C59" s="73"/>
      <c r="D59" s="73"/>
      <c r="E59" s="73"/>
      <c r="F59" s="73"/>
      <c r="G59" s="250"/>
      <c r="L59" s="249"/>
      <c r="M59" s="145"/>
      <c r="Q59" s="117"/>
      <c r="V59" s="117"/>
      <c r="AA59" s="117"/>
      <c r="AF59" s="117"/>
      <c r="AK59" s="117"/>
    </row>
    <row r="60" customFormat="false" ht="15" hidden="false" customHeight="false" outlineLevel="0" collapsed="false">
      <c r="A60" s="0" t="s">
        <v>74</v>
      </c>
      <c r="B60" s="117"/>
      <c r="C60" s="73"/>
      <c r="D60" s="145" t="n">
        <f aca="false">D17/C17-1</f>
        <v>0.0730098916627413</v>
      </c>
      <c r="E60" s="145" t="n">
        <f aca="false">E17/D17-1</f>
        <v>-0.232660228270413</v>
      </c>
      <c r="F60" s="145" t="n">
        <f aca="false">F17/E17-1</f>
        <v>0.0823798627002288</v>
      </c>
      <c r="G60" s="250" t="n">
        <f aca="false">G17/B17-1</f>
        <v>0.359884999154406</v>
      </c>
      <c r="H60" s="145" t="n">
        <f aca="false">H17/F17-1</f>
        <v>0.13107822410148</v>
      </c>
      <c r="I60" s="145" t="n">
        <f aca="false">I17/H17-1</f>
        <v>-0.132710280373832</v>
      </c>
      <c r="J60" s="145" t="n">
        <f aca="false">J17/I17-1</f>
        <v>-0.0603448275862069</v>
      </c>
      <c r="K60" s="145" t="n">
        <f aca="false">K17/J17-1</f>
        <v>-0.0602064220183486</v>
      </c>
      <c r="L60" s="249" t="n">
        <f aca="false">L17/G17-1</f>
        <v>-0.0823280686481781</v>
      </c>
      <c r="M60" s="145" t="n">
        <f aca="false">M17/K17-1</f>
        <v>-0.0744356314826113</v>
      </c>
      <c r="Q60" s="117"/>
      <c r="V60" s="117"/>
      <c r="AA60" s="117"/>
      <c r="AF60" s="117"/>
      <c r="AK60" s="117"/>
    </row>
    <row r="61" customFormat="false" ht="15" hidden="false" customHeight="false" outlineLevel="0" collapsed="false">
      <c r="A61" s="37" t="s">
        <v>77</v>
      </c>
      <c r="B61" s="117"/>
      <c r="C61" s="73"/>
      <c r="D61" s="145" t="n">
        <f aca="false">D18/C18-1</f>
        <v>0.204736440030558</v>
      </c>
      <c r="E61" s="145" t="n">
        <f aca="false">E18/D18-1</f>
        <v>0.0272669625871909</v>
      </c>
      <c r="F61" s="145" t="n">
        <f aca="false">F18/E18-1</f>
        <v>-0.128395061728395</v>
      </c>
      <c r="G61" s="250" t="n">
        <f aca="false">G18/B18-1</f>
        <v>-0.0794835899828901</v>
      </c>
      <c r="H61" s="145" t="n">
        <f aca="false">H18/F18-1</f>
        <v>0.107648725212464</v>
      </c>
      <c r="I61" s="145" t="n">
        <f aca="false">I18/H18-1</f>
        <v>-0.00255754475703329</v>
      </c>
      <c r="J61" s="145" t="n">
        <f aca="false">J18/I18-1</f>
        <v>-0.0108974358974359</v>
      </c>
      <c r="K61" s="145" t="n">
        <f aca="false">K18/J18-1</f>
        <v>0.0868438107582632</v>
      </c>
      <c r="L61" s="249" t="n">
        <f aca="false">L18/G18-1</f>
        <v>0.0719837783034809</v>
      </c>
      <c r="M61" s="145" t="n">
        <f aca="false">M18/K18-1</f>
        <v>-0.171138938580799</v>
      </c>
      <c r="Q61" s="117"/>
      <c r="V61" s="117"/>
      <c r="AA61" s="117"/>
      <c r="AF61" s="117"/>
      <c r="AK61" s="117"/>
    </row>
    <row r="62" customFormat="false" ht="15" hidden="false" customHeight="false" outlineLevel="0" collapsed="false">
      <c r="A62" s="0" t="s">
        <v>80</v>
      </c>
      <c r="B62" s="117"/>
      <c r="C62" s="73"/>
      <c r="D62" s="145" t="n">
        <f aca="false">D19/C19-1</f>
        <v>-0.0412844036697247</v>
      </c>
      <c r="E62" s="145" t="n">
        <f aca="false">E19/D19-1</f>
        <v>-0.358851674641148</v>
      </c>
      <c r="F62" s="145" t="n">
        <f aca="false">F19/E19-1</f>
        <v>0.473880597014925</v>
      </c>
      <c r="G62" s="250" t="n">
        <f aca="false">G19/B19-1</f>
        <v>-0.488191632928475</v>
      </c>
      <c r="H62" s="145" t="n">
        <f aca="false">H19/F19-1</f>
        <v>0.182278481012658</v>
      </c>
      <c r="I62" s="145" t="n">
        <f aca="false">I19/H19-1</f>
        <v>0.35117773019272</v>
      </c>
      <c r="J62" s="145" t="n">
        <f aca="false">J19/I19-1</f>
        <v>0.188589540412044</v>
      </c>
      <c r="K62" s="145" t="n">
        <f aca="false">K19/J19-1</f>
        <v>0.193333333333333</v>
      </c>
      <c r="L62" s="249" t="n">
        <f aca="false">L19/G19-1</f>
        <v>0.808174027686223</v>
      </c>
      <c r="M62" s="145" t="n">
        <f aca="false">M19/K19-1</f>
        <v>-0.250279329608939</v>
      </c>
      <c r="Q62" s="117"/>
      <c r="V62" s="117"/>
      <c r="AA62" s="117"/>
      <c r="AF62" s="117"/>
      <c r="AK62" s="117"/>
    </row>
    <row r="63" customFormat="false" ht="15" hidden="false" customHeight="false" outlineLevel="0" collapsed="false">
      <c r="A63" s="74" t="s">
        <v>81</v>
      </c>
      <c r="B63" s="251"/>
      <c r="C63" s="73"/>
      <c r="D63" s="145" t="n">
        <f aca="false">D20/C20-1</f>
        <v>0.104705274043433</v>
      </c>
      <c r="E63" s="145" t="n">
        <f aca="false">E20/D20-1</f>
        <v>-0.149075590919729</v>
      </c>
      <c r="F63" s="145" t="n">
        <f aca="false">F20/E20-1</f>
        <v>0.0173267326732673</v>
      </c>
      <c r="G63" s="250" t="n">
        <f aca="false">G20/B20-1</f>
        <v>0.0111067555207109</v>
      </c>
      <c r="H63" s="145" t="n">
        <f aca="false">H20/F20-1</f>
        <v>0.127602054609354</v>
      </c>
      <c r="I63" s="145" t="n">
        <f aca="false">I20/H20-1</f>
        <v>-0.0297290817549748</v>
      </c>
      <c r="J63" s="145" t="n">
        <f aca="false">J20/I20-1</f>
        <v>-0.00247096614776376</v>
      </c>
      <c r="K63" s="145" t="n">
        <f aca="false">K20/J20-1</f>
        <v>0.0431013128560813</v>
      </c>
      <c r="L63" s="249" t="n">
        <f aca="false">L20/G20-1</f>
        <v>0.0639700180925305</v>
      </c>
      <c r="M63" s="145" t="n">
        <f aca="false">M20/K20-1</f>
        <v>-0.150320588933745</v>
      </c>
      <c r="Q63" s="64"/>
      <c r="V63" s="64"/>
      <c r="AA63" s="64"/>
      <c r="AF63" s="64"/>
      <c r="AK63" s="64"/>
    </row>
    <row r="64" customFormat="false" ht="15" hidden="false" customHeight="false" outlineLevel="0" collapsed="false">
      <c r="B64" s="251"/>
      <c r="C64" s="73"/>
      <c r="D64" s="73"/>
      <c r="E64" s="73"/>
      <c r="F64" s="73"/>
      <c r="G64" s="64"/>
      <c r="L64" s="64"/>
      <c r="Q64" s="64"/>
      <c r="V64" s="64"/>
      <c r="AA64" s="64"/>
      <c r="AF64" s="64"/>
      <c r="AK64" s="64"/>
    </row>
    <row r="65" customFormat="false" ht="15" hidden="false" customHeight="false" outlineLevel="0" collapsed="false">
      <c r="B65" s="251"/>
      <c r="C65" s="73"/>
      <c r="D65" s="73"/>
      <c r="E65" s="73"/>
      <c r="F65" s="73"/>
      <c r="G65" s="64"/>
      <c r="L65" s="64"/>
      <c r="M65" s="128"/>
      <c r="N65" s="128"/>
      <c r="O65" s="128"/>
      <c r="P65" s="128"/>
      <c r="Q65" s="64"/>
      <c r="R65" s="128"/>
      <c r="S65" s="72"/>
      <c r="T65" s="72"/>
      <c r="U65" s="72"/>
      <c r="V65" s="64"/>
      <c r="AA65" s="64"/>
      <c r="AF65" s="64"/>
      <c r="AK65" s="64"/>
    </row>
    <row r="66" customFormat="false" ht="15" hidden="false" customHeight="false" outlineLevel="0" collapsed="false">
      <c r="A66" s="33" t="s">
        <v>310</v>
      </c>
      <c r="B66" s="252"/>
      <c r="C66" s="128"/>
      <c r="D66" s="128"/>
      <c r="E66" s="128"/>
      <c r="F66" s="128"/>
      <c r="G66" s="253"/>
      <c r="L66" s="253"/>
      <c r="M66" s="128"/>
      <c r="N66" s="128"/>
      <c r="O66" s="128"/>
      <c r="P66" s="128"/>
      <c r="Q66" s="253"/>
      <c r="R66" s="128"/>
      <c r="S66" s="72"/>
      <c r="T66" s="72"/>
      <c r="U66" s="72"/>
      <c r="V66" s="253"/>
      <c r="AA66" s="253"/>
      <c r="AF66" s="253"/>
      <c r="AK66" s="253"/>
    </row>
    <row r="67" customFormat="false" ht="15" hidden="false" customHeight="false" outlineLevel="0" collapsed="false">
      <c r="A67" s="128"/>
      <c r="B67" s="252"/>
      <c r="C67" s="128"/>
      <c r="D67" s="128"/>
      <c r="E67" s="128"/>
      <c r="F67" s="128"/>
      <c r="G67" s="253"/>
      <c r="L67" s="253"/>
      <c r="M67" s="72"/>
      <c r="N67" s="72"/>
      <c r="O67" s="72"/>
      <c r="P67" s="72"/>
      <c r="Q67" s="253"/>
      <c r="R67" s="72"/>
      <c r="S67" s="72"/>
      <c r="T67" s="72"/>
      <c r="U67" s="72"/>
      <c r="V67" s="253"/>
      <c r="AA67" s="253"/>
      <c r="AF67" s="253"/>
      <c r="AK67" s="253"/>
    </row>
    <row r="68" customFormat="false" ht="15" hidden="false" customHeight="false" outlineLevel="0" collapsed="false">
      <c r="A68" s="74" t="s">
        <v>70</v>
      </c>
      <c r="B68" s="251"/>
      <c r="C68" s="73"/>
      <c r="D68" s="73"/>
      <c r="E68" s="73"/>
      <c r="F68" s="73"/>
      <c r="G68" s="64"/>
      <c r="L68" s="64"/>
      <c r="Q68" s="64"/>
      <c r="V68" s="64"/>
      <c r="AA68" s="64"/>
      <c r="AF68" s="64"/>
      <c r="AK68" s="64"/>
    </row>
    <row r="69" customFormat="false" ht="15" hidden="false" customHeight="false" outlineLevel="0" collapsed="false">
      <c r="A69" s="0" t="s">
        <v>73</v>
      </c>
      <c r="B69" s="108" t="n">
        <f aca="false">B10/B$14</f>
        <v>0.217197965592952</v>
      </c>
      <c r="C69" s="145" t="n">
        <f aca="false">C10/C$14</f>
        <v>0.304008908685969</v>
      </c>
      <c r="D69" s="145" t="n">
        <f aca="false">D10/D$14</f>
        <v>0.21610346266166</v>
      </c>
      <c r="E69" s="145" t="n">
        <f aca="false">E10/E$14</f>
        <v>0.20154095701541</v>
      </c>
      <c r="F69" s="145" t="n">
        <f aca="false">F10/F$14</f>
        <v>0.235467689583948</v>
      </c>
      <c r="G69" s="108" t="n">
        <f aca="false">G10/G$14</f>
        <v>0.234773089171975</v>
      </c>
      <c r="H69" s="145" t="n">
        <f aca="false">H10/H$14</f>
        <v>0.282015878494995</v>
      </c>
      <c r="I69" s="145" t="n">
        <f aca="false">I10/I$14</f>
        <v>0.329157532101472</v>
      </c>
      <c r="J69" s="145" t="n">
        <f aca="false">J10/J$14</f>
        <v>0.404134806003965</v>
      </c>
      <c r="K69" s="145" t="n">
        <f aca="false">K10/K$14</f>
        <v>0.511279874916239</v>
      </c>
      <c r="L69" s="108" t="n">
        <f aca="false">L10/L$14</f>
        <v>0.396084551000142</v>
      </c>
      <c r="M69" s="145" t="n">
        <f aca="false">M10/M$14</f>
        <v>0.492631848329104</v>
      </c>
      <c r="N69" s="238" t="n">
        <f aca="false">I69</f>
        <v>0.329157532101472</v>
      </c>
      <c r="O69" s="238" t="n">
        <f aca="false">J69</f>
        <v>0.404134806003965</v>
      </c>
      <c r="P69" s="238" t="n">
        <f aca="false">K69</f>
        <v>0.511279874916239</v>
      </c>
      <c r="Q69" s="108" t="n">
        <f aca="false">Q10/Q$14</f>
        <v>0.433412274232986</v>
      </c>
      <c r="R69" s="238" t="n">
        <f aca="false">M69</f>
        <v>0.492631848329104</v>
      </c>
      <c r="S69" s="238" t="n">
        <f aca="false">N69</f>
        <v>0.329157532101472</v>
      </c>
      <c r="T69" s="238" t="n">
        <f aca="false">O69</f>
        <v>0.404134806003965</v>
      </c>
      <c r="U69" s="238" t="n">
        <f aca="false">P69</f>
        <v>0.511279874916239</v>
      </c>
      <c r="V69" s="108" t="n">
        <f aca="false">V10/V$14</f>
        <v>0.438686751781565</v>
      </c>
      <c r="W69" s="238" t="n">
        <f aca="false">R69</f>
        <v>0.492631848329104</v>
      </c>
      <c r="X69" s="238" t="n">
        <f aca="false">S69</f>
        <v>0.329157532101472</v>
      </c>
      <c r="Y69" s="238" t="n">
        <f aca="false">T69</f>
        <v>0.404134806003965</v>
      </c>
      <c r="Z69" s="238" t="n">
        <f aca="false">U69</f>
        <v>0.511279874916239</v>
      </c>
      <c r="AA69" s="108" t="n">
        <f aca="false">AA10/AA$14</f>
        <v>0.438686751781565</v>
      </c>
      <c r="AB69" s="238" t="n">
        <f aca="false">W69</f>
        <v>0.492631848329104</v>
      </c>
      <c r="AC69" s="238" t="n">
        <f aca="false">X69</f>
        <v>0.329157532101472</v>
      </c>
      <c r="AD69" s="238" t="n">
        <f aca="false">Y69</f>
        <v>0.404134806003965</v>
      </c>
      <c r="AE69" s="238" t="n">
        <f aca="false">Z69</f>
        <v>0.511279874916239</v>
      </c>
      <c r="AF69" s="108" t="n">
        <f aca="false">AF10/AF$14</f>
        <v>0.438686751781565</v>
      </c>
      <c r="AG69" s="238" t="n">
        <f aca="false">AB69</f>
        <v>0.492631848329104</v>
      </c>
      <c r="AH69" s="238" t="n">
        <f aca="false">AC69</f>
        <v>0.329157532101472</v>
      </c>
      <c r="AI69" s="238" t="n">
        <f aca="false">AD69</f>
        <v>0.404134806003965</v>
      </c>
      <c r="AJ69" s="238" t="n">
        <f aca="false">AE69</f>
        <v>0.511279874916239</v>
      </c>
      <c r="AK69" s="108" t="n">
        <f aca="false">AK10/AK$14</f>
        <v>0.438686751781565</v>
      </c>
    </row>
    <row r="70" customFormat="false" ht="15" hidden="false" customHeight="false" outlineLevel="0" collapsed="false">
      <c r="A70" s="0" t="s">
        <v>76</v>
      </c>
      <c r="B70" s="108" t="n">
        <f aca="false">B11/B$14</f>
        <v>0.177871654484311</v>
      </c>
      <c r="C70" s="145" t="n">
        <f aca="false">C11/C$14</f>
        <v>0.201559020044543</v>
      </c>
      <c r="D70" s="145" t="n">
        <f aca="false">D11/D$14</f>
        <v>0.234459741343346</v>
      </c>
      <c r="E70" s="145" t="n">
        <f aca="false">E11/E$14</f>
        <v>0.259935117599351</v>
      </c>
      <c r="F70" s="145" t="n">
        <f aca="false">F11/F$14</f>
        <v>0.131602242549425</v>
      </c>
      <c r="G70" s="108" t="n">
        <f aca="false">G11/G$14</f>
        <v>0.200139331210191</v>
      </c>
      <c r="H70" s="145" t="n">
        <f aca="false">H11/H$14</f>
        <v>0.154297549188816</v>
      </c>
      <c r="I70" s="145" t="n">
        <f aca="false">I11/I$14</f>
        <v>0.174444096461008</v>
      </c>
      <c r="J70" s="145" t="n">
        <f aca="false">J11/J$14</f>
        <v>0.13225715094874</v>
      </c>
      <c r="K70" s="145" t="n">
        <f aca="false">K11/K$14</f>
        <v>0.100960464596828</v>
      </c>
      <c r="L70" s="108" t="n">
        <f aca="false">L11/L$14</f>
        <v>0.136402326571145</v>
      </c>
      <c r="M70" s="145" t="n">
        <f aca="false">M11/M$14</f>
        <v>0.0989528907466251</v>
      </c>
      <c r="N70" s="238" t="n">
        <f aca="false">I70</f>
        <v>0.174444096461008</v>
      </c>
      <c r="O70" s="238" t="n">
        <f aca="false">J70</f>
        <v>0.13225715094874</v>
      </c>
      <c r="P70" s="238" t="n">
        <f aca="false">K70</f>
        <v>0.100960464596828</v>
      </c>
      <c r="Q70" s="108" t="n">
        <f aca="false">Q11/Q$14</f>
        <v>0.127190391664602</v>
      </c>
      <c r="R70" s="238" t="n">
        <f aca="false">M70</f>
        <v>0.0989528907466251</v>
      </c>
      <c r="S70" s="238" t="n">
        <f aca="false">N70</f>
        <v>0.174444096461008</v>
      </c>
      <c r="T70" s="238" t="n">
        <f aca="false">O70</f>
        <v>0.13225715094874</v>
      </c>
      <c r="U70" s="238" t="n">
        <f aca="false">P70</f>
        <v>0.100960464596828</v>
      </c>
      <c r="V70" s="108" t="n">
        <f aca="false">V11/V$14</f>
        <v>0.12509100043474</v>
      </c>
      <c r="W70" s="238" t="n">
        <f aca="false">R70</f>
        <v>0.0989528907466251</v>
      </c>
      <c r="X70" s="238" t="n">
        <f aca="false">S70</f>
        <v>0.174444096461008</v>
      </c>
      <c r="Y70" s="238" t="n">
        <f aca="false">T70</f>
        <v>0.13225715094874</v>
      </c>
      <c r="Z70" s="238" t="n">
        <f aca="false">U70</f>
        <v>0.100960464596828</v>
      </c>
      <c r="AA70" s="108" t="n">
        <f aca="false">AA11/AA$14</f>
        <v>0.12509100043474</v>
      </c>
      <c r="AB70" s="238" t="n">
        <f aca="false">W70</f>
        <v>0.0989528907466251</v>
      </c>
      <c r="AC70" s="238" t="n">
        <f aca="false">X70</f>
        <v>0.174444096461008</v>
      </c>
      <c r="AD70" s="238" t="n">
        <f aca="false">Y70</f>
        <v>0.13225715094874</v>
      </c>
      <c r="AE70" s="238" t="n">
        <f aca="false">Z70</f>
        <v>0.100960464596828</v>
      </c>
      <c r="AF70" s="108" t="n">
        <f aca="false">AF11/AF$14</f>
        <v>0.12509100043474</v>
      </c>
      <c r="AG70" s="238" t="n">
        <f aca="false">AB70</f>
        <v>0.0989528907466251</v>
      </c>
      <c r="AH70" s="238" t="n">
        <f aca="false">AC70</f>
        <v>0.174444096461008</v>
      </c>
      <c r="AI70" s="238" t="n">
        <f aca="false">AD70</f>
        <v>0.13225715094874</v>
      </c>
      <c r="AJ70" s="238" t="n">
        <f aca="false">AE70</f>
        <v>0.100960464596828</v>
      </c>
      <c r="AK70" s="108" t="n">
        <f aca="false">AK11/AK$14</f>
        <v>0.12509100043474</v>
      </c>
    </row>
    <row r="71" customFormat="false" ht="15" hidden="false" customHeight="false" outlineLevel="0" collapsed="false">
      <c r="A71" s="0" t="s">
        <v>79</v>
      </c>
      <c r="B71" s="108" t="n">
        <f aca="false">B12/B$14</f>
        <v>0.399516411439371</v>
      </c>
      <c r="C71" s="145" t="n">
        <f aca="false">C12/C$14</f>
        <v>0.357461024498886</v>
      </c>
      <c r="D71" s="145" t="n">
        <f aca="false">D12/D$14</f>
        <v>0.447225698790154</v>
      </c>
      <c r="E71" s="145" t="n">
        <f aca="false">E12/E$14</f>
        <v>0.380778588807786</v>
      </c>
      <c r="F71" s="145" t="n">
        <f aca="false">F12/F$14</f>
        <v>0.410445559161995</v>
      </c>
      <c r="G71" s="108" t="n">
        <f aca="false">G12/G$14</f>
        <v>0.402468152866242</v>
      </c>
      <c r="H71" s="145" t="n">
        <f aca="false">H12/H$14</f>
        <v>0.431135657576804</v>
      </c>
      <c r="I71" s="145" t="n">
        <f aca="false">I12/I$14</f>
        <v>0.268712809270279</v>
      </c>
      <c r="J71" s="145" t="n">
        <f aca="false">J12/J$14</f>
        <v>0.344095157179269</v>
      </c>
      <c r="K71" s="145" t="n">
        <f aca="false">K12/K$14</f>
        <v>0.29439356712084</v>
      </c>
      <c r="L71" s="108" t="n">
        <f aca="false">L12/L$14</f>
        <v>0.3291246985388</v>
      </c>
      <c r="M71" s="145" t="n">
        <f aca="false">M12/M$14</f>
        <v>0.293254569107078</v>
      </c>
      <c r="N71" s="238" t="n">
        <f aca="false">I71</f>
        <v>0.268712809270279</v>
      </c>
      <c r="O71" s="238" t="n">
        <f aca="false">J71</f>
        <v>0.344095157179269</v>
      </c>
      <c r="P71" s="238" t="n">
        <f aca="false">K71</f>
        <v>0.29439356712084</v>
      </c>
      <c r="Q71" s="108" t="n">
        <f aca="false">Q12/Q$14</f>
        <v>0.300578247308235</v>
      </c>
      <c r="R71" s="238" t="n">
        <f aca="false">M71</f>
        <v>0.293254569107078</v>
      </c>
      <c r="S71" s="238" t="n">
        <f aca="false">N71</f>
        <v>0.268712809270279</v>
      </c>
      <c r="T71" s="238" t="n">
        <f aca="false">O71</f>
        <v>0.344095157179269</v>
      </c>
      <c r="U71" s="238" t="n">
        <f aca="false">P71</f>
        <v>0.29439356712084</v>
      </c>
      <c r="V71" s="108" t="n">
        <f aca="false">V12/V$14</f>
        <v>0.300311828301304</v>
      </c>
      <c r="W71" s="238" t="n">
        <f aca="false">R71</f>
        <v>0.293254569107078</v>
      </c>
      <c r="X71" s="238" t="n">
        <f aca="false">S71</f>
        <v>0.268712809270279</v>
      </c>
      <c r="Y71" s="238" t="n">
        <f aca="false">T71</f>
        <v>0.344095157179269</v>
      </c>
      <c r="Z71" s="238" t="n">
        <f aca="false">U71</f>
        <v>0.29439356712084</v>
      </c>
      <c r="AA71" s="108" t="n">
        <f aca="false">AA12/AA$14</f>
        <v>0.300311828301304</v>
      </c>
      <c r="AB71" s="238" t="n">
        <f aca="false">W71</f>
        <v>0.293254569107078</v>
      </c>
      <c r="AC71" s="238" t="n">
        <f aca="false">X71</f>
        <v>0.268712809270279</v>
      </c>
      <c r="AD71" s="238" t="n">
        <f aca="false">Y71</f>
        <v>0.344095157179269</v>
      </c>
      <c r="AE71" s="238" t="n">
        <f aca="false">Z71</f>
        <v>0.29439356712084</v>
      </c>
      <c r="AF71" s="108" t="n">
        <f aca="false">AF12/AF$14</f>
        <v>0.300311828301304</v>
      </c>
      <c r="AG71" s="238" t="n">
        <f aca="false">AB71</f>
        <v>0.293254569107078</v>
      </c>
      <c r="AH71" s="238" t="n">
        <f aca="false">AC71</f>
        <v>0.268712809270279</v>
      </c>
      <c r="AI71" s="238" t="n">
        <f aca="false">AD71</f>
        <v>0.344095157179269</v>
      </c>
      <c r="AJ71" s="238" t="n">
        <f aca="false">AE71</f>
        <v>0.29439356712084</v>
      </c>
      <c r="AK71" s="108" t="n">
        <f aca="false">AK12/AK$14</f>
        <v>0.300311828301304</v>
      </c>
    </row>
    <row r="72" customFormat="false" ht="15" hidden="false" customHeight="false" outlineLevel="0" collapsed="false">
      <c r="A72" s="0" t="s">
        <v>75</v>
      </c>
      <c r="B72" s="108" t="n">
        <f aca="false">B13/B$14</f>
        <v>0.205413968483366</v>
      </c>
      <c r="C72" s="145" t="n">
        <f aca="false">C13/C$14</f>
        <v>0.136971046770601</v>
      </c>
      <c r="D72" s="145" t="n">
        <f aca="false">D13/D$14</f>
        <v>0.102211097204839</v>
      </c>
      <c r="E72" s="145" t="n">
        <f aca="false">E13/E$14</f>
        <v>0.157745336577453</v>
      </c>
      <c r="F72" s="145" t="n">
        <f aca="false">F13/F$14</f>
        <v>0.222484508704633</v>
      </c>
      <c r="G72" s="108" t="n">
        <f aca="false">G13/G$14</f>
        <v>0.162619426751592</v>
      </c>
      <c r="H72" s="145" t="n">
        <f aca="false">H13/H$14</f>
        <v>0.132550914739386</v>
      </c>
      <c r="I72" s="145" t="n">
        <f aca="false">I13/I$14</f>
        <v>0.227685562167241</v>
      </c>
      <c r="J72" s="145" t="n">
        <f aca="false">J13/J$14</f>
        <v>0.119512885868026</v>
      </c>
      <c r="K72" s="145" t="n">
        <f aca="false">K13/K$14</f>
        <v>0.0933660933660934</v>
      </c>
      <c r="L72" s="108" t="n">
        <f aca="false">L13/L$14</f>
        <v>0.138388423889913</v>
      </c>
      <c r="M72" s="145" t="n">
        <f aca="false">M13/M$14</f>
        <v>0.115160691817193</v>
      </c>
      <c r="N72" s="238" t="n">
        <f aca="false">I72</f>
        <v>0.227685562167241</v>
      </c>
      <c r="O72" s="238" t="n">
        <f aca="false">J72</f>
        <v>0.119512885868026</v>
      </c>
      <c r="P72" s="238" t="n">
        <f aca="false">K72</f>
        <v>0.0933660933660934</v>
      </c>
      <c r="Q72" s="108" t="n">
        <f aca="false">Q13/Q$14</f>
        <v>0.138819086794177</v>
      </c>
      <c r="R72" s="238" t="n">
        <f aca="false">M72</f>
        <v>0.115160691817193</v>
      </c>
      <c r="S72" s="238" t="n">
        <f aca="false">N72</f>
        <v>0.227685562167241</v>
      </c>
      <c r="T72" s="238" t="n">
        <f aca="false">O72</f>
        <v>0.119512885868026</v>
      </c>
      <c r="U72" s="238" t="n">
        <f aca="false">P72</f>
        <v>0.0933660933660934</v>
      </c>
      <c r="V72" s="108" t="n">
        <f aca="false">V13/V$14</f>
        <v>0.135910419482392</v>
      </c>
      <c r="W72" s="238" t="n">
        <f aca="false">R72</f>
        <v>0.115160691817193</v>
      </c>
      <c r="X72" s="238" t="n">
        <f aca="false">S72</f>
        <v>0.227685562167241</v>
      </c>
      <c r="Y72" s="238" t="n">
        <f aca="false">T72</f>
        <v>0.119512885868026</v>
      </c>
      <c r="Z72" s="238" t="n">
        <f aca="false">U72</f>
        <v>0.0933660933660934</v>
      </c>
      <c r="AA72" s="108" t="n">
        <f aca="false">AA13/AA$14</f>
        <v>0.135910419482392</v>
      </c>
      <c r="AB72" s="238" t="n">
        <f aca="false">W72</f>
        <v>0.115160691817193</v>
      </c>
      <c r="AC72" s="238" t="n">
        <f aca="false">X72</f>
        <v>0.227685562167241</v>
      </c>
      <c r="AD72" s="238" t="n">
        <f aca="false">Y72</f>
        <v>0.119512885868026</v>
      </c>
      <c r="AE72" s="238" t="n">
        <f aca="false">Z72</f>
        <v>0.0933660933660934</v>
      </c>
      <c r="AF72" s="108" t="n">
        <f aca="false">AF13/AF$14</f>
        <v>0.135910419482392</v>
      </c>
      <c r="AG72" s="238" t="n">
        <f aca="false">AB72</f>
        <v>0.115160691817193</v>
      </c>
      <c r="AH72" s="238" t="n">
        <f aca="false">AC72</f>
        <v>0.227685562167241</v>
      </c>
      <c r="AI72" s="238" t="n">
        <f aca="false">AD72</f>
        <v>0.119512885868026</v>
      </c>
      <c r="AJ72" s="238" t="n">
        <f aca="false">AE72</f>
        <v>0.0933660933660934</v>
      </c>
      <c r="AK72" s="108" t="n">
        <f aca="false">AK13/AK$14</f>
        <v>0.135910419482392</v>
      </c>
    </row>
    <row r="73" customFormat="false" ht="15" hidden="false" customHeight="false" outlineLevel="0" collapsed="false">
      <c r="A73" s="74" t="s">
        <v>81</v>
      </c>
      <c r="B73" s="108" t="n">
        <f aca="false">B14/B$14</f>
        <v>1</v>
      </c>
      <c r="C73" s="145" t="n">
        <f aca="false">C14/C$14</f>
        <v>1</v>
      </c>
      <c r="D73" s="145" t="n">
        <f aca="false">D14/D$14</f>
        <v>1</v>
      </c>
      <c r="E73" s="145" t="n">
        <f aca="false">E14/E$14</f>
        <v>1</v>
      </c>
      <c r="F73" s="145" t="n">
        <f aca="false">F14/F$14</f>
        <v>1</v>
      </c>
      <c r="G73" s="108" t="n">
        <f aca="false">G14/G$14</f>
        <v>1</v>
      </c>
      <c r="H73" s="145" t="n">
        <f aca="false">H14/H$14</f>
        <v>1</v>
      </c>
      <c r="I73" s="145" t="n">
        <f aca="false">I14/I$14</f>
        <v>1</v>
      </c>
      <c r="J73" s="145" t="n">
        <f aca="false">J14/J$14</f>
        <v>1</v>
      </c>
      <c r="K73" s="145" t="n">
        <f aca="false">K14/K$14</f>
        <v>1</v>
      </c>
      <c r="L73" s="108" t="n">
        <f aca="false">L14/L$14</f>
        <v>1</v>
      </c>
      <c r="M73" s="145" t="n">
        <f aca="false">M14/M$14</f>
        <v>1</v>
      </c>
      <c r="N73" s="238" t="n">
        <f aca="false">I73</f>
        <v>1</v>
      </c>
      <c r="O73" s="238" t="n">
        <f aca="false">J73</f>
        <v>1</v>
      </c>
      <c r="P73" s="238" t="n">
        <f aca="false">K73</f>
        <v>1</v>
      </c>
      <c r="Q73" s="108" t="n">
        <f aca="false">Q14/Q$14</f>
        <v>1</v>
      </c>
      <c r="R73" s="238" t="n">
        <f aca="false">M73</f>
        <v>1</v>
      </c>
      <c r="S73" s="238" t="n">
        <f aca="false">N73</f>
        <v>1</v>
      </c>
      <c r="T73" s="238" t="n">
        <f aca="false">O73</f>
        <v>1</v>
      </c>
      <c r="U73" s="238" t="n">
        <f aca="false">P73</f>
        <v>1</v>
      </c>
      <c r="V73" s="108" t="n">
        <f aca="false">V14/V$14</f>
        <v>1</v>
      </c>
      <c r="W73" s="238" t="n">
        <f aca="false">R73</f>
        <v>1</v>
      </c>
      <c r="X73" s="238" t="n">
        <f aca="false">S73</f>
        <v>1</v>
      </c>
      <c r="Y73" s="238" t="n">
        <f aca="false">T73</f>
        <v>1</v>
      </c>
      <c r="Z73" s="238" t="n">
        <f aca="false">U73</f>
        <v>1</v>
      </c>
      <c r="AA73" s="108" t="n">
        <f aca="false">AA14/AA$14</f>
        <v>1</v>
      </c>
      <c r="AB73" s="238" t="n">
        <f aca="false">W73</f>
        <v>1</v>
      </c>
      <c r="AC73" s="238" t="n">
        <f aca="false">X73</f>
        <v>1</v>
      </c>
      <c r="AD73" s="238" t="n">
        <f aca="false">Y73</f>
        <v>1</v>
      </c>
      <c r="AE73" s="238" t="n">
        <f aca="false">Z73</f>
        <v>1</v>
      </c>
      <c r="AF73" s="108" t="n">
        <f aca="false">AF14/AF$14</f>
        <v>1</v>
      </c>
      <c r="AG73" s="238" t="n">
        <f aca="false">AB73</f>
        <v>1</v>
      </c>
      <c r="AH73" s="238" t="n">
        <f aca="false">AC73</f>
        <v>1</v>
      </c>
      <c r="AI73" s="238" t="n">
        <f aca="false">AD73</f>
        <v>1</v>
      </c>
      <c r="AJ73" s="238" t="n">
        <f aca="false">AE73</f>
        <v>1</v>
      </c>
      <c r="AK73" s="108" t="n">
        <f aca="false">AK14/AK$14</f>
        <v>1</v>
      </c>
    </row>
    <row r="74" customFormat="false" ht="15" hidden="false" customHeight="false" outlineLevel="0" collapsed="false">
      <c r="B74" s="251"/>
      <c r="G74" s="64"/>
      <c r="L74" s="64"/>
      <c r="N74" s="238"/>
      <c r="O74" s="238"/>
      <c r="P74" s="238"/>
      <c r="Q74" s="64"/>
      <c r="R74" s="238"/>
      <c r="S74" s="238"/>
      <c r="T74" s="238"/>
      <c r="U74" s="238"/>
      <c r="V74" s="64"/>
      <c r="W74" s="238"/>
      <c r="X74" s="238"/>
      <c r="Y74" s="238"/>
      <c r="Z74" s="238"/>
      <c r="AA74" s="64"/>
      <c r="AB74" s="238"/>
      <c r="AC74" s="238"/>
      <c r="AD74" s="238"/>
      <c r="AE74" s="238"/>
      <c r="AF74" s="64"/>
      <c r="AG74" s="238"/>
      <c r="AH74" s="238"/>
      <c r="AI74" s="238"/>
      <c r="AJ74" s="238"/>
      <c r="AK74" s="64"/>
    </row>
    <row r="75" customFormat="false" ht="15" hidden="false" customHeight="false" outlineLevel="0" collapsed="false">
      <c r="A75" s="74" t="s">
        <v>71</v>
      </c>
      <c r="B75" s="251"/>
      <c r="G75" s="64"/>
      <c r="L75" s="64"/>
      <c r="N75" s="238"/>
      <c r="O75" s="238"/>
      <c r="P75" s="238"/>
      <c r="Q75" s="64"/>
      <c r="R75" s="238"/>
      <c r="S75" s="238"/>
      <c r="T75" s="238"/>
      <c r="U75" s="238"/>
      <c r="V75" s="64"/>
      <c r="W75" s="238"/>
      <c r="X75" s="238"/>
      <c r="Y75" s="238"/>
      <c r="Z75" s="238"/>
      <c r="AA75" s="64"/>
      <c r="AB75" s="238"/>
      <c r="AC75" s="238"/>
      <c r="AD75" s="238"/>
      <c r="AE75" s="238"/>
      <c r="AF75" s="64"/>
      <c r="AG75" s="238"/>
      <c r="AH75" s="238"/>
      <c r="AI75" s="238"/>
      <c r="AJ75" s="238"/>
      <c r="AK75" s="64"/>
    </row>
    <row r="76" customFormat="false" ht="15" hidden="false" customHeight="false" outlineLevel="0" collapsed="false">
      <c r="A76" s="0" t="s">
        <v>74</v>
      </c>
      <c r="B76" s="108" t="n">
        <f aca="false">B17/B$20</f>
        <v>0.386319090552724</v>
      </c>
      <c r="C76" s="145" t="n">
        <f aca="false">C17/C$20</f>
        <v>0.548862461220269</v>
      </c>
      <c r="D76" s="145" t="n">
        <f aca="false">D17/D$20</f>
        <v>0.533114907559092</v>
      </c>
      <c r="E76" s="145" t="n">
        <f aca="false">E17/E$20</f>
        <v>0.480748074807481</v>
      </c>
      <c r="F76" s="145" t="n">
        <f aca="false">F17/F$20</f>
        <v>0.511489591781563</v>
      </c>
      <c r="G76" s="108" t="n">
        <f aca="false">G17/G$20</f>
        <v>0.519578702507108</v>
      </c>
      <c r="H76" s="145" t="n">
        <f aca="false">H17/H$20</f>
        <v>0.51306641093263</v>
      </c>
      <c r="I76" s="145" t="n">
        <f aca="false">I17/I$20</f>
        <v>0.458611317024957</v>
      </c>
      <c r="J76" s="145" t="n">
        <f aca="false">J17/J$20</f>
        <v>0.432003963339113</v>
      </c>
      <c r="K76" s="145" t="n">
        <f aca="false">K17/K$20</f>
        <v>0.389218712894799</v>
      </c>
      <c r="L76" s="108" t="n">
        <f aca="false">L17/L$20</f>
        <v>0.448135552046642</v>
      </c>
      <c r="M76" s="145" t="n">
        <f aca="false">M17/M$20</f>
        <v>0.423979877026272</v>
      </c>
      <c r="N76" s="238" t="n">
        <f aca="false">I76</f>
        <v>0.458611317024957</v>
      </c>
      <c r="O76" s="238" t="n">
        <f aca="false">J76</f>
        <v>0.432003963339113</v>
      </c>
      <c r="P76" s="238" t="n">
        <f aca="false">K76</f>
        <v>0.389218712894799</v>
      </c>
      <c r="Q76" s="108" t="n">
        <f aca="false">Q17/Q$20</f>
        <v>0.426778704162738</v>
      </c>
      <c r="R76" s="238" t="n">
        <f aca="false">M76</f>
        <v>0.423979877026272</v>
      </c>
      <c r="S76" s="238" t="n">
        <f aca="false">N76</f>
        <v>0.458611317024957</v>
      </c>
      <c r="T76" s="238" t="n">
        <f aca="false">O76</f>
        <v>0.432003963339113</v>
      </c>
      <c r="U76" s="238" t="n">
        <f aca="false">P76</f>
        <v>0.389218712894799</v>
      </c>
      <c r="V76" s="108" t="n">
        <f aca="false">V17/V$20</f>
        <v>0.42483875795313</v>
      </c>
      <c r="W76" s="238" t="n">
        <f aca="false">R76</f>
        <v>0.423979877026272</v>
      </c>
      <c r="X76" s="238" t="n">
        <f aca="false">S76</f>
        <v>0.458611317024957</v>
      </c>
      <c r="Y76" s="238" t="n">
        <f aca="false">T76</f>
        <v>0.432003963339113</v>
      </c>
      <c r="Z76" s="238" t="n">
        <f aca="false">U76</f>
        <v>0.389218712894799</v>
      </c>
      <c r="AA76" s="108" t="n">
        <f aca="false">AA17/AA$20</f>
        <v>0.42483875795313</v>
      </c>
      <c r="AB76" s="238" t="n">
        <f aca="false">W76</f>
        <v>0.423979877026272</v>
      </c>
      <c r="AC76" s="238" t="n">
        <f aca="false">X76</f>
        <v>0.458611317024957</v>
      </c>
      <c r="AD76" s="238" t="n">
        <f aca="false">Y76</f>
        <v>0.432003963339113</v>
      </c>
      <c r="AE76" s="238" t="n">
        <f aca="false">Z76</f>
        <v>0.389218712894799</v>
      </c>
      <c r="AF76" s="108" t="n">
        <f aca="false">AF17/AF$20</f>
        <v>0.42483875795313</v>
      </c>
      <c r="AG76" s="238" t="n">
        <f aca="false">AB76</f>
        <v>0.423979877026272</v>
      </c>
      <c r="AH76" s="238" t="n">
        <f aca="false">AC76</f>
        <v>0.458611317024957</v>
      </c>
      <c r="AI76" s="238" t="n">
        <f aca="false">AD76</f>
        <v>0.432003963339113</v>
      </c>
      <c r="AJ76" s="238" t="n">
        <f aca="false">AE76</f>
        <v>0.389218712894799</v>
      </c>
      <c r="AK76" s="108" t="n">
        <f aca="false">AK17/AK$20</f>
        <v>0.42483875795313</v>
      </c>
    </row>
    <row r="77" customFormat="false" ht="15" hidden="false" customHeight="false" outlineLevel="0" collapsed="false">
      <c r="A77" s="37" t="s">
        <v>77</v>
      </c>
      <c r="B77" s="108" t="n">
        <f aca="false">B18/B$20</f>
        <v>0.420031360250882</v>
      </c>
      <c r="C77" s="145" t="n">
        <f aca="false">C18/C$20</f>
        <v>0.33841778697001</v>
      </c>
      <c r="D77" s="145" t="n">
        <f aca="false">D18/D$20</f>
        <v>0.369061549262813</v>
      </c>
      <c r="E77" s="145" t="n">
        <f aca="false">E18/E$20</f>
        <v>0.445544554455446</v>
      </c>
      <c r="F77" s="145" t="n">
        <f aca="false">F18/F$20</f>
        <v>0.381724790483915</v>
      </c>
      <c r="G77" s="108" t="n">
        <f aca="false">G18/G$20</f>
        <v>0.38239855259757</v>
      </c>
      <c r="H77" s="145" t="n">
        <f aca="false">H18/H$20</f>
        <v>0.374970031167586</v>
      </c>
      <c r="I77" s="145" t="n">
        <f aca="false">I18/I$20</f>
        <v>0.385470719051149</v>
      </c>
      <c r="J77" s="145" t="n">
        <f aca="false">J18/J$20</f>
        <v>0.382214515729502</v>
      </c>
      <c r="K77" s="145" t="n">
        <f aca="false">K18/K$20</f>
        <v>0.398242697696509</v>
      </c>
      <c r="L77" s="108" t="n">
        <f aca="false">L18/L$20</f>
        <v>0.385278756224948</v>
      </c>
      <c r="M77" s="145" t="n">
        <f aca="false">M18/M$20</f>
        <v>0.38848518725545</v>
      </c>
      <c r="N77" s="238" t="n">
        <f aca="false">I77</f>
        <v>0.385470719051149</v>
      </c>
      <c r="O77" s="238" t="n">
        <f aca="false">J77</f>
        <v>0.382214515729502</v>
      </c>
      <c r="P77" s="238" t="n">
        <f aca="false">K77</f>
        <v>0.398242697696509</v>
      </c>
      <c r="Q77" s="108" t="n">
        <f aca="false">Q18/Q$20</f>
        <v>0.388478952529316</v>
      </c>
      <c r="R77" s="238" t="n">
        <f aca="false">M77</f>
        <v>0.38848518725545</v>
      </c>
      <c r="S77" s="238" t="n">
        <f aca="false">N77</f>
        <v>0.385470719051149</v>
      </c>
      <c r="T77" s="238" t="n">
        <f aca="false">O77</f>
        <v>0.382214515729502</v>
      </c>
      <c r="U77" s="238" t="n">
        <f aca="false">P77</f>
        <v>0.398242697696509</v>
      </c>
      <c r="V77" s="108" t="n">
        <f aca="false">V18/V$20</f>
        <v>0.388870821293056</v>
      </c>
      <c r="W77" s="238" t="n">
        <f aca="false">R77</f>
        <v>0.38848518725545</v>
      </c>
      <c r="X77" s="238" t="n">
        <f aca="false">S77</f>
        <v>0.385470719051149</v>
      </c>
      <c r="Y77" s="238" t="n">
        <f aca="false">T77</f>
        <v>0.382214515729502</v>
      </c>
      <c r="Z77" s="238" t="n">
        <f aca="false">U77</f>
        <v>0.398242697696509</v>
      </c>
      <c r="AA77" s="108" t="n">
        <f aca="false">AA18/AA$20</f>
        <v>0.388870821293056</v>
      </c>
      <c r="AB77" s="238" t="n">
        <f aca="false">W77</f>
        <v>0.38848518725545</v>
      </c>
      <c r="AC77" s="238" t="n">
        <f aca="false">X77</f>
        <v>0.385470719051149</v>
      </c>
      <c r="AD77" s="238" t="n">
        <f aca="false">Y77</f>
        <v>0.382214515729502</v>
      </c>
      <c r="AE77" s="238" t="n">
        <f aca="false">Z77</f>
        <v>0.398242697696509</v>
      </c>
      <c r="AF77" s="108" t="n">
        <f aca="false">AF18/AF$20</f>
        <v>0.388870821293056</v>
      </c>
      <c r="AG77" s="238" t="n">
        <f aca="false">AB77</f>
        <v>0.38848518725545</v>
      </c>
      <c r="AH77" s="238" t="n">
        <f aca="false">AC77</f>
        <v>0.385470719051149</v>
      </c>
      <c r="AI77" s="238" t="n">
        <f aca="false">AD77</f>
        <v>0.382214515729502</v>
      </c>
      <c r="AJ77" s="238" t="n">
        <f aca="false">AE77</f>
        <v>0.398242697696509</v>
      </c>
      <c r="AK77" s="108" t="n">
        <f aca="false">AK18/AK$20</f>
        <v>0.388870821293056</v>
      </c>
    </row>
    <row r="78" customFormat="false" ht="15" hidden="false" customHeight="false" outlineLevel="0" collapsed="false">
      <c r="A78" s="0" t="s">
        <v>80</v>
      </c>
      <c r="B78" s="108" t="n">
        <f aca="false">B19/B$20</f>
        <v>0.193649549196394</v>
      </c>
      <c r="C78" s="145" t="n">
        <f aca="false">C19/C$20</f>
        <v>0.112719751809721</v>
      </c>
      <c r="D78" s="145" t="n">
        <f aca="false">D19/D$20</f>
        <v>0.097823543178095</v>
      </c>
      <c r="E78" s="145" t="n">
        <f aca="false">E19/E$20</f>
        <v>0.0737073707370737</v>
      </c>
      <c r="F78" s="145" t="n">
        <f aca="false">F19/F$20</f>
        <v>0.106785617734523</v>
      </c>
      <c r="G78" s="108" t="n">
        <f aca="false">G19/G$20</f>
        <v>0.0980227448953218</v>
      </c>
      <c r="H78" s="145" t="n">
        <f aca="false">H19/H$20</f>
        <v>0.111963557899784</v>
      </c>
      <c r="I78" s="145" t="n">
        <f aca="false">I19/I$20</f>
        <v>0.155917963923894</v>
      </c>
      <c r="J78" s="145" t="n">
        <f aca="false">J19/J$20</f>
        <v>0.185781520931385</v>
      </c>
      <c r="K78" s="145" t="n">
        <f aca="false">K19/K$20</f>
        <v>0.212538589408692</v>
      </c>
      <c r="L78" s="108" t="n">
        <f aca="false">L19/L$20</f>
        <v>0.16658569172841</v>
      </c>
      <c r="M78" s="145" t="n">
        <f aca="false">M19/M$20</f>
        <v>0.187534935718278</v>
      </c>
      <c r="N78" s="238" t="n">
        <f aca="false">I78</f>
        <v>0.155917963923894</v>
      </c>
      <c r="O78" s="238" t="n">
        <f aca="false">J78</f>
        <v>0.185781520931385</v>
      </c>
      <c r="P78" s="238" t="n">
        <f aca="false">K78</f>
        <v>0.212538589408692</v>
      </c>
      <c r="Q78" s="108" t="n">
        <f aca="false">Q19/Q$20</f>
        <v>0.184742343307946</v>
      </c>
      <c r="R78" s="238" t="n">
        <f aca="false">M78</f>
        <v>0.187534935718278</v>
      </c>
      <c r="S78" s="238" t="n">
        <f aca="false">N78</f>
        <v>0.155917963923894</v>
      </c>
      <c r="T78" s="238" t="n">
        <f aca="false">O78</f>
        <v>0.185781520931385</v>
      </c>
      <c r="U78" s="238" t="n">
        <f aca="false">P78</f>
        <v>0.212538589408692</v>
      </c>
      <c r="V78" s="108" t="n">
        <f aca="false">V19/V$20</f>
        <v>0.186290420753814</v>
      </c>
      <c r="W78" s="238" t="n">
        <f aca="false">R78</f>
        <v>0.187534935718278</v>
      </c>
      <c r="X78" s="238" t="n">
        <f aca="false">S78</f>
        <v>0.155917963923894</v>
      </c>
      <c r="Y78" s="238" t="n">
        <f aca="false">T78</f>
        <v>0.185781520931385</v>
      </c>
      <c r="Z78" s="238" t="n">
        <f aca="false">U78</f>
        <v>0.212538589408692</v>
      </c>
      <c r="AA78" s="108" t="n">
        <f aca="false">AA19/AA$20</f>
        <v>0.186290420753814</v>
      </c>
      <c r="AB78" s="238" t="n">
        <f aca="false">W78</f>
        <v>0.187534935718278</v>
      </c>
      <c r="AC78" s="238" t="n">
        <f aca="false">X78</f>
        <v>0.155917963923894</v>
      </c>
      <c r="AD78" s="238" t="n">
        <f aca="false">Y78</f>
        <v>0.185781520931385</v>
      </c>
      <c r="AE78" s="238" t="n">
        <f aca="false">Z78</f>
        <v>0.212538589408692</v>
      </c>
      <c r="AF78" s="108" t="n">
        <f aca="false">AF19/AF$20</f>
        <v>0.186290420753814</v>
      </c>
      <c r="AG78" s="238" t="n">
        <f aca="false">AB78</f>
        <v>0.187534935718278</v>
      </c>
      <c r="AH78" s="238" t="n">
        <f aca="false">AC78</f>
        <v>0.155917963923894</v>
      </c>
      <c r="AI78" s="238" t="n">
        <f aca="false">AD78</f>
        <v>0.185781520931385</v>
      </c>
      <c r="AJ78" s="238" t="n">
        <f aca="false">AE78</f>
        <v>0.212538589408692</v>
      </c>
      <c r="AK78" s="108" t="n">
        <f aca="false">AK19/AK$20</f>
        <v>0.186290420753814</v>
      </c>
    </row>
    <row r="79" customFormat="false" ht="15" hidden="false" customHeight="false" outlineLevel="0" collapsed="false">
      <c r="A79" s="74" t="s">
        <v>81</v>
      </c>
      <c r="B79" s="108" t="n">
        <f aca="false">B20/B$20</f>
        <v>1</v>
      </c>
      <c r="C79" s="145" t="n">
        <f aca="false">C20/C$20</f>
        <v>1</v>
      </c>
      <c r="D79" s="145" t="n">
        <f aca="false">D20/D$20</f>
        <v>1</v>
      </c>
      <c r="E79" s="145" t="n">
        <f aca="false">E20/E$20</f>
        <v>1</v>
      </c>
      <c r="F79" s="145" t="n">
        <f aca="false">F20/F$20</f>
        <v>1</v>
      </c>
      <c r="G79" s="108" t="n">
        <f aca="false">G20/G$20</f>
        <v>1</v>
      </c>
      <c r="H79" s="145" t="n">
        <f aca="false">H20/H$20</f>
        <v>1</v>
      </c>
      <c r="I79" s="145" t="n">
        <f aca="false">I20/I$20</f>
        <v>1</v>
      </c>
      <c r="J79" s="145" t="n">
        <f aca="false">J20/J$20</f>
        <v>1</v>
      </c>
      <c r="K79" s="145" t="n">
        <f aca="false">K20/K$20</f>
        <v>1</v>
      </c>
      <c r="L79" s="108" t="n">
        <f aca="false">L20/L$20</f>
        <v>1</v>
      </c>
      <c r="M79" s="145" t="n">
        <f aca="false">M20/M$20</f>
        <v>1</v>
      </c>
      <c r="N79" s="238" t="n">
        <f aca="false">I79</f>
        <v>1</v>
      </c>
      <c r="O79" s="238" t="n">
        <f aca="false">J79</f>
        <v>1</v>
      </c>
      <c r="P79" s="238" t="n">
        <f aca="false">K79</f>
        <v>1</v>
      </c>
      <c r="Q79" s="108" t="n">
        <f aca="false">Q20/Q$20</f>
        <v>1</v>
      </c>
      <c r="R79" s="238" t="n">
        <f aca="false">M79</f>
        <v>1</v>
      </c>
      <c r="S79" s="238" t="n">
        <f aca="false">N79</f>
        <v>1</v>
      </c>
      <c r="T79" s="238" t="n">
        <f aca="false">O79</f>
        <v>1</v>
      </c>
      <c r="U79" s="238" t="n">
        <f aca="false">P79</f>
        <v>1</v>
      </c>
      <c r="V79" s="108" t="n">
        <f aca="false">V20/V$20</f>
        <v>1</v>
      </c>
      <c r="W79" s="238" t="n">
        <f aca="false">R79</f>
        <v>1</v>
      </c>
      <c r="X79" s="238" t="n">
        <f aca="false">S79</f>
        <v>1</v>
      </c>
      <c r="Y79" s="238" t="n">
        <f aca="false">T79</f>
        <v>1</v>
      </c>
      <c r="Z79" s="238" t="n">
        <f aca="false">U79</f>
        <v>1</v>
      </c>
      <c r="AA79" s="108" t="n">
        <f aca="false">AA20/AA$20</f>
        <v>1</v>
      </c>
      <c r="AB79" s="238" t="n">
        <f aca="false">W79</f>
        <v>1</v>
      </c>
      <c r="AC79" s="238" t="n">
        <f aca="false">X79</f>
        <v>1</v>
      </c>
      <c r="AD79" s="238" t="n">
        <f aca="false">Y79</f>
        <v>1</v>
      </c>
      <c r="AE79" s="238" t="n">
        <f aca="false">Z79</f>
        <v>1</v>
      </c>
      <c r="AF79" s="108" t="n">
        <f aca="false">AF20/AF$20</f>
        <v>1</v>
      </c>
      <c r="AG79" s="238" t="n">
        <f aca="false">AB79</f>
        <v>1</v>
      </c>
      <c r="AH79" s="238" t="n">
        <f aca="false">AC79</f>
        <v>1</v>
      </c>
      <c r="AI79" s="238" t="n">
        <f aca="false">AD79</f>
        <v>1</v>
      </c>
      <c r="AJ79" s="238" t="n">
        <f aca="false">AE79</f>
        <v>1</v>
      </c>
      <c r="AK79" s="108" t="n">
        <f aca="false">AK20/AK$20</f>
        <v>1</v>
      </c>
    </row>
    <row r="80" customFormat="false" ht="15" hidden="false" customHeight="false" outlineLevel="0" collapsed="false">
      <c r="B80" s="251"/>
      <c r="G80" s="64"/>
      <c r="L80" s="64"/>
      <c r="Q80" s="64"/>
      <c r="R80" s="72"/>
      <c r="V80" s="64"/>
      <c r="AA80" s="64"/>
      <c r="AF80" s="64"/>
      <c r="AK80" s="64"/>
    </row>
    <row r="81" customFormat="false" ht="15" hidden="false" customHeight="false" outlineLevel="0" collapsed="false">
      <c r="B81" s="251"/>
      <c r="G81" s="64"/>
      <c r="L81" s="64"/>
      <c r="Q81" s="64"/>
      <c r="V81" s="64"/>
      <c r="AA81" s="64"/>
      <c r="AF81" s="64"/>
      <c r="AK81" s="64"/>
    </row>
    <row r="82" customFormat="false" ht="15" hidden="false" customHeight="false" outlineLevel="0" collapsed="false">
      <c r="A82" s="37" t="s">
        <v>70</v>
      </c>
      <c r="B82" s="108" t="n">
        <f aca="false">B23/B$25</f>
        <v>0.319799841793247</v>
      </c>
      <c r="C82" s="145" t="n">
        <f aca="false">C23/C$25</f>
        <v>0.317090395480226</v>
      </c>
      <c r="D82" s="145" t="n">
        <f aca="false">D23/D$25</f>
        <v>0.359370314842579</v>
      </c>
      <c r="E82" s="145" t="n">
        <f aca="false">E23/E$25</f>
        <v>0.404129793510324</v>
      </c>
      <c r="F82" s="145" t="n">
        <f aca="false">F23/F$25</f>
        <v>0.478132054176072</v>
      </c>
      <c r="G82" s="108" t="n">
        <f aca="false">G23/G$25</f>
        <v>0.393668703964896</v>
      </c>
      <c r="H82" s="145" t="n">
        <f aca="false">H23/H$25</f>
        <v>0.409875495189587</v>
      </c>
      <c r="I82" s="145" t="n">
        <f aca="false">I23/I$25</f>
        <v>0.441022099447514</v>
      </c>
      <c r="J82" s="145" t="n">
        <f aca="false">J23/J$25</f>
        <v>0.46656976744186</v>
      </c>
      <c r="K82" s="145" t="n">
        <f aca="false">K23/K$25</f>
        <v>0.51530847145488</v>
      </c>
      <c r="L82" s="132" t="n">
        <f aca="false">L23/L$25</f>
        <v>0.461261614971862</v>
      </c>
      <c r="M82" s="145" t="n">
        <f aca="false">M23/M$25</f>
        <v>0.567200106446033</v>
      </c>
      <c r="N82" s="238" t="n">
        <f aca="false">I82+8%</f>
        <v>0.521022099447514</v>
      </c>
      <c r="O82" s="238" t="n">
        <f aca="false">J82+7%</f>
        <v>0.536569767441861</v>
      </c>
      <c r="P82" s="238" t="n">
        <f aca="false">K82+4%</f>
        <v>0.55530847145488</v>
      </c>
      <c r="Q82" s="132" t="n">
        <f aca="false">Q23/Q$25</f>
        <v>0.543842709932526</v>
      </c>
      <c r="R82" s="238" t="n">
        <f aca="false">M82+2%</f>
        <v>0.587200106446033</v>
      </c>
      <c r="S82" s="238" t="n">
        <f aca="false">N82+4%</f>
        <v>0.561022099447514</v>
      </c>
      <c r="T82" s="238" t="n">
        <f aca="false">O82+3%</f>
        <v>0.566569767441861</v>
      </c>
      <c r="U82" s="238" t="n">
        <f aca="false">P82+3%</f>
        <v>0.58530847145488</v>
      </c>
      <c r="V82" s="132" t="n">
        <f aca="false">V23/V$25</f>
        <v>0.575353041236767</v>
      </c>
      <c r="W82" s="238" t="n">
        <f aca="false">R82</f>
        <v>0.587200106446033</v>
      </c>
      <c r="X82" s="238" t="n">
        <f aca="false">S82</f>
        <v>0.561022099447514</v>
      </c>
      <c r="Y82" s="238" t="n">
        <f aca="false">T82</f>
        <v>0.566569767441861</v>
      </c>
      <c r="Z82" s="238" t="n">
        <f aca="false">U82</f>
        <v>0.58530847145488</v>
      </c>
      <c r="AA82" s="108" t="n">
        <f aca="false">AA23/AA$25</f>
        <v>0.575353041236768</v>
      </c>
      <c r="AB82" s="238" t="n">
        <f aca="false">W82</f>
        <v>0.587200106446033</v>
      </c>
      <c r="AC82" s="238" t="n">
        <f aca="false">X82</f>
        <v>0.561022099447514</v>
      </c>
      <c r="AD82" s="238" t="n">
        <f aca="false">Y82</f>
        <v>0.566569767441861</v>
      </c>
      <c r="AE82" s="238" t="n">
        <f aca="false">Z82</f>
        <v>0.58530847145488</v>
      </c>
      <c r="AF82" s="108" t="n">
        <f aca="false">AF23/AF$25</f>
        <v>0.575353041236768</v>
      </c>
      <c r="AG82" s="238" t="n">
        <f aca="false">AB82</f>
        <v>0.587200106446033</v>
      </c>
      <c r="AH82" s="238" t="n">
        <f aca="false">AC82</f>
        <v>0.561022099447514</v>
      </c>
      <c r="AI82" s="238" t="n">
        <f aca="false">AD82</f>
        <v>0.566569767441861</v>
      </c>
      <c r="AJ82" s="238" t="n">
        <f aca="false">AE82</f>
        <v>0.58530847145488</v>
      </c>
      <c r="AK82" s="108" t="n">
        <f aca="false">AK23/AK$25</f>
        <v>0.575353041236768</v>
      </c>
    </row>
    <row r="83" customFormat="false" ht="15" hidden="false" customHeight="false" outlineLevel="0" collapsed="false">
      <c r="A83" s="37" t="s">
        <v>71</v>
      </c>
      <c r="B83" s="108" t="n">
        <f aca="false">B24/B$25</f>
        <v>0.680200158206753</v>
      </c>
      <c r="C83" s="145" t="n">
        <f aca="false">C24/C$25</f>
        <v>0.682909604519774</v>
      </c>
      <c r="D83" s="145" t="n">
        <f aca="false">D24/D$25</f>
        <v>0.640629685157421</v>
      </c>
      <c r="E83" s="145" t="n">
        <f aca="false">E24/E$25</f>
        <v>0.595870206489676</v>
      </c>
      <c r="F83" s="145" t="n">
        <f aca="false">F24/F$25</f>
        <v>0.521867945823928</v>
      </c>
      <c r="G83" s="108" t="n">
        <f aca="false">G24/G$25</f>
        <v>0.606331296035104</v>
      </c>
      <c r="H83" s="145" t="n">
        <f aca="false">H24/H$25</f>
        <v>0.590124504810413</v>
      </c>
      <c r="I83" s="145" t="n">
        <f aca="false">I24/I$25</f>
        <v>0.558977900552486</v>
      </c>
      <c r="J83" s="145" t="n">
        <f aca="false">J24/J$25</f>
        <v>0.53343023255814</v>
      </c>
      <c r="K83" s="145" t="n">
        <f aca="false">K24/K$25</f>
        <v>0.48469152854512</v>
      </c>
      <c r="L83" s="108" t="n">
        <f aca="false">L24/L$25</f>
        <v>0.538738385028138</v>
      </c>
      <c r="M83" s="145" t="n">
        <f aca="false">M24/M$25</f>
        <v>0.432799893553967</v>
      </c>
      <c r="N83" s="238" t="n">
        <f aca="false">I83-8%</f>
        <v>0.478977900552486</v>
      </c>
      <c r="O83" s="238" t="n">
        <f aca="false">J83-7%</f>
        <v>0.46343023255814</v>
      </c>
      <c r="P83" s="238" t="n">
        <f aca="false">K83-4%</f>
        <v>0.44469152854512</v>
      </c>
      <c r="Q83" s="132" t="n">
        <f aca="false">Q24/Q$25</f>
        <v>0.456157290067474</v>
      </c>
      <c r="R83" s="238" t="n">
        <f aca="false">M83-2%</f>
        <v>0.412799893553967</v>
      </c>
      <c r="S83" s="238" t="n">
        <f aca="false">N83-4%</f>
        <v>0.438977900552486</v>
      </c>
      <c r="T83" s="238" t="n">
        <f aca="false">O83-3%</f>
        <v>0.43343023255814</v>
      </c>
      <c r="U83" s="238" t="n">
        <f aca="false">P83-3%</f>
        <v>0.41469152854512</v>
      </c>
      <c r="V83" s="108" t="n">
        <f aca="false">V24/V$25</f>
        <v>0.424646958763233</v>
      </c>
      <c r="W83" s="238" t="n">
        <f aca="false">R83</f>
        <v>0.412799893553967</v>
      </c>
      <c r="X83" s="238" t="n">
        <f aca="false">S83</f>
        <v>0.438977900552486</v>
      </c>
      <c r="Y83" s="238" t="n">
        <f aca="false">T83</f>
        <v>0.43343023255814</v>
      </c>
      <c r="Z83" s="238" t="n">
        <f aca="false">U83</f>
        <v>0.41469152854512</v>
      </c>
      <c r="AA83" s="108" t="n">
        <f aca="false">AA24/AA$25</f>
        <v>0.424646958763233</v>
      </c>
      <c r="AB83" s="238" t="n">
        <f aca="false">W83</f>
        <v>0.412799893553967</v>
      </c>
      <c r="AC83" s="238" t="n">
        <f aca="false">X83</f>
        <v>0.438977900552486</v>
      </c>
      <c r="AD83" s="238" t="n">
        <f aca="false">Y83</f>
        <v>0.43343023255814</v>
      </c>
      <c r="AE83" s="238" t="n">
        <f aca="false">Z83</f>
        <v>0.41469152854512</v>
      </c>
      <c r="AF83" s="108" t="n">
        <f aca="false">AF24/AF$25</f>
        <v>0.424646958763233</v>
      </c>
      <c r="AG83" s="238" t="n">
        <f aca="false">AB83</f>
        <v>0.412799893553967</v>
      </c>
      <c r="AH83" s="238" t="n">
        <f aca="false">AC83</f>
        <v>0.438977900552486</v>
      </c>
      <c r="AI83" s="238" t="n">
        <f aca="false">AD83</f>
        <v>0.43343023255814</v>
      </c>
      <c r="AJ83" s="238" t="n">
        <f aca="false">AE83</f>
        <v>0.41469152854512</v>
      </c>
      <c r="AK83" s="108" t="n">
        <f aca="false">AK24/AK$25</f>
        <v>0.424646958763233</v>
      </c>
    </row>
    <row r="84" customFormat="false" ht="15" hidden="false" customHeight="false" outlineLevel="0" collapsed="false">
      <c r="A84" s="74" t="s">
        <v>81</v>
      </c>
      <c r="B84" s="108" t="n">
        <f aca="false">B25/B$25</f>
        <v>1</v>
      </c>
      <c r="C84" s="145" t="n">
        <f aca="false">C25/C$25</f>
        <v>1</v>
      </c>
      <c r="D84" s="145" t="n">
        <f aca="false">D25/D$25</f>
        <v>1</v>
      </c>
      <c r="E84" s="145" t="n">
        <f aca="false">E25/E$25</f>
        <v>1</v>
      </c>
      <c r="F84" s="145" t="n">
        <f aca="false">F25/F$25</f>
        <v>1</v>
      </c>
      <c r="G84" s="108" t="n">
        <f aca="false">G25/G$25</f>
        <v>1</v>
      </c>
      <c r="H84" s="145" t="n">
        <f aca="false">H25/H$25</f>
        <v>1</v>
      </c>
      <c r="I84" s="145" t="n">
        <f aca="false">I25/I$25</f>
        <v>1</v>
      </c>
      <c r="J84" s="145" t="n">
        <f aca="false">J25/J$25</f>
        <v>1</v>
      </c>
      <c r="K84" s="145" t="n">
        <f aca="false">K25/K$25</f>
        <v>1</v>
      </c>
      <c r="L84" s="108" t="n">
        <f aca="false">L25/L$25</f>
        <v>1</v>
      </c>
      <c r="M84" s="145" t="n">
        <f aca="false">M25/M$25</f>
        <v>1</v>
      </c>
      <c r="N84" s="238" t="n">
        <f aca="false">SUM(N82:N83)</f>
        <v>1</v>
      </c>
      <c r="O84" s="238" t="n">
        <f aca="false">SUM(O82:O83)</f>
        <v>1</v>
      </c>
      <c r="P84" s="238" t="n">
        <f aca="false">SUM(P82:P83)</f>
        <v>1</v>
      </c>
      <c r="Q84" s="254" t="n">
        <f aca="false">SUM(Q82:Q83)</f>
        <v>1</v>
      </c>
      <c r="R84" s="238" t="n">
        <f aca="false">SUM(R82:R83)</f>
        <v>1</v>
      </c>
      <c r="S84" s="238" t="n">
        <f aca="false">SUM(S82:S83)</f>
        <v>1</v>
      </c>
      <c r="T84" s="238" t="n">
        <f aca="false">SUM(T82:T83)</f>
        <v>1</v>
      </c>
      <c r="U84" s="238" t="n">
        <f aca="false">SUM(U82:U83)</f>
        <v>1</v>
      </c>
      <c r="V84" s="108" t="n">
        <f aca="false">V25/V$25</f>
        <v>1</v>
      </c>
      <c r="W84" s="238" t="n">
        <f aca="false">SUM(W82:W83)</f>
        <v>1</v>
      </c>
      <c r="X84" s="238" t="n">
        <f aca="false">SUM(X82:X83)</f>
        <v>1</v>
      </c>
      <c r="Y84" s="238" t="n">
        <f aca="false">SUM(Y82:Y83)</f>
        <v>1</v>
      </c>
      <c r="Z84" s="238" t="n">
        <f aca="false">SUM(Z82:Z83)</f>
        <v>1</v>
      </c>
      <c r="AA84" s="254" t="n">
        <f aca="false">SUM(AA82:AA83)</f>
        <v>1</v>
      </c>
      <c r="AB84" s="238" t="n">
        <f aca="false">W84</f>
        <v>1</v>
      </c>
      <c r="AC84" s="238" t="n">
        <f aca="false">X84</f>
        <v>1</v>
      </c>
      <c r="AD84" s="238" t="n">
        <f aca="false">Y84</f>
        <v>1</v>
      </c>
      <c r="AE84" s="238" t="n">
        <f aca="false">Z84</f>
        <v>1</v>
      </c>
      <c r="AF84" s="108" t="n">
        <f aca="false">AF25/AF$25</f>
        <v>1</v>
      </c>
      <c r="AG84" s="238" t="n">
        <f aca="false">AB84</f>
        <v>1</v>
      </c>
      <c r="AH84" s="238" t="n">
        <f aca="false">AC84</f>
        <v>1</v>
      </c>
      <c r="AI84" s="238" t="n">
        <f aca="false">AD84</f>
        <v>1</v>
      </c>
      <c r="AJ84" s="238" t="n">
        <f aca="false">AE84</f>
        <v>1</v>
      </c>
      <c r="AK84" s="108" t="n">
        <f aca="false">AK25/AK$25</f>
        <v>1</v>
      </c>
    </row>
    <row r="85" customFormat="false" ht="15" hidden="false" customHeight="false" outlineLevel="0" collapsed="false">
      <c r="B85" s="251"/>
      <c r="G85" s="64"/>
      <c r="L85" s="64"/>
      <c r="Q85" s="64"/>
      <c r="V85" s="64"/>
      <c r="AA85" s="64"/>
      <c r="AF85" s="64"/>
      <c r="AK85" s="64"/>
    </row>
    <row r="86" customFormat="false" ht="15" hidden="false" customHeight="false" outlineLevel="0" collapsed="false">
      <c r="B86" s="251"/>
      <c r="G86" s="64"/>
      <c r="L86" s="64"/>
      <c r="Q86" s="64"/>
      <c r="V86" s="64"/>
      <c r="AA86" s="64"/>
      <c r="AF86" s="64"/>
      <c r="AK86" s="64"/>
    </row>
    <row r="87" customFormat="false" ht="15" hidden="false" customHeight="false" outlineLevel="0" collapsed="false">
      <c r="B87" s="251"/>
      <c r="G87" s="64"/>
      <c r="L87" s="64"/>
      <c r="Q87" s="64"/>
      <c r="V87" s="64"/>
      <c r="AA87" s="64"/>
      <c r="AF87" s="64"/>
      <c r="AK87" s="64"/>
    </row>
    <row r="88" customFormat="false" ht="15" hidden="false" customHeight="false" outlineLevel="0" collapsed="false">
      <c r="B88" s="251"/>
      <c r="G88" s="64"/>
      <c r="L88" s="64"/>
      <c r="Q88" s="64"/>
      <c r="V88" s="64"/>
      <c r="AA88" s="64"/>
      <c r="AF88" s="64"/>
      <c r="AK88" s="64"/>
    </row>
    <row r="89" customFormat="false" ht="15" hidden="false" customHeight="false" outlineLevel="0" collapsed="false">
      <c r="A89" s="74" t="s">
        <v>311</v>
      </c>
      <c r="B89" s="251"/>
      <c r="C89" s="145"/>
      <c r="G89" s="64"/>
      <c r="H89" s="145" t="n">
        <f aca="false">H25/$L25</f>
        <v>0.231252453867295</v>
      </c>
      <c r="I89" s="145" t="n">
        <f aca="false">I25/$L25</f>
        <v>0.236879989530166</v>
      </c>
      <c r="J89" s="145" t="n">
        <f aca="false">J25/$L25</f>
        <v>0.247611569166339</v>
      </c>
      <c r="K89" s="145" t="n">
        <f aca="false">K25/$L25</f>
        <v>0.284255987436199</v>
      </c>
      <c r="L89" s="64"/>
      <c r="Q89" s="64"/>
      <c r="R89" s="238" t="n">
        <v>0.231252453867295</v>
      </c>
      <c r="S89" s="238" t="n">
        <v>0.236879989530166</v>
      </c>
      <c r="T89" s="238" t="n">
        <v>0.247611569166339</v>
      </c>
      <c r="U89" s="238" t="n">
        <v>0.284255987436199</v>
      </c>
      <c r="V89" s="64"/>
      <c r="W89" s="238" t="n">
        <v>0.231252453867295</v>
      </c>
      <c r="X89" s="238" t="n">
        <v>0.236879989530166</v>
      </c>
      <c r="Y89" s="238" t="n">
        <v>0.247611569166339</v>
      </c>
      <c r="Z89" s="238" t="n">
        <v>0.284255987436199</v>
      </c>
      <c r="AA89" s="64"/>
      <c r="AB89" s="238" t="n">
        <v>0.231252453867295</v>
      </c>
      <c r="AC89" s="238" t="n">
        <v>0.236879989530166</v>
      </c>
      <c r="AD89" s="238" t="n">
        <v>0.247611569166339</v>
      </c>
      <c r="AE89" s="238" t="n">
        <v>0.284255987436199</v>
      </c>
      <c r="AF89" s="64"/>
      <c r="AG89" s="238" t="n">
        <v>0.231252453867295</v>
      </c>
      <c r="AH89" s="238" t="n">
        <v>0.236879989530166</v>
      </c>
      <c r="AI89" s="238" t="n">
        <v>0.247611569166339</v>
      </c>
      <c r="AJ89" s="238" t="n">
        <v>0.284255987436199</v>
      </c>
      <c r="AK89" s="64"/>
    </row>
    <row r="90" customFormat="false" ht="15.75" hidden="false" customHeight="false" outlineLevel="0" collapsed="false">
      <c r="A90" s="31"/>
      <c r="B90" s="91"/>
      <c r="C90" s="31"/>
      <c r="D90" s="31"/>
      <c r="E90" s="31"/>
      <c r="F90" s="31"/>
      <c r="G90" s="91"/>
      <c r="H90" s="31"/>
      <c r="I90" s="31"/>
      <c r="J90" s="31"/>
      <c r="K90" s="31"/>
      <c r="L90" s="91"/>
      <c r="M90" s="31"/>
      <c r="N90" s="31"/>
      <c r="O90" s="31"/>
      <c r="P90" s="31"/>
      <c r="Q90" s="91"/>
      <c r="R90" s="31"/>
      <c r="S90" s="31"/>
      <c r="T90" s="31"/>
      <c r="U90" s="31"/>
      <c r="V90" s="91"/>
      <c r="W90" s="31"/>
      <c r="X90" s="31"/>
      <c r="Y90" s="31"/>
      <c r="Z90" s="31"/>
      <c r="AA90" s="91"/>
      <c r="AB90" s="31"/>
      <c r="AC90" s="31"/>
      <c r="AD90" s="31"/>
      <c r="AE90" s="31"/>
      <c r="AF90" s="91"/>
      <c r="AG90" s="31"/>
      <c r="AH90" s="31"/>
      <c r="AI90" s="31"/>
      <c r="AJ90" s="31"/>
      <c r="AK90" s="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defaultColWidth="8.96875" defaultRowHeight="15" zeroHeight="false" outlineLevelRow="0" outlineLevelCol="1"/>
  <cols>
    <col collapsed="false" customWidth="true" hidden="false" outlineLevel="0" max="1" min="1" style="0" width="35.71"/>
    <col collapsed="false" customWidth="false" hidden="true" outlineLevel="1" max="6" min="3" style="0" width="8.97"/>
    <col collapsed="false" customWidth="true" hidden="false" outlineLevel="0" max="7" min="7" style="0" width="9.13"/>
    <col collapsed="false" customWidth="true" hidden="true" outlineLevel="1" max="11" min="8" style="0" width="9.13"/>
    <col collapsed="false" customWidth="true" hidden="false" outlineLevel="0" max="12" min="12" style="0" width="9.13"/>
    <col collapsed="false" customWidth="true" hidden="true" outlineLevel="1" max="16" min="13" style="0" width="9.13"/>
    <col collapsed="false" customWidth="true" hidden="false" outlineLevel="0" max="17" min="17" style="0" width="9.13"/>
    <col collapsed="false" customWidth="true" hidden="true" outlineLevel="1" max="21" min="18" style="0" width="9.13"/>
    <col collapsed="false" customWidth="true" hidden="false" outlineLevel="0" max="22" min="22" style="0" width="9.13"/>
    <col collapsed="false" customWidth="false" hidden="true" outlineLevel="1" max="26" min="23" style="0" width="8.97"/>
    <col collapsed="false" customWidth="true" hidden="false" outlineLevel="0" max="27" min="27" style="0" width="9.13"/>
    <col collapsed="false" customWidth="false" hidden="true" outlineLevel="1" max="31" min="28" style="0" width="8.97"/>
    <col collapsed="false" customWidth="true" hidden="false" outlineLevel="0" max="32" min="32" style="0" width="9.13"/>
    <col collapsed="false" customWidth="false" hidden="true" outlineLevel="1" max="36" min="33" style="0" width="8.97"/>
    <col collapsed="false" customWidth="true" hidden="false" outlineLevel="0" max="37" min="37" style="0" width="9.13"/>
    <col collapsed="false" customWidth="false" hidden="true" outlineLevel="1" max="41" min="38" style="0" width="8.97"/>
    <col collapsed="false" customWidth="true" hidden="false" outlineLevel="0" max="42" min="42" style="0" width="9.13"/>
  </cols>
  <sheetData>
    <row r="1" customFormat="false" ht="18.75" hidden="false" customHeight="false" outlineLevel="0" collapsed="false">
      <c r="A1" s="29" t="s">
        <v>1</v>
      </c>
      <c r="C1" s="122"/>
      <c r="E1" s="122"/>
      <c r="R1" s="38"/>
    </row>
    <row r="2" customFormat="false" ht="15.75" hidden="false" customHeight="false" outlineLevel="0" collapsed="false">
      <c r="A2" s="30" t="s">
        <v>312</v>
      </c>
      <c r="B2" s="123"/>
      <c r="C2" s="180"/>
      <c r="D2" s="123"/>
      <c r="E2" s="181"/>
      <c r="F2" s="123"/>
      <c r="G2" s="182"/>
      <c r="J2" s="65"/>
      <c r="R2" s="38"/>
    </row>
    <row r="3" customFormat="false" ht="15.75" hidden="false" customHeight="false" outlineLevel="0" collapsed="false">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row>
    <row r="4" customFormat="false" ht="45" hidden="false" customHeight="false" outlineLevel="0" collapsed="false">
      <c r="A4" s="85" t="s">
        <v>38</v>
      </c>
      <c r="B4" s="86" t="s">
        <v>153</v>
      </c>
      <c r="C4" s="255" t="s">
        <v>313</v>
      </c>
      <c r="D4" s="87" t="s">
        <v>155</v>
      </c>
      <c r="E4" s="87" t="s">
        <v>156</v>
      </c>
      <c r="F4" s="87" t="s">
        <v>157</v>
      </c>
      <c r="G4" s="86" t="s">
        <v>85</v>
      </c>
      <c r="H4" s="87" t="s">
        <v>97</v>
      </c>
      <c r="I4" s="87" t="s">
        <v>98</v>
      </c>
      <c r="J4" s="87" t="s">
        <v>99</v>
      </c>
      <c r="K4" s="87" t="s">
        <v>100</v>
      </c>
      <c r="L4" s="86" t="s">
        <v>86</v>
      </c>
      <c r="M4" s="87" t="s">
        <v>101</v>
      </c>
      <c r="N4" s="87" t="s">
        <v>40</v>
      </c>
      <c r="O4" s="87" t="s">
        <v>41</v>
      </c>
      <c r="P4" s="87" t="s">
        <v>42</v>
      </c>
      <c r="Q4" s="86" t="s">
        <v>43</v>
      </c>
      <c r="R4" s="87" t="s">
        <v>44</v>
      </c>
      <c r="S4" s="88" t="s">
        <v>45</v>
      </c>
      <c r="T4" s="88" t="s">
        <v>102</v>
      </c>
      <c r="U4" s="88" t="s">
        <v>47</v>
      </c>
      <c r="V4" s="89" t="s">
        <v>48</v>
      </c>
      <c r="W4" s="88" t="s">
        <v>103</v>
      </c>
      <c r="X4" s="88" t="s">
        <v>50</v>
      </c>
      <c r="Y4" s="88" t="s">
        <v>51</v>
      </c>
      <c r="Z4" s="88" t="s">
        <v>52</v>
      </c>
      <c r="AA4" s="89" t="s">
        <v>53</v>
      </c>
      <c r="AB4" s="88" t="s">
        <v>104</v>
      </c>
      <c r="AC4" s="88" t="s">
        <v>105</v>
      </c>
      <c r="AD4" s="88" t="s">
        <v>106</v>
      </c>
      <c r="AE4" s="88" t="s">
        <v>107</v>
      </c>
      <c r="AF4" s="89" t="s">
        <v>87</v>
      </c>
      <c r="AG4" s="88" t="s">
        <v>108</v>
      </c>
      <c r="AH4" s="88" t="s">
        <v>109</v>
      </c>
      <c r="AI4" s="88" t="s">
        <v>110</v>
      </c>
      <c r="AJ4" s="88" t="s">
        <v>111</v>
      </c>
      <c r="AK4" s="89" t="s">
        <v>88</v>
      </c>
      <c r="AL4" s="88" t="s">
        <v>112</v>
      </c>
      <c r="AM4" s="88" t="s">
        <v>113</v>
      </c>
      <c r="AN4" s="88" t="s">
        <v>114</v>
      </c>
      <c r="AO4" s="88" t="s">
        <v>115</v>
      </c>
      <c r="AP4" s="89" t="s">
        <v>89</v>
      </c>
    </row>
    <row r="5" customFormat="false" ht="15" hidden="false" customHeight="false" outlineLevel="0" collapsed="false">
      <c r="B5" s="86"/>
      <c r="G5" s="86"/>
      <c r="L5" s="64"/>
      <c r="Q5" s="64"/>
      <c r="R5" s="38"/>
      <c r="V5" s="64"/>
      <c r="AA5" s="64"/>
      <c r="AF5" s="64"/>
      <c r="AK5" s="64"/>
      <c r="AP5" s="64"/>
    </row>
    <row r="6" s="72" customFormat="true" ht="15" hidden="false" customHeight="false" outlineLevel="0" collapsed="false">
      <c r="A6" s="33" t="s">
        <v>312</v>
      </c>
      <c r="B6" s="64"/>
      <c r="G6" s="64"/>
      <c r="L6" s="64"/>
      <c r="Q6" s="64"/>
      <c r="R6" s="123"/>
      <c r="V6" s="64"/>
      <c r="AA6" s="64"/>
      <c r="AF6" s="64"/>
      <c r="AK6" s="64"/>
      <c r="AP6" s="64"/>
    </row>
    <row r="7" customFormat="false" ht="15" hidden="false" customHeight="false" outlineLevel="0" collapsed="false">
      <c r="B7" s="64"/>
      <c r="C7" s="72"/>
      <c r="D7" s="72"/>
      <c r="E7" s="72"/>
      <c r="F7" s="72"/>
      <c r="G7" s="64"/>
      <c r="H7" s="72"/>
      <c r="I7" s="72"/>
      <c r="J7" s="72"/>
      <c r="K7" s="130"/>
      <c r="L7" s="64"/>
      <c r="M7" s="72"/>
      <c r="N7" s="72"/>
      <c r="O7" s="72"/>
      <c r="P7" s="72"/>
      <c r="Q7" s="64"/>
      <c r="R7" s="73"/>
      <c r="S7" s="72"/>
      <c r="T7" s="72"/>
      <c r="U7" s="72"/>
      <c r="V7" s="64"/>
      <c r="W7" s="72"/>
      <c r="X7" s="72"/>
      <c r="Y7" s="72"/>
      <c r="Z7" s="72"/>
      <c r="AA7" s="64"/>
      <c r="AB7" s="72"/>
      <c r="AC7" s="72"/>
      <c r="AD7" s="72"/>
      <c r="AE7" s="72"/>
      <c r="AF7" s="64"/>
      <c r="AG7" s="72"/>
      <c r="AH7" s="72"/>
      <c r="AI7" s="72"/>
      <c r="AJ7" s="72"/>
      <c r="AK7" s="64"/>
      <c r="AL7" s="72"/>
      <c r="AM7" s="72"/>
      <c r="AN7" s="72"/>
      <c r="AO7" s="72"/>
      <c r="AP7" s="64"/>
      <c r="AQ7" s="72"/>
    </row>
    <row r="8" customFormat="false" ht="15" hidden="false" customHeight="false" outlineLevel="0" collapsed="false">
      <c r="A8" s="33" t="s">
        <v>314</v>
      </c>
      <c r="B8" s="64"/>
      <c r="G8" s="64"/>
      <c r="L8" s="64"/>
      <c r="Q8" s="64"/>
      <c r="V8" s="64"/>
      <c r="AA8" s="64"/>
      <c r="AF8" s="64"/>
      <c r="AK8" s="64"/>
      <c r="AP8" s="64"/>
    </row>
    <row r="9" customFormat="false" ht="15" hidden="false" customHeight="false" outlineLevel="0" collapsed="false">
      <c r="B9" s="64"/>
      <c r="G9" s="64"/>
      <c r="L9" s="64"/>
      <c r="Q9" s="64"/>
      <c r="V9" s="64"/>
      <c r="AA9" s="64"/>
      <c r="AF9" s="64"/>
      <c r="AK9" s="64"/>
      <c r="AP9" s="64"/>
    </row>
    <row r="10" customFormat="false" ht="15" hidden="false" customHeight="false" outlineLevel="0" collapsed="false">
      <c r="A10" s="0" t="s">
        <v>315</v>
      </c>
      <c r="B10" s="256" t="n">
        <f aca="false">'Profit &amp; Loss Consolidated'!B10/'Profit &amp; Loss Consolidated'!B9</f>
        <v>0.0600943674432321</v>
      </c>
      <c r="C10" s="73" t="n">
        <v>0</v>
      </c>
      <c r="D10" s="73" t="n">
        <v>0</v>
      </c>
      <c r="E10" s="73" t="n">
        <v>0</v>
      </c>
      <c r="F10" s="257" t="n">
        <f aca="false">'Profit &amp; Loss Consolidated'!F10/'Profit &amp; Loss Consolidated'!F9</f>
        <v>0.0513277490643379</v>
      </c>
      <c r="G10" s="256" t="n">
        <f aca="false">'Profit &amp; Loss Consolidated'!G10/'Profit &amp; Loss Consolidated'!G9</f>
        <v>0.0565722462692537</v>
      </c>
      <c r="H10" s="257" t="n">
        <f aca="false">'Profit &amp; Loss Consolidated'!H10/'Profit &amp; Loss Consolidated'!H9</f>
        <v>0.0602005508085587</v>
      </c>
      <c r="I10" s="257" t="n">
        <f aca="false">'Profit &amp; Loss Consolidated'!I10/'Profit &amp; Loss Consolidated'!I9</f>
        <v>0.0578445483987046</v>
      </c>
      <c r="J10" s="257" t="n">
        <f aca="false">'Profit &amp; Loss Consolidated'!J10/'Profit &amp; Loss Consolidated'!J9</f>
        <v>0.0665858175322441</v>
      </c>
      <c r="K10" s="257" t="n">
        <f aca="false">'Profit &amp; Loss Consolidated'!K10/'Profit &amp; Loss Consolidated'!K9</f>
        <v>0.00434598560745029</v>
      </c>
      <c r="L10" s="256" t="n">
        <f aca="false">'Profit &amp; Loss Consolidated'!L10/'Profit &amp; Loss Consolidated'!L9</f>
        <v>0.0456021847047162</v>
      </c>
      <c r="M10" s="257" t="n">
        <f aca="false">'Profit &amp; Loss Consolidated'!M10/'Profit &amp; Loss Consolidated'!M9</f>
        <v>0.0383848101982201</v>
      </c>
      <c r="N10" s="257" t="n">
        <f aca="false">'Profit &amp; Loss Consolidated'!N10/'Profit &amp; Loss Consolidated'!N9</f>
        <v>0.0317415152222528</v>
      </c>
      <c r="O10" s="257" t="n">
        <f aca="false">'Profit &amp; Loss Consolidated'!O10/'Profit &amp; Loss Consolidated'!O9</f>
        <v>0.0286344776553292</v>
      </c>
      <c r="P10" s="257" t="n">
        <f aca="false">'Profit &amp; Loss Consolidated'!P10/'Profit &amp; Loss Consolidated'!P9</f>
        <v>0.0216152757156176</v>
      </c>
      <c r="Q10" s="256" t="n">
        <f aca="false">'Profit &amp; Loss Consolidated'!Q10/'Profit &amp; Loss Consolidated'!Q9</f>
        <v>0.0296298913777867</v>
      </c>
      <c r="R10" s="257" t="n">
        <f aca="false">'Profit &amp; Loss Consolidated'!R10/'Profit &amp; Loss Consolidated'!R9</f>
        <v>0.0206360150475983</v>
      </c>
      <c r="S10" s="258" t="n">
        <f aca="false">N10</f>
        <v>0.0317415152222528</v>
      </c>
      <c r="T10" s="258" t="n">
        <f aca="false">O10</f>
        <v>0.0286344776553292</v>
      </c>
      <c r="U10" s="258" t="n">
        <f aca="false">P10</f>
        <v>0.0216152757156176</v>
      </c>
      <c r="V10" s="256" t="n">
        <f aca="false">'Profit &amp; Loss Consolidated'!V10/'Profit &amp; Loss Consolidated'!V9</f>
        <v>0.0259245371886911</v>
      </c>
      <c r="W10" s="258" t="n">
        <f aca="false">R10</f>
        <v>0.0206360150475983</v>
      </c>
      <c r="X10" s="258" t="n">
        <f aca="false">S10</f>
        <v>0.0317415152222528</v>
      </c>
      <c r="Y10" s="258" t="n">
        <f aca="false">T10</f>
        <v>0.0286344776553292</v>
      </c>
      <c r="Z10" s="258" t="n">
        <f aca="false">U10</f>
        <v>0.0216152757156176</v>
      </c>
      <c r="AA10" s="256" t="n">
        <f aca="false">'Profit &amp; Loss Consolidated'!AA10/'Profit &amp; Loss Consolidated'!AA9</f>
        <v>0.0255255583980615</v>
      </c>
      <c r="AB10" s="258" t="n">
        <f aca="false">W10</f>
        <v>0.0206360150475983</v>
      </c>
      <c r="AC10" s="258" t="n">
        <f aca="false">X10</f>
        <v>0.0317415152222528</v>
      </c>
      <c r="AD10" s="258" t="n">
        <f aca="false">Y10</f>
        <v>0.0286344776553292</v>
      </c>
      <c r="AE10" s="258" t="n">
        <f aca="false">Z10</f>
        <v>0.0216152757156176</v>
      </c>
      <c r="AF10" s="256" t="n">
        <f aca="false">'Profit &amp; Loss Consolidated'!AF10/'Profit &amp; Loss Consolidated'!AF9</f>
        <v>0.0255255583980615</v>
      </c>
      <c r="AG10" s="258" t="n">
        <f aca="false">AB10</f>
        <v>0.0206360150475983</v>
      </c>
      <c r="AH10" s="258" t="n">
        <f aca="false">AC10</f>
        <v>0.0317415152222528</v>
      </c>
      <c r="AI10" s="258" t="n">
        <f aca="false">AD10</f>
        <v>0.0286344776553292</v>
      </c>
      <c r="AJ10" s="258" t="n">
        <f aca="false">AE10</f>
        <v>0.0216152757156176</v>
      </c>
      <c r="AK10" s="256" t="n">
        <f aca="false">'Profit &amp; Loss Consolidated'!AK10/'Profit &amp; Loss Consolidated'!AK9</f>
        <v>0.0255255583980615</v>
      </c>
      <c r="AL10" s="258" t="n">
        <f aca="false">AG10</f>
        <v>0.0206360150475983</v>
      </c>
      <c r="AM10" s="258" t="n">
        <f aca="false">AH10</f>
        <v>0.0317415152222528</v>
      </c>
      <c r="AN10" s="258" t="n">
        <f aca="false">AI10</f>
        <v>0.0286344776553292</v>
      </c>
      <c r="AO10" s="258" t="n">
        <f aca="false">AJ10</f>
        <v>0.0216152757156176</v>
      </c>
      <c r="AP10" s="256" t="n">
        <f aca="false">'Profit &amp; Loss Consolidated'!AP10/'Profit &amp; Loss Consolidated'!AP9</f>
        <v>0.0255255583980615</v>
      </c>
    </row>
    <row r="11" customFormat="false" ht="15" hidden="false" customHeight="false" outlineLevel="0" collapsed="false">
      <c r="A11" s="0" t="s">
        <v>163</v>
      </c>
      <c r="B11" s="256"/>
      <c r="C11" s="257"/>
      <c r="D11" s="257"/>
      <c r="E11" s="257"/>
      <c r="F11" s="82" t="n">
        <f aca="false">'Profit &amp; Loss Consolidated'!F12/'Profit &amp; Loss Consolidated'!F13</f>
        <v>0.0061613144137416</v>
      </c>
      <c r="G11" s="117" t="n">
        <f aca="false">'Profit &amp; Loss Consolidated'!G12/'Profit &amp; Loss Consolidated'!G13</f>
        <v>0</v>
      </c>
      <c r="H11" s="73" t="n">
        <f aca="false">'Profit &amp; Loss Consolidated'!H12/'Profit &amp; Loss Consolidated'!H13</f>
        <v>0</v>
      </c>
      <c r="I11" s="145" t="n">
        <f aca="false">'Profit &amp; Loss Consolidated'!I12/'Profit &amp; Loss Consolidated'!I13</f>
        <v>0.00288797207235798</v>
      </c>
      <c r="J11" s="73" t="n">
        <f aca="false">'Profit &amp; Loss Consolidated'!J12/'Profit &amp; Loss Consolidated'!J13</f>
        <v>0</v>
      </c>
      <c r="K11" s="73" t="n">
        <f aca="false">'Profit &amp; Loss Consolidated'!K12/'Profit &amp; Loss Consolidated'!K13</f>
        <v>0</v>
      </c>
      <c r="L11" s="117" t="n">
        <f aca="false">'Profit &amp; Loss Consolidated'!L12/'Profit &amp; Loss Consolidated'!L13</f>
        <v>0</v>
      </c>
      <c r="M11" s="82" t="n">
        <f aca="false">'Profit &amp; Loss Consolidated'!M12/'Profit &amp; Loss Consolidated'!M13</f>
        <v>0.00523974006205726</v>
      </c>
      <c r="N11" s="82" t="n">
        <f aca="false">'Profit &amp; Loss Consolidated'!N12/'Profit &amp; Loss Consolidated'!N13</f>
        <v>0.0119246799999436</v>
      </c>
      <c r="O11" s="82" t="n">
        <f aca="false">'Profit &amp; Loss Consolidated'!O12/'Profit &amp; Loss Consolidated'!O13</f>
        <v>0.106596825551153</v>
      </c>
      <c r="P11" s="82" t="n">
        <f aca="false">'Profit &amp; Loss Consolidated'!P12/'Profit &amp; Loss Consolidated'!P13</f>
        <v>0.0645736357333862</v>
      </c>
      <c r="Q11" s="132" t="n">
        <f aca="false">'Profit &amp; Loss Consolidated'!Q12/'Profit &amp; Loss Consolidated'!Q13</f>
        <v>0.050709883962291</v>
      </c>
      <c r="R11" s="82" t="n">
        <f aca="false">'Profit &amp; Loss Consolidated'!R12/'Profit &amp; Loss Consolidated'!R13</f>
        <v>0.0505423629434184</v>
      </c>
      <c r="S11" s="259" t="n">
        <f aca="false">R11</f>
        <v>0.0505423629434184</v>
      </c>
      <c r="T11" s="259" t="n">
        <f aca="false">S11</f>
        <v>0.0505423629434184</v>
      </c>
      <c r="U11" s="259" t="n">
        <f aca="false">T11</f>
        <v>0.0505423629434184</v>
      </c>
      <c r="V11" s="132" t="n">
        <f aca="false">'Profit &amp; Loss Consolidated'!V12/'Profit &amp; Loss Consolidated'!V13</f>
        <v>0.049089348052859</v>
      </c>
      <c r="W11" s="259" t="n">
        <f aca="false">R11</f>
        <v>0.0505423629434184</v>
      </c>
      <c r="X11" s="259" t="n">
        <f aca="false">S11</f>
        <v>0.0505423629434184</v>
      </c>
      <c r="Y11" s="259" t="n">
        <f aca="false">T11</f>
        <v>0.0505423629434184</v>
      </c>
      <c r="Z11" s="259" t="n">
        <f aca="false">U11</f>
        <v>0.0505423629434184</v>
      </c>
      <c r="AA11" s="132" t="n">
        <f aca="false">'Profit &amp; Loss Consolidated'!AA12/'Profit &amp; Loss Consolidated'!AA13</f>
        <v>0.0399522154602775</v>
      </c>
      <c r="AB11" s="259" t="n">
        <f aca="false">W11</f>
        <v>0.0505423629434184</v>
      </c>
      <c r="AC11" s="259" t="n">
        <f aca="false">X11</f>
        <v>0.0505423629434184</v>
      </c>
      <c r="AD11" s="259" t="n">
        <f aca="false">Y11</f>
        <v>0.0505423629434184</v>
      </c>
      <c r="AE11" s="259" t="n">
        <f aca="false">Z11</f>
        <v>0.0505423629434184</v>
      </c>
      <c r="AF11" s="132" t="n">
        <f aca="false">'Profit &amp; Loss Consolidated'!AF12/'Profit &amp; Loss Consolidated'!AF13</f>
        <v>0.0324706136848817</v>
      </c>
      <c r="AG11" s="259" t="n">
        <f aca="false">AB11</f>
        <v>0.0505423629434184</v>
      </c>
      <c r="AH11" s="259" t="n">
        <f aca="false">AC11</f>
        <v>0.0505423629434184</v>
      </c>
      <c r="AI11" s="259" t="n">
        <f aca="false">AD11</f>
        <v>0.0505423629434184</v>
      </c>
      <c r="AJ11" s="259" t="n">
        <f aca="false">AE11</f>
        <v>0.0505423629434184</v>
      </c>
      <c r="AK11" s="132" t="n">
        <f aca="false">'Profit &amp; Loss Consolidated'!AK12/'Profit &amp; Loss Consolidated'!AK13</f>
        <v>0.02677201682325</v>
      </c>
      <c r="AL11" s="259" t="n">
        <f aca="false">AG11</f>
        <v>0.0505423629434184</v>
      </c>
      <c r="AM11" s="259" t="n">
        <f aca="false">AH11</f>
        <v>0.0505423629434184</v>
      </c>
      <c r="AN11" s="259" t="n">
        <f aca="false">AI11</f>
        <v>0.0505423629434184</v>
      </c>
      <c r="AO11" s="259" t="n">
        <f aca="false">AJ11</f>
        <v>0.0505423629434184</v>
      </c>
      <c r="AP11" s="132" t="n">
        <f aca="false">'Profit &amp; Loss Consolidated'!AP12/'Profit &amp; Loss Consolidated'!AP13</f>
        <v>0.0224100075358347</v>
      </c>
    </row>
    <row r="12" customFormat="false" ht="15" hidden="false" customHeight="false" outlineLevel="0" collapsed="false">
      <c r="A12" s="95" t="s">
        <v>316</v>
      </c>
      <c r="B12" s="256" t="n">
        <f aca="false">'Profit &amp; Loss Consolidated'!B16/'Profit &amp; Loss Consolidated'!B9</f>
        <v>-0.0305691536419935</v>
      </c>
      <c r="C12" s="145" t="n">
        <f aca="false">'Profit &amp; Loss Consolidated'!C16/'Profit &amp; Loss Consolidated'!C11</f>
        <v>-0.101491244071507</v>
      </c>
      <c r="D12" s="145" t="n">
        <f aca="false">'Profit &amp; Loss Consolidated'!D16/'Profit &amp; Loss Consolidated'!D11</f>
        <v>0.0175833333333333</v>
      </c>
      <c r="E12" s="145" t="n">
        <f aca="false">'Profit &amp; Loss Consolidated'!E16/'Profit &amp; Loss Consolidated'!E11</f>
        <v>-0.0421839515518547</v>
      </c>
      <c r="F12" s="257" t="n">
        <f aca="false">'Profit &amp; Loss Consolidated'!F16/'Profit &amp; Loss Consolidated'!F9</f>
        <v>-0.0784173944038496</v>
      </c>
      <c r="G12" s="256" t="n">
        <f aca="false">'Profit &amp; Loss Consolidated'!G16/'Profit &amp; Loss Consolidated'!G9</f>
        <v>-0.0395739083289634</v>
      </c>
      <c r="H12" s="257" t="n">
        <f aca="false">'Profit &amp; Loss Consolidated'!H16/'Profit &amp; Loss Consolidated'!H9</f>
        <v>-0.0776075135936728</v>
      </c>
      <c r="I12" s="257" t="n">
        <f aca="false">'Profit &amp; Loss Consolidated'!I16/'Profit &amp; Loss Consolidated'!I9</f>
        <v>-0.0490884011035145</v>
      </c>
      <c r="J12" s="257" t="n">
        <f aca="false">'Profit &amp; Loss Consolidated'!J16/'Profit &amp; Loss Consolidated'!J9</f>
        <v>-0.0710434454841935</v>
      </c>
      <c r="K12" s="257" t="n">
        <f aca="false">'Profit &amp; Loss Consolidated'!K16/'Profit &amp; Loss Consolidated'!K9</f>
        <v>0.0688725836037816</v>
      </c>
      <c r="L12" s="256" t="n">
        <f aca="false">'Profit &amp; Loss Consolidated'!L16/'Profit &amp; Loss Consolidated'!L9</f>
        <v>-0.0279121886619467</v>
      </c>
      <c r="M12" s="257" t="n">
        <f aca="false">'Profit &amp; Loss Consolidated'!M16/'Profit &amp; Loss Consolidated'!M9</f>
        <v>-0.0141060286648085</v>
      </c>
      <c r="N12" s="257" t="n">
        <f aca="false">'Profit &amp; Loss Consolidated'!N16/'Profit &amp; Loss Consolidated'!N9</f>
        <v>-0.0802101735838215</v>
      </c>
      <c r="O12" s="257" t="n">
        <f aca="false">'Profit &amp; Loss Consolidated'!O16/'Profit &amp; Loss Consolidated'!O9</f>
        <v>-0.022582520679722</v>
      </c>
      <c r="P12" s="257" t="n">
        <f aca="false">'Profit &amp; Loss Consolidated'!P16/'Profit &amp; Loss Consolidated'!P9</f>
        <v>0.0741341804495701</v>
      </c>
      <c r="Q12" s="256" t="n">
        <f aca="false">'Profit &amp; Loss Consolidated'!Q16/'Profit &amp; Loss Consolidated'!Q9</f>
        <v>-0.00677927726753246</v>
      </c>
      <c r="R12" s="257" t="n">
        <f aca="false">'Profit &amp; Loss Consolidated'!R16/'Profit &amp; Loss Consolidated'!R9</f>
        <v>-0.0123138706438775</v>
      </c>
      <c r="S12" s="258" t="n">
        <f aca="false">N12</f>
        <v>-0.0802101735838215</v>
      </c>
      <c r="T12" s="258" t="n">
        <f aca="false">O12</f>
        <v>-0.022582520679722</v>
      </c>
      <c r="U12" s="258" t="n">
        <f aca="false">P12</f>
        <v>0.0741341804495701</v>
      </c>
      <c r="V12" s="256" t="n">
        <f aca="false">'Profit &amp; Loss Consolidated'!V16/'Profit &amp; Loss Consolidated'!V9</f>
        <v>-0.0101326795666452</v>
      </c>
      <c r="W12" s="258" t="n">
        <f aca="false">R12</f>
        <v>-0.0123138706438775</v>
      </c>
      <c r="X12" s="258" t="n">
        <f aca="false">S12</f>
        <v>-0.0802101735838215</v>
      </c>
      <c r="Y12" s="258" t="n">
        <f aca="false">T12</f>
        <v>-0.022582520679722</v>
      </c>
      <c r="Z12" s="258" t="n">
        <f aca="false">U12</f>
        <v>0.0741341804495701</v>
      </c>
      <c r="AA12" s="256" t="n">
        <f aca="false">'Profit &amp; Loss Consolidated'!AA16/'Profit &amp; Loss Consolidated'!AA9</f>
        <v>-0.0063664065965209</v>
      </c>
      <c r="AB12" s="258" t="n">
        <f aca="false">W12</f>
        <v>-0.0123138706438775</v>
      </c>
      <c r="AC12" s="258" t="n">
        <f aca="false">X12</f>
        <v>-0.0802101735838215</v>
      </c>
      <c r="AD12" s="258" t="n">
        <f aca="false">Y12</f>
        <v>-0.022582520679722</v>
      </c>
      <c r="AE12" s="258" t="n">
        <f aca="false">Z12</f>
        <v>0.0741341804495701</v>
      </c>
      <c r="AF12" s="256" t="n">
        <f aca="false">'Profit &amp; Loss Consolidated'!AF16/'Profit &amp; Loss Consolidated'!AF9</f>
        <v>-0.0063664065965209</v>
      </c>
      <c r="AG12" s="258" t="n">
        <f aca="false">AB12</f>
        <v>-0.0123138706438775</v>
      </c>
      <c r="AH12" s="258" t="n">
        <f aca="false">AC12</f>
        <v>-0.0802101735838215</v>
      </c>
      <c r="AI12" s="258" t="n">
        <f aca="false">AD12</f>
        <v>-0.022582520679722</v>
      </c>
      <c r="AJ12" s="258" t="n">
        <f aca="false">AE12</f>
        <v>0.0741341804495701</v>
      </c>
      <c r="AK12" s="256" t="n">
        <f aca="false">'Profit &amp; Loss Consolidated'!AK16/'Profit &amp; Loss Consolidated'!AK9</f>
        <v>-0.00636640659652089</v>
      </c>
      <c r="AL12" s="258" t="n">
        <f aca="false">AG12</f>
        <v>-0.0123138706438775</v>
      </c>
      <c r="AM12" s="258" t="n">
        <f aca="false">AH12</f>
        <v>-0.0802101735838215</v>
      </c>
      <c r="AN12" s="258" t="n">
        <f aca="false">AI12</f>
        <v>-0.022582520679722</v>
      </c>
      <c r="AO12" s="258" t="n">
        <f aca="false">AJ12</f>
        <v>0.0741341804495701</v>
      </c>
      <c r="AP12" s="256" t="n">
        <f aca="false">'Profit &amp; Loss Consolidated'!AP16/'Profit &amp; Loss Consolidated'!AP9</f>
        <v>-0.0063664065965209</v>
      </c>
    </row>
    <row r="13" customFormat="false" ht="15" hidden="false" customHeight="false" outlineLevel="0" collapsed="false">
      <c r="A13" s="95" t="s">
        <v>120</v>
      </c>
      <c r="B13" s="256" t="n">
        <f aca="false">'Profit &amp; Loss Consolidated'!B17/'Profit &amp; Loss Consolidated'!B9</f>
        <v>0.539445591271011</v>
      </c>
      <c r="C13" s="257" t="n">
        <f aca="false">'Profit &amp; Loss Consolidated'!C17/'Profit &amp; Loss Consolidated'!C11</f>
        <v>0.666089018606348</v>
      </c>
      <c r="D13" s="257" t="n">
        <f aca="false">'Profit &amp; Loss Consolidated'!D17/'Profit &amp; Loss Consolidated'!D11</f>
        <v>0.529520833333333</v>
      </c>
      <c r="E13" s="257" t="n">
        <f aca="false">'Profit &amp; Loss Consolidated'!E17/'Profit &amp; Loss Consolidated'!E11</f>
        <v>0.621612414837245</v>
      </c>
      <c r="F13" s="257" t="n">
        <f aca="false">'Profit &amp; Loss Consolidated'!F17/'Profit &amp; Loss Consolidated'!F9</f>
        <v>0.54125824273748</v>
      </c>
      <c r="G13" s="256" t="n">
        <f aca="false">'Profit &amp; Loss Consolidated'!G17/'Profit &amp; Loss Consolidated'!G9</f>
        <v>0.522424474051426</v>
      </c>
      <c r="H13" s="257" t="n">
        <f aca="false">'Profit &amp; Loss Consolidated'!H17/'Profit &amp; Loss Consolidated'!H9</f>
        <v>0.536137984605607</v>
      </c>
      <c r="I13" s="257" t="n">
        <f aca="false">'Profit &amp; Loss Consolidated'!I17/'Profit &amp; Loss Consolidated'!I9</f>
        <v>0.496176682259806</v>
      </c>
      <c r="J13" s="257" t="n">
        <f aca="false">'Profit &amp; Loss Consolidated'!J17/'Profit &amp; Loss Consolidated'!J9</f>
        <v>0.487503892230289</v>
      </c>
      <c r="K13" s="257" t="n">
        <f aca="false">'Profit &amp; Loss Consolidated'!K17/'Profit &amp; Loss Consolidated'!K9</f>
        <v>0.464343163538874</v>
      </c>
      <c r="L13" s="256" t="n">
        <f aca="false">'Profit &amp; Loss Consolidated'!L17/'Profit &amp; Loss Consolidated'!L9</f>
        <v>0.494132720027897</v>
      </c>
      <c r="M13" s="257" t="n">
        <f aca="false">'Profit &amp; Loss Consolidated'!M17/'Profit &amp; Loss Consolidated'!M9</f>
        <v>0.505440088286478</v>
      </c>
      <c r="N13" s="257" t="n">
        <f aca="false">'Profit &amp; Loss Consolidated'!N17/'Profit &amp; Loss Consolidated'!N9</f>
        <v>0.551816158889903</v>
      </c>
      <c r="O13" s="257" t="n">
        <f aca="false">'Profit &amp; Loss Consolidated'!O17/'Profit &amp; Loss Consolidated'!O9</f>
        <v>0.565739052300536</v>
      </c>
      <c r="P13" s="257" t="n">
        <f aca="false">'Profit &amp; Loss Consolidated'!P17/'Profit &amp; Loss Consolidated'!P9</f>
        <v>0.420128218408665</v>
      </c>
      <c r="Q13" s="256" t="n">
        <f aca="false">'Profit &amp; Loss Consolidated'!Q17/'Profit &amp; Loss Consolidated'!Q9</f>
        <v>0.507104335760066</v>
      </c>
      <c r="R13" s="257" t="n">
        <f aca="false">'Profit &amp; Loss Consolidated'!R17/'Profit &amp; Loss Consolidated'!R9</f>
        <v>0.485430199223428</v>
      </c>
      <c r="S13" s="258" t="n">
        <f aca="false">N13</f>
        <v>0.551816158889903</v>
      </c>
      <c r="T13" s="258" t="n">
        <f aca="false">O13</f>
        <v>0.565739052300536</v>
      </c>
      <c r="U13" s="258" t="n">
        <f aca="false">P13</f>
        <v>0.420128218408665</v>
      </c>
      <c r="V13" s="256" t="n">
        <f aca="false">'Profit &amp; Loss Consolidated'!V17/'Profit &amp; Loss Consolidated'!V9</f>
        <v>0.506863401659521</v>
      </c>
      <c r="W13" s="258" t="n">
        <f aca="false">R13</f>
        <v>0.485430199223428</v>
      </c>
      <c r="X13" s="258" t="n">
        <f aca="false">S13</f>
        <v>0.551816158889903</v>
      </c>
      <c r="Y13" s="258" t="n">
        <f aca="false">T13</f>
        <v>0.565739052300536</v>
      </c>
      <c r="Z13" s="258" t="n">
        <f aca="false">U13</f>
        <v>0.420128218408665</v>
      </c>
      <c r="AA13" s="256" t="n">
        <f aca="false">'Profit &amp; Loss Consolidated'!AA17/'Profit &amp; Loss Consolidated'!AA9</f>
        <v>0.502478626744504</v>
      </c>
      <c r="AB13" s="258" t="n">
        <f aca="false">W13</f>
        <v>0.485430199223428</v>
      </c>
      <c r="AC13" s="258" t="n">
        <f aca="false">X13</f>
        <v>0.551816158889903</v>
      </c>
      <c r="AD13" s="258" t="n">
        <f aca="false">Y13</f>
        <v>0.565739052300536</v>
      </c>
      <c r="AE13" s="258" t="n">
        <f aca="false">Z13</f>
        <v>0.420128218408665</v>
      </c>
      <c r="AF13" s="256" t="n">
        <f aca="false">'Profit &amp; Loss Consolidated'!AF17/'Profit &amp; Loss Consolidated'!AF9</f>
        <v>0.502478626744504</v>
      </c>
      <c r="AG13" s="258" t="n">
        <f aca="false">AB13</f>
        <v>0.485430199223428</v>
      </c>
      <c r="AH13" s="258" t="n">
        <f aca="false">AC13</f>
        <v>0.551816158889903</v>
      </c>
      <c r="AI13" s="258" t="n">
        <f aca="false">AD13</f>
        <v>0.565739052300536</v>
      </c>
      <c r="AJ13" s="258" t="n">
        <f aca="false">AE13</f>
        <v>0.420128218408665</v>
      </c>
      <c r="AK13" s="256" t="n">
        <f aca="false">'Profit &amp; Loss Consolidated'!AK17/'Profit &amp; Loss Consolidated'!AK9</f>
        <v>0.502478626744504</v>
      </c>
      <c r="AL13" s="258" t="n">
        <f aca="false">AG13</f>
        <v>0.485430199223428</v>
      </c>
      <c r="AM13" s="258" t="n">
        <f aca="false">AH13</f>
        <v>0.551816158889903</v>
      </c>
      <c r="AN13" s="258" t="n">
        <f aca="false">AI13</f>
        <v>0.565739052300536</v>
      </c>
      <c r="AO13" s="258" t="n">
        <f aca="false">AJ13</f>
        <v>0.420128218408665</v>
      </c>
      <c r="AP13" s="256" t="n">
        <f aca="false">'Profit &amp; Loss Consolidated'!AP17/'Profit &amp; Loss Consolidated'!AP9</f>
        <v>0.502478626744504</v>
      </c>
    </row>
    <row r="14" customFormat="false" ht="15" hidden="false" customHeight="false" outlineLevel="0" collapsed="false">
      <c r="A14" s="95" t="s">
        <v>317</v>
      </c>
      <c r="B14" s="256" t="n">
        <f aca="false">'Profit &amp; Loss Consolidated'!B18/'Profit &amp; Loss Consolidated'!B9</f>
        <v>0.0535830138602182</v>
      </c>
      <c r="C14" s="260" t="n">
        <v>0</v>
      </c>
      <c r="D14" s="73" t="n">
        <v>0</v>
      </c>
      <c r="E14" s="73" t="n">
        <v>0</v>
      </c>
      <c r="F14" s="257" t="n">
        <f aca="false">'Profit &amp; Loss Consolidated'!F18/'Profit &amp; Loss Consolidated'!F9</f>
        <v>0.0588130458028872</v>
      </c>
      <c r="G14" s="256" t="n">
        <f aca="false">'Profit &amp; Loss Consolidated'!G18/'Profit &amp; Loss Consolidated'!G9</f>
        <v>0.0600430180160162</v>
      </c>
      <c r="H14" s="257" t="n">
        <f aca="false">'Profit &amp; Loss Consolidated'!H18/'Profit &amp; Loss Consolidated'!H9</f>
        <v>0.0582939057976132</v>
      </c>
      <c r="I14" s="257" t="n">
        <f aca="false">'Profit &amp; Loss Consolidated'!I18/'Profit &amp; Loss Consolidated'!I9</f>
        <v>0.0678601415377234</v>
      </c>
      <c r="J14" s="257" t="n">
        <f aca="false">'Profit &amp; Loss Consolidated'!J18/'Profit &amp; Loss Consolidated'!J9</f>
        <v>0.0799750897261509</v>
      </c>
      <c r="K14" s="257" t="n">
        <f aca="false">'Profit &amp; Loss Consolidated'!K18/'Profit &amp; Loss Consolidated'!K9</f>
        <v>0.0485254691689008</v>
      </c>
      <c r="L14" s="256" t="n">
        <f aca="false">'Profit &amp; Loss Consolidated'!L18/'Profit &amp; Loss Consolidated'!L9</f>
        <v>0.0632647543970317</v>
      </c>
      <c r="M14" s="257" t="n">
        <f aca="false">'Profit &amp; Loss Consolidated'!M18/'Profit &amp; Loss Consolidated'!M9</f>
        <v>0.0306172979244189</v>
      </c>
      <c r="N14" s="257" t="n">
        <f aca="false">'Profit &amp; Loss Consolidated'!N18/'Profit &amp; Loss Consolidated'!N9</f>
        <v>0.027680590298257</v>
      </c>
      <c r="O14" s="257" t="n">
        <f aca="false">'Profit &amp; Loss Consolidated'!O18/'Profit &amp; Loss Consolidated'!O9</f>
        <v>0.0207986468987024</v>
      </c>
      <c r="P14" s="257" t="n">
        <f aca="false">'Profit &amp; Loss Consolidated'!P18/'Profit &amp; Loss Consolidated'!P9</f>
        <v>0.0480416191890243</v>
      </c>
      <c r="Q14" s="256" t="n">
        <f aca="false">'Profit &amp; Loss Consolidated'!Q18/'Profit &amp; Loss Consolidated'!Q9</f>
        <v>0.0324436840660482</v>
      </c>
      <c r="R14" s="257" t="n">
        <f aca="false">'Profit &amp; Loss Consolidated'!R18/'Profit &amp; Loss Consolidated'!R9</f>
        <v>0.0365908238681037</v>
      </c>
      <c r="S14" s="258" t="n">
        <f aca="false">N14</f>
        <v>0.027680590298257</v>
      </c>
      <c r="T14" s="258" t="n">
        <f aca="false">O14</f>
        <v>0.0207986468987024</v>
      </c>
      <c r="U14" s="258" t="n">
        <f aca="false">P14</f>
        <v>0.0480416191890243</v>
      </c>
      <c r="V14" s="256" t="n">
        <f aca="false">'Profit &amp; Loss Consolidated'!V18/'Profit &amp; Loss Consolidated'!V9</f>
        <v>0.0331012714732687</v>
      </c>
      <c r="W14" s="258" t="n">
        <f aca="false">R14</f>
        <v>0.0365908238681037</v>
      </c>
      <c r="X14" s="258" t="n">
        <f aca="false">S14</f>
        <v>0.027680590298257</v>
      </c>
      <c r="Y14" s="258" t="n">
        <f aca="false">T14</f>
        <v>0.0207986468987024</v>
      </c>
      <c r="Z14" s="258" t="n">
        <f aca="false">U14</f>
        <v>0.0480416191890243</v>
      </c>
      <c r="AA14" s="256" t="n">
        <f aca="false">'Profit &amp; Loss Consolidated'!AA18/'Profit &amp; Loss Consolidated'!AA9</f>
        <v>0.0338247992442992</v>
      </c>
      <c r="AB14" s="258" t="n">
        <f aca="false">W14</f>
        <v>0.0365908238681037</v>
      </c>
      <c r="AC14" s="258" t="n">
        <f aca="false">X14</f>
        <v>0.027680590298257</v>
      </c>
      <c r="AD14" s="258" t="n">
        <f aca="false">Y14</f>
        <v>0.0207986468987024</v>
      </c>
      <c r="AE14" s="258" t="n">
        <f aca="false">Z14</f>
        <v>0.0480416191890243</v>
      </c>
      <c r="AF14" s="256" t="n">
        <f aca="false">'Profit &amp; Loss Consolidated'!AF18/'Profit &amp; Loss Consolidated'!AF9</f>
        <v>0.0338247992442992</v>
      </c>
      <c r="AG14" s="258" t="n">
        <f aca="false">AB14</f>
        <v>0.0365908238681037</v>
      </c>
      <c r="AH14" s="258" t="n">
        <f aca="false">AC14</f>
        <v>0.027680590298257</v>
      </c>
      <c r="AI14" s="258" t="n">
        <f aca="false">AD14</f>
        <v>0.0207986468987024</v>
      </c>
      <c r="AJ14" s="258" t="n">
        <f aca="false">AE14</f>
        <v>0.0480416191890243</v>
      </c>
      <c r="AK14" s="256" t="n">
        <f aca="false">'Profit &amp; Loss Consolidated'!AK18/'Profit &amp; Loss Consolidated'!AK9</f>
        <v>0.0338247992442992</v>
      </c>
      <c r="AL14" s="258" t="n">
        <f aca="false">AG14</f>
        <v>0.0365908238681037</v>
      </c>
      <c r="AM14" s="258" t="n">
        <f aca="false">AH14</f>
        <v>0.027680590298257</v>
      </c>
      <c r="AN14" s="258" t="n">
        <f aca="false">AI14</f>
        <v>0.0207986468987024</v>
      </c>
      <c r="AO14" s="258" t="n">
        <f aca="false">AJ14</f>
        <v>0.0480416191890243</v>
      </c>
      <c r="AP14" s="256" t="n">
        <f aca="false">'Profit &amp; Loss Consolidated'!AP18/'Profit &amp; Loss Consolidated'!AP9</f>
        <v>0.0338247992442992</v>
      </c>
    </row>
    <row r="15" customFormat="false" ht="15" hidden="false" customHeight="false" outlineLevel="0" collapsed="false">
      <c r="A15" s="95" t="s">
        <v>121</v>
      </c>
      <c r="B15" s="256" t="n">
        <f aca="false">'Profit &amp; Loss Consolidated'!B19/'Profit &amp; Loss Consolidated'!B9</f>
        <v>0.0604069595989384</v>
      </c>
      <c r="C15" s="257" t="n">
        <f aca="false">'Profit &amp; Loss Consolidated'!C19/'Profit &amp; Loss Consolidated'!C11</f>
        <v>0.0588288945640277</v>
      </c>
      <c r="D15" s="257" t="n">
        <f aca="false">'Profit &amp; Loss Consolidated'!D19/'Profit &amp; Loss Consolidated'!D11</f>
        <v>0.0600208333333333</v>
      </c>
      <c r="E15" s="257" t="n">
        <f aca="false">'Profit &amp; Loss Consolidated'!E19/'Profit &amp; Loss Consolidated'!E11</f>
        <v>0.0497161241483724</v>
      </c>
      <c r="F15" s="257" t="n">
        <f aca="false">'Profit &amp; Loss Consolidated'!F19/'Profit &amp; Loss Consolidated'!F9</f>
        <v>0.0787738371056853</v>
      </c>
      <c r="G15" s="256" t="n">
        <f aca="false">'Profit &amp; Loss Consolidated'!G19/'Profit &amp; Loss Consolidated'!G9</f>
        <v>0.0668467972020514</v>
      </c>
      <c r="H15" s="257" t="n">
        <f aca="false">'Profit &amp; Loss Consolidated'!H19/'Profit &amp; Loss Consolidated'!H9</f>
        <v>0.0780841748464092</v>
      </c>
      <c r="I15" s="257" t="n">
        <f aca="false">'Profit &amp; Loss Consolidated'!I19/'Profit &amp; Loss Consolidated'!I9</f>
        <v>0.0739024829075207</v>
      </c>
      <c r="J15" s="257" t="n">
        <f aca="false">'Profit &amp; Loss Consolidated'!J19/'Profit &amp; Loss Consolidated'!J9</f>
        <v>0.081597535193956</v>
      </c>
      <c r="K15" s="257" t="n">
        <f aca="false">'Profit &amp; Loss Consolidated'!K19/'Profit &amp; Loss Consolidated'!K9</f>
        <v>0.0701142937773388</v>
      </c>
      <c r="L15" s="256" t="n">
        <f aca="false">'Profit &amp; Loss Consolidated'!L19/'Profit &amp; Loss Consolidated'!L9</f>
        <v>0.075618366251484</v>
      </c>
      <c r="M15" s="257" t="n">
        <f aca="false">'Profit &amp; Loss Consolidated'!M19/'Profit &amp; Loss Consolidated'!M9</f>
        <v>0.0811697958375189</v>
      </c>
      <c r="N15" s="257" t="n">
        <f aca="false">'Profit &amp; Loss Consolidated'!N19/'Profit &amp; Loss Consolidated'!N9</f>
        <v>0.0814395011968679</v>
      </c>
      <c r="O15" s="257" t="n">
        <f aca="false">'Profit &amp; Loss Consolidated'!O19/'Profit &amp; Loss Consolidated'!O9</f>
        <v>0.0863659187610666</v>
      </c>
      <c r="P15" s="257" t="n">
        <f aca="false">'Profit &amp; Loss Consolidated'!P19/'Profit &amp; Loss Consolidated'!P9</f>
        <v>0.0711071210708654</v>
      </c>
      <c r="Q15" s="256" t="n">
        <f aca="false">'Profit &amp; Loss Consolidated'!Q19/'Profit &amp; Loss Consolidated'!Q9</f>
        <v>0.0796597797454696</v>
      </c>
      <c r="R15" s="257" t="n">
        <f aca="false">'Profit &amp; Loss Consolidated'!R19/'Profit &amp; Loss Consolidated'!R9</f>
        <v>0.0835359436803716</v>
      </c>
      <c r="S15" s="258" t="n">
        <f aca="false">N15</f>
        <v>0.0814395011968679</v>
      </c>
      <c r="T15" s="258" t="n">
        <f aca="false">O15</f>
        <v>0.0863659187610666</v>
      </c>
      <c r="U15" s="258" t="n">
        <f aca="false">P15</f>
        <v>0.0711071210708654</v>
      </c>
      <c r="V15" s="256" t="n">
        <f aca="false">'Profit &amp; Loss Consolidated'!V19/'Profit &amp; Loss Consolidated'!V9</f>
        <v>0.08045621893751</v>
      </c>
      <c r="W15" s="258" t="n">
        <f aca="false">R15</f>
        <v>0.0835359436803716</v>
      </c>
      <c r="X15" s="258" t="n">
        <f aca="false">S15</f>
        <v>0.0814395011968679</v>
      </c>
      <c r="Y15" s="258" t="n">
        <f aca="false">T15</f>
        <v>0.0863659187610666</v>
      </c>
      <c r="Z15" s="258" t="n">
        <f aca="false">U15</f>
        <v>0.0711071210708654</v>
      </c>
      <c r="AA15" s="256" t="n">
        <f aca="false">'Profit &amp; Loss Consolidated'!AA19/'Profit &amp; Loss Consolidated'!AA9</f>
        <v>0.0802071057337266</v>
      </c>
      <c r="AB15" s="258" t="n">
        <f aca="false">W15</f>
        <v>0.0835359436803716</v>
      </c>
      <c r="AC15" s="258" t="n">
        <f aca="false">X15</f>
        <v>0.0814395011968679</v>
      </c>
      <c r="AD15" s="258" t="n">
        <f aca="false">Y15</f>
        <v>0.0863659187610666</v>
      </c>
      <c r="AE15" s="258" t="n">
        <f aca="false">Z15</f>
        <v>0.0711071210708654</v>
      </c>
      <c r="AF15" s="256" t="n">
        <f aca="false">'Profit &amp; Loss Consolidated'!AF19/'Profit &amp; Loss Consolidated'!AF9</f>
        <v>0.0802071057337266</v>
      </c>
      <c r="AG15" s="258" t="n">
        <f aca="false">AB15</f>
        <v>0.0835359436803716</v>
      </c>
      <c r="AH15" s="258" t="n">
        <f aca="false">AC15</f>
        <v>0.0814395011968679</v>
      </c>
      <c r="AI15" s="258" t="n">
        <f aca="false">AD15</f>
        <v>0.0863659187610666</v>
      </c>
      <c r="AJ15" s="258" t="n">
        <f aca="false">AE15</f>
        <v>0.0711071210708654</v>
      </c>
      <c r="AK15" s="256" t="n">
        <f aca="false">'Profit &amp; Loss Consolidated'!AK19/'Profit &amp; Loss Consolidated'!AK9</f>
        <v>0.0802071057337266</v>
      </c>
      <c r="AL15" s="258" t="n">
        <f aca="false">AG15</f>
        <v>0.0835359436803716</v>
      </c>
      <c r="AM15" s="258" t="n">
        <f aca="false">AH15</f>
        <v>0.0814395011968679</v>
      </c>
      <c r="AN15" s="258" t="n">
        <f aca="false">AI15</f>
        <v>0.0863659187610666</v>
      </c>
      <c r="AO15" s="258" t="n">
        <f aca="false">AJ15</f>
        <v>0.0711071210708654</v>
      </c>
      <c r="AP15" s="256" t="n">
        <f aca="false">'Profit &amp; Loss Consolidated'!AP19/'Profit &amp; Loss Consolidated'!AP9</f>
        <v>0.0802071057337266</v>
      </c>
    </row>
    <row r="16" customFormat="false" ht="15" hidden="false" customHeight="false" outlineLevel="0" collapsed="false">
      <c r="A16" s="95" t="s">
        <v>304</v>
      </c>
      <c r="B16" s="256" t="n">
        <f aca="false">'Profit &amp; Loss Consolidated'!B20/'Profit &amp; Loss Consolidated'!B9</f>
        <v>0.0425420230020643</v>
      </c>
      <c r="C16" s="257" t="n">
        <f aca="false">'Profit &amp; Loss Consolidated'!C20/'Profit &amp; Loss Consolidated'!C11</f>
        <v>0.0325611090842758</v>
      </c>
      <c r="D16" s="257" t="n">
        <f aca="false">'Profit &amp; Loss Consolidated'!D20/'Profit &amp; Loss Consolidated'!D11</f>
        <v>0.0312291666666667</v>
      </c>
      <c r="E16" s="257" t="n">
        <f aca="false">'Profit &amp; Loss Consolidated'!E20/'Profit &amp; Loss Consolidated'!E11</f>
        <v>0.0308289174867525</v>
      </c>
      <c r="F16" s="257" t="n">
        <f aca="false">'Profit &amp; Loss Consolidated'!F20/'Profit &amp; Loss Consolidated'!F9</f>
        <v>0.0417037961147746</v>
      </c>
      <c r="G16" s="256" t="n">
        <f aca="false">'Profit &amp; Loss Consolidated'!G20/'Profit &amp; Loss Consolidated'!G9</f>
        <v>0.0443156669125686</v>
      </c>
      <c r="H16" s="257" t="n">
        <f aca="false">'Profit &amp; Loss Consolidated'!H20/'Profit &amp; Loss Consolidated'!H9</f>
        <v>0.0412223713014618</v>
      </c>
      <c r="I16" s="257" t="n">
        <f aca="false">'Profit &amp; Loss Consolidated'!I20/'Profit &amp; Loss Consolidated'!I9</f>
        <v>0.0374085402422934</v>
      </c>
      <c r="J16" s="257" t="n">
        <f aca="false">'Profit &amp; Loss Consolidated'!J20/'Profit &amp; Loss Consolidated'!J9</f>
        <v>0.0419541454301119</v>
      </c>
      <c r="K16" s="257" t="n">
        <f aca="false">'Profit &amp; Loss Consolidated'!K20/'Profit &amp; Loss Consolidated'!K9</f>
        <v>0.0373641879497672</v>
      </c>
      <c r="L16" s="256" t="n">
        <f aca="false">'Profit &amp; Loss Consolidated'!L20/'Profit &amp; Loss Consolidated'!L9</f>
        <v>0.0393293865509013</v>
      </c>
      <c r="M16" s="257" t="n">
        <f aca="false">'Profit &amp; Loss Consolidated'!M20/'Profit &amp; Loss Consolidated'!M9</f>
        <v>0.0382574739314365</v>
      </c>
      <c r="N16" s="257" t="n">
        <f aca="false">'Profit &amp; Loss Consolidated'!N20/'Profit &amp; Loss Consolidated'!N9</f>
        <v>0.0398219270608158</v>
      </c>
      <c r="O16" s="257" t="n">
        <f aca="false">'Profit &amp; Loss Consolidated'!O20/'Profit &amp; Loss Consolidated'!O9</f>
        <v>0.0410687386030286</v>
      </c>
      <c r="P16" s="257" t="n">
        <f aca="false">'Profit &amp; Loss Consolidated'!P20/'Profit &amp; Loss Consolidated'!P9</f>
        <v>0.0404797256080016</v>
      </c>
      <c r="Q16" s="256" t="n">
        <f aca="false">'Profit &amp; Loss Consolidated'!Q20/'Profit &amp; Loss Consolidated'!Q9</f>
        <v>0.0399558561733139</v>
      </c>
      <c r="R16" s="257" t="n">
        <f aca="false">'Profit &amp; Loss Consolidated'!R20/'Profit &amp; Loss Consolidated'!R9</f>
        <v>0.0402317620447315</v>
      </c>
      <c r="S16" s="258"/>
      <c r="T16" s="258"/>
      <c r="U16" s="258"/>
      <c r="V16" s="256" t="n">
        <f aca="false">'Profit &amp; Loss Consolidated'!V20/'Profit &amp; Loss Consolidated'!V9</f>
        <v>0.0307327154638869</v>
      </c>
      <c r="W16" s="258"/>
      <c r="X16" s="258"/>
      <c r="Y16" s="258"/>
      <c r="Z16" s="258"/>
      <c r="AA16" s="256" t="n">
        <f aca="false">'Profit &amp; Loss Consolidated'!AA20/'Profit &amp; Loss Consolidated'!AA9</f>
        <v>0.0277942223366752</v>
      </c>
      <c r="AB16" s="258"/>
      <c r="AC16" s="258"/>
      <c r="AD16" s="258"/>
      <c r="AE16" s="258"/>
      <c r="AF16" s="256" t="n">
        <f aca="false">'Profit &amp; Loss Consolidated'!AF20/'Profit &amp; Loss Consolidated'!AF9</f>
        <v>0.0252185340261127</v>
      </c>
      <c r="AG16" s="258"/>
      <c r="AH16" s="258"/>
      <c r="AI16" s="258"/>
      <c r="AJ16" s="258"/>
      <c r="AK16" s="256" t="n">
        <f aca="false">'Profit &amp; Loss Consolidated'!AK20/'Profit &amp; Loss Consolidated'!AK9</f>
        <v>0.0233266432389527</v>
      </c>
      <c r="AL16" s="258"/>
      <c r="AM16" s="258"/>
      <c r="AN16" s="258"/>
      <c r="AO16" s="258"/>
      <c r="AP16" s="256" t="n">
        <f aca="false">'Profit &amp; Loss Consolidated'!AP20/'Profit &amp; Loss Consolidated'!AP9</f>
        <v>0.0222231356914479</v>
      </c>
    </row>
    <row r="17" customFormat="false" ht="15" hidden="false" customHeight="false" outlineLevel="0" collapsed="false">
      <c r="A17" s="95" t="s">
        <v>122</v>
      </c>
      <c r="B17" s="256" t="n">
        <f aca="false">'Profit &amp; Loss Consolidated'!B21/'Profit &amp; Loss Consolidated'!B9</f>
        <v>0.212356237098201</v>
      </c>
      <c r="C17" s="257" t="n">
        <f aca="false">'Profit &amp; Loss Consolidated'!C21/'Profit &amp; Loss Consolidated'!C11</f>
        <v>0.2263544326888</v>
      </c>
      <c r="D17" s="257" t="n">
        <f aca="false">'Profit &amp; Loss Consolidated'!D21/'Profit &amp; Loss Consolidated'!D11</f>
        <v>0.2489375</v>
      </c>
      <c r="E17" s="257" t="n">
        <f aca="false">'Profit &amp; Loss Consolidated'!E21/'Profit &amp; Loss Consolidated'!E11</f>
        <v>0.222350492051476</v>
      </c>
      <c r="F17" s="257" t="n">
        <f aca="false">'Profit &amp; Loss Consolidated'!F21/'Profit &amp; Loss Consolidated'!F9</f>
        <v>0.224380680805561</v>
      </c>
      <c r="G17" s="256" t="n">
        <f aca="false">'Profit &amp; Loss Consolidated'!G21/'Profit &amp; Loss Consolidated'!G9</f>
        <v>0.199393837047044</v>
      </c>
      <c r="H17" s="257" t="n">
        <f aca="false">'Profit &amp; Loss Consolidated'!H21/'Profit &amp; Loss Consolidated'!H9</f>
        <v>0.222212414377516</v>
      </c>
      <c r="I17" s="257" t="n">
        <f aca="false">'Profit &amp; Loss Consolidated'!I21/'Profit &amp; Loss Consolidated'!I9</f>
        <v>0.213296149694135</v>
      </c>
      <c r="J17" s="257" t="n">
        <f aca="false">'Profit &amp; Loss Consolidated'!J21/'Profit &amp; Loss Consolidated'!J9</f>
        <v>0.226257395237549</v>
      </c>
      <c r="K17" s="257" t="n">
        <f aca="false">'Profit &amp; Loss Consolidated'!K21/'Profit &amp; Loss Consolidated'!K9</f>
        <v>0.203428813320164</v>
      </c>
      <c r="L17" s="256" t="n">
        <f aca="false">'Profit &amp; Loss Consolidated'!L21/'Profit &amp; Loss Consolidated'!L9</f>
        <v>0.215633803368739</v>
      </c>
      <c r="M17" s="257" t="n">
        <f aca="false">'Profit &amp; Loss Consolidated'!M21/'Profit &amp; Loss Consolidated'!M9</f>
        <v>0.201573310318482</v>
      </c>
      <c r="N17" s="257" t="n">
        <f aca="false">'Profit &amp; Loss Consolidated'!N21/'Profit &amp; Loss Consolidated'!N9</f>
        <v>0.22667972424386</v>
      </c>
      <c r="O17" s="257" t="n">
        <f aca="false">'Profit &amp; Loss Consolidated'!O21/'Profit &amp; Loss Consolidated'!O9</f>
        <v>0.228454768889241</v>
      </c>
      <c r="P17" s="257" t="n">
        <f aca="false">'Profit &amp; Loss Consolidated'!P21/'Profit &amp; Loss Consolidated'!P9</f>
        <v>0.229975944661211</v>
      </c>
      <c r="Q17" s="256" t="n">
        <f aca="false">'Profit &amp; Loss Consolidated'!Q21/'Profit &amp; Loss Consolidated'!Q9</f>
        <v>0.222250360149105</v>
      </c>
      <c r="R17" s="257" t="n">
        <f aca="false">'Profit &amp; Loss Consolidated'!R21/'Profit &amp; Loss Consolidated'!R9</f>
        <v>0.20153379056743</v>
      </c>
      <c r="S17" s="258" t="n">
        <f aca="false">N17</f>
        <v>0.22667972424386</v>
      </c>
      <c r="T17" s="258" t="n">
        <f aca="false">O17</f>
        <v>0.228454768889241</v>
      </c>
      <c r="U17" s="258" t="n">
        <f aca="false">P17</f>
        <v>0.229975944661211</v>
      </c>
      <c r="V17" s="256" t="n">
        <f aca="false">'Profit &amp; Loss Consolidated'!V21/'Profit &amp; Loss Consolidated'!V9</f>
        <v>0.222734270641648</v>
      </c>
      <c r="W17" s="258" t="n">
        <f aca="false">R17</f>
        <v>0.20153379056743</v>
      </c>
      <c r="X17" s="258" t="n">
        <f aca="false">S17</f>
        <v>0.22667972424386</v>
      </c>
      <c r="Y17" s="258" t="n">
        <f aca="false">T17</f>
        <v>0.228454768889241</v>
      </c>
      <c r="Z17" s="258" t="n">
        <f aca="false">U17</f>
        <v>0.229975944661211</v>
      </c>
      <c r="AA17" s="256" t="n">
        <f aca="false">'Profit &amp; Loss Consolidated'!AA21/'Profit &amp; Loss Consolidated'!AA9</f>
        <v>0.222241157355926</v>
      </c>
      <c r="AB17" s="258" t="n">
        <f aca="false">W17</f>
        <v>0.20153379056743</v>
      </c>
      <c r="AC17" s="258" t="n">
        <f aca="false">X17</f>
        <v>0.22667972424386</v>
      </c>
      <c r="AD17" s="258" t="n">
        <f aca="false">Y17</f>
        <v>0.228454768889241</v>
      </c>
      <c r="AE17" s="258" t="n">
        <f aca="false">Z17</f>
        <v>0.229975944661211</v>
      </c>
      <c r="AF17" s="256" t="n">
        <f aca="false">'Profit &amp; Loss Consolidated'!AF21/'Profit &amp; Loss Consolidated'!AF9</f>
        <v>0.222241157355926</v>
      </c>
      <c r="AG17" s="258" t="n">
        <f aca="false">AB17</f>
        <v>0.20153379056743</v>
      </c>
      <c r="AH17" s="258" t="n">
        <f aca="false">AC17</f>
        <v>0.22667972424386</v>
      </c>
      <c r="AI17" s="258" t="n">
        <f aca="false">AD17</f>
        <v>0.228454768889241</v>
      </c>
      <c r="AJ17" s="258" t="n">
        <f aca="false">AE17</f>
        <v>0.229975944661211</v>
      </c>
      <c r="AK17" s="256" t="n">
        <f aca="false">'Profit &amp; Loss Consolidated'!AK21/'Profit &amp; Loss Consolidated'!AK9</f>
        <v>0.222241157355926</v>
      </c>
      <c r="AL17" s="258" t="n">
        <f aca="false">AG17</f>
        <v>0.20153379056743</v>
      </c>
      <c r="AM17" s="258" t="n">
        <f aca="false">AH17</f>
        <v>0.22667972424386</v>
      </c>
      <c r="AN17" s="258" t="n">
        <f aca="false">AI17</f>
        <v>0.228454768889241</v>
      </c>
      <c r="AO17" s="258" t="n">
        <f aca="false">AJ17</f>
        <v>0.229975944661211</v>
      </c>
      <c r="AP17" s="256" t="n">
        <f aca="false">'Profit &amp; Loss Consolidated'!AP21/'Profit &amp; Loss Consolidated'!AP9</f>
        <v>0.222241157355926</v>
      </c>
    </row>
    <row r="18" customFormat="false" ht="15" hidden="false" customHeight="false" outlineLevel="0" collapsed="false">
      <c r="B18" s="256"/>
      <c r="C18" s="257"/>
      <c r="D18" s="257"/>
      <c r="E18" s="257"/>
      <c r="F18" s="257"/>
      <c r="G18" s="256"/>
      <c r="H18" s="257"/>
      <c r="I18" s="257"/>
      <c r="J18" s="257"/>
      <c r="K18" s="257"/>
      <c r="L18" s="256"/>
      <c r="M18" s="257"/>
      <c r="N18" s="257"/>
      <c r="O18" s="257"/>
      <c r="P18" s="257"/>
      <c r="Q18" s="256"/>
      <c r="R18" s="257"/>
      <c r="S18" s="258"/>
      <c r="T18" s="258"/>
      <c r="U18" s="258"/>
      <c r="V18" s="256"/>
      <c r="W18" s="258"/>
      <c r="X18" s="258"/>
      <c r="Y18" s="258"/>
      <c r="Z18" s="258"/>
      <c r="AA18" s="256"/>
      <c r="AB18" s="258"/>
      <c r="AC18" s="258"/>
      <c r="AD18" s="258"/>
      <c r="AE18" s="258"/>
      <c r="AF18" s="256"/>
      <c r="AG18" s="258"/>
      <c r="AH18" s="258"/>
      <c r="AI18" s="258"/>
      <c r="AJ18" s="258"/>
      <c r="AK18" s="256"/>
      <c r="AL18" s="258"/>
      <c r="AM18" s="258"/>
      <c r="AN18" s="258"/>
      <c r="AO18" s="258"/>
      <c r="AP18" s="256"/>
    </row>
    <row r="19" customFormat="false" ht="15" hidden="false" customHeight="false" outlineLevel="0" collapsed="false">
      <c r="A19" s="95"/>
      <c r="B19" s="108"/>
      <c r="C19" s="145"/>
      <c r="D19" s="145"/>
      <c r="E19" s="145"/>
      <c r="F19" s="145"/>
      <c r="G19" s="108"/>
      <c r="H19" s="145"/>
      <c r="I19" s="145"/>
      <c r="J19" s="145"/>
      <c r="K19" s="145"/>
      <c r="L19" s="108"/>
      <c r="M19" s="145"/>
      <c r="N19" s="145"/>
      <c r="O19" s="145"/>
      <c r="P19" s="145"/>
      <c r="Q19" s="108"/>
      <c r="R19" s="145"/>
      <c r="S19" s="261"/>
      <c r="T19" s="262"/>
      <c r="U19" s="262"/>
      <c r="V19" s="64"/>
      <c r="W19" s="262"/>
      <c r="X19" s="262"/>
      <c r="Y19" s="262"/>
      <c r="Z19" s="262"/>
      <c r="AA19" s="64"/>
      <c r="AB19" s="262"/>
      <c r="AC19" s="262"/>
      <c r="AD19" s="262"/>
      <c r="AE19" s="262"/>
      <c r="AF19" s="64"/>
      <c r="AG19" s="262"/>
      <c r="AH19" s="262"/>
      <c r="AI19" s="262"/>
      <c r="AJ19" s="262"/>
      <c r="AK19" s="64"/>
      <c r="AL19" s="262"/>
      <c r="AM19" s="262"/>
      <c r="AN19" s="262"/>
      <c r="AO19" s="262"/>
      <c r="AP19" s="64"/>
    </row>
    <row r="20" customFormat="false" ht="15" hidden="false" customHeight="false" outlineLevel="0" collapsed="false">
      <c r="A20" s="0" t="s">
        <v>318</v>
      </c>
      <c r="B20" s="108" t="n">
        <f aca="false">'Profit &amp; Loss Consolidated'!B42/'Profit &amp; Loss Consolidated'!B32</f>
        <v>0.278071065989848</v>
      </c>
      <c r="C20" s="145" t="n">
        <f aca="false">'Profit &amp; Loss Consolidated'!C42/'Profit &amp; Loss Consolidated'!C32</f>
        <v>0.284670090873172</v>
      </c>
      <c r="D20" s="145" t="n">
        <f aca="false">'Profit &amp; Loss Consolidated'!D42/'Profit &amp; Loss Consolidated'!D32</f>
        <v>0.0977542932628798</v>
      </c>
      <c r="E20" s="145" t="n">
        <f aca="false">'Profit &amp; Loss Consolidated'!E42/'Profit &amp; Loss Consolidated'!E32</f>
        <v>0.126670540383498</v>
      </c>
      <c r="F20" s="145" t="n">
        <f aca="false">'Profit &amp; Loss Consolidated'!F42/'Profit &amp; Loss Consolidated'!F32</f>
        <v>0.101449275362319</v>
      </c>
      <c r="G20" s="108" t="n">
        <f aca="false">'Profit &amp; Loss Consolidated'!G42/'Profit &amp; Loss Consolidated'!G32</f>
        <v>0.0211704292219746</v>
      </c>
      <c r="H20" s="145" t="n">
        <f aca="false">'Profit &amp; Loss Consolidated'!H42/'Profit &amp; Loss Consolidated'!H32</f>
        <v>0.101535341830823</v>
      </c>
      <c r="I20" s="145" t="n">
        <f aca="false">'Profit &amp; Loss Consolidated'!I42/'Profit &amp; Loss Consolidated'!I32</f>
        <v>0.256502028155571</v>
      </c>
      <c r="J20" s="145" t="n">
        <f aca="false">'Profit &amp; Loss Consolidated'!J42/'Profit &amp; Loss Consolidated'!J32</f>
        <v>0.266787658802178</v>
      </c>
      <c r="K20" s="145" t="n">
        <f aca="false">'Profit &amp; Loss Consolidated'!K42/'Profit &amp; Loss Consolidated'!K32</f>
        <v>0.113935368501724</v>
      </c>
      <c r="L20" s="108" t="n">
        <f aca="false">'Profit &amp; Loss Consolidated'!L42/'Profit &amp; Loss Consolidated'!L32</f>
        <v>0.18371264052646</v>
      </c>
      <c r="M20" s="145" t="n">
        <f aca="false">'Profit &amp; Loss Consolidated'!M42/'Profit &amp; Loss Consolidated'!M32</f>
        <v>0.251477944520238</v>
      </c>
      <c r="N20" s="145" t="n">
        <f aca="false">'Profit &amp; Loss Consolidated'!N42/'Profit &amp; Loss Consolidated'!N32</f>
        <v>-0.82970268588117</v>
      </c>
      <c r="O20" s="145" t="n">
        <f aca="false">'Profit &amp; Loss Consolidated'!O42/'Profit &amp; Loss Consolidated'!O32</f>
        <v>0.158787878787878</v>
      </c>
      <c r="P20" s="145" t="n">
        <f aca="false">'Profit &amp; Loss Consolidated'!P42/'Profit &amp; Loss Consolidated'!P32</f>
        <v>0.0070737155621742</v>
      </c>
      <c r="Q20" s="108" t="n">
        <f aca="false">'Profit &amp; Loss Consolidated'!Q42/'Profit &amp; Loss Consolidated'!Q32</f>
        <v>0.238521759679226</v>
      </c>
      <c r="R20" s="145" t="n">
        <f aca="false">'Profit &amp; Loss Consolidated'!R42/'Profit &amp; Loss Consolidated'!R32</f>
        <v>0.165789605573097</v>
      </c>
      <c r="S20" s="259" t="n">
        <v>0.13</v>
      </c>
      <c r="T20" s="259" t="n">
        <v>0.13</v>
      </c>
      <c r="U20" s="259" t="n">
        <v>0.13</v>
      </c>
      <c r="V20" s="108" t="n">
        <f aca="false">'Profit &amp; Loss Consolidated'!V42/'Profit &amp; Loss Consolidated'!V32</f>
        <v>0.14304667329466</v>
      </c>
      <c r="W20" s="263" t="n">
        <f aca="false">U20</f>
        <v>0.13</v>
      </c>
      <c r="X20" s="263" t="n">
        <f aca="false">W20</f>
        <v>0.13</v>
      </c>
      <c r="Y20" s="263" t="n">
        <f aca="false">X20</f>
        <v>0.13</v>
      </c>
      <c r="Z20" s="263" t="n">
        <f aca="false">Y20</f>
        <v>0.13</v>
      </c>
      <c r="AA20" s="108" t="n">
        <f aca="false">'Profit &amp; Loss Consolidated'!AA42/'Profit &amp; Loss Consolidated'!AA32</f>
        <v>0.124732600334974</v>
      </c>
      <c r="AB20" s="263" t="n">
        <f aca="false">W20</f>
        <v>0.13</v>
      </c>
      <c r="AC20" s="263" t="n">
        <f aca="false">X20</f>
        <v>0.13</v>
      </c>
      <c r="AD20" s="263" t="n">
        <f aca="false">Y20</f>
        <v>0.13</v>
      </c>
      <c r="AE20" s="263" t="n">
        <f aca="false">Z20</f>
        <v>0.13</v>
      </c>
      <c r="AF20" s="108" t="n">
        <f aca="false">'Profit &amp; Loss Consolidated'!AF42/'Profit &amp; Loss Consolidated'!AF32</f>
        <v>0.13</v>
      </c>
      <c r="AG20" s="263" t="n">
        <f aca="false">AB20</f>
        <v>0.13</v>
      </c>
      <c r="AH20" s="263" t="n">
        <f aca="false">AC20</f>
        <v>0.13</v>
      </c>
      <c r="AI20" s="263" t="n">
        <f aca="false">AD20</f>
        <v>0.13</v>
      </c>
      <c r="AJ20" s="263" t="n">
        <f aca="false">AE20</f>
        <v>0.13</v>
      </c>
      <c r="AK20" s="108" t="n">
        <f aca="false">'Profit &amp; Loss Consolidated'!AK42/'Profit &amp; Loss Consolidated'!AK32</f>
        <v>0.13</v>
      </c>
      <c r="AL20" s="263" t="n">
        <f aca="false">AG20</f>
        <v>0.13</v>
      </c>
      <c r="AM20" s="263" t="n">
        <f aca="false">AH20</f>
        <v>0.13</v>
      </c>
      <c r="AN20" s="263" t="n">
        <f aca="false">AI20</f>
        <v>0.13</v>
      </c>
      <c r="AO20" s="263" t="n">
        <f aca="false">AJ20</f>
        <v>0.13</v>
      </c>
      <c r="AP20" s="108" t="n">
        <f aca="false">'Profit &amp; Loss Consolidated'!AP42/'Profit &amp; Loss Consolidated'!AP32</f>
        <v>0.13</v>
      </c>
      <c r="AQ20" s="72"/>
      <c r="AR20" s="72"/>
    </row>
    <row r="21" customFormat="false" ht="15.75" hidden="false" customHeight="false" outlineLevel="0" collapsed="false">
      <c r="A21" s="31"/>
      <c r="B21" s="91"/>
      <c r="C21" s="31"/>
      <c r="D21" s="31"/>
      <c r="E21" s="31"/>
      <c r="F21" s="31"/>
      <c r="G21" s="91"/>
      <c r="H21" s="31"/>
      <c r="I21" s="31"/>
      <c r="J21" s="31"/>
      <c r="K21" s="31"/>
      <c r="L21" s="91"/>
      <c r="M21" s="31"/>
      <c r="N21" s="31"/>
      <c r="O21" s="31"/>
      <c r="P21" s="31"/>
      <c r="Q21" s="91"/>
      <c r="R21" s="31"/>
      <c r="S21" s="31"/>
      <c r="T21" s="31"/>
      <c r="U21" s="31"/>
      <c r="V21" s="91"/>
      <c r="W21" s="31"/>
      <c r="X21" s="31"/>
      <c r="Y21" s="31"/>
      <c r="Z21" s="31"/>
      <c r="AA21" s="91"/>
      <c r="AB21" s="31"/>
      <c r="AC21" s="31"/>
      <c r="AD21" s="31"/>
      <c r="AE21" s="31"/>
      <c r="AF21" s="91"/>
      <c r="AG21" s="31"/>
      <c r="AH21" s="31"/>
      <c r="AI21" s="31"/>
      <c r="AJ21" s="31"/>
      <c r="AK21" s="91"/>
      <c r="AL21" s="31"/>
      <c r="AM21" s="31"/>
      <c r="AN21" s="31"/>
      <c r="AO21" s="31"/>
      <c r="AP21" s="9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defaultColWidth="8.96875" defaultRowHeight="15" zeroHeight="false" outlineLevelRow="0" outlineLevelCol="0"/>
  <cols>
    <col collapsed="false" customWidth="true" hidden="false" outlineLevel="0" max="1" min="1" style="0" width="44.99"/>
    <col collapsed="false" customWidth="true" hidden="false" outlineLevel="0" max="2" min="2" style="0" width="15.14"/>
    <col collapsed="false" customWidth="true" hidden="false" outlineLevel="0" max="3" min="3" style="264" width="15.99"/>
    <col collapsed="false" customWidth="true" hidden="false" outlineLevel="0" max="4" min="4" style="0" width="14.7"/>
    <col collapsed="false" customWidth="true" hidden="false" outlineLevel="0" max="5" min="5" style="0" width="15.28"/>
    <col collapsed="false" customWidth="true" hidden="false" outlineLevel="0" max="6" min="6" style="0" width="18.56"/>
    <col collapsed="false" customWidth="true" hidden="false" outlineLevel="0" max="7" min="7" style="0" width="11.71"/>
    <col collapsed="false" customWidth="true" hidden="false" outlineLevel="0" max="8" min="8" style="0" width="10.7"/>
    <col collapsed="false" customWidth="true" hidden="false" outlineLevel="0" max="9" min="9" style="0" width="10.56"/>
    <col collapsed="false" customWidth="true" hidden="false" outlineLevel="0" max="11" min="10" style="0" width="10.7"/>
    <col collapsed="false" customWidth="true" hidden="false" outlineLevel="0" max="12" min="12" style="0" width="10.28"/>
  </cols>
  <sheetData>
    <row r="1" customFormat="false" ht="18.75" hidden="false" customHeight="false" outlineLevel="0" collapsed="false">
      <c r="A1" s="29" t="s">
        <v>1</v>
      </c>
      <c r="B1" s="225"/>
      <c r="C1" s="265"/>
      <c r="D1" s="266"/>
      <c r="E1" s="266"/>
      <c r="F1" s="266"/>
      <c r="G1" s="266"/>
      <c r="H1" s="266"/>
      <c r="I1" s="266"/>
      <c r="J1" s="266"/>
    </row>
    <row r="2" customFormat="false" ht="15.75" hidden="false" customHeight="false" outlineLevel="0" collapsed="false">
      <c r="A2" s="30" t="s">
        <v>319</v>
      </c>
      <c r="B2" s="77"/>
      <c r="C2" s="265"/>
      <c r="D2" s="266"/>
      <c r="E2" s="266"/>
      <c r="F2" s="266"/>
      <c r="G2" s="266"/>
      <c r="H2" s="266"/>
      <c r="I2" s="266"/>
      <c r="J2" s="266"/>
    </row>
    <row r="3" customFormat="false" ht="15.75" hidden="false" customHeight="false" outlineLevel="0" collapsed="false">
      <c r="A3" s="31" t="s">
        <v>233</v>
      </c>
      <c r="B3" s="31"/>
      <c r="C3" s="267"/>
      <c r="D3" s="31"/>
      <c r="E3" s="31"/>
      <c r="F3" s="31"/>
      <c r="G3" s="31"/>
      <c r="H3" s="31"/>
      <c r="I3" s="31"/>
      <c r="J3" s="31"/>
      <c r="K3" s="31"/>
    </row>
    <row r="4" customFormat="false" ht="36" hidden="false" customHeight="true" outlineLevel="0" collapsed="false">
      <c r="A4" s="268" t="s">
        <v>38</v>
      </c>
      <c r="B4" s="183" t="s">
        <v>299</v>
      </c>
      <c r="C4" s="269" t="s">
        <v>153</v>
      </c>
      <c r="D4" s="183" t="s">
        <v>85</v>
      </c>
      <c r="E4" s="183" t="s">
        <v>86</v>
      </c>
      <c r="F4" s="270" t="s">
        <v>197</v>
      </c>
      <c r="G4" s="270" t="s">
        <v>48</v>
      </c>
      <c r="H4" s="270" t="s">
        <v>53</v>
      </c>
      <c r="I4" s="270" t="s">
        <v>87</v>
      </c>
      <c r="J4" s="270" t="s">
        <v>88</v>
      </c>
      <c r="K4" s="270" t="s">
        <v>89</v>
      </c>
    </row>
    <row r="5" customFormat="false" ht="15" hidden="false" customHeight="false" outlineLevel="0" collapsed="false">
      <c r="A5" s="33" t="s">
        <v>319</v>
      </c>
      <c r="B5" s="128"/>
      <c r="C5" s="271"/>
      <c r="D5" s="122"/>
      <c r="E5" s="122"/>
      <c r="F5" s="272"/>
      <c r="G5" s="273"/>
      <c r="H5" s="273"/>
      <c r="I5" s="273"/>
      <c r="J5" s="273"/>
    </row>
    <row r="6" customFormat="false" ht="15" hidden="false" customHeight="false" outlineLevel="0" collapsed="false">
      <c r="B6" s="72"/>
      <c r="C6" s="274"/>
      <c r="D6" s="73"/>
      <c r="E6" s="73"/>
      <c r="F6" s="73"/>
      <c r="G6" s="73"/>
      <c r="H6" s="73"/>
      <c r="I6" s="73"/>
      <c r="J6" s="73"/>
      <c r="K6" s="73"/>
    </row>
    <row r="7" customFormat="false" ht="15" hidden="false" customHeight="false" outlineLevel="0" collapsed="false">
      <c r="A7" s="275" t="s">
        <v>320</v>
      </c>
      <c r="B7" s="138"/>
      <c r="C7" s="276"/>
      <c r="D7" s="138"/>
      <c r="E7" s="138"/>
      <c r="F7" s="138"/>
      <c r="G7" s="138"/>
      <c r="H7" s="138"/>
      <c r="I7" s="138"/>
      <c r="J7" s="138"/>
      <c r="K7" s="138"/>
      <c r="L7" s="138"/>
    </row>
    <row r="8" customFormat="false" ht="15" hidden="false" customHeight="false" outlineLevel="0" collapsed="false">
      <c r="A8" s="277" t="s">
        <v>321</v>
      </c>
      <c r="B8" s="134" t="n">
        <v>750.7</v>
      </c>
      <c r="C8" s="278" t="n">
        <v>0</v>
      </c>
      <c r="D8" s="134" t="n">
        <v>0</v>
      </c>
      <c r="E8" s="134" t="n">
        <v>0</v>
      </c>
      <c r="F8" s="148" t="n">
        <v>0</v>
      </c>
      <c r="G8" s="148" t="n">
        <v>0</v>
      </c>
      <c r="H8" s="148" t="n">
        <v>0</v>
      </c>
      <c r="I8" s="148" t="n">
        <v>0</v>
      </c>
      <c r="J8" s="148" t="n">
        <v>0</v>
      </c>
      <c r="K8" s="148" t="n">
        <v>0</v>
      </c>
      <c r="L8" s="138"/>
    </row>
    <row r="9" customFormat="false" ht="15" hidden="false" customHeight="false" outlineLevel="0" collapsed="false">
      <c r="A9" s="277" t="s">
        <v>322</v>
      </c>
      <c r="B9" s="134" t="n">
        <v>4072.6</v>
      </c>
      <c r="C9" s="278" t="n">
        <v>4183.1</v>
      </c>
      <c r="D9" s="134" t="n">
        <v>2028.5</v>
      </c>
      <c r="E9" s="134" t="n">
        <v>996.8</v>
      </c>
      <c r="F9" s="138" t="n">
        <f aca="false">E9+F43</f>
        <v>996.8</v>
      </c>
      <c r="G9" s="138" t="n">
        <f aca="false">F9+G43</f>
        <v>996.8</v>
      </c>
      <c r="H9" s="138" t="n">
        <f aca="false">G9+H43</f>
        <v>2996.8</v>
      </c>
      <c r="I9" s="138" t="n">
        <f aca="false">H9+I43</f>
        <v>7996.8</v>
      </c>
      <c r="J9" s="138" t="n">
        <f aca="false">I9+J43</f>
        <v>7996.8</v>
      </c>
      <c r="K9" s="138" t="n">
        <f aca="false">J9+K43</f>
        <v>7996.8</v>
      </c>
    </row>
    <row r="10" customFormat="false" ht="15" hidden="false" customHeight="false" outlineLevel="0" collapsed="false">
      <c r="A10" s="277" t="s">
        <v>323</v>
      </c>
      <c r="B10" s="134"/>
      <c r="C10" s="278"/>
      <c r="D10" s="134"/>
      <c r="E10" s="134"/>
      <c r="F10" s="138"/>
      <c r="G10" s="138"/>
      <c r="H10" s="138"/>
      <c r="I10" s="138"/>
      <c r="J10" s="138"/>
      <c r="K10" s="138"/>
    </row>
    <row r="11" customFormat="false" ht="15" hidden="false" customHeight="false" outlineLevel="0" collapsed="false">
      <c r="A11" s="279" t="s">
        <v>324</v>
      </c>
      <c r="B11" s="134" t="n">
        <v>2726</v>
      </c>
      <c r="C11" s="278" t="n">
        <v>3316.5</v>
      </c>
      <c r="D11" s="134" t="n">
        <v>5360.2</v>
      </c>
      <c r="E11" s="134" t="n">
        <v>5336.3</v>
      </c>
      <c r="F11" s="148" t="n">
        <f aca="false">E11</f>
        <v>5336.3</v>
      </c>
      <c r="G11" s="148" t="n">
        <f aca="false">F11</f>
        <v>5336.3</v>
      </c>
      <c r="H11" s="148" t="n">
        <f aca="false">G11</f>
        <v>5336.3</v>
      </c>
      <c r="I11" s="148" t="n">
        <f aca="false">H11</f>
        <v>5336.3</v>
      </c>
      <c r="J11" s="148" t="n">
        <f aca="false">I11</f>
        <v>5336.3</v>
      </c>
      <c r="K11" s="148" t="n">
        <f aca="false">J11</f>
        <v>5336.3</v>
      </c>
    </row>
    <row r="12" customFormat="false" ht="15" hidden="false" customHeight="false" outlineLevel="0" collapsed="false">
      <c r="A12" s="279" t="s">
        <v>325</v>
      </c>
      <c r="B12" s="134" t="n">
        <v>1.6</v>
      </c>
      <c r="C12" s="278" t="n">
        <v>2.4</v>
      </c>
      <c r="D12" s="134" t="n">
        <v>0.8</v>
      </c>
      <c r="E12" s="134" t="n">
        <v>0</v>
      </c>
      <c r="F12" s="148" t="n">
        <f aca="false">E12</f>
        <v>0</v>
      </c>
      <c r="G12" s="148" t="n">
        <f aca="false">F12</f>
        <v>0</v>
      </c>
      <c r="H12" s="148" t="n">
        <f aca="false">G12</f>
        <v>0</v>
      </c>
      <c r="I12" s="148" t="n">
        <f aca="false">H12</f>
        <v>0</v>
      </c>
      <c r="J12" s="148" t="n">
        <f aca="false">I12</f>
        <v>0</v>
      </c>
      <c r="K12" s="148" t="n">
        <f aca="false">J12</f>
        <v>0</v>
      </c>
    </row>
    <row r="13" customFormat="false" ht="15" hidden="false" customHeight="false" outlineLevel="0" collapsed="false">
      <c r="A13" s="279" t="s">
        <v>326</v>
      </c>
      <c r="B13" s="134" t="n">
        <v>0.7</v>
      </c>
      <c r="C13" s="278" t="n">
        <v>0.5</v>
      </c>
      <c r="D13" s="134" t="n">
        <v>1.2</v>
      </c>
      <c r="E13" s="134" t="n">
        <v>1.2</v>
      </c>
      <c r="F13" s="148" t="n">
        <f aca="false">E13</f>
        <v>1.2</v>
      </c>
      <c r="G13" s="148" t="n">
        <f aca="false">F13</f>
        <v>1.2</v>
      </c>
      <c r="H13" s="148" t="n">
        <f aca="false">G13</f>
        <v>1.2</v>
      </c>
      <c r="I13" s="148" t="n">
        <f aca="false">H13</f>
        <v>1.2</v>
      </c>
      <c r="J13" s="148" t="n">
        <f aca="false">I13</f>
        <v>1.2</v>
      </c>
      <c r="K13" s="148" t="n">
        <f aca="false">J13</f>
        <v>1.2</v>
      </c>
    </row>
    <row r="14" customFormat="false" ht="15" hidden="false" customHeight="false" outlineLevel="0" collapsed="false">
      <c r="A14" s="280" t="s">
        <v>81</v>
      </c>
      <c r="B14" s="281" t="n">
        <f aca="false">SUM(B8:B13)</f>
        <v>7551.6</v>
      </c>
      <c r="C14" s="282" t="n">
        <f aca="false">SUM(C8:C13)</f>
        <v>7502.5</v>
      </c>
      <c r="D14" s="281" t="n">
        <f aca="false">SUM(D9:D13)</f>
        <v>7390.7</v>
      </c>
      <c r="E14" s="281" t="n">
        <f aca="false">SUM(E9:E13)</f>
        <v>6334.3</v>
      </c>
      <c r="F14" s="138" t="n">
        <f aca="false">SUM(F8:F13)</f>
        <v>6334.3</v>
      </c>
      <c r="G14" s="138" t="n">
        <f aca="false">SUM(G8:G13)</f>
        <v>6334.3</v>
      </c>
      <c r="H14" s="138" t="n">
        <f aca="false">SUM(H8:H13)</f>
        <v>8334.3</v>
      </c>
      <c r="I14" s="138" t="n">
        <f aca="false">SUM(I8:I13)</f>
        <v>13334.3</v>
      </c>
      <c r="J14" s="138" t="n">
        <f aca="false">SUM(J8:J13)</f>
        <v>13334.3</v>
      </c>
      <c r="K14" s="138" t="n">
        <f aca="false">SUM(K8:K13)</f>
        <v>13334.3</v>
      </c>
    </row>
    <row r="15" customFormat="false" ht="15" hidden="false" customHeight="false" outlineLevel="0" collapsed="false">
      <c r="A15" s="283"/>
      <c r="B15" s="284"/>
      <c r="C15" s="285"/>
      <c r="D15" s="286"/>
      <c r="E15" s="284"/>
      <c r="F15" s="287"/>
      <c r="G15" s="287"/>
      <c r="H15" s="288"/>
      <c r="I15" s="288"/>
      <c r="J15" s="288"/>
      <c r="K15" s="288"/>
    </row>
    <row r="16" customFormat="false" ht="15" hidden="false" customHeight="false" outlineLevel="0" collapsed="false">
      <c r="A16" s="275" t="s">
        <v>327</v>
      </c>
      <c r="B16" s="138"/>
      <c r="C16" s="276"/>
      <c r="D16" s="138"/>
      <c r="E16" s="138"/>
      <c r="F16" s="138"/>
      <c r="G16" s="138"/>
      <c r="H16" s="138"/>
      <c r="I16" s="138"/>
      <c r="J16" s="138"/>
      <c r="K16" s="138"/>
    </row>
    <row r="17" customFormat="false" ht="15" hidden="false" customHeight="false" outlineLevel="0" collapsed="false">
      <c r="A17" s="277" t="s">
        <v>328</v>
      </c>
      <c r="B17" s="134" t="n">
        <v>1350.8</v>
      </c>
      <c r="C17" s="278" t="n">
        <v>2175</v>
      </c>
      <c r="D17" s="134" t="n">
        <v>900</v>
      </c>
      <c r="E17" s="134" t="n">
        <v>771.8</v>
      </c>
      <c r="F17" s="148" t="n">
        <f aca="false">E17</f>
        <v>771.8</v>
      </c>
      <c r="G17" s="148" t="n">
        <f aca="false">F17</f>
        <v>771.8</v>
      </c>
      <c r="H17" s="148" t="n">
        <f aca="false">G17</f>
        <v>771.8</v>
      </c>
      <c r="I17" s="148" t="n">
        <f aca="false">H17</f>
        <v>771.8</v>
      </c>
      <c r="J17" s="148" t="n">
        <f aca="false">I17</f>
        <v>771.8</v>
      </c>
      <c r="K17" s="148" t="n">
        <f aca="false">J17</f>
        <v>771.8</v>
      </c>
    </row>
    <row r="18" customFormat="false" ht="15" hidden="false" customHeight="false" outlineLevel="0" collapsed="false">
      <c r="A18" s="277" t="s">
        <v>323</v>
      </c>
      <c r="B18" s="134"/>
      <c r="C18" s="278"/>
      <c r="D18" s="134"/>
      <c r="E18" s="134"/>
      <c r="F18" s="148"/>
      <c r="G18" s="148"/>
      <c r="H18" s="148"/>
      <c r="I18" s="148"/>
      <c r="J18" s="148"/>
      <c r="K18" s="148"/>
    </row>
    <row r="19" customFormat="false" ht="15" hidden="false" customHeight="false" outlineLevel="0" collapsed="false">
      <c r="A19" s="279" t="s">
        <v>329</v>
      </c>
      <c r="B19" s="134" t="n">
        <v>330</v>
      </c>
      <c r="C19" s="278" t="n">
        <v>329.7</v>
      </c>
      <c r="D19" s="134" t="n">
        <v>158.9</v>
      </c>
      <c r="E19" s="134" t="n">
        <v>23.5</v>
      </c>
      <c r="F19" s="138" t="n">
        <f aca="false">E19+(E21-F21)</f>
        <v>368.630400000002</v>
      </c>
      <c r="G19" s="148" t="n">
        <f aca="false">F19</f>
        <v>368.630400000002</v>
      </c>
      <c r="H19" s="148" t="n">
        <f aca="false">G19</f>
        <v>368.630400000002</v>
      </c>
      <c r="I19" s="148" t="n">
        <f aca="false">H19</f>
        <v>368.630400000002</v>
      </c>
      <c r="J19" s="148" t="n">
        <f aca="false">I19</f>
        <v>368.630400000002</v>
      </c>
      <c r="K19" s="148" t="n">
        <f aca="false">J19</f>
        <v>368.630400000002</v>
      </c>
    </row>
    <row r="20" customFormat="false" ht="15" hidden="false" customHeight="false" outlineLevel="0" collapsed="false">
      <c r="A20" s="279" t="s">
        <v>330</v>
      </c>
      <c r="B20" s="134" t="n">
        <v>5.7</v>
      </c>
      <c r="C20" s="278" t="n">
        <v>11.2</v>
      </c>
      <c r="D20" s="134" t="n">
        <v>18</v>
      </c>
      <c r="E20" s="134" t="n">
        <v>25.5</v>
      </c>
      <c r="F20" s="148" t="n">
        <f aca="false">E20</f>
        <v>25.5</v>
      </c>
      <c r="G20" s="148" t="n">
        <f aca="false">F20</f>
        <v>25.5</v>
      </c>
      <c r="H20" s="148" t="n">
        <f aca="false">G20</f>
        <v>25.5</v>
      </c>
      <c r="I20" s="148" t="n">
        <f aca="false">H20</f>
        <v>25.5</v>
      </c>
      <c r="J20" s="148" t="n">
        <f aca="false">I20</f>
        <v>25.5</v>
      </c>
      <c r="K20" s="148" t="n">
        <f aca="false">J20</f>
        <v>25.5</v>
      </c>
    </row>
    <row r="21" customFormat="false" ht="15" hidden="false" customHeight="false" outlineLevel="0" collapsed="false">
      <c r="A21" s="289" t="s">
        <v>331</v>
      </c>
      <c r="B21" s="290" t="n">
        <v>0</v>
      </c>
      <c r="C21" s="278" t="n">
        <v>2677.2</v>
      </c>
      <c r="D21" s="134" t="n">
        <v>11299.6</v>
      </c>
      <c r="E21" s="134" t="n">
        <f aca="false">E45</f>
        <v>10245.6</v>
      </c>
      <c r="F21" s="138" t="n">
        <f aca="false">F46*F47+SUM(F40:F42)</f>
        <v>9900.4696</v>
      </c>
      <c r="G21" s="138" t="n">
        <f aca="false">(F46*F47)+SUM(G40:G42)+G48</f>
        <v>8965.2</v>
      </c>
      <c r="H21" s="138" t="n">
        <f aca="false">(G46*G47)+SUM(H40:H42)+H48</f>
        <v>6403.2</v>
      </c>
      <c r="I21" s="291" t="n">
        <f aca="false">(H46*H47)+SUM(I40:I42)+I48</f>
        <v>0</v>
      </c>
      <c r="J21" s="138" t="n">
        <f aca="false">I45+SUM(J40:J42)+J48</f>
        <v>0</v>
      </c>
      <c r="K21" s="138" t="n">
        <f aca="false">J45+SUM(K40:K42)+K48</f>
        <v>0</v>
      </c>
    </row>
    <row r="22" customFormat="false" ht="15" hidden="false" customHeight="false" outlineLevel="0" collapsed="false">
      <c r="A22" s="292" t="s">
        <v>332</v>
      </c>
      <c r="B22" s="134" t="n">
        <v>297.2</v>
      </c>
      <c r="C22" s="278" t="n">
        <v>87.3</v>
      </c>
      <c r="D22" s="134" t="n">
        <v>99.6</v>
      </c>
      <c r="E22" s="134" t="n">
        <v>121</v>
      </c>
      <c r="F22" s="148" t="n">
        <f aca="false">E22</f>
        <v>121</v>
      </c>
      <c r="G22" s="148" t="n">
        <f aca="false">F22</f>
        <v>121</v>
      </c>
      <c r="H22" s="148" t="n">
        <f aca="false">G22</f>
        <v>121</v>
      </c>
      <c r="I22" s="148" t="n">
        <f aca="false">H22</f>
        <v>121</v>
      </c>
      <c r="J22" s="148" t="n">
        <f aca="false">I22</f>
        <v>121</v>
      </c>
      <c r="K22" s="148" t="n">
        <f aca="false">J22</f>
        <v>121</v>
      </c>
    </row>
    <row r="23" customFormat="false" ht="15" hidden="false" customHeight="false" outlineLevel="0" collapsed="false">
      <c r="A23" s="279" t="s">
        <v>333</v>
      </c>
      <c r="B23" s="134" t="n">
        <v>805</v>
      </c>
      <c r="C23" s="278" t="n">
        <v>947.8</v>
      </c>
      <c r="D23" s="134" t="n">
        <v>914.6</v>
      </c>
      <c r="E23" s="134" t="n">
        <v>948.5</v>
      </c>
      <c r="F23" s="148" t="n">
        <f aca="false">E23</f>
        <v>948.5</v>
      </c>
      <c r="G23" s="148" t="n">
        <f aca="false">F23</f>
        <v>948.5</v>
      </c>
      <c r="H23" s="148" t="n">
        <f aca="false">G23</f>
        <v>948.5</v>
      </c>
      <c r="I23" s="148" t="n">
        <f aca="false">H23</f>
        <v>948.5</v>
      </c>
      <c r="J23" s="148" t="n">
        <f aca="false">I23</f>
        <v>948.5</v>
      </c>
      <c r="K23" s="148" t="n">
        <f aca="false">J23</f>
        <v>948.5</v>
      </c>
    </row>
    <row r="24" customFormat="false" ht="15" hidden="false" customHeight="false" outlineLevel="0" collapsed="false">
      <c r="A24" s="280" t="s">
        <v>81</v>
      </c>
      <c r="B24" s="281" t="n">
        <f aca="false">SUM(B17:B23)</f>
        <v>2788.7</v>
      </c>
      <c r="C24" s="282" t="n">
        <f aca="false">SUM(C17:C23)</f>
        <v>6228.2</v>
      </c>
      <c r="D24" s="281" t="n">
        <f aca="false">SUM(D17:D23)</f>
        <v>13390.7</v>
      </c>
      <c r="E24" s="281" t="n">
        <f aca="false">SUM(E17:E23)</f>
        <v>12135.9</v>
      </c>
      <c r="F24" s="281" t="n">
        <f aca="false">SUM(F17:F23)</f>
        <v>12135.9</v>
      </c>
      <c r="G24" s="281" t="n">
        <f aca="false">SUM(G17:G23)</f>
        <v>11200.6304</v>
      </c>
      <c r="H24" s="281" t="n">
        <f aca="false">SUM(H17:H23)</f>
        <v>8638.6304</v>
      </c>
      <c r="I24" s="281" t="n">
        <f aca="false">SUM(I17:I23)</f>
        <v>2235.4304</v>
      </c>
      <c r="J24" s="281" t="n">
        <f aca="false">SUM(J17:J23)</f>
        <v>2235.4304</v>
      </c>
      <c r="K24" s="281" t="n">
        <f aca="false">SUM(K17:K23)</f>
        <v>2235.4304</v>
      </c>
    </row>
    <row r="25" customFormat="false" ht="15" hidden="false" customHeight="false" outlineLevel="0" collapsed="false">
      <c r="A25" s="280"/>
      <c r="B25" s="281"/>
      <c r="C25" s="282"/>
      <c r="D25" s="281"/>
      <c r="E25" s="281"/>
      <c r="F25" s="287"/>
      <c r="G25" s="287"/>
      <c r="H25" s="288"/>
      <c r="I25" s="288"/>
      <c r="J25" s="288"/>
      <c r="K25" s="288"/>
    </row>
    <row r="26" customFormat="false" ht="15" hidden="false" customHeight="false" outlineLevel="0" collapsed="false">
      <c r="A26" s="280" t="s">
        <v>334</v>
      </c>
      <c r="B26" s="281" t="n">
        <f aca="false">B14+B24</f>
        <v>10340.3</v>
      </c>
      <c r="C26" s="282" t="n">
        <f aca="false">C14+C24</f>
        <v>13730.7</v>
      </c>
      <c r="D26" s="281" t="n">
        <f aca="false">D14+D24</f>
        <v>20781.4</v>
      </c>
      <c r="E26" s="281" t="n">
        <f aca="false">E14+E24</f>
        <v>18470.2</v>
      </c>
      <c r="F26" s="281" t="n">
        <f aca="false">F14+F24</f>
        <v>18470.2</v>
      </c>
      <c r="G26" s="281" t="n">
        <f aca="false">G14+G24</f>
        <v>17534.9304</v>
      </c>
      <c r="H26" s="281" t="n">
        <f aca="false">H14+H24</f>
        <v>16972.9304</v>
      </c>
      <c r="I26" s="281" t="n">
        <f aca="false">I14+I24</f>
        <v>15569.7304</v>
      </c>
      <c r="J26" s="281" t="n">
        <f aca="false">J14+J24</f>
        <v>15569.7304</v>
      </c>
      <c r="K26" s="281" t="n">
        <f aca="false">K14+K24</f>
        <v>15569.7304</v>
      </c>
    </row>
    <row r="27" customFormat="false" ht="15" hidden="false" customHeight="false" outlineLevel="0" collapsed="false">
      <c r="A27" s="289" t="s">
        <v>335</v>
      </c>
      <c r="B27" s="284" t="n">
        <f aca="false">B26-B21</f>
        <v>10340.3</v>
      </c>
      <c r="C27" s="293" t="n">
        <f aca="false">C26-C21</f>
        <v>11053.5</v>
      </c>
      <c r="D27" s="284" t="n">
        <f aca="false">D26-D21</f>
        <v>9481.8</v>
      </c>
      <c r="E27" s="284" t="n">
        <f aca="false">E26-E21</f>
        <v>8224.6</v>
      </c>
      <c r="F27" s="138" t="n">
        <f aca="false">F26-F21</f>
        <v>8569.7304</v>
      </c>
      <c r="G27" s="138" t="n">
        <f aca="false">G26-G21</f>
        <v>8569.7304</v>
      </c>
      <c r="H27" s="138" t="n">
        <f aca="false">H26-H21</f>
        <v>10569.7304</v>
      </c>
      <c r="I27" s="138" t="n">
        <f aca="false">I26-I21</f>
        <v>15569.7304</v>
      </c>
      <c r="J27" s="138" t="n">
        <f aca="false">J26-J21</f>
        <v>15569.7304</v>
      </c>
      <c r="K27" s="138" t="n">
        <f aca="false">K26-K21</f>
        <v>15569.7304</v>
      </c>
    </row>
    <row r="28" s="19" customFormat="true" ht="15" hidden="false" customHeight="false" outlineLevel="0" collapsed="false">
      <c r="A28" s="292"/>
      <c r="B28" s="138"/>
      <c r="C28" s="276"/>
      <c r="D28" s="138"/>
      <c r="E28" s="138"/>
      <c r="F28" s="138"/>
      <c r="G28" s="138"/>
      <c r="H28" s="138"/>
      <c r="I28" s="138"/>
      <c r="J28" s="138"/>
      <c r="K28" s="138"/>
    </row>
    <row r="29" customFormat="false" ht="15" hidden="false" customHeight="false" outlineLevel="0" collapsed="false">
      <c r="A29" s="33" t="s">
        <v>336</v>
      </c>
      <c r="G29" s="65"/>
    </row>
    <row r="30" customFormat="false" ht="15" hidden="false" customHeight="false" outlineLevel="0" collapsed="false">
      <c r="A30" s="294"/>
    </row>
    <row r="31" customFormat="false" ht="15" hidden="false" customHeight="false" outlineLevel="0" collapsed="false">
      <c r="A31" s="295" t="s">
        <v>248</v>
      </c>
      <c r="B31" s="134" t="n">
        <v>17.2</v>
      </c>
      <c r="C31" s="278" t="n">
        <v>86.9</v>
      </c>
      <c r="D31" s="134" t="n">
        <v>410.9</v>
      </c>
      <c r="E31" s="134" t="n">
        <v>261.8</v>
      </c>
      <c r="F31" s="65" t="n">
        <f aca="false">E54*F55</f>
        <v>187.50020169181</v>
      </c>
      <c r="G31" s="65" t="n">
        <f aca="false">F54*G55</f>
        <v>120.204290173001</v>
      </c>
      <c r="H31" s="65" t="n">
        <f aca="false">G54*H55</f>
        <v>80.5536847022097</v>
      </c>
      <c r="I31" s="65" t="n">
        <f aca="false">H54*I55</f>
        <v>166.971672243175</v>
      </c>
      <c r="J31" s="65" t="n">
        <f aca="false">I54*J55</f>
        <v>73.8866944711585</v>
      </c>
      <c r="K31" s="65" t="n">
        <f aca="false">J54*K55</f>
        <v>118.066143338027</v>
      </c>
    </row>
    <row r="32" customFormat="false" ht="15" hidden="false" customHeight="false" outlineLevel="0" collapsed="false">
      <c r="A32" s="296" t="s">
        <v>337</v>
      </c>
      <c r="B32" s="134" t="n">
        <v>499.2</v>
      </c>
      <c r="C32" s="278" t="n">
        <v>691</v>
      </c>
      <c r="D32" s="134" t="n">
        <v>864.5</v>
      </c>
      <c r="E32" s="134" t="n">
        <v>694.2</v>
      </c>
      <c r="F32" s="73" t="n">
        <f aca="false">F33+F31</f>
        <v>998.40020169181</v>
      </c>
      <c r="G32" s="65" t="n">
        <f aca="false">G27*G36</f>
        <v>998.40020169181</v>
      </c>
      <c r="H32" s="65" t="n">
        <f aca="false">H27*H36</f>
        <v>1231.40641194361</v>
      </c>
      <c r="I32" s="65" t="n">
        <f aca="false">I27*I36</f>
        <v>1813.9219375731</v>
      </c>
      <c r="J32" s="65" t="n">
        <f aca="false">J27*J36</f>
        <v>1813.9219375731</v>
      </c>
      <c r="K32" s="65" t="n">
        <f aca="false">K27*K36</f>
        <v>1813.9219375731</v>
      </c>
    </row>
    <row r="33" customFormat="false" ht="15" hidden="false" customHeight="false" outlineLevel="0" collapsed="false">
      <c r="A33" s="57" t="s">
        <v>338</v>
      </c>
      <c r="B33" s="73" t="n">
        <f aca="false">-(B31-B32)</f>
        <v>482</v>
      </c>
      <c r="C33" s="73" t="n">
        <f aca="false">-(C31-C32)</f>
        <v>604.1</v>
      </c>
      <c r="D33" s="73" t="n">
        <f aca="false">-(D31-D32)</f>
        <v>453.6</v>
      </c>
      <c r="E33" s="73" t="n">
        <f aca="false">-(E31-E32)</f>
        <v>432.4</v>
      </c>
      <c r="F33" s="202" t="n">
        <v>810.9</v>
      </c>
      <c r="G33" s="73" t="n">
        <f aca="false">-(G31-G32)</f>
        <v>878.195911518809</v>
      </c>
      <c r="H33" s="73" t="n">
        <f aca="false">-(H31-H32)</f>
        <v>1150.8527272414</v>
      </c>
      <c r="I33" s="73" t="n">
        <f aca="false">-(I31-I32)</f>
        <v>1646.95026532993</v>
      </c>
      <c r="J33" s="73" t="n">
        <f aca="false">-(J31-J32)</f>
        <v>1740.03524310194</v>
      </c>
      <c r="K33" s="73" t="n">
        <f aca="false">-(K31-K32)</f>
        <v>1695.85579423507</v>
      </c>
    </row>
    <row r="34" customFormat="false" ht="15" hidden="false" customHeight="false" outlineLevel="0" collapsed="false">
      <c r="A34" s="37"/>
      <c r="B34" s="73"/>
      <c r="C34" s="274"/>
      <c r="D34" s="73"/>
      <c r="E34" s="73"/>
    </row>
    <row r="35" customFormat="false" ht="15" hidden="false" customHeight="false" outlineLevel="0" collapsed="false">
      <c r="A35" s="0" t="s">
        <v>339</v>
      </c>
      <c r="B35" s="257" t="n">
        <f aca="false">B32/B26</f>
        <v>0.0482771292902527</v>
      </c>
      <c r="C35" s="257" t="n">
        <f aca="false">C32/C26</f>
        <v>0.0503251837124109</v>
      </c>
      <c r="D35" s="257" t="n">
        <f aca="false">D32/D26</f>
        <v>0.0415996997314907</v>
      </c>
      <c r="E35" s="257" t="n">
        <f aca="false">E32/E26</f>
        <v>0.0375848664334983</v>
      </c>
      <c r="F35" s="257"/>
      <c r="G35" s="257"/>
      <c r="H35" s="257"/>
      <c r="I35" s="257"/>
      <c r="J35" s="257"/>
      <c r="K35" s="257"/>
    </row>
    <row r="36" customFormat="false" ht="15" hidden="false" customHeight="false" outlineLevel="0" collapsed="false">
      <c r="A36" s="45" t="s">
        <v>340</v>
      </c>
      <c r="B36" s="257" t="n">
        <f aca="false">B32/B27</f>
        <v>0.0482771292902527</v>
      </c>
      <c r="C36" s="257" t="n">
        <f aca="false">C32/C27</f>
        <v>0.0625141357940924</v>
      </c>
      <c r="D36" s="257" t="n">
        <f aca="false">D32/D27</f>
        <v>0.0911746714758801</v>
      </c>
      <c r="E36" s="257" t="n">
        <f aca="false">E32/E27</f>
        <v>0.0844053206234954</v>
      </c>
      <c r="F36" s="257" t="n">
        <f aca="false">F32/F27</f>
        <v>0.116503105125899</v>
      </c>
      <c r="G36" s="297" t="n">
        <f aca="false">$F$36</f>
        <v>0.116503105125899</v>
      </c>
      <c r="H36" s="297" t="n">
        <f aca="false">$F$36</f>
        <v>0.116503105125899</v>
      </c>
      <c r="I36" s="297" t="n">
        <f aca="false">$F$36</f>
        <v>0.116503105125899</v>
      </c>
      <c r="J36" s="297" t="n">
        <f aca="false">$F$36</f>
        <v>0.116503105125899</v>
      </c>
      <c r="K36" s="297" t="n">
        <f aca="false">$F$36</f>
        <v>0.116503105125899</v>
      </c>
    </row>
    <row r="37" customFormat="false" ht="15" hidden="false" customHeight="false" outlineLevel="0" collapsed="false">
      <c r="A37" s="128"/>
      <c r="B37" s="257"/>
      <c r="C37" s="298"/>
      <c r="D37" s="257"/>
      <c r="E37" s="257"/>
    </row>
    <row r="38" customFormat="false" ht="15" hidden="false" customHeight="false" outlineLevel="0" collapsed="false">
      <c r="A38" s="33" t="s">
        <v>341</v>
      </c>
      <c r="J38" s="221"/>
    </row>
    <row r="39" customFormat="false" ht="15" hidden="false" customHeight="false" outlineLevel="0" collapsed="false">
      <c r="F39" s="65"/>
      <c r="G39" s="65"/>
      <c r="J39" s="299"/>
      <c r="L39" s="65"/>
    </row>
    <row r="40" customFormat="false" ht="15" hidden="false" customHeight="false" outlineLevel="0" collapsed="false">
      <c r="A40" s="300" t="s">
        <v>342</v>
      </c>
      <c r="B40" s="73" t="n">
        <v>0</v>
      </c>
      <c r="C40" s="73" t="n">
        <v>0</v>
      </c>
      <c r="D40" s="73" t="n">
        <v>0</v>
      </c>
      <c r="E40" s="73" t="n">
        <v>0</v>
      </c>
      <c r="F40" s="73" t="n">
        <v>0</v>
      </c>
      <c r="G40" s="73" t="n">
        <v>0</v>
      </c>
      <c r="H40" s="73" t="n">
        <f aca="false">-(G46-H46)*G47</f>
        <v>-2492.4</v>
      </c>
      <c r="J40" s="73" t="n">
        <v>0</v>
      </c>
      <c r="K40" s="73" t="n">
        <v>0</v>
      </c>
      <c r="L40" s="65"/>
    </row>
    <row r="41" customFormat="false" ht="15" hidden="false" customHeight="false" outlineLevel="0" collapsed="false">
      <c r="A41" s="300" t="s">
        <v>343</v>
      </c>
      <c r="B41" s="73" t="n">
        <v>0</v>
      </c>
      <c r="C41" s="73" t="n">
        <v>0</v>
      </c>
      <c r="D41" s="73" t="n">
        <v>0</v>
      </c>
      <c r="E41" s="73" t="n">
        <v>0</v>
      </c>
      <c r="F41" s="73" t="n">
        <v>0</v>
      </c>
      <c r="G41" s="73" t="n">
        <f aca="false">-(F46-G46)*F47</f>
        <v>-91.5767999999991</v>
      </c>
      <c r="H41" s="73" t="n">
        <v>0</v>
      </c>
      <c r="I41" s="65" t="n">
        <f aca="false">-((B63*1000)/1000000)*H47</f>
        <v>-4885.2</v>
      </c>
      <c r="J41" s="73" t="n">
        <v>0</v>
      </c>
      <c r="K41" s="73" t="n">
        <v>0</v>
      </c>
      <c r="L41" s="65"/>
    </row>
    <row r="42" customFormat="false" ht="15" hidden="false" customHeight="false" outlineLevel="0" collapsed="false">
      <c r="A42" s="300" t="s">
        <v>344</v>
      </c>
      <c r="B42" s="73" t="n">
        <v>0</v>
      </c>
      <c r="C42" s="73" t="n">
        <v>0</v>
      </c>
      <c r="D42" s="73" t="n">
        <v>0</v>
      </c>
      <c r="E42" s="73" t="n">
        <v>0</v>
      </c>
      <c r="F42" s="73" t="n">
        <v>0</v>
      </c>
      <c r="G42" s="73" t="n">
        <v>0</v>
      </c>
      <c r="H42" s="73" t="n">
        <v>0</v>
      </c>
      <c r="I42" s="65" t="n">
        <f aca="false">-((B64*1000)/1000000)*H47</f>
        <v>-1518</v>
      </c>
      <c r="J42" s="73" t="n">
        <v>0</v>
      </c>
      <c r="K42" s="73" t="n">
        <v>0</v>
      </c>
    </row>
    <row r="43" customFormat="false" ht="15" hidden="false" customHeight="false" outlineLevel="0" collapsed="false">
      <c r="A43" s="300" t="s">
        <v>322</v>
      </c>
      <c r="B43" s="73" t="n">
        <v>0</v>
      </c>
      <c r="C43" s="73" t="n">
        <v>0</v>
      </c>
      <c r="D43" s="73" t="n">
        <v>0</v>
      </c>
      <c r="E43" s="73" t="n">
        <v>0</v>
      </c>
      <c r="F43" s="73" t="n">
        <v>0</v>
      </c>
      <c r="G43" s="73" t="n">
        <v>0</v>
      </c>
      <c r="H43" s="213" t="n">
        <v>2000</v>
      </c>
      <c r="I43" s="301" t="n">
        <v>5000</v>
      </c>
      <c r="J43" s="73" t="n">
        <v>0</v>
      </c>
      <c r="K43" s="73" t="n">
        <v>0</v>
      </c>
    </row>
    <row r="44" customFormat="false" ht="15" hidden="false" customHeight="false" outlineLevel="0" collapsed="false">
      <c r="A44" s="300"/>
      <c r="F44" s="65"/>
      <c r="G44" s="65"/>
      <c r="H44" s="65"/>
      <c r="I44" s="73"/>
    </row>
    <row r="45" customFormat="false" ht="15" hidden="false" customHeight="false" outlineLevel="0" collapsed="false">
      <c r="A45" s="300" t="s">
        <v>345</v>
      </c>
      <c r="B45" s="73" t="n">
        <v>0</v>
      </c>
      <c r="C45" s="73" t="n">
        <v>0</v>
      </c>
      <c r="D45" s="73" t="n">
        <v>0</v>
      </c>
      <c r="E45" s="158" t="n">
        <v>10245.6</v>
      </c>
      <c r="F45" s="73" t="n">
        <f aca="false">F46*F47</f>
        <v>9900.4696</v>
      </c>
      <c r="G45" s="73" t="n">
        <f aca="false">G46*G47</f>
        <v>8965.2</v>
      </c>
      <c r="H45" s="73" t="n">
        <f aca="false">H46*H47</f>
        <v>6403.2</v>
      </c>
      <c r="I45" s="73" t="n">
        <f aca="false">I46*I47</f>
        <v>0</v>
      </c>
      <c r="J45" s="73" t="n">
        <v>0</v>
      </c>
      <c r="K45" s="73" t="n">
        <v>0</v>
      </c>
    </row>
    <row r="46" customFormat="false" ht="15" hidden="false" customHeight="false" outlineLevel="0" collapsed="false">
      <c r="A46" s="300" t="s">
        <v>346</v>
      </c>
      <c r="B46" s="73" t="n">
        <v>0</v>
      </c>
      <c r="C46" s="73" t="n">
        <v>0</v>
      </c>
      <c r="D46" s="73" t="n">
        <v>0</v>
      </c>
      <c r="E46" s="302" t="n">
        <v>255.5</v>
      </c>
      <c r="F46" s="302" t="n">
        <v>194.6</v>
      </c>
      <c r="G46" s="138" t="n">
        <f aca="false">(B66*1000)/1000000</f>
        <v>192.8</v>
      </c>
      <c r="H46" s="73" t="n">
        <f aca="false">G46-((B62*1000)/1000000)</f>
        <v>139.2</v>
      </c>
      <c r="I46" s="148" t="n">
        <f aca="false">H46-(SUM(B63:B64)*1000/1000000)</f>
        <v>0</v>
      </c>
      <c r="J46" s="73" t="n">
        <v>0</v>
      </c>
      <c r="K46" s="73" t="n">
        <v>0</v>
      </c>
    </row>
    <row r="47" customFormat="false" ht="15" hidden="false" customHeight="false" outlineLevel="0" collapsed="false">
      <c r="A47" s="300" t="s">
        <v>347</v>
      </c>
      <c r="B47" s="73" t="n">
        <v>0</v>
      </c>
      <c r="C47" s="73" t="n">
        <v>0</v>
      </c>
      <c r="D47" s="73" t="n">
        <v>0</v>
      </c>
      <c r="E47" s="303" t="n">
        <v>40.1002</v>
      </c>
      <c r="F47" s="303" t="n">
        <v>50.876</v>
      </c>
      <c r="G47" s="303" t="n">
        <v>46.5</v>
      </c>
      <c r="H47" s="303" t="n">
        <v>46</v>
      </c>
      <c r="I47" s="303" t="n">
        <v>45.5</v>
      </c>
      <c r="J47" s="73" t="n">
        <v>0</v>
      </c>
      <c r="K47" s="73" t="n">
        <v>0</v>
      </c>
    </row>
    <row r="48" customFormat="false" ht="15" hidden="false" customHeight="false" outlineLevel="0" collapsed="false">
      <c r="A48" s="300" t="s">
        <v>348</v>
      </c>
      <c r="F48" s="65"/>
      <c r="G48" s="65" t="n">
        <f aca="false">(G47-F47)*G46</f>
        <v>-843.6928</v>
      </c>
      <c r="H48" s="65" t="n">
        <f aca="false">(H47-G47)*H46</f>
        <v>-69.6</v>
      </c>
      <c r="I48" s="65"/>
      <c r="J48" s="72"/>
      <c r="K48" s="72"/>
    </row>
    <row r="50" customFormat="false" ht="15" hidden="false" customHeight="false" outlineLevel="0" collapsed="false">
      <c r="A50" s="33" t="s">
        <v>349</v>
      </c>
    </row>
    <row r="51" customFormat="false" ht="15" hidden="false" customHeight="false" outlineLevel="0" collapsed="false">
      <c r="A51" s="37"/>
      <c r="B51" s="304"/>
      <c r="C51" s="304"/>
      <c r="D51" s="305"/>
      <c r="E51" s="305"/>
      <c r="F51" s="306"/>
      <c r="G51" s="306"/>
      <c r="H51" s="306"/>
      <c r="I51" s="306"/>
      <c r="J51" s="306"/>
      <c r="K51" s="306"/>
      <c r="L51" s="72"/>
    </row>
    <row r="52" customFormat="false" ht="15" hidden="false" customHeight="false" outlineLevel="0" collapsed="false">
      <c r="A52" s="37" t="s">
        <v>350</v>
      </c>
      <c r="B52" s="73" t="n">
        <v>593.9</v>
      </c>
      <c r="C52" s="264" t="n">
        <f aca="false">'Balance Sheet'!B42</f>
        <v>2019.3</v>
      </c>
      <c r="D52" s="65" t="n">
        <f aca="false">'Balance Sheet'!C42</f>
        <v>5824.6</v>
      </c>
      <c r="E52" s="65" t="n">
        <f aca="false">'Balance Sheet'!D42</f>
        <v>2825.7</v>
      </c>
      <c r="F52" s="65" t="n">
        <f aca="false">'Balance Sheet'!E42</f>
        <v>1594.63478286004</v>
      </c>
      <c r="G52" s="65" t="n">
        <f aca="false">'Balance Sheet'!F42</f>
        <v>869.293820356131</v>
      </c>
      <c r="H52" s="65" t="n">
        <f aca="false">'Balance Sheet'!G42</f>
        <v>2450.1651719119</v>
      </c>
      <c r="I52" s="65" t="n">
        <f aca="false">'Balance Sheet'!H42</f>
        <v>747.332476921988</v>
      </c>
      <c r="J52" s="65" t="n">
        <f aca="false">'Balance Sheet'!I42</f>
        <v>1555.52099216655</v>
      </c>
      <c r="K52" s="65" t="n">
        <f aca="false">'Balance Sheet'!J42</f>
        <v>2886.51042195621</v>
      </c>
    </row>
    <row r="53" customFormat="false" ht="15" hidden="false" customHeight="false" outlineLevel="0" collapsed="false">
      <c r="A53" s="0" t="s">
        <v>213</v>
      </c>
      <c r="B53" s="73" t="n">
        <v>2.4</v>
      </c>
      <c r="C53" s="264" t="n">
        <f aca="false">'Balance Sheet'!B34</f>
        <v>2.8</v>
      </c>
      <c r="D53" s="65" t="n">
        <f aca="false">'Balance Sheet'!C34</f>
        <v>2.7</v>
      </c>
      <c r="E53" s="65" t="n">
        <f aca="false">'Balance Sheet'!D34</f>
        <v>604.3</v>
      </c>
      <c r="F53" s="307" t="n">
        <f aca="false">'Balance Sheet'!E34</f>
        <v>604.3</v>
      </c>
      <c r="G53" s="307" t="n">
        <f aca="false">'Balance Sheet'!F34</f>
        <v>604.3</v>
      </c>
      <c r="H53" s="307" t="n">
        <f aca="false">'Balance Sheet'!G34</f>
        <v>604.3</v>
      </c>
      <c r="I53" s="307" t="n">
        <f aca="false">'Balance Sheet'!H34</f>
        <v>604.3</v>
      </c>
      <c r="J53" s="307" t="n">
        <f aca="false">'Balance Sheet'!I34</f>
        <v>604.3</v>
      </c>
      <c r="K53" s="307" t="n">
        <f aca="false">'Balance Sheet'!J34</f>
        <v>604.3</v>
      </c>
    </row>
    <row r="54" customFormat="false" ht="15" hidden="false" customHeight="false" outlineLevel="0" collapsed="false">
      <c r="A54" s="0" t="s">
        <v>81</v>
      </c>
      <c r="B54" s="65" t="n">
        <f aca="false">SUM(B52:B53)</f>
        <v>596.3</v>
      </c>
      <c r="C54" s="264" t="n">
        <f aca="false">SUM(C52:C53)</f>
        <v>2022.1</v>
      </c>
      <c r="D54" s="65" t="n">
        <f aca="false">SUM(D52:D53)</f>
        <v>5827.3</v>
      </c>
      <c r="E54" s="65" t="n">
        <f aca="false">SUM(E52:E53)</f>
        <v>3430</v>
      </c>
      <c r="F54" s="65" t="n">
        <f aca="false">SUM(F52:F53)</f>
        <v>2198.93478286004</v>
      </c>
      <c r="G54" s="65" t="n">
        <f aca="false">SUM(G52:G53)</f>
        <v>1473.59382035613</v>
      </c>
      <c r="H54" s="65" t="n">
        <f aca="false">SUM(H52:H53)</f>
        <v>3054.4651719119</v>
      </c>
      <c r="I54" s="65" t="n">
        <f aca="false">SUM(I52:I53)</f>
        <v>1351.63247692199</v>
      </c>
      <c r="J54" s="65" t="n">
        <f aca="false">SUM(J52:J53)</f>
        <v>2159.82099216655</v>
      </c>
      <c r="K54" s="65" t="n">
        <f aca="false">SUM(K52:K53)</f>
        <v>3490.81042195621</v>
      </c>
    </row>
    <row r="55" customFormat="false" ht="15" hidden="false" customHeight="false" outlineLevel="0" collapsed="false">
      <c r="A55" s="37" t="s">
        <v>351</v>
      </c>
      <c r="B55" s="257" t="n">
        <f aca="false">B31/B54</f>
        <v>0.0288445413382526</v>
      </c>
      <c r="C55" s="298" t="n">
        <f aca="false">C31/C54</f>
        <v>0.0429751248701845</v>
      </c>
      <c r="D55" s="257" t="n">
        <f aca="false">D31/D54</f>
        <v>0.0705129305167059</v>
      </c>
      <c r="E55" s="257" t="n">
        <f aca="false">E31/E54</f>
        <v>0.0763265306122449</v>
      </c>
      <c r="F55" s="297" t="n">
        <f aca="false">AVERAGE($B$55:$E$55)</f>
        <v>0.0546647818343469</v>
      </c>
      <c r="G55" s="297" t="n">
        <f aca="false">AVERAGE($B$55:$E$55)</f>
        <v>0.0546647818343469</v>
      </c>
      <c r="H55" s="297" t="n">
        <f aca="false">AVERAGE($B$55:$E$55)</f>
        <v>0.0546647818343469</v>
      </c>
      <c r="I55" s="297" t="n">
        <f aca="false">AVERAGE($B$55:$E$55)</f>
        <v>0.0546647818343469</v>
      </c>
      <c r="J55" s="297" t="n">
        <f aca="false">AVERAGE($B$55:$E$55)</f>
        <v>0.0546647818343469</v>
      </c>
      <c r="K55" s="297" t="n">
        <f aca="false">AVERAGE($B$55:$E$55)</f>
        <v>0.0546647818343469</v>
      </c>
    </row>
    <row r="56" customFormat="false" ht="15.75" hidden="false" customHeight="false" outlineLevel="0" collapsed="false">
      <c r="A56" s="31"/>
      <c r="B56" s="31"/>
      <c r="C56" s="31"/>
      <c r="D56" s="31"/>
      <c r="E56" s="31"/>
      <c r="F56" s="31"/>
      <c r="G56" s="31"/>
      <c r="H56" s="31"/>
      <c r="I56" s="31"/>
      <c r="J56" s="31"/>
      <c r="K56" s="31"/>
    </row>
    <row r="59" customFormat="false" ht="15" hidden="false" customHeight="false" outlineLevel="0" collapsed="false">
      <c r="B59" s="37"/>
      <c r="C59" s="308"/>
      <c r="D59" s="309"/>
      <c r="E59" s="300"/>
      <c r="F59" s="300"/>
      <c r="G59" s="37"/>
    </row>
    <row r="60" customFormat="false" ht="15" hidden="false" customHeight="false" outlineLevel="0" collapsed="false">
      <c r="A60" s="310" t="s">
        <v>352</v>
      </c>
      <c r="B60" s="300"/>
      <c r="C60" s="308"/>
      <c r="D60" s="309"/>
      <c r="E60" s="300"/>
      <c r="F60" s="300"/>
      <c r="G60" s="37"/>
    </row>
    <row r="61" customFormat="false" ht="30" hidden="false" customHeight="false" outlineLevel="0" collapsed="false">
      <c r="A61" s="311" t="s">
        <v>353</v>
      </c>
      <c r="B61" s="312" t="s">
        <v>354</v>
      </c>
      <c r="C61" s="313" t="s">
        <v>355</v>
      </c>
      <c r="D61" s="312" t="s">
        <v>356</v>
      </c>
      <c r="E61" s="312" t="s">
        <v>357</v>
      </c>
      <c r="F61" s="314" t="s">
        <v>358</v>
      </c>
      <c r="G61" s="37"/>
    </row>
    <row r="62" customFormat="false" ht="15" hidden="false" customHeight="false" outlineLevel="0" collapsed="false">
      <c r="A62" s="300" t="s">
        <v>359</v>
      </c>
      <c r="B62" s="315" t="n">
        <v>53600</v>
      </c>
      <c r="C62" s="316" t="n">
        <v>1000</v>
      </c>
      <c r="D62" s="317" t="n">
        <v>1.39954</v>
      </c>
      <c r="E62" s="318" t="n">
        <f aca="false">(C62*D62)*B62</f>
        <v>75015344</v>
      </c>
      <c r="F62" s="319" t="n">
        <v>4500000</v>
      </c>
      <c r="G62" s="37"/>
    </row>
    <row r="63" customFormat="false" ht="15" hidden="false" customHeight="false" outlineLevel="0" collapsed="false">
      <c r="A63" s="300" t="s">
        <v>360</v>
      </c>
      <c r="B63" s="315" t="n">
        <v>106200</v>
      </c>
      <c r="C63" s="316" t="n">
        <v>1000</v>
      </c>
      <c r="D63" s="317" t="n">
        <v>1.46285</v>
      </c>
      <c r="E63" s="318" t="n">
        <f aca="false">(C63*D63)*B63</f>
        <v>155354670</v>
      </c>
      <c r="F63" s="320" t="n">
        <v>4700000</v>
      </c>
      <c r="G63" s="37"/>
    </row>
    <row r="64" customFormat="false" ht="15" hidden="false" customHeight="false" outlineLevel="0" collapsed="false">
      <c r="A64" s="300" t="s">
        <v>361</v>
      </c>
      <c r="B64" s="315" t="n">
        <v>33000</v>
      </c>
      <c r="C64" s="316" t="n">
        <v>1000</v>
      </c>
      <c r="D64" s="317" t="n">
        <v>1.46991</v>
      </c>
      <c r="E64" s="318" t="n">
        <f aca="false">(C64*D64)*B64</f>
        <v>48507030</v>
      </c>
      <c r="F64" s="319" t="n">
        <v>1700000</v>
      </c>
      <c r="G64" s="37"/>
    </row>
    <row r="65" customFormat="false" ht="15" hidden="false" customHeight="false" outlineLevel="0" collapsed="false">
      <c r="A65" s="300"/>
      <c r="B65" s="309"/>
      <c r="C65" s="316"/>
      <c r="D65" s="309"/>
      <c r="E65" s="321"/>
      <c r="F65" s="300"/>
      <c r="G65" s="37"/>
    </row>
    <row r="66" customFormat="false" ht="15" hidden="false" customHeight="false" outlineLevel="0" collapsed="false">
      <c r="A66" s="322" t="s">
        <v>362</v>
      </c>
      <c r="B66" s="323" t="n">
        <f aca="false">SUM(B62:B64)</f>
        <v>192800</v>
      </c>
      <c r="C66" s="308"/>
      <c r="D66" s="309"/>
      <c r="E66" s="324" t="n">
        <f aca="false">SUM(E62:E64)</f>
        <v>278877044</v>
      </c>
      <c r="F66" s="323" t="n">
        <f aca="false">SUM(F62:F64)</f>
        <v>10900000</v>
      </c>
      <c r="G66" s="37"/>
    </row>
    <row r="67" customFormat="false" ht="15" hidden="false" customHeight="false" outlineLevel="0" collapsed="false">
      <c r="A67" s="322"/>
      <c r="B67" s="323"/>
      <c r="C67" s="308"/>
      <c r="D67" s="309"/>
      <c r="E67" s="324"/>
      <c r="F67" s="300"/>
      <c r="G67" s="37"/>
    </row>
    <row r="68" customFormat="false" ht="15" hidden="false" customHeight="false" outlineLevel="0" collapsed="false">
      <c r="A68" s="325" t="s">
        <v>363</v>
      </c>
      <c r="B68" s="323"/>
      <c r="C68" s="308"/>
      <c r="D68" s="309"/>
      <c r="E68" s="324"/>
      <c r="F68" s="300"/>
      <c r="G68" s="37"/>
    </row>
    <row r="69" customFormat="false" ht="15" hidden="false" customHeight="false" outlineLevel="0" collapsed="false">
      <c r="A69" s="322"/>
      <c r="B69" s="323"/>
      <c r="C69" s="308"/>
      <c r="D69" s="309"/>
      <c r="E69" s="324"/>
      <c r="F69" s="300"/>
      <c r="G69" s="37"/>
    </row>
    <row r="70" customFormat="false" ht="15" hidden="false" customHeight="true" outlineLevel="0" collapsed="false">
      <c r="A70" s="300" t="s">
        <v>364</v>
      </c>
      <c r="B70" s="326" t="s">
        <v>365</v>
      </c>
      <c r="C70" s="326"/>
      <c r="D70" s="326"/>
      <c r="E70" s="326"/>
      <c r="F70" s="326"/>
      <c r="G70" s="326"/>
      <c r="H70" s="326"/>
      <c r="I70" s="326"/>
      <c r="J70" s="326"/>
      <c r="K70" s="326"/>
    </row>
    <row r="71" customFormat="false" ht="15" hidden="false" customHeight="false" outlineLevel="0" collapsed="false">
      <c r="A71" s="300"/>
      <c r="B71" s="326"/>
      <c r="C71" s="326"/>
      <c r="D71" s="326"/>
      <c r="E71" s="326"/>
      <c r="F71" s="326"/>
      <c r="G71" s="326"/>
      <c r="H71" s="326"/>
      <c r="I71" s="326"/>
      <c r="J71" s="326"/>
      <c r="K71" s="326"/>
    </row>
    <row r="72" customFormat="false" ht="30" hidden="false" customHeight="true" outlineLevel="0" collapsed="false">
      <c r="A72" s="327" t="s">
        <v>366</v>
      </c>
      <c r="B72" s="326" t="s">
        <v>367</v>
      </c>
      <c r="C72" s="326"/>
      <c r="D72" s="326"/>
      <c r="E72" s="326"/>
      <c r="F72" s="326"/>
      <c r="G72" s="326"/>
      <c r="H72" s="326"/>
      <c r="I72" s="326"/>
      <c r="J72" s="326"/>
      <c r="K72" s="326"/>
    </row>
    <row r="73" customFormat="false" ht="15" hidden="false" customHeight="false" outlineLevel="0" collapsed="false">
      <c r="A73" s="327"/>
      <c r="B73" s="326"/>
      <c r="C73" s="326"/>
      <c r="D73" s="326"/>
      <c r="E73" s="326"/>
      <c r="F73" s="326"/>
      <c r="G73" s="326"/>
      <c r="H73" s="326"/>
      <c r="I73" s="326"/>
      <c r="J73" s="326"/>
      <c r="K73" s="326"/>
    </row>
    <row r="74" customFormat="false" ht="30" hidden="false" customHeight="true" outlineLevel="0" collapsed="false">
      <c r="A74" s="327" t="s">
        <v>368</v>
      </c>
      <c r="B74" s="326" t="s">
        <v>369</v>
      </c>
      <c r="C74" s="326"/>
      <c r="D74" s="326"/>
      <c r="E74" s="326"/>
      <c r="F74" s="326"/>
      <c r="G74" s="326"/>
      <c r="H74" s="326"/>
      <c r="I74" s="326"/>
      <c r="J74" s="326"/>
      <c r="K74" s="326"/>
    </row>
    <row r="75" customFormat="false" ht="15" hidden="false" customHeight="false" outlineLevel="0" collapsed="false">
      <c r="A75" s="300"/>
      <c r="B75" s="326"/>
      <c r="C75" s="326"/>
      <c r="D75" s="326"/>
      <c r="E75" s="326"/>
      <c r="F75" s="326"/>
      <c r="G75" s="326"/>
      <c r="H75" s="326"/>
      <c r="I75" s="326"/>
      <c r="J75" s="326"/>
      <c r="K75" s="326"/>
    </row>
    <row r="76" customFormat="false" ht="15" hidden="false" customHeight="false" outlineLevel="0" collapsed="false">
      <c r="A76" s="300"/>
      <c r="B76" s="300"/>
      <c r="C76" s="308"/>
      <c r="D76" s="309"/>
      <c r="E76" s="300"/>
      <c r="F76" s="300"/>
      <c r="G76" s="37"/>
    </row>
    <row r="77" customFormat="false" ht="15" hidden="false" customHeight="false" outlineLevel="0" collapsed="false">
      <c r="A77" s="328"/>
      <c r="B77" s="329" t="s">
        <v>370</v>
      </c>
      <c r="C77" s="330" t="n">
        <v>46</v>
      </c>
      <c r="D77" s="331"/>
      <c r="E77" s="332"/>
      <c r="F77" s="333"/>
      <c r="G77" s="245"/>
    </row>
    <row r="78" customFormat="false" ht="15" hidden="false" customHeight="false" outlineLevel="0" collapsed="false">
      <c r="A78" s="300"/>
      <c r="B78" s="300"/>
      <c r="C78" s="308"/>
      <c r="D78" s="334"/>
      <c r="E78" s="332"/>
      <c r="F78" s="332"/>
      <c r="G78" s="37"/>
    </row>
    <row r="79" customFormat="false" ht="45" hidden="false" customHeight="false" outlineLevel="0" collapsed="false">
      <c r="A79" s="335" t="s">
        <v>371</v>
      </c>
      <c r="B79" s="336" t="s">
        <v>372</v>
      </c>
      <c r="C79" s="337" t="s">
        <v>373</v>
      </c>
      <c r="D79" s="337" t="s">
        <v>374</v>
      </c>
      <c r="E79" s="332"/>
      <c r="F79" s="332"/>
      <c r="G79" s="245"/>
    </row>
    <row r="80" customFormat="false" ht="15" hidden="false" customHeight="false" outlineLevel="0" collapsed="false">
      <c r="A80" s="131" t="s">
        <v>375</v>
      </c>
      <c r="B80" s="338" t="n">
        <v>1000</v>
      </c>
      <c r="C80" s="339" t="n">
        <v>1000</v>
      </c>
      <c r="D80" s="338" t="n">
        <v>1000</v>
      </c>
      <c r="E80" s="332"/>
      <c r="F80" s="332"/>
      <c r="G80" s="37"/>
    </row>
    <row r="81" customFormat="false" ht="15" hidden="false" customHeight="false" outlineLevel="0" collapsed="false">
      <c r="A81" s="131" t="s">
        <v>376</v>
      </c>
      <c r="B81" s="340" t="n">
        <v>1.39954</v>
      </c>
      <c r="C81" s="341" t="n">
        <v>1.46285</v>
      </c>
      <c r="D81" s="341" t="n">
        <v>1.46991</v>
      </c>
      <c r="E81" s="332"/>
      <c r="F81" s="332"/>
    </row>
    <row r="82" customFormat="false" ht="15" hidden="false" customHeight="false" outlineLevel="0" collapsed="false">
      <c r="A82" s="131" t="s">
        <v>377</v>
      </c>
      <c r="B82" s="342" t="n">
        <f aca="false">B80*B81</f>
        <v>1399.54</v>
      </c>
      <c r="C82" s="342" t="n">
        <f aca="false">C80*C81</f>
        <v>1462.85</v>
      </c>
      <c r="D82" s="342" t="n">
        <f aca="false">D80*D81</f>
        <v>1469.91</v>
      </c>
      <c r="E82" s="332"/>
      <c r="F82" s="332"/>
      <c r="G82" s="37"/>
    </row>
    <row r="83" customFormat="false" ht="15" hidden="false" customHeight="false" outlineLevel="0" collapsed="false">
      <c r="A83" s="131" t="s">
        <v>378</v>
      </c>
      <c r="B83" s="342" t="n">
        <f aca="false">B82-B80</f>
        <v>399.54</v>
      </c>
      <c r="C83" s="342" t="n">
        <f aca="false">C82-C80</f>
        <v>462.85</v>
      </c>
      <c r="D83" s="342" t="n">
        <f aca="false">D82-D80</f>
        <v>469.91</v>
      </c>
      <c r="E83" s="332"/>
      <c r="F83" s="332"/>
      <c r="G83" s="37"/>
    </row>
    <row r="84" customFormat="false" ht="15" hidden="false" customHeight="false" outlineLevel="0" collapsed="false">
      <c r="A84" s="131"/>
      <c r="B84" s="342"/>
      <c r="C84" s="343"/>
      <c r="D84" s="344"/>
      <c r="E84" s="332"/>
      <c r="F84" s="332"/>
      <c r="G84" s="37"/>
    </row>
    <row r="85" customFormat="false" ht="15" hidden="false" customHeight="false" outlineLevel="0" collapsed="false">
      <c r="A85" s="131" t="s">
        <v>379</v>
      </c>
      <c r="B85" s="345"/>
      <c r="C85" s="346"/>
      <c r="D85" s="347"/>
      <c r="E85" s="332"/>
      <c r="F85" s="332"/>
      <c r="G85" s="37"/>
    </row>
    <row r="86" customFormat="false" ht="15" hidden="false" customHeight="false" outlineLevel="0" collapsed="false">
      <c r="A86" s="131" t="s">
        <v>380</v>
      </c>
      <c r="B86" s="348" t="n">
        <f aca="false">(B83*B62)/1000000</f>
        <v>21.415344</v>
      </c>
      <c r="C86" s="349" t="n">
        <f aca="false">(C83*B63)/1000000</f>
        <v>49.15467</v>
      </c>
      <c r="D86" s="349" t="n">
        <f aca="false">(D83*B64)/1000000</f>
        <v>15.50703</v>
      </c>
      <c r="E86" s="332"/>
      <c r="F86" s="332"/>
      <c r="G86" s="37"/>
    </row>
    <row r="87" customFormat="false" ht="15" hidden="false" customHeight="false" outlineLevel="0" collapsed="false">
      <c r="A87" s="131" t="s">
        <v>381</v>
      </c>
      <c r="B87" s="348" t="n">
        <f aca="false">B86*C77</f>
        <v>985.105824</v>
      </c>
      <c r="C87" s="349" t="n">
        <f aca="false">C86*$C$77</f>
        <v>2261.11482</v>
      </c>
      <c r="D87" s="349" t="n">
        <f aca="false">D86*$C$77</f>
        <v>713.32338</v>
      </c>
      <c r="E87" s="332"/>
      <c r="F87" s="332"/>
      <c r="G87" s="37"/>
    </row>
    <row r="88" customFormat="false" ht="15" hidden="false" customHeight="false" outlineLevel="0" collapsed="false">
      <c r="A88" s="131"/>
      <c r="B88" s="348"/>
      <c r="C88" s="349"/>
      <c r="D88" s="349"/>
      <c r="E88" s="332"/>
      <c r="F88" s="332"/>
      <c r="G88" s="37"/>
    </row>
    <row r="89" customFormat="false" ht="15" hidden="false" customHeight="false" outlineLevel="0" collapsed="false">
      <c r="A89" s="131" t="s">
        <v>382</v>
      </c>
      <c r="B89" s="348" t="n">
        <f aca="false">(B62*B80*C77)/1000000</f>
        <v>2465.6</v>
      </c>
      <c r="C89" s="349" t="n">
        <f aca="false">(B63*C80*$C$77)/1000000</f>
        <v>4885.2</v>
      </c>
      <c r="D89" s="349" t="n">
        <f aca="false">(B64*D80*$C$77)/1000000</f>
        <v>1518</v>
      </c>
      <c r="E89" s="332"/>
      <c r="F89" s="332"/>
      <c r="G89" s="37"/>
    </row>
    <row r="90" customFormat="false" ht="15" hidden="false" customHeight="false" outlineLevel="0" collapsed="false">
      <c r="A90" s="131"/>
      <c r="B90" s="348"/>
      <c r="C90" s="349"/>
      <c r="D90" s="349"/>
      <c r="E90" s="332"/>
      <c r="F90" s="332"/>
      <c r="G90" s="37"/>
    </row>
    <row r="91" customFormat="false" ht="15" hidden="false" customHeight="false" outlineLevel="0" collapsed="false">
      <c r="A91" s="300"/>
      <c r="B91" s="300"/>
      <c r="C91" s="308"/>
      <c r="D91" s="300"/>
      <c r="E91" s="332"/>
      <c r="F91" s="332"/>
      <c r="G91" s="37"/>
    </row>
    <row r="92" customFormat="false" ht="15.75" hidden="false" customHeight="false" outlineLevel="0" collapsed="false">
      <c r="A92" s="350" t="s">
        <v>383</v>
      </c>
    </row>
    <row r="93" customFormat="false" ht="15" hidden="false" customHeight="false" outlineLevel="0" collapsed="false">
      <c r="A93" s="351" t="s">
        <v>384</v>
      </c>
    </row>
    <row r="94" customFormat="false" ht="15" hidden="false" customHeight="false" outlineLevel="0" collapsed="false">
      <c r="B94" s="352" t="s">
        <v>385</v>
      </c>
      <c r="C94" s="352" t="s">
        <v>386</v>
      </c>
      <c r="D94" s="353" t="s">
        <v>387</v>
      </c>
    </row>
    <row r="95" customFormat="false" ht="15" hidden="false" customHeight="false" outlineLevel="0" collapsed="false">
      <c r="B95" s="354" t="n">
        <v>1000</v>
      </c>
      <c r="C95" s="355" t="n">
        <v>1.39954</v>
      </c>
      <c r="D95" s="187" t="n">
        <f aca="false">B95*C95</f>
        <v>1399.54</v>
      </c>
    </row>
    <row r="96" customFormat="false" ht="15" hidden="false" customHeight="false" outlineLevel="0" collapsed="false">
      <c r="B96" s="353"/>
      <c r="C96" s="353"/>
      <c r="D96" s="353"/>
      <c r="H96" s="356"/>
    </row>
    <row r="97" customFormat="false" ht="45" hidden="false" customHeight="false" outlineLevel="0" collapsed="false">
      <c r="A97" s="357" t="s">
        <v>388</v>
      </c>
      <c r="B97" s="353"/>
      <c r="C97" s="358" t="s">
        <v>389</v>
      </c>
      <c r="D97" s="359" t="n">
        <v>83.12</v>
      </c>
      <c r="E97" s="360" t="s">
        <v>390</v>
      </c>
      <c r="F97" s="361" t="n">
        <v>850</v>
      </c>
      <c r="G97" s="361" t="s">
        <v>391</v>
      </c>
      <c r="H97" s="362" t="n">
        <v>46</v>
      </c>
    </row>
    <row r="98" customFormat="false" ht="15" hidden="false" customHeight="true" outlineLevel="0" collapsed="false">
      <c r="B98" s="363" t="s">
        <v>392</v>
      </c>
      <c r="C98" s="363"/>
      <c r="D98" s="363"/>
      <c r="E98" s="363"/>
      <c r="F98" s="363"/>
    </row>
    <row r="99" customFormat="false" ht="15" hidden="false" customHeight="false" outlineLevel="0" collapsed="false">
      <c r="B99" s="364" t="n">
        <f aca="false">D97*F97/H97</f>
        <v>1535.91304347826</v>
      </c>
      <c r="C99" s="365" t="n">
        <v>44</v>
      </c>
      <c r="D99" s="365" t="n">
        <v>45</v>
      </c>
      <c r="E99" s="365" t="n">
        <v>46</v>
      </c>
      <c r="F99" s="365" t="n">
        <v>47</v>
      </c>
      <c r="G99" s="365" t="n">
        <v>48</v>
      </c>
    </row>
    <row r="100" customFormat="false" ht="15" hidden="false" customHeight="false" outlineLevel="0" collapsed="false">
      <c r="B100" s="361" t="n">
        <v>500</v>
      </c>
      <c r="C100" s="73" t="n">
        <f aca="true">TABLE($B$99,$F$97,$B100,$H$97,C$99)</f>
        <v>944.545454545455</v>
      </c>
      <c r="D100" s="73" t="n">
        <f aca="true">TABLE($B$99,$F$97,$B100,$H$97,D$99)</f>
        <v>923.555555555556</v>
      </c>
      <c r="E100" s="73" t="n">
        <f aca="true">TABLE($B$99,$F$97,$B100,$H$97,E$99)</f>
        <v>903.478260869565</v>
      </c>
      <c r="F100" s="73" t="n">
        <f aca="true">TABLE($B$99,$F$97,$B100,$H$97,F$99)</f>
        <v>884.255319148936</v>
      </c>
      <c r="G100" s="73" t="n">
        <f aca="true">TABLE($B$99,$F$97,$B100,$H$97,G$99)</f>
        <v>865.833333333333</v>
      </c>
    </row>
    <row r="101" customFormat="false" ht="15" hidden="false" customHeight="false" outlineLevel="0" collapsed="false">
      <c r="B101" s="361" t="n">
        <v>550</v>
      </c>
      <c r="C101" s="73" t="n">
        <f aca="true">TABLE($B$99,$F$97,$B101,$H$97,C$99)</f>
        <v>1039</v>
      </c>
      <c r="D101" s="73" t="n">
        <f aca="true">TABLE($B$99,$F$97,$B101,$H$97,D$99)</f>
        <v>1015.91111111111</v>
      </c>
      <c r="E101" s="73" t="n">
        <f aca="true">TABLE($B$99,$F$97,$B101,$H$97,E$99)</f>
        <v>993.826086956522</v>
      </c>
      <c r="F101" s="73" t="n">
        <f aca="true">TABLE($B$99,$F$97,$B101,$H$97,F$99)</f>
        <v>972.68085106383</v>
      </c>
      <c r="G101" s="73" t="n">
        <f aca="true">TABLE($B$99,$F$97,$B101,$H$97,G$99)</f>
        <v>952.416666666667</v>
      </c>
    </row>
    <row r="102" customFormat="false" ht="15" hidden="false" customHeight="false" outlineLevel="0" collapsed="false">
      <c r="B102" s="361" t="n">
        <v>600</v>
      </c>
      <c r="C102" s="73" t="n">
        <f aca="true">TABLE($B$99,$F$97,$B102,$H$97,C$99)</f>
        <v>1133.45454545455</v>
      </c>
      <c r="D102" s="73" t="n">
        <f aca="true">TABLE($B$99,$F$97,$B102,$H$97,D$99)</f>
        <v>1108.26666666667</v>
      </c>
      <c r="E102" s="73" t="n">
        <f aca="true">TABLE($B$99,$F$97,$B102,$H$97,E$99)</f>
        <v>1084.17391304348</v>
      </c>
      <c r="F102" s="73" t="n">
        <f aca="true">TABLE($B$99,$F$97,$B102,$H$97,F$99)</f>
        <v>1061.10638297872</v>
      </c>
      <c r="G102" s="73" t="n">
        <f aca="true">TABLE($B$99,$F$97,$B102,$H$97,G$99)</f>
        <v>1039</v>
      </c>
    </row>
    <row r="103" customFormat="false" ht="15" hidden="false" customHeight="false" outlineLevel="0" collapsed="false">
      <c r="B103" s="361" t="n">
        <v>650</v>
      </c>
      <c r="C103" s="73" t="n">
        <f aca="true">TABLE($B$99,$F$97,$B103,$H$97,C$99)</f>
        <v>1227.90909090909</v>
      </c>
      <c r="D103" s="73" t="n">
        <f aca="true">TABLE($B$99,$F$97,$B103,$H$97,D$99)</f>
        <v>1200.62222222222</v>
      </c>
      <c r="E103" s="73" t="n">
        <f aca="true">TABLE($B$99,$F$97,$B103,$H$97,E$99)</f>
        <v>1174.52173913043</v>
      </c>
      <c r="F103" s="73" t="n">
        <f aca="true">TABLE($B$99,$F$97,$B103,$H$97,F$99)</f>
        <v>1149.53191489362</v>
      </c>
      <c r="G103" s="73" t="n">
        <f aca="true">TABLE($B$99,$F$97,$B103,$H$97,G$99)</f>
        <v>1125.58333333333</v>
      </c>
    </row>
    <row r="104" customFormat="false" ht="15" hidden="false" customHeight="true" outlineLevel="0" collapsed="false">
      <c r="A104" s="366" t="s">
        <v>393</v>
      </c>
      <c r="B104" s="361" t="n">
        <v>700</v>
      </c>
      <c r="C104" s="73" t="n">
        <f aca="true">TABLE($B$99,$F$97,$B104,$H$97,C$99)</f>
        <v>1322.36363636364</v>
      </c>
      <c r="D104" s="73" t="n">
        <f aca="true">TABLE($B$99,$F$97,$B104,$H$97,D$99)</f>
        <v>1292.97777777778</v>
      </c>
      <c r="E104" s="73" t="n">
        <f aca="true">TABLE($B$99,$F$97,$B104,$H$97,E$99)</f>
        <v>1264.86956521739</v>
      </c>
      <c r="F104" s="73" t="n">
        <f aca="true">TABLE($B$99,$F$97,$B104,$H$97,F$99)</f>
        <v>1237.95744680851</v>
      </c>
      <c r="G104" s="73" t="n">
        <f aca="true">TABLE($B$99,$F$97,$B104,$H$97,G$99)</f>
        <v>1212.16666666667</v>
      </c>
    </row>
    <row r="105" customFormat="false" ht="15" hidden="false" customHeight="false" outlineLevel="0" collapsed="false">
      <c r="A105" s="366"/>
      <c r="B105" s="361" t="n">
        <v>750</v>
      </c>
      <c r="C105" s="73" t="n">
        <f aca="true">TABLE($B$99,$F$97,$B105,$H$97,C$99)</f>
        <v>1416.81818181818</v>
      </c>
      <c r="D105" s="73" t="n">
        <f aca="true">TABLE($B$99,$F$97,$B105,$H$97,D$99)</f>
        <v>1385.33333333333</v>
      </c>
      <c r="E105" s="73" t="n">
        <f aca="true">TABLE($B$99,$F$97,$B105,$H$97,E$99)</f>
        <v>1355.21739130435</v>
      </c>
      <c r="F105" s="73" t="n">
        <f aca="true">TABLE($B$99,$F$97,$B105,$H$97,F$99)</f>
        <v>1326.3829787234</v>
      </c>
      <c r="G105" s="73" t="n">
        <f aca="true">TABLE($B$99,$F$97,$B105,$H$97,G$99)</f>
        <v>1298.75</v>
      </c>
    </row>
    <row r="106" customFormat="false" ht="15" hidden="false" customHeight="false" outlineLevel="0" collapsed="false">
      <c r="A106" s="366"/>
      <c r="B106" s="361" t="n">
        <v>800</v>
      </c>
      <c r="C106" s="73" t="n">
        <f aca="true">TABLE($B$99,$F$97,$B106,$H$97,C$99)</f>
        <v>1511.27272727273</v>
      </c>
      <c r="D106" s="73" t="n">
        <f aca="true">TABLE($B$99,$F$97,$B106,$H$97,D$99)</f>
        <v>1477.68888888889</v>
      </c>
      <c r="E106" s="73" t="n">
        <f aca="true">TABLE($B$99,$F$97,$B106,$H$97,E$99)</f>
        <v>1445.5652173913</v>
      </c>
      <c r="F106" s="73" t="n">
        <f aca="true">TABLE($B$99,$F$97,$B106,$H$97,F$99)</f>
        <v>1414.8085106383</v>
      </c>
      <c r="G106" s="73" t="n">
        <f aca="true">TABLE($B$99,$F$97,$B106,$H$97,G$99)</f>
        <v>1385.33333333333</v>
      </c>
    </row>
    <row r="107" customFormat="false" ht="15" hidden="false" customHeight="false" outlineLevel="0" collapsed="false">
      <c r="A107" s="366"/>
      <c r="B107" s="367" t="n">
        <v>850</v>
      </c>
      <c r="C107" s="73" t="n">
        <f aca="true">TABLE($B$99,$F$97,$B107,$H$97,C$99)</f>
        <v>1605.72727272727</v>
      </c>
      <c r="D107" s="73" t="n">
        <f aca="true">TABLE($B$99,$F$97,$B107,$H$97,D$99)</f>
        <v>1570.04444444444</v>
      </c>
      <c r="E107" s="73" t="n">
        <f aca="true">TABLE($B$99,$F$97,$B107,$H$97,E$99)</f>
        <v>1535.91304347826</v>
      </c>
      <c r="F107" s="73" t="n">
        <f aca="true">TABLE($B$99,$F$97,$B107,$H$97,F$99)</f>
        <v>1503.23404255319</v>
      </c>
      <c r="G107" s="73" t="n">
        <f aca="true">TABLE($B$99,$F$97,$B107,$H$97,G$99)</f>
        <v>1471.91666666667</v>
      </c>
    </row>
    <row r="108" customFormat="false" ht="15" hidden="false" customHeight="false" outlineLevel="0" collapsed="false">
      <c r="A108" s="366"/>
      <c r="B108" s="361" t="n">
        <v>900</v>
      </c>
      <c r="C108" s="73" t="n">
        <f aca="true">TABLE($B$99,$F$97,$B108,$H$97,C$99)</f>
        <v>1700.18181818182</v>
      </c>
      <c r="D108" s="73" t="n">
        <f aca="true">TABLE($B$99,$F$97,$B108,$H$97,D$99)</f>
        <v>1662.4</v>
      </c>
      <c r="E108" s="73" t="n">
        <f aca="true">TABLE($B$99,$F$97,$B108,$H$97,E$99)</f>
        <v>1626.26086956522</v>
      </c>
      <c r="F108" s="73" t="n">
        <f aca="true">TABLE($B$99,$F$97,$B108,$H$97,F$99)</f>
        <v>1591.65957446809</v>
      </c>
      <c r="G108" s="73" t="n">
        <f aca="true">TABLE($B$99,$F$97,$B108,$H$97,G$99)</f>
        <v>1558.5</v>
      </c>
    </row>
    <row r="109" customFormat="false" ht="15" hidden="false" customHeight="false" outlineLevel="0" collapsed="false">
      <c r="A109" s="366"/>
      <c r="B109" s="361" t="n">
        <v>950</v>
      </c>
      <c r="C109" s="73" t="n">
        <f aca="true">TABLE($B$99,$F$97,$B109,$H$97,C$99)</f>
        <v>1794.63636363636</v>
      </c>
      <c r="D109" s="73" t="n">
        <f aca="true">TABLE($B$99,$F$97,$B109,$H$97,D$99)</f>
        <v>1754.75555555556</v>
      </c>
      <c r="E109" s="73" t="n">
        <f aca="true">TABLE($B$99,$F$97,$B109,$H$97,E$99)</f>
        <v>1716.60869565217</v>
      </c>
      <c r="F109" s="73" t="n">
        <f aca="true">TABLE($B$99,$F$97,$B109,$H$97,F$99)</f>
        <v>1680.08510638298</v>
      </c>
      <c r="G109" s="73" t="n">
        <f aca="true">TABLE($B$99,$F$97,$B109,$H$97,G$99)</f>
        <v>1645.08333333333</v>
      </c>
    </row>
    <row r="110" customFormat="false" ht="15" hidden="false" customHeight="false" outlineLevel="0" collapsed="false">
      <c r="A110" s="366"/>
      <c r="B110" s="361" t="n">
        <v>1000</v>
      </c>
      <c r="C110" s="73" t="n">
        <f aca="true">TABLE($B$99,$F$97,$B110,$H$97,C$99)</f>
        <v>1889.09090909091</v>
      </c>
      <c r="D110" s="73" t="n">
        <f aca="true">TABLE($B$99,$F$97,$B110,$H$97,D$99)</f>
        <v>1847.11111111111</v>
      </c>
      <c r="E110" s="73" t="n">
        <f aca="true">TABLE($B$99,$F$97,$B110,$H$97,E$99)</f>
        <v>1806.95652173913</v>
      </c>
      <c r="F110" s="73" t="n">
        <f aca="true">TABLE($B$99,$F$97,$B110,$H$97,F$99)</f>
        <v>1768.51063829787</v>
      </c>
      <c r="G110" s="73" t="n">
        <f aca="true">TABLE($B$99,$F$97,$B110,$H$97,G$99)</f>
        <v>1731.66666666667</v>
      </c>
    </row>
    <row r="111" customFormat="false" ht="15" hidden="false" customHeight="false" outlineLevel="0" collapsed="false">
      <c r="A111" s="366"/>
      <c r="B111" s="361" t="n">
        <v>1050</v>
      </c>
      <c r="C111" s="73" t="n">
        <f aca="true">TABLE($B$99,$F$97,$B111,$H$97,C$99)</f>
        <v>1983.54545454545</v>
      </c>
      <c r="D111" s="73" t="n">
        <f aca="true">TABLE($B$99,$F$97,$B111,$H$97,D$99)</f>
        <v>1939.46666666667</v>
      </c>
      <c r="E111" s="73" t="n">
        <f aca="true">TABLE($B$99,$F$97,$B111,$H$97,E$99)</f>
        <v>1897.30434782609</v>
      </c>
      <c r="F111" s="73" t="n">
        <f aca="true">TABLE($B$99,$F$97,$B111,$H$97,F$99)</f>
        <v>1856.93617021277</v>
      </c>
      <c r="G111" s="73" t="n">
        <f aca="true">TABLE($B$99,$F$97,$B111,$H$97,G$99)</f>
        <v>1818.25</v>
      </c>
    </row>
    <row r="112" customFormat="false" ht="15" hidden="false" customHeight="false" outlineLevel="0" collapsed="false">
      <c r="A112" s="45"/>
      <c r="B112" s="361" t="n">
        <v>1100</v>
      </c>
      <c r="C112" s="73" t="n">
        <f aca="true">TABLE($B$99,$F$97,$B112,$H$97,C$99)</f>
        <v>2078</v>
      </c>
      <c r="D112" s="73" t="n">
        <f aca="true">TABLE($B$99,$F$97,$B112,$H$97,D$99)</f>
        <v>2031.82222222222</v>
      </c>
      <c r="E112" s="73" t="n">
        <f aca="true">TABLE($B$99,$F$97,$B112,$H$97,E$99)</f>
        <v>1987.65217391304</v>
      </c>
      <c r="F112" s="73" t="n">
        <f aca="true">TABLE($B$99,$F$97,$B112,$H$97,F$99)</f>
        <v>1945.36170212766</v>
      </c>
      <c r="G112" s="73" t="n">
        <f aca="true">TABLE($B$99,$F$97,$B112,$H$97,G$99)</f>
        <v>1904.83333333333</v>
      </c>
    </row>
    <row r="113" customFormat="false" ht="15" hidden="false" customHeight="false" outlineLevel="0" collapsed="false">
      <c r="A113" s="45"/>
      <c r="B113" s="361" t="n">
        <v>1150</v>
      </c>
      <c r="C113" s="73" t="n">
        <f aca="true">TABLE($B$99,$F$97,$B113,$H$97,C$99)</f>
        <v>2172.45454545455</v>
      </c>
      <c r="D113" s="73" t="n">
        <f aca="true">TABLE($B$99,$F$97,$B113,$H$97,D$99)</f>
        <v>2124.17777777778</v>
      </c>
      <c r="E113" s="73" t="n">
        <f aca="true">TABLE($B$99,$F$97,$B113,$H$97,E$99)</f>
        <v>2078</v>
      </c>
      <c r="F113" s="73" t="n">
        <f aca="true">TABLE($B$99,$F$97,$B113,$H$97,F$99)</f>
        <v>2033.78723404255</v>
      </c>
      <c r="G113" s="73" t="n">
        <f aca="true">TABLE($B$99,$F$97,$B113,$H$97,G$99)</f>
        <v>1991.41666666667</v>
      </c>
    </row>
    <row r="114" customFormat="false" ht="15" hidden="false" customHeight="false" outlineLevel="0" collapsed="false">
      <c r="A114" s="45"/>
      <c r="B114" s="361" t="n">
        <v>1200</v>
      </c>
      <c r="C114" s="73" t="n">
        <f aca="true">TABLE($B$99,$F$97,$B114,$H$97,C$99)</f>
        <v>2266.90909090909</v>
      </c>
      <c r="D114" s="73" t="n">
        <f aca="true">TABLE($B$99,$F$97,$B114,$H$97,D$99)</f>
        <v>2216.53333333333</v>
      </c>
      <c r="E114" s="73" t="n">
        <f aca="true">TABLE($B$99,$F$97,$B114,$H$97,E$99)</f>
        <v>2168.34782608696</v>
      </c>
      <c r="F114" s="73" t="n">
        <f aca="true">TABLE($B$99,$F$97,$B114,$H$97,F$99)</f>
        <v>2122.21276595745</v>
      </c>
      <c r="G114" s="73" t="n">
        <f aca="true">TABLE($B$99,$F$97,$B114,$H$97,G$99)</f>
        <v>2078</v>
      </c>
    </row>
    <row r="115" customFormat="false" ht="15" hidden="false" customHeight="false" outlineLevel="0" collapsed="false">
      <c r="A115" s="45"/>
      <c r="B115" s="361" t="n">
        <v>1250</v>
      </c>
      <c r="C115" s="73" t="n">
        <f aca="true">TABLE($B$99,$F$97,$B115,$H$97,C$99)</f>
        <v>2361.36363636364</v>
      </c>
      <c r="D115" s="73" t="n">
        <f aca="true">TABLE($B$99,$F$97,$B115,$H$97,D$99)</f>
        <v>2308.88888888889</v>
      </c>
      <c r="E115" s="73" t="n">
        <f aca="true">TABLE($B$99,$F$97,$B115,$H$97,E$99)</f>
        <v>2258.69565217391</v>
      </c>
      <c r="F115" s="73" t="n">
        <f aca="true">TABLE($B$99,$F$97,$B115,$H$97,F$99)</f>
        <v>2210.63829787234</v>
      </c>
      <c r="G115" s="73" t="n">
        <f aca="true">TABLE($B$99,$F$97,$B115,$H$97,G$99)</f>
        <v>2164.58333333333</v>
      </c>
    </row>
    <row r="116" customFormat="false" ht="15" hidden="false" customHeight="false" outlineLevel="0" collapsed="false">
      <c r="B116" s="361" t="n">
        <v>1300</v>
      </c>
      <c r="C116" s="73" t="n">
        <f aca="true">TABLE($B$99,$F$97,$B116,$H$97,C$99)</f>
        <v>2455.81818181818</v>
      </c>
      <c r="D116" s="73" t="n">
        <f aca="true">TABLE($B$99,$F$97,$B116,$H$97,D$99)</f>
        <v>2401.24444444444</v>
      </c>
      <c r="E116" s="73" t="n">
        <f aca="true">TABLE($B$99,$F$97,$B116,$H$97,E$99)</f>
        <v>2349.04347826087</v>
      </c>
      <c r="F116" s="73" t="n">
        <f aca="true">TABLE($B$99,$F$97,$B116,$H$97,F$99)</f>
        <v>2299.06382978723</v>
      </c>
      <c r="G116" s="73" t="n">
        <f aca="true">TABLE($B$99,$F$97,$B116,$H$97,G$99)</f>
        <v>2251.16666666667</v>
      </c>
    </row>
    <row r="117" customFormat="false" ht="15" hidden="false" customHeight="false" outlineLevel="0" collapsed="false">
      <c r="B117" s="361" t="n">
        <v>1350</v>
      </c>
      <c r="C117" s="73" t="n">
        <f aca="true">TABLE($B$99,$F$97,$B117,$H$97,C$99)</f>
        <v>2550.27272727273</v>
      </c>
      <c r="D117" s="73" t="n">
        <f aca="true">TABLE($B$99,$F$97,$B117,$H$97,D$99)</f>
        <v>2493.6</v>
      </c>
      <c r="E117" s="73" t="n">
        <f aca="true">TABLE($B$99,$F$97,$B117,$H$97,E$99)</f>
        <v>2439.39130434783</v>
      </c>
      <c r="F117" s="73" t="n">
        <f aca="true">TABLE($B$99,$F$97,$B117,$H$97,F$99)</f>
        <v>2387.48936170213</v>
      </c>
      <c r="G117" s="73" t="n">
        <f aca="true">TABLE($B$99,$F$97,$B117,$H$97,G$99)</f>
        <v>2337.75</v>
      </c>
    </row>
    <row r="118" customFormat="false" ht="15" hidden="false" customHeight="false" outlineLevel="0" collapsed="false">
      <c r="B118" s="361" t="n">
        <v>1400</v>
      </c>
      <c r="C118" s="73" t="n">
        <f aca="true">TABLE($B$99,$F$97,$B118,$H$97,C$99)</f>
        <v>2644.72727272727</v>
      </c>
      <c r="D118" s="73" t="n">
        <f aca="true">TABLE($B$99,$F$97,$B118,$H$97,D$99)</f>
        <v>2585.95555555556</v>
      </c>
      <c r="E118" s="73" t="n">
        <f aca="true">TABLE($B$99,$F$97,$B118,$H$97,E$99)</f>
        <v>2529.73913043478</v>
      </c>
      <c r="F118" s="73" t="n">
        <f aca="true">TABLE($B$99,$F$97,$B118,$H$97,F$99)</f>
        <v>2475.91489361702</v>
      </c>
      <c r="G118" s="73" t="n">
        <f aca="true">TABLE($B$99,$F$97,$B118,$H$97,G$99)</f>
        <v>2424.33333333333</v>
      </c>
    </row>
    <row r="119" customFormat="false" ht="15" hidden="false" customHeight="false" outlineLevel="0" collapsed="false">
      <c r="B119" s="361" t="n">
        <v>1450</v>
      </c>
      <c r="C119" s="73" t="n">
        <f aca="true">TABLE($B$99,$F$97,$B119,$H$97,C$99)</f>
        <v>2739.18181818182</v>
      </c>
      <c r="D119" s="73" t="n">
        <f aca="true">TABLE($B$99,$F$97,$B119,$H$97,D$99)</f>
        <v>2678.31111111111</v>
      </c>
      <c r="E119" s="73" t="n">
        <f aca="true">TABLE($B$99,$F$97,$B119,$H$97,E$99)</f>
        <v>2620.08695652174</v>
      </c>
      <c r="F119" s="73" t="n">
        <f aca="true">TABLE($B$99,$F$97,$B119,$H$97,F$99)</f>
        <v>2564.34042553192</v>
      </c>
      <c r="G119" s="73" t="n">
        <f aca="true">TABLE($B$99,$F$97,$B119,$H$97,G$99)</f>
        <v>2510.91666666667</v>
      </c>
    </row>
    <row r="120" customFormat="false" ht="15" hidden="false" customHeight="false" outlineLevel="0" collapsed="false">
      <c r="B120" s="361" t="n">
        <v>1500</v>
      </c>
      <c r="C120" s="73" t="n">
        <f aca="true">TABLE($B$99,$F$97,$B120,$H$97,C$99)</f>
        <v>2833.63636363636</v>
      </c>
      <c r="D120" s="73" t="n">
        <f aca="true">TABLE($B$99,$F$97,$B120,$H$97,D$99)</f>
        <v>2770.66666666667</v>
      </c>
      <c r="E120" s="73" t="n">
        <f aca="true">TABLE($B$99,$F$97,$B120,$H$97,E$99)</f>
        <v>2710.4347826087</v>
      </c>
      <c r="F120" s="73" t="n">
        <f aca="true">TABLE($B$99,$F$97,$B120,$H$97,F$99)</f>
        <v>2652.76595744681</v>
      </c>
      <c r="G120" s="73" t="n">
        <f aca="true">TABLE($B$99,$F$97,$B120,$H$97,G$99)</f>
        <v>2597.5</v>
      </c>
    </row>
    <row r="121" customFormat="false" ht="15" hidden="false" customHeight="false" outlineLevel="0" collapsed="false">
      <c r="B121" s="361" t="n">
        <v>1550</v>
      </c>
      <c r="C121" s="73" t="n">
        <f aca="true">TABLE($B$99,$F$97,$B121,$H$97,C$99)</f>
        <v>2928.09090909091</v>
      </c>
      <c r="D121" s="73" t="n">
        <f aca="true">TABLE($B$99,$F$97,$B121,$H$97,D$99)</f>
        <v>2863.02222222222</v>
      </c>
      <c r="E121" s="73" t="n">
        <f aca="true">TABLE($B$99,$F$97,$B121,$H$97,E$99)</f>
        <v>2800.78260869565</v>
      </c>
      <c r="F121" s="73" t="n">
        <f aca="true">TABLE($B$99,$F$97,$B121,$H$97,F$99)</f>
        <v>2741.1914893617</v>
      </c>
      <c r="G121" s="73" t="n">
        <f aca="true">TABLE($B$99,$F$97,$B121,$H$97,G$99)</f>
        <v>2684.08333333333</v>
      </c>
    </row>
    <row r="122" customFormat="false" ht="15" hidden="false" customHeight="false" outlineLevel="0" collapsed="false">
      <c r="B122" s="361" t="n">
        <v>1600</v>
      </c>
      <c r="C122" s="73" t="n">
        <f aca="true">TABLE($B$99,$F$97,$B122,$H$97,C$99)</f>
        <v>3022.54545454545</v>
      </c>
      <c r="D122" s="73" t="n">
        <f aca="true">TABLE($B$99,$F$97,$B122,$H$97,D$99)</f>
        <v>2955.37777777778</v>
      </c>
      <c r="E122" s="73" t="n">
        <f aca="true">TABLE($B$99,$F$97,$B122,$H$97,E$99)</f>
        <v>2891.13043478261</v>
      </c>
      <c r="F122" s="73" t="n">
        <f aca="true">TABLE($B$99,$F$97,$B122,$H$97,F$99)</f>
        <v>2829.6170212766</v>
      </c>
      <c r="G122" s="73" t="n">
        <f aca="true">TABLE($B$99,$F$97,$B122,$H$97,G$99)</f>
        <v>2770.66666666667</v>
      </c>
    </row>
    <row r="123" customFormat="false" ht="15" hidden="false" customHeight="false" outlineLevel="0" collapsed="false">
      <c r="B123" s="361" t="n">
        <v>1650</v>
      </c>
      <c r="C123" s="73" t="n">
        <f aca="true">TABLE($B$99,$F$97,$B123,$H$97,C$99)</f>
        <v>3117</v>
      </c>
      <c r="D123" s="73" t="n">
        <f aca="true">TABLE($B$99,$F$97,$B123,$H$97,D$99)</f>
        <v>3047.73333333333</v>
      </c>
      <c r="E123" s="73" t="n">
        <f aca="true">TABLE($B$99,$F$97,$B123,$H$97,E$99)</f>
        <v>2981.47826086957</v>
      </c>
      <c r="F123" s="73" t="n">
        <f aca="true">TABLE($B$99,$F$97,$B123,$H$97,F$99)</f>
        <v>2918.04255319149</v>
      </c>
      <c r="G123" s="73" t="n">
        <f aca="true">TABLE($B$99,$F$97,$B123,$H$97,G$99)</f>
        <v>2857.25</v>
      </c>
    </row>
    <row r="124" customFormat="false" ht="15" hidden="false" customHeight="false" outlineLevel="0" collapsed="false">
      <c r="B124" s="361" t="n">
        <v>1700</v>
      </c>
      <c r="C124" s="73" t="n">
        <f aca="true">TABLE($B$99,$F$97,$B124,$H$97,C$99)</f>
        <v>3211.45454545455</v>
      </c>
      <c r="D124" s="73" t="n">
        <f aca="true">TABLE($B$99,$F$97,$B124,$H$97,D$99)</f>
        <v>3140.08888888889</v>
      </c>
      <c r="E124" s="73" t="n">
        <f aca="true">TABLE($B$99,$F$97,$B124,$H$97,E$99)</f>
        <v>3071.82608695652</v>
      </c>
      <c r="F124" s="73" t="n">
        <f aca="true">TABLE($B$99,$F$97,$B124,$H$97,F$99)</f>
        <v>3006.46808510638</v>
      </c>
      <c r="G124" s="73" t="n">
        <f aca="true">TABLE($B$99,$F$97,$B124,$H$97,G$99)</f>
        <v>2943.83333333333</v>
      </c>
    </row>
    <row r="125" customFormat="false" ht="15" hidden="false" customHeight="false" outlineLevel="0" collapsed="false">
      <c r="B125" s="361" t="n">
        <v>1750</v>
      </c>
      <c r="C125" s="73" t="n">
        <f aca="true">TABLE($B$99,$F$97,$B125,$H$97,C$99)</f>
        <v>3305.90909090909</v>
      </c>
      <c r="D125" s="73" t="n">
        <f aca="true">TABLE($B$99,$F$97,$B125,$H$97,D$99)</f>
        <v>3232.44444444444</v>
      </c>
      <c r="E125" s="73" t="n">
        <f aca="true">TABLE($B$99,$F$97,$B125,$H$97,E$99)</f>
        <v>3162.17391304348</v>
      </c>
      <c r="F125" s="73" t="n">
        <f aca="true">TABLE($B$99,$F$97,$B125,$H$97,F$99)</f>
        <v>3094.89361702128</v>
      </c>
      <c r="G125" s="73" t="n">
        <f aca="true">TABLE($B$99,$F$97,$B125,$H$97,G$99)</f>
        <v>3030.41666666667</v>
      </c>
    </row>
    <row r="126" customFormat="false" ht="15" hidden="false" customHeight="false" outlineLevel="0" collapsed="false">
      <c r="B126" s="361" t="n">
        <v>1800</v>
      </c>
      <c r="C126" s="73" t="n">
        <f aca="true">TABLE($B$99,$F$97,$B126,$H$97,C$99)</f>
        <v>3400.36363636364</v>
      </c>
      <c r="D126" s="73" t="n">
        <f aca="true">TABLE($B$99,$F$97,$B126,$H$97,D$99)</f>
        <v>3324.8</v>
      </c>
      <c r="E126" s="73" t="n">
        <f aca="true">TABLE($B$99,$F$97,$B126,$H$97,E$99)</f>
        <v>3252.52173913044</v>
      </c>
      <c r="F126" s="73" t="n">
        <f aca="true">TABLE($B$99,$F$97,$B126,$H$97,F$99)</f>
        <v>3183.31914893617</v>
      </c>
      <c r="G126" s="73" t="n">
        <f aca="true">TABLE($B$99,$F$97,$B126,$H$97,G$99)</f>
        <v>3117</v>
      </c>
    </row>
    <row r="127" customFormat="false" ht="15" hidden="false" customHeight="false" outlineLevel="0" collapsed="false">
      <c r="F127" s="351"/>
      <c r="G127" s="72"/>
      <c r="H127" s="368"/>
      <c r="I127" s="72"/>
      <c r="J127" s="72"/>
      <c r="K127" s="72"/>
      <c r="L127" s="72"/>
      <c r="M127" s="72"/>
      <c r="N127" s="72"/>
    </row>
    <row r="128" customFormat="false" ht="15" hidden="false" customHeight="false" outlineLevel="0" collapsed="false">
      <c r="F128" s="72"/>
      <c r="G128" s="352"/>
      <c r="H128" s="352"/>
      <c r="I128" s="353"/>
      <c r="J128" s="72"/>
      <c r="K128" s="72"/>
      <c r="L128" s="72"/>
      <c r="M128" s="72"/>
      <c r="N128" s="72"/>
    </row>
    <row r="129" customFormat="false" ht="15" hidden="false" customHeight="false" outlineLevel="0" collapsed="false">
      <c r="A129" s="351" t="s">
        <v>394</v>
      </c>
      <c r="I129" s="187"/>
      <c r="J129" s="157"/>
      <c r="K129" s="157"/>
      <c r="L129" s="72"/>
      <c r="M129" s="72"/>
      <c r="N129" s="72"/>
    </row>
    <row r="130" customFormat="false" ht="15" hidden="false" customHeight="false" outlineLevel="0" collapsed="false">
      <c r="B130" s="352" t="s">
        <v>385</v>
      </c>
      <c r="C130" s="352" t="s">
        <v>386</v>
      </c>
      <c r="D130" s="353" t="s">
        <v>387</v>
      </c>
      <c r="I130" s="353"/>
      <c r="J130" s="157"/>
      <c r="K130" s="157"/>
      <c r="L130" s="72"/>
      <c r="M130" s="72"/>
      <c r="N130" s="72"/>
    </row>
    <row r="131" customFormat="false" ht="15" hidden="false" customHeight="false" outlineLevel="0" collapsed="false">
      <c r="B131" s="369" t="n">
        <v>1000</v>
      </c>
      <c r="C131" s="370" t="n">
        <v>1.46285</v>
      </c>
      <c r="D131" s="187" t="n">
        <f aca="false">B131*C131</f>
        <v>1462.85</v>
      </c>
      <c r="I131" s="371"/>
      <c r="J131" s="372"/>
      <c r="K131" s="373"/>
      <c r="L131" s="373"/>
      <c r="M131" s="373"/>
      <c r="N131" s="72"/>
    </row>
    <row r="132" customFormat="false" ht="15" hidden="false" customHeight="false" outlineLevel="0" collapsed="false">
      <c r="B132" s="353"/>
      <c r="C132" s="353"/>
      <c r="D132" s="353"/>
      <c r="I132" s="374"/>
      <c r="J132" s="374"/>
      <c r="K132" s="374"/>
      <c r="L132" s="72"/>
      <c r="M132" s="72"/>
      <c r="N132" s="72"/>
    </row>
    <row r="133" customFormat="false" ht="45" hidden="false" customHeight="false" outlineLevel="0" collapsed="false">
      <c r="A133" s="357" t="s">
        <v>388</v>
      </c>
      <c r="B133" s="353"/>
      <c r="C133" s="358" t="s">
        <v>389</v>
      </c>
      <c r="D133" s="375" t="n">
        <v>44.52</v>
      </c>
      <c r="E133" s="360" t="s">
        <v>390</v>
      </c>
      <c r="F133" s="361" t="n">
        <v>850</v>
      </c>
      <c r="G133" s="361" t="s">
        <v>391</v>
      </c>
      <c r="H133" s="362" t="n">
        <v>46</v>
      </c>
      <c r="I133" s="365"/>
      <c r="J133" s="365"/>
      <c r="K133" s="365"/>
      <c r="L133" s="365"/>
      <c r="M133" s="72"/>
      <c r="N133" s="72"/>
    </row>
    <row r="134" customFormat="false" ht="15" hidden="false" customHeight="true" outlineLevel="0" collapsed="false">
      <c r="B134" s="363" t="s">
        <v>392</v>
      </c>
      <c r="C134" s="363"/>
      <c r="D134" s="363"/>
      <c r="E134" s="363"/>
      <c r="F134" s="363"/>
      <c r="I134" s="157"/>
      <c r="J134" s="157"/>
      <c r="K134" s="157"/>
      <c r="L134" s="72"/>
      <c r="M134" s="72"/>
      <c r="N134" s="72"/>
    </row>
    <row r="135" customFormat="false" ht="15" hidden="false" customHeight="false" outlineLevel="0" collapsed="false">
      <c r="B135" s="142" t="n">
        <f aca="false">(D133*F133)/H133</f>
        <v>822.652173913044</v>
      </c>
      <c r="C135" s="365" t="n">
        <v>44</v>
      </c>
      <c r="D135" s="365" t="n">
        <v>45</v>
      </c>
      <c r="E135" s="365" t="n">
        <v>46</v>
      </c>
      <c r="F135" s="365" t="n">
        <v>47</v>
      </c>
      <c r="G135" s="365" t="n">
        <v>48</v>
      </c>
      <c r="H135" s="72"/>
      <c r="I135" s="72"/>
      <c r="J135" s="72"/>
      <c r="K135" s="72"/>
      <c r="L135" s="72"/>
      <c r="M135" s="72"/>
      <c r="N135" s="72"/>
    </row>
    <row r="136" customFormat="false" ht="15" hidden="false" customHeight="true" outlineLevel="0" collapsed="false">
      <c r="B136" s="361" t="n">
        <v>500</v>
      </c>
      <c r="C136" s="73" t="n">
        <f aca="true">TABLE($B$135,$F$133,$B136,$H$133,C$135)</f>
        <v>505.909090909091</v>
      </c>
      <c r="D136" s="73" t="n">
        <f aca="true">TABLE($B$135,$F$133,$B136,$H$133,D$135)</f>
        <v>494.666666666667</v>
      </c>
      <c r="E136" s="73" t="n">
        <f aca="true">TABLE($B$135,$F$133,$B136,$H$133,E$135)</f>
        <v>483.913043478261</v>
      </c>
      <c r="F136" s="73" t="n">
        <f aca="true">TABLE($B$135,$F$133,$B136,$H$133,F$135)</f>
        <v>473.617021276596</v>
      </c>
      <c r="G136" s="73" t="n">
        <f aca="true">TABLE($B$135,$F$133,$B136,$H$133,G$135)</f>
        <v>463.75</v>
      </c>
      <c r="H136" s="72"/>
      <c r="I136" s="72"/>
      <c r="J136" s="72"/>
      <c r="K136" s="72"/>
      <c r="L136" s="72"/>
      <c r="M136" s="72"/>
      <c r="N136" s="72"/>
    </row>
    <row r="137" customFormat="false" ht="15" hidden="false" customHeight="false" outlineLevel="0" collapsed="false">
      <c r="B137" s="361" t="n">
        <v>550</v>
      </c>
      <c r="C137" s="73" t="n">
        <f aca="true">TABLE($B$135,$F$133,$B137,$H$133,C$135)</f>
        <v>556.5</v>
      </c>
      <c r="D137" s="73" t="n">
        <f aca="true">TABLE($B$135,$F$133,$B137,$H$133,D$135)</f>
        <v>544.133333333333</v>
      </c>
      <c r="E137" s="73" t="n">
        <f aca="true">TABLE($B$135,$F$133,$B137,$H$133,E$135)</f>
        <v>532.304347826087</v>
      </c>
      <c r="F137" s="73" t="n">
        <f aca="true">TABLE($B$135,$F$133,$B137,$H$133,F$135)</f>
        <v>520.978723404255</v>
      </c>
      <c r="G137" s="73" t="n">
        <f aca="true">TABLE($B$135,$F$133,$B137,$H$133,G$135)</f>
        <v>510.125</v>
      </c>
      <c r="H137" s="72"/>
      <c r="I137" s="72"/>
      <c r="J137" s="72"/>
      <c r="K137" s="72"/>
      <c r="L137" s="72"/>
      <c r="M137" s="72"/>
      <c r="N137" s="72"/>
    </row>
    <row r="138" customFormat="false" ht="15" hidden="false" customHeight="false" outlineLevel="0" collapsed="false">
      <c r="B138" s="361" t="n">
        <v>600</v>
      </c>
      <c r="C138" s="73" t="n">
        <f aca="true">TABLE($B$135,$F$133,$B138,$H$133,C$135)</f>
        <v>607.090909090909</v>
      </c>
      <c r="D138" s="73" t="n">
        <f aca="true">TABLE($B$135,$F$133,$B138,$H$133,D$135)</f>
        <v>593.6</v>
      </c>
      <c r="E138" s="73" t="n">
        <f aca="true">TABLE($B$135,$F$133,$B138,$H$133,E$135)</f>
        <v>580.695652173913</v>
      </c>
      <c r="F138" s="73" t="n">
        <f aca="true">TABLE($B$135,$F$133,$B138,$H$133,F$135)</f>
        <v>568.340425531915</v>
      </c>
      <c r="G138" s="73" t="n">
        <f aca="true">TABLE($B$135,$F$133,$B138,$H$133,G$135)</f>
        <v>556.5</v>
      </c>
    </row>
    <row r="139" customFormat="false" ht="15" hidden="false" customHeight="false" outlineLevel="0" collapsed="false">
      <c r="B139" s="361" t="n">
        <v>650</v>
      </c>
      <c r="C139" s="73" t="n">
        <f aca="true">TABLE($B$135,$F$133,$B139,$H$133,C$135)</f>
        <v>657.681818181818</v>
      </c>
      <c r="D139" s="73" t="n">
        <f aca="true">TABLE($B$135,$F$133,$B139,$H$133,D$135)</f>
        <v>643.066666666667</v>
      </c>
      <c r="E139" s="73" t="n">
        <f aca="true">TABLE($B$135,$F$133,$B139,$H$133,E$135)</f>
        <v>629.086956521739</v>
      </c>
      <c r="F139" s="73" t="n">
        <f aca="true">TABLE($B$135,$F$133,$B139,$H$133,F$135)</f>
        <v>615.702127659575</v>
      </c>
      <c r="G139" s="73" t="n">
        <f aca="true">TABLE($B$135,$F$133,$B139,$H$133,G$135)</f>
        <v>602.875</v>
      </c>
    </row>
    <row r="140" customFormat="false" ht="15" hidden="false" customHeight="true" outlineLevel="0" collapsed="false">
      <c r="A140" s="366" t="s">
        <v>393</v>
      </c>
      <c r="B140" s="361" t="n">
        <v>700</v>
      </c>
      <c r="C140" s="73" t="n">
        <f aca="true">TABLE($B$135,$F$133,$B140,$H$133,C$135)</f>
        <v>708.272727272727</v>
      </c>
      <c r="D140" s="73" t="n">
        <f aca="true">TABLE($B$135,$F$133,$B140,$H$133,D$135)</f>
        <v>692.533333333333</v>
      </c>
      <c r="E140" s="73" t="n">
        <f aca="true">TABLE($B$135,$F$133,$B140,$H$133,E$135)</f>
        <v>677.478260869565</v>
      </c>
      <c r="F140" s="73" t="n">
        <f aca="true">TABLE($B$135,$F$133,$B140,$H$133,F$135)</f>
        <v>663.063829787234</v>
      </c>
      <c r="G140" s="73" t="n">
        <f aca="true">TABLE($B$135,$F$133,$B140,$H$133,G$135)</f>
        <v>649.25</v>
      </c>
    </row>
    <row r="141" customFormat="false" ht="15" hidden="false" customHeight="false" outlineLevel="0" collapsed="false">
      <c r="A141" s="366"/>
      <c r="B141" s="361" t="n">
        <v>750</v>
      </c>
      <c r="C141" s="73" t="n">
        <f aca="true">TABLE($B$135,$F$133,$B141,$H$133,C$135)</f>
        <v>758.863636363636</v>
      </c>
      <c r="D141" s="73" t="n">
        <f aca="true">TABLE($B$135,$F$133,$B141,$H$133,D$135)</f>
        <v>742</v>
      </c>
      <c r="E141" s="73" t="n">
        <f aca="true">TABLE($B$135,$F$133,$B141,$H$133,E$135)</f>
        <v>725.869565217391</v>
      </c>
      <c r="F141" s="73" t="n">
        <f aca="true">TABLE($B$135,$F$133,$B141,$H$133,F$135)</f>
        <v>710.425531914894</v>
      </c>
      <c r="G141" s="73" t="n">
        <f aca="true">TABLE($B$135,$F$133,$B141,$H$133,G$135)</f>
        <v>695.625</v>
      </c>
    </row>
    <row r="142" customFormat="false" ht="15" hidden="false" customHeight="false" outlineLevel="0" collapsed="false">
      <c r="A142" s="366"/>
      <c r="B142" s="361" t="n">
        <v>800</v>
      </c>
      <c r="C142" s="73" t="n">
        <f aca="true">TABLE($B$135,$F$133,$B142,$H$133,C$135)</f>
        <v>809.454545454546</v>
      </c>
      <c r="D142" s="73" t="n">
        <f aca="true">TABLE($B$135,$F$133,$B142,$H$133,D$135)</f>
        <v>791.466666666667</v>
      </c>
      <c r="E142" s="73" t="n">
        <f aca="true">TABLE($B$135,$F$133,$B142,$H$133,E$135)</f>
        <v>774.260869565217</v>
      </c>
      <c r="F142" s="73" t="n">
        <f aca="true">TABLE($B$135,$F$133,$B142,$H$133,F$135)</f>
        <v>757.787234042553</v>
      </c>
      <c r="G142" s="73" t="n">
        <f aca="true">TABLE($B$135,$F$133,$B142,$H$133,G$135)</f>
        <v>742</v>
      </c>
    </row>
    <row r="143" customFormat="false" ht="15" hidden="false" customHeight="false" outlineLevel="0" collapsed="false">
      <c r="A143" s="366"/>
      <c r="B143" s="367" t="n">
        <v>850</v>
      </c>
      <c r="C143" s="73" t="n">
        <f aca="true">TABLE($B$135,$F$133,$B143,$H$133,C$135)</f>
        <v>860.045454545455</v>
      </c>
      <c r="D143" s="73" t="n">
        <f aca="true">TABLE($B$135,$F$133,$B143,$H$133,D$135)</f>
        <v>840.933333333333</v>
      </c>
      <c r="E143" s="73" t="n">
        <f aca="true">TABLE($B$135,$F$133,$B143,$H$133,E$135)</f>
        <v>822.652173913044</v>
      </c>
      <c r="F143" s="73" t="n">
        <f aca="true">TABLE($B$135,$F$133,$B143,$H$133,F$135)</f>
        <v>805.148936170213</v>
      </c>
      <c r="G143" s="73" t="n">
        <f aca="true">TABLE($B$135,$F$133,$B143,$H$133,G$135)</f>
        <v>788.375</v>
      </c>
    </row>
    <row r="144" customFormat="false" ht="15" hidden="false" customHeight="false" outlineLevel="0" collapsed="false">
      <c r="A144" s="366"/>
      <c r="B144" s="361" t="n">
        <v>900</v>
      </c>
      <c r="C144" s="73" t="n">
        <f aca="true">TABLE($B$135,$F$133,$B144,$H$133,C$135)</f>
        <v>910.636363636364</v>
      </c>
      <c r="D144" s="73" t="n">
        <f aca="true">TABLE($B$135,$F$133,$B144,$H$133,D$135)</f>
        <v>890.4</v>
      </c>
      <c r="E144" s="73" t="n">
        <f aca="true">TABLE($B$135,$F$133,$B144,$H$133,E$135)</f>
        <v>871.04347826087</v>
      </c>
      <c r="F144" s="73" t="n">
        <f aca="true">TABLE($B$135,$F$133,$B144,$H$133,F$135)</f>
        <v>852.510638297872</v>
      </c>
      <c r="G144" s="73" t="n">
        <f aca="true">TABLE($B$135,$F$133,$B144,$H$133,G$135)</f>
        <v>834.75</v>
      </c>
    </row>
    <row r="145" customFormat="false" ht="15" hidden="false" customHeight="false" outlineLevel="0" collapsed="false">
      <c r="A145" s="366"/>
      <c r="B145" s="361" t="n">
        <v>950</v>
      </c>
      <c r="C145" s="73" t="n">
        <f aca="true">TABLE($B$135,$F$133,$B145,$H$133,C$135)</f>
        <v>961.227272727273</v>
      </c>
      <c r="D145" s="73" t="n">
        <f aca="true">TABLE($B$135,$F$133,$B145,$H$133,D$135)</f>
        <v>939.866666666667</v>
      </c>
      <c r="E145" s="73" t="n">
        <f aca="true">TABLE($B$135,$F$133,$B145,$H$133,E$135)</f>
        <v>919.434782608696</v>
      </c>
      <c r="F145" s="73" t="n">
        <f aca="true">TABLE($B$135,$F$133,$B145,$H$133,F$135)</f>
        <v>899.872340425532</v>
      </c>
      <c r="G145" s="73" t="n">
        <f aca="true">TABLE($B$135,$F$133,$B145,$H$133,G$135)</f>
        <v>881.125</v>
      </c>
    </row>
    <row r="146" customFormat="false" ht="15" hidden="false" customHeight="false" outlineLevel="0" collapsed="false">
      <c r="A146" s="366"/>
      <c r="B146" s="361" t="n">
        <v>1000</v>
      </c>
      <c r="C146" s="73" t="n">
        <f aca="true">TABLE($B$135,$F$133,$B146,$H$133,C$135)</f>
        <v>1011.81818181818</v>
      </c>
      <c r="D146" s="73" t="n">
        <f aca="true">TABLE($B$135,$F$133,$B146,$H$133,D$135)</f>
        <v>989.333333333333</v>
      </c>
      <c r="E146" s="73" t="n">
        <f aca="true">TABLE($B$135,$F$133,$B146,$H$133,E$135)</f>
        <v>967.826086956522</v>
      </c>
      <c r="F146" s="73" t="n">
        <f aca="true">TABLE($B$135,$F$133,$B146,$H$133,F$135)</f>
        <v>947.234042553191</v>
      </c>
      <c r="G146" s="73" t="n">
        <f aca="true">TABLE($B$135,$F$133,$B146,$H$133,G$135)</f>
        <v>927.5</v>
      </c>
    </row>
    <row r="147" customFormat="false" ht="15" hidden="false" customHeight="false" outlineLevel="0" collapsed="false">
      <c r="A147" s="366"/>
      <c r="B147" s="361" t="n">
        <v>1050</v>
      </c>
      <c r="C147" s="73" t="n">
        <f aca="true">TABLE($B$135,$F$133,$B147,$H$133,C$135)</f>
        <v>1062.40909090909</v>
      </c>
      <c r="D147" s="73" t="n">
        <f aca="true">TABLE($B$135,$F$133,$B147,$H$133,D$135)</f>
        <v>1038.8</v>
      </c>
      <c r="E147" s="73" t="n">
        <f aca="true">TABLE($B$135,$F$133,$B147,$H$133,E$135)</f>
        <v>1016.21739130435</v>
      </c>
      <c r="F147" s="73" t="n">
        <f aca="true">TABLE($B$135,$F$133,$B147,$H$133,F$135)</f>
        <v>994.595744680851</v>
      </c>
      <c r="G147" s="73" t="n">
        <f aca="true">TABLE($B$135,$F$133,$B147,$H$133,G$135)</f>
        <v>973.875</v>
      </c>
    </row>
    <row r="148" customFormat="false" ht="15" hidden="false" customHeight="false" outlineLevel="0" collapsed="false">
      <c r="A148" s="376"/>
      <c r="B148" s="361" t="n">
        <v>1100</v>
      </c>
      <c r="C148" s="73" t="n">
        <f aca="true">TABLE($B$135,$F$133,$B148,$H$133,C$135)</f>
        <v>1113</v>
      </c>
      <c r="D148" s="73" t="n">
        <f aca="true">TABLE($B$135,$F$133,$B148,$H$133,D$135)</f>
        <v>1088.26666666667</v>
      </c>
      <c r="E148" s="73" t="n">
        <f aca="true">TABLE($B$135,$F$133,$B148,$H$133,E$135)</f>
        <v>1064.60869565217</v>
      </c>
      <c r="F148" s="73" t="n">
        <f aca="true">TABLE($B$135,$F$133,$B148,$H$133,F$135)</f>
        <v>1041.95744680851</v>
      </c>
      <c r="G148" s="73" t="n">
        <f aca="true">TABLE($B$135,$F$133,$B148,$H$133,G$135)</f>
        <v>1020.25</v>
      </c>
    </row>
    <row r="149" customFormat="false" ht="15" hidden="false" customHeight="false" outlineLevel="0" collapsed="false">
      <c r="A149" s="376"/>
      <c r="B149" s="361" t="n">
        <v>1150</v>
      </c>
      <c r="C149" s="73" t="n">
        <f aca="true">TABLE($B$135,$F$133,$B149,$H$133,C$135)</f>
        <v>1163.59090909091</v>
      </c>
      <c r="D149" s="73" t="n">
        <f aca="true">TABLE($B$135,$F$133,$B149,$H$133,D$135)</f>
        <v>1137.73333333333</v>
      </c>
      <c r="E149" s="73" t="n">
        <f aca="true">TABLE($B$135,$F$133,$B149,$H$133,E$135)</f>
        <v>1113</v>
      </c>
      <c r="F149" s="73" t="n">
        <f aca="true">TABLE($B$135,$F$133,$B149,$H$133,F$135)</f>
        <v>1089.31914893617</v>
      </c>
      <c r="G149" s="73" t="n">
        <f aca="true">TABLE($B$135,$F$133,$B149,$H$133,G$135)</f>
        <v>1066.625</v>
      </c>
    </row>
    <row r="150" customFormat="false" ht="15" hidden="false" customHeight="false" outlineLevel="0" collapsed="false">
      <c r="A150" s="376"/>
      <c r="B150" s="361" t="n">
        <v>1200</v>
      </c>
      <c r="C150" s="73" t="n">
        <f aca="true">TABLE($B$135,$F$133,$B150,$H$133,C$135)</f>
        <v>1214.18181818182</v>
      </c>
      <c r="D150" s="73" t="n">
        <f aca="true">TABLE($B$135,$F$133,$B150,$H$133,D$135)</f>
        <v>1187.2</v>
      </c>
      <c r="E150" s="73" t="n">
        <f aca="true">TABLE($B$135,$F$133,$B150,$H$133,E$135)</f>
        <v>1161.39130434783</v>
      </c>
      <c r="F150" s="73" t="n">
        <f aca="true">TABLE($B$135,$F$133,$B150,$H$133,F$135)</f>
        <v>1136.68085106383</v>
      </c>
      <c r="G150" s="73" t="n">
        <f aca="true">TABLE($B$135,$F$133,$B150,$H$133,G$135)</f>
        <v>1113</v>
      </c>
    </row>
    <row r="151" customFormat="false" ht="15" hidden="false" customHeight="false" outlineLevel="0" collapsed="false">
      <c r="A151" s="376"/>
      <c r="B151" s="361" t="n">
        <v>1250</v>
      </c>
      <c r="C151" s="73" t="n">
        <f aca="true">TABLE($B$135,$F$133,$B151,$H$133,C$135)</f>
        <v>1264.77272727273</v>
      </c>
      <c r="D151" s="73" t="n">
        <f aca="true">TABLE($B$135,$F$133,$B151,$H$133,D$135)</f>
        <v>1236.66666666667</v>
      </c>
      <c r="E151" s="73" t="n">
        <f aca="true">TABLE($B$135,$F$133,$B151,$H$133,E$135)</f>
        <v>1209.78260869565</v>
      </c>
      <c r="F151" s="73" t="n">
        <f aca="true">TABLE($B$135,$F$133,$B151,$H$133,F$135)</f>
        <v>1184.04255319149</v>
      </c>
      <c r="G151" s="73" t="n">
        <f aca="true">TABLE($B$135,$F$133,$B151,$H$133,G$135)</f>
        <v>1159.375</v>
      </c>
    </row>
    <row r="152" customFormat="false" ht="15" hidden="false" customHeight="false" outlineLevel="0" collapsed="false">
      <c r="A152" s="376"/>
      <c r="B152" s="361" t="n">
        <v>1300</v>
      </c>
      <c r="C152" s="73" t="n">
        <f aca="true">TABLE($B$135,$F$133,$B152,$H$133,C$135)</f>
        <v>1315.36363636364</v>
      </c>
      <c r="D152" s="73" t="n">
        <f aca="true">TABLE($B$135,$F$133,$B152,$H$133,D$135)</f>
        <v>1286.13333333333</v>
      </c>
      <c r="E152" s="73" t="n">
        <f aca="true">TABLE($B$135,$F$133,$B152,$H$133,E$135)</f>
        <v>1258.17391304348</v>
      </c>
      <c r="F152" s="73" t="n">
        <f aca="true">TABLE($B$135,$F$133,$B152,$H$133,F$135)</f>
        <v>1231.40425531915</v>
      </c>
      <c r="G152" s="73" t="n">
        <f aca="true">TABLE($B$135,$F$133,$B152,$H$133,G$135)</f>
        <v>1205.75</v>
      </c>
    </row>
    <row r="153" customFormat="false" ht="15" hidden="false" customHeight="false" outlineLevel="0" collapsed="false">
      <c r="B153" s="361" t="n">
        <v>1350</v>
      </c>
      <c r="C153" s="73" t="n">
        <f aca="true">TABLE($B$135,$F$133,$B153,$H$133,C$135)</f>
        <v>1365.95454545455</v>
      </c>
      <c r="D153" s="73" t="n">
        <f aca="true">TABLE($B$135,$F$133,$B153,$H$133,D$135)</f>
        <v>1335.6</v>
      </c>
      <c r="E153" s="73" t="n">
        <f aca="true">TABLE($B$135,$F$133,$B153,$H$133,E$135)</f>
        <v>1306.5652173913</v>
      </c>
      <c r="F153" s="73" t="n">
        <f aca="true">TABLE($B$135,$F$133,$B153,$H$133,F$135)</f>
        <v>1278.76595744681</v>
      </c>
      <c r="G153" s="73" t="n">
        <f aca="true">TABLE($B$135,$F$133,$B153,$H$133,G$135)</f>
        <v>1252.125</v>
      </c>
    </row>
    <row r="154" customFormat="false" ht="15" hidden="false" customHeight="false" outlineLevel="0" collapsed="false">
      <c r="B154" s="361" t="n">
        <v>1400</v>
      </c>
      <c r="C154" s="73" t="n">
        <f aca="true">TABLE($B$135,$F$133,$B154,$H$133,C$135)</f>
        <v>1416.54545454545</v>
      </c>
      <c r="D154" s="73" t="n">
        <f aca="true">TABLE($B$135,$F$133,$B154,$H$133,D$135)</f>
        <v>1385.06666666667</v>
      </c>
      <c r="E154" s="73" t="n">
        <f aca="true">TABLE($B$135,$F$133,$B154,$H$133,E$135)</f>
        <v>1354.95652173913</v>
      </c>
      <c r="F154" s="73" t="n">
        <f aca="true">TABLE($B$135,$F$133,$B154,$H$133,F$135)</f>
        <v>1326.12765957447</v>
      </c>
      <c r="G154" s="73" t="n">
        <f aca="true">TABLE($B$135,$F$133,$B154,$H$133,G$135)</f>
        <v>1298.5</v>
      </c>
    </row>
    <row r="155" customFormat="false" ht="15" hidden="false" customHeight="false" outlineLevel="0" collapsed="false">
      <c r="B155" s="361" t="n">
        <v>1450</v>
      </c>
      <c r="C155" s="73" t="n">
        <f aca="true">TABLE($B$135,$F$133,$B155,$H$133,C$135)</f>
        <v>1467.13636363636</v>
      </c>
      <c r="D155" s="73" t="n">
        <f aca="true">TABLE($B$135,$F$133,$B155,$H$133,D$135)</f>
        <v>1434.53333333333</v>
      </c>
      <c r="E155" s="73" t="n">
        <f aca="true">TABLE($B$135,$F$133,$B155,$H$133,E$135)</f>
        <v>1403.34782608696</v>
      </c>
      <c r="F155" s="73" t="n">
        <f aca="true">TABLE($B$135,$F$133,$B155,$H$133,F$135)</f>
        <v>1373.48936170213</v>
      </c>
      <c r="G155" s="73" t="n">
        <f aca="true">TABLE($B$135,$F$133,$B155,$H$133,G$135)</f>
        <v>1344.875</v>
      </c>
    </row>
    <row r="156" customFormat="false" ht="15" hidden="false" customHeight="false" outlineLevel="0" collapsed="false">
      <c r="B156" s="361" t="n">
        <v>1500</v>
      </c>
      <c r="C156" s="73" t="n">
        <f aca="true">TABLE($B$135,$F$133,$B156,$H$133,C$135)</f>
        <v>1517.72727272727</v>
      </c>
      <c r="D156" s="73" t="n">
        <f aca="true">TABLE($B$135,$F$133,$B156,$H$133,D$135)</f>
        <v>1484</v>
      </c>
      <c r="E156" s="73" t="n">
        <f aca="true">TABLE($B$135,$F$133,$B156,$H$133,E$135)</f>
        <v>1451.73913043478</v>
      </c>
      <c r="F156" s="73" t="n">
        <f aca="true">TABLE($B$135,$F$133,$B156,$H$133,F$135)</f>
        <v>1420.85106382979</v>
      </c>
      <c r="G156" s="73" t="n">
        <f aca="true">TABLE($B$135,$F$133,$B156,$H$133,G$135)</f>
        <v>1391.25</v>
      </c>
    </row>
    <row r="157" customFormat="false" ht="15" hidden="false" customHeight="false" outlineLevel="0" collapsed="false">
      <c r="B157" s="361" t="n">
        <v>1550</v>
      </c>
      <c r="C157" s="73" t="n">
        <f aca="true">TABLE($B$135,$F$133,$B157,$H$133,C$135)</f>
        <v>1568.31818181818</v>
      </c>
      <c r="D157" s="73" t="n">
        <f aca="true">TABLE($B$135,$F$133,$B157,$H$133,D$135)</f>
        <v>1533.46666666667</v>
      </c>
      <c r="E157" s="73" t="n">
        <f aca="true">TABLE($B$135,$F$133,$B157,$H$133,E$135)</f>
        <v>1500.13043478261</v>
      </c>
      <c r="F157" s="73" t="n">
        <f aca="true">TABLE($B$135,$F$133,$B157,$H$133,F$135)</f>
        <v>1468.21276595745</v>
      </c>
      <c r="G157" s="73" t="n">
        <f aca="true">TABLE($B$135,$F$133,$B157,$H$133,G$135)</f>
        <v>1437.625</v>
      </c>
    </row>
    <row r="158" customFormat="false" ht="15" hidden="false" customHeight="false" outlineLevel="0" collapsed="false">
      <c r="B158" s="361" t="n">
        <v>1600</v>
      </c>
      <c r="C158" s="73" t="n">
        <f aca="true">TABLE($B$135,$F$133,$B158,$H$133,C$135)</f>
        <v>1618.90909090909</v>
      </c>
      <c r="D158" s="73" t="n">
        <f aca="true">TABLE($B$135,$F$133,$B158,$H$133,D$135)</f>
        <v>1582.93333333333</v>
      </c>
      <c r="E158" s="73" t="n">
        <f aca="true">TABLE($B$135,$F$133,$B158,$H$133,E$135)</f>
        <v>1548.52173913043</v>
      </c>
      <c r="F158" s="73" t="n">
        <f aca="true">TABLE($B$135,$F$133,$B158,$H$133,F$135)</f>
        <v>1515.57446808511</v>
      </c>
      <c r="G158" s="73" t="n">
        <f aca="true">TABLE($B$135,$F$133,$B158,$H$133,G$135)</f>
        <v>1484</v>
      </c>
    </row>
    <row r="159" customFormat="false" ht="15" hidden="false" customHeight="false" outlineLevel="0" collapsed="false">
      <c r="B159" s="361" t="n">
        <v>1650</v>
      </c>
      <c r="C159" s="73" t="n">
        <f aca="true">TABLE($B$135,$F$133,$B159,$H$133,C$135)</f>
        <v>1669.5</v>
      </c>
      <c r="D159" s="73" t="n">
        <f aca="true">TABLE($B$135,$F$133,$B159,$H$133,D$135)</f>
        <v>1632.4</v>
      </c>
      <c r="E159" s="73" t="n">
        <f aca="true">TABLE($B$135,$F$133,$B159,$H$133,E$135)</f>
        <v>1596.91304347826</v>
      </c>
      <c r="F159" s="73" t="n">
        <f aca="true">TABLE($B$135,$F$133,$B159,$H$133,F$135)</f>
        <v>1562.93617021277</v>
      </c>
      <c r="G159" s="73" t="n">
        <f aca="true">TABLE($B$135,$F$133,$B159,$H$133,G$135)</f>
        <v>1530.375</v>
      </c>
    </row>
    <row r="160" customFormat="false" ht="15" hidden="false" customHeight="false" outlineLevel="0" collapsed="false">
      <c r="B160" s="361" t="n">
        <v>1700</v>
      </c>
      <c r="C160" s="73" t="n">
        <f aca="true">TABLE($B$135,$F$133,$B160,$H$133,C$135)</f>
        <v>1720.09090909091</v>
      </c>
      <c r="D160" s="73" t="n">
        <f aca="true">TABLE($B$135,$F$133,$B160,$H$133,D$135)</f>
        <v>1681.86666666667</v>
      </c>
      <c r="E160" s="73" t="n">
        <f aca="true">TABLE($B$135,$F$133,$B160,$H$133,E$135)</f>
        <v>1645.30434782609</v>
      </c>
      <c r="F160" s="73" t="n">
        <f aca="true">TABLE($B$135,$F$133,$B160,$H$133,F$135)</f>
        <v>1610.29787234043</v>
      </c>
      <c r="G160" s="73" t="n">
        <f aca="true">TABLE($B$135,$F$133,$B160,$H$133,G$135)</f>
        <v>1576.75</v>
      </c>
    </row>
    <row r="161" customFormat="false" ht="15" hidden="false" customHeight="false" outlineLevel="0" collapsed="false">
      <c r="B161" s="361" t="n">
        <v>1750</v>
      </c>
      <c r="C161" s="73" t="n">
        <f aca="true">TABLE($B$135,$F$133,$B161,$H$133,C$135)</f>
        <v>1770.68181818182</v>
      </c>
      <c r="D161" s="73" t="n">
        <f aca="true">TABLE($B$135,$F$133,$B161,$H$133,D$135)</f>
        <v>1731.33333333333</v>
      </c>
      <c r="E161" s="73" t="n">
        <f aca="true">TABLE($B$135,$F$133,$B161,$H$133,E$135)</f>
        <v>1693.69565217391</v>
      </c>
      <c r="F161" s="73" t="n">
        <f aca="true">TABLE($B$135,$F$133,$B161,$H$133,F$135)</f>
        <v>1657.65957446809</v>
      </c>
      <c r="G161" s="73" t="n">
        <f aca="true">TABLE($B$135,$F$133,$B161,$H$133,G$135)</f>
        <v>1623.125</v>
      </c>
    </row>
    <row r="162" customFormat="false" ht="15" hidden="false" customHeight="false" outlineLevel="0" collapsed="false">
      <c r="B162" s="361" t="n">
        <v>1800</v>
      </c>
      <c r="C162" s="73" t="n">
        <f aca="true">TABLE($B$135,$F$133,$B162,$H$133,C$135)</f>
        <v>1821.27272727273</v>
      </c>
      <c r="D162" s="73" t="n">
        <f aca="true">TABLE($B$135,$F$133,$B162,$H$133,D$135)</f>
        <v>1780.8</v>
      </c>
      <c r="E162" s="73" t="n">
        <f aca="true">TABLE($B$135,$F$133,$B162,$H$133,E$135)</f>
        <v>1742.08695652174</v>
      </c>
      <c r="F162" s="73" t="n">
        <f aca="true">TABLE($B$135,$F$133,$B162,$H$133,F$135)</f>
        <v>1705.02127659574</v>
      </c>
      <c r="G162" s="73" t="n">
        <f aca="true">TABLE($B$135,$F$133,$B162,$H$133,G$135)</f>
        <v>1669.5</v>
      </c>
    </row>
    <row r="163" customFormat="false" ht="15" hidden="false" customHeight="false" outlineLevel="0" collapsed="false">
      <c r="C163" s="73"/>
      <c r="D163" s="73"/>
      <c r="E163" s="73"/>
      <c r="F163" s="73"/>
      <c r="G163" s="73"/>
    </row>
    <row r="165" customFormat="false" ht="15" hidden="false" customHeight="false" outlineLevel="0" collapsed="false">
      <c r="A165" s="351" t="s">
        <v>395</v>
      </c>
    </row>
    <row r="166" customFormat="false" ht="15" hidden="false" customHeight="false" outlineLevel="0" collapsed="false">
      <c r="B166" s="352" t="s">
        <v>385</v>
      </c>
      <c r="C166" s="352" t="s">
        <v>386</v>
      </c>
      <c r="D166" s="353" t="s">
        <v>387</v>
      </c>
    </row>
    <row r="167" customFormat="false" ht="15" hidden="false" customHeight="false" outlineLevel="0" collapsed="false">
      <c r="B167" s="369" t="n">
        <v>1000</v>
      </c>
      <c r="C167" s="370" t="n">
        <v>1.46991</v>
      </c>
      <c r="D167" s="187" t="n">
        <f aca="false">B167*C167</f>
        <v>1469.91</v>
      </c>
    </row>
    <row r="168" customFormat="false" ht="15" hidden="false" customHeight="false" outlineLevel="0" collapsed="false">
      <c r="B168" s="353"/>
      <c r="C168" s="353"/>
      <c r="D168" s="353"/>
    </row>
    <row r="169" customFormat="false" ht="45" hidden="false" customHeight="false" outlineLevel="0" collapsed="false">
      <c r="A169" s="357" t="s">
        <v>388</v>
      </c>
      <c r="B169" s="353"/>
      <c r="C169" s="358" t="s">
        <v>389</v>
      </c>
      <c r="D169" s="375" t="n">
        <v>51.51</v>
      </c>
      <c r="E169" s="360" t="s">
        <v>390</v>
      </c>
      <c r="F169" s="361" t="n">
        <v>850</v>
      </c>
      <c r="G169" s="361" t="s">
        <v>391</v>
      </c>
      <c r="H169" s="362" t="n">
        <v>46</v>
      </c>
    </row>
    <row r="170" customFormat="false" ht="15" hidden="false" customHeight="true" outlineLevel="0" collapsed="false">
      <c r="B170" s="363" t="s">
        <v>392</v>
      </c>
      <c r="C170" s="363"/>
      <c r="D170" s="363"/>
      <c r="E170" s="363"/>
      <c r="F170" s="363"/>
    </row>
    <row r="171" customFormat="false" ht="15" hidden="false" customHeight="false" outlineLevel="0" collapsed="false">
      <c r="B171" s="142" t="n">
        <f aca="false">(D169*F169)/H169</f>
        <v>951.815217391304</v>
      </c>
      <c r="C171" s="365" t="n">
        <v>44</v>
      </c>
      <c r="D171" s="365" t="n">
        <v>45</v>
      </c>
      <c r="E171" s="365" t="n">
        <v>46</v>
      </c>
      <c r="F171" s="365" t="n">
        <v>47</v>
      </c>
      <c r="G171" s="365" t="n">
        <v>48</v>
      </c>
    </row>
    <row r="172" customFormat="false" ht="15" hidden="false" customHeight="false" outlineLevel="0" collapsed="false">
      <c r="B172" s="361" t="n">
        <v>500</v>
      </c>
      <c r="C172" s="73" t="n">
        <f aca="true">TABLE($B$171,$F$169,$B172,$H$169,C$171)</f>
        <v>585.340909090909</v>
      </c>
      <c r="D172" s="73" t="n">
        <f aca="true">TABLE($B$171,$F$169,$B172,$H$169,D$171)</f>
        <v>572.333333333333</v>
      </c>
      <c r="E172" s="73" t="n">
        <f aca="true">TABLE($B$171,$F$169,$B172,$H$169,E$171)</f>
        <v>559.891304347826</v>
      </c>
      <c r="F172" s="73" t="n">
        <f aca="true">TABLE($B$171,$F$169,$B172,$H$169,F$171)</f>
        <v>547.978723404255</v>
      </c>
      <c r="G172" s="73" t="n">
        <f aca="true">TABLE($B$171,$F$169,$B172,$H$169,G$171)</f>
        <v>536.5625</v>
      </c>
    </row>
    <row r="173" customFormat="false" ht="15" hidden="false" customHeight="false" outlineLevel="0" collapsed="false">
      <c r="B173" s="361" t="n">
        <v>550</v>
      </c>
      <c r="C173" s="73" t="n">
        <f aca="true">TABLE($B$171,$F$169,$B173,$H$169,C$171)</f>
        <v>643.875</v>
      </c>
      <c r="D173" s="73" t="n">
        <f aca="true">TABLE($B$171,$F$169,$B173,$H$169,D$171)</f>
        <v>629.566666666667</v>
      </c>
      <c r="E173" s="73" t="n">
        <f aca="true">TABLE($B$171,$F$169,$B173,$H$169,E$171)</f>
        <v>615.880434782609</v>
      </c>
      <c r="F173" s="73" t="n">
        <f aca="true">TABLE($B$171,$F$169,$B173,$H$169,F$171)</f>
        <v>602.776595744681</v>
      </c>
      <c r="G173" s="73" t="n">
        <f aca="true">TABLE($B$171,$F$169,$B173,$H$169,G$171)</f>
        <v>590.21875</v>
      </c>
    </row>
    <row r="174" customFormat="false" ht="15" hidden="false" customHeight="false" outlineLevel="0" collapsed="false">
      <c r="B174" s="361" t="n">
        <v>600</v>
      </c>
      <c r="C174" s="73" t="n">
        <f aca="true">TABLE($B$171,$F$169,$B174,$H$169,C$171)</f>
        <v>702.409090909091</v>
      </c>
      <c r="D174" s="73" t="n">
        <f aca="true">TABLE($B$171,$F$169,$B174,$H$169,D$171)</f>
        <v>686.8</v>
      </c>
      <c r="E174" s="73" t="n">
        <f aca="true">TABLE($B$171,$F$169,$B174,$H$169,E$171)</f>
        <v>671.869565217391</v>
      </c>
      <c r="F174" s="73" t="n">
        <f aca="true">TABLE($B$171,$F$169,$B174,$H$169,F$171)</f>
        <v>657.574468085106</v>
      </c>
      <c r="G174" s="73" t="n">
        <f aca="true">TABLE($B$171,$F$169,$B174,$H$169,G$171)</f>
        <v>643.875</v>
      </c>
    </row>
    <row r="175" customFormat="false" ht="15" hidden="false" customHeight="false" outlineLevel="0" collapsed="false">
      <c r="B175" s="361" t="n">
        <v>650</v>
      </c>
      <c r="C175" s="73" t="n">
        <f aca="true">TABLE($B$171,$F$169,$B175,$H$169,C$171)</f>
        <v>760.943181818182</v>
      </c>
      <c r="D175" s="73" t="n">
        <f aca="true">TABLE($B$171,$F$169,$B175,$H$169,D$171)</f>
        <v>744.033333333333</v>
      </c>
      <c r="E175" s="73" t="n">
        <f aca="true">TABLE($B$171,$F$169,$B175,$H$169,E$171)</f>
        <v>727.858695652174</v>
      </c>
      <c r="F175" s="73" t="n">
        <f aca="true">TABLE($B$171,$F$169,$B175,$H$169,F$171)</f>
        <v>712.372340425532</v>
      </c>
      <c r="G175" s="73" t="n">
        <f aca="true">TABLE($B$171,$F$169,$B175,$H$169,G$171)</f>
        <v>697.53125</v>
      </c>
    </row>
    <row r="176" customFormat="false" ht="15" hidden="false" customHeight="true" outlineLevel="0" collapsed="false">
      <c r="A176" s="366" t="s">
        <v>393</v>
      </c>
      <c r="B176" s="361" t="n">
        <v>700</v>
      </c>
      <c r="C176" s="73" t="n">
        <f aca="true">TABLE($B$171,$F$169,$B176,$H$169,C$171)</f>
        <v>819.477272727273</v>
      </c>
      <c r="D176" s="73" t="n">
        <f aca="true">TABLE($B$171,$F$169,$B176,$H$169,D$171)</f>
        <v>801.266666666667</v>
      </c>
      <c r="E176" s="73" t="n">
        <f aca="true">TABLE($B$171,$F$169,$B176,$H$169,E$171)</f>
        <v>783.847826086957</v>
      </c>
      <c r="F176" s="73" t="n">
        <f aca="true">TABLE($B$171,$F$169,$B176,$H$169,F$171)</f>
        <v>767.170212765957</v>
      </c>
      <c r="G176" s="73" t="n">
        <f aca="true">TABLE($B$171,$F$169,$B176,$H$169,G$171)</f>
        <v>751.1875</v>
      </c>
    </row>
    <row r="177" customFormat="false" ht="15" hidden="false" customHeight="false" outlineLevel="0" collapsed="false">
      <c r="A177" s="366"/>
      <c r="B177" s="361" t="n">
        <v>750</v>
      </c>
      <c r="C177" s="73" t="n">
        <f aca="true">TABLE($B$171,$F$169,$B177,$H$169,C$171)</f>
        <v>878.011363636364</v>
      </c>
      <c r="D177" s="73" t="n">
        <f aca="true">TABLE($B$171,$F$169,$B177,$H$169,D$171)</f>
        <v>858.5</v>
      </c>
      <c r="E177" s="73" t="n">
        <f aca="true">TABLE($B$171,$F$169,$B177,$H$169,E$171)</f>
        <v>839.836956521739</v>
      </c>
      <c r="F177" s="73" t="n">
        <f aca="true">TABLE($B$171,$F$169,$B177,$H$169,F$171)</f>
        <v>821.968085106383</v>
      </c>
      <c r="G177" s="73" t="n">
        <f aca="true">TABLE($B$171,$F$169,$B177,$H$169,G$171)</f>
        <v>804.84375</v>
      </c>
    </row>
    <row r="178" customFormat="false" ht="15" hidden="false" customHeight="false" outlineLevel="0" collapsed="false">
      <c r="A178" s="366"/>
      <c r="B178" s="361" t="n">
        <v>800</v>
      </c>
      <c r="C178" s="73" t="n">
        <f aca="true">TABLE($B$171,$F$169,$B178,$H$169,C$171)</f>
        <v>936.545454545455</v>
      </c>
      <c r="D178" s="73" t="n">
        <f aca="true">TABLE($B$171,$F$169,$B178,$H$169,D$171)</f>
        <v>915.733333333333</v>
      </c>
      <c r="E178" s="73" t="n">
        <f aca="true">TABLE($B$171,$F$169,$B178,$H$169,E$171)</f>
        <v>895.826086956522</v>
      </c>
      <c r="F178" s="73" t="n">
        <f aca="true">TABLE($B$171,$F$169,$B178,$H$169,F$171)</f>
        <v>876.765957446809</v>
      </c>
      <c r="G178" s="73" t="n">
        <f aca="true">TABLE($B$171,$F$169,$B178,$H$169,G$171)</f>
        <v>858.5</v>
      </c>
    </row>
    <row r="179" customFormat="false" ht="15" hidden="false" customHeight="false" outlineLevel="0" collapsed="false">
      <c r="A179" s="366"/>
      <c r="B179" s="367" t="n">
        <v>850</v>
      </c>
      <c r="C179" s="73" t="n">
        <f aca="true">TABLE($B$171,$F$169,$B179,$H$169,C$171)</f>
        <v>995.079545454546</v>
      </c>
      <c r="D179" s="73" t="n">
        <f aca="true">TABLE($B$171,$F$169,$B179,$H$169,D$171)</f>
        <v>972.966666666667</v>
      </c>
      <c r="E179" s="73" t="n">
        <f aca="true">TABLE($B$171,$F$169,$B179,$H$169,E$171)</f>
        <v>951.815217391304</v>
      </c>
      <c r="F179" s="73" t="n">
        <f aca="true">TABLE($B$171,$F$169,$B179,$H$169,F$171)</f>
        <v>931.563829787234</v>
      </c>
      <c r="G179" s="73" t="n">
        <f aca="true">TABLE($B$171,$F$169,$B179,$H$169,G$171)</f>
        <v>912.15625</v>
      </c>
    </row>
    <row r="180" customFormat="false" ht="15" hidden="false" customHeight="false" outlineLevel="0" collapsed="false">
      <c r="A180" s="366"/>
      <c r="B180" s="361" t="n">
        <v>900</v>
      </c>
      <c r="C180" s="73" t="n">
        <f aca="true">TABLE($B$171,$F$169,$B180,$H$169,C$171)</f>
        <v>1053.61363636364</v>
      </c>
      <c r="D180" s="73" t="n">
        <f aca="true">TABLE($B$171,$F$169,$B180,$H$169,D$171)</f>
        <v>1030.2</v>
      </c>
      <c r="E180" s="73" t="n">
        <f aca="true">TABLE($B$171,$F$169,$B180,$H$169,E$171)</f>
        <v>1007.80434782609</v>
      </c>
      <c r="F180" s="73" t="n">
        <f aca="true">TABLE($B$171,$F$169,$B180,$H$169,F$171)</f>
        <v>986.36170212766</v>
      </c>
      <c r="G180" s="73" t="n">
        <f aca="true">TABLE($B$171,$F$169,$B180,$H$169,G$171)</f>
        <v>965.8125</v>
      </c>
    </row>
    <row r="181" customFormat="false" ht="15" hidden="false" customHeight="false" outlineLevel="0" collapsed="false">
      <c r="A181" s="366"/>
      <c r="B181" s="361" t="n">
        <v>950</v>
      </c>
      <c r="C181" s="73" t="n">
        <f aca="true">TABLE($B$171,$F$169,$B181,$H$169,C$171)</f>
        <v>1112.14772727273</v>
      </c>
      <c r="D181" s="73" t="n">
        <f aca="true">TABLE($B$171,$F$169,$B181,$H$169,D$171)</f>
        <v>1087.43333333333</v>
      </c>
      <c r="E181" s="73" t="n">
        <f aca="true">TABLE($B$171,$F$169,$B181,$H$169,E$171)</f>
        <v>1063.79347826087</v>
      </c>
      <c r="F181" s="73" t="n">
        <f aca="true">TABLE($B$171,$F$169,$B181,$H$169,F$171)</f>
        <v>1041.15957446809</v>
      </c>
      <c r="G181" s="73" t="n">
        <f aca="true">TABLE($B$171,$F$169,$B181,$H$169,G$171)</f>
        <v>1019.46875</v>
      </c>
    </row>
    <row r="182" customFormat="false" ht="15" hidden="false" customHeight="false" outlineLevel="0" collapsed="false">
      <c r="A182" s="366"/>
      <c r="B182" s="361" t="n">
        <v>1000</v>
      </c>
      <c r="C182" s="73" t="n">
        <f aca="true">TABLE($B$171,$F$169,$B182,$H$169,C$171)</f>
        <v>1170.68181818182</v>
      </c>
      <c r="D182" s="73" t="n">
        <f aca="true">TABLE($B$171,$F$169,$B182,$H$169,D$171)</f>
        <v>1144.66666666667</v>
      </c>
      <c r="E182" s="73" t="n">
        <f aca="true">TABLE($B$171,$F$169,$B182,$H$169,E$171)</f>
        <v>1119.78260869565</v>
      </c>
      <c r="F182" s="73" t="n">
        <f aca="true">TABLE($B$171,$F$169,$B182,$H$169,F$171)</f>
        <v>1095.95744680851</v>
      </c>
      <c r="G182" s="73" t="n">
        <f aca="true">TABLE($B$171,$F$169,$B182,$H$169,G$171)</f>
        <v>1073.125</v>
      </c>
    </row>
    <row r="183" customFormat="false" ht="15" hidden="false" customHeight="false" outlineLevel="0" collapsed="false">
      <c r="A183" s="366"/>
      <c r="B183" s="361" t="n">
        <v>1050</v>
      </c>
      <c r="C183" s="73" t="n">
        <f aca="true">TABLE($B$171,$F$169,$B183,$H$169,C$171)</f>
        <v>1229.21590909091</v>
      </c>
      <c r="D183" s="73" t="n">
        <f aca="true">TABLE($B$171,$F$169,$B183,$H$169,D$171)</f>
        <v>1201.9</v>
      </c>
      <c r="E183" s="73" t="n">
        <f aca="true">TABLE($B$171,$F$169,$B183,$H$169,E$171)</f>
        <v>1175.77173913043</v>
      </c>
      <c r="F183" s="73" t="n">
        <f aca="true">TABLE($B$171,$F$169,$B183,$H$169,F$171)</f>
        <v>1150.75531914894</v>
      </c>
      <c r="G183" s="73" t="n">
        <f aca="true">TABLE($B$171,$F$169,$B183,$H$169,G$171)</f>
        <v>1126.78125</v>
      </c>
    </row>
    <row r="184" customFormat="false" ht="15" hidden="false" customHeight="false" outlineLevel="0" collapsed="false">
      <c r="B184" s="361" t="n">
        <v>1100</v>
      </c>
      <c r="C184" s="73" t="n">
        <f aca="true">TABLE($B$171,$F$169,$B184,$H$169,C$171)</f>
        <v>1287.75</v>
      </c>
      <c r="D184" s="73" t="n">
        <f aca="true">TABLE($B$171,$F$169,$B184,$H$169,D$171)</f>
        <v>1259.13333333333</v>
      </c>
      <c r="E184" s="73" t="n">
        <f aca="true">TABLE($B$171,$F$169,$B184,$H$169,E$171)</f>
        <v>1231.76086956522</v>
      </c>
      <c r="F184" s="73" t="n">
        <f aca="true">TABLE($B$171,$F$169,$B184,$H$169,F$171)</f>
        <v>1205.55319148936</v>
      </c>
      <c r="G184" s="73" t="n">
        <f aca="true">TABLE($B$171,$F$169,$B184,$H$169,G$171)</f>
        <v>1180.4375</v>
      </c>
    </row>
    <row r="185" customFormat="false" ht="15" hidden="false" customHeight="false" outlineLevel="0" collapsed="false">
      <c r="B185" s="361" t="n">
        <v>1150</v>
      </c>
      <c r="C185" s="73" t="n">
        <f aca="true">TABLE($B$171,$F$169,$B185,$H$169,C$171)</f>
        <v>1346.28409090909</v>
      </c>
      <c r="D185" s="73" t="n">
        <f aca="true">TABLE($B$171,$F$169,$B185,$H$169,D$171)</f>
        <v>1316.36666666667</v>
      </c>
      <c r="E185" s="73" t="n">
        <f aca="true">TABLE($B$171,$F$169,$B185,$H$169,E$171)</f>
        <v>1287.75</v>
      </c>
      <c r="F185" s="73" t="n">
        <f aca="true">TABLE($B$171,$F$169,$B185,$H$169,F$171)</f>
        <v>1260.35106382979</v>
      </c>
      <c r="G185" s="73" t="n">
        <f aca="true">TABLE($B$171,$F$169,$B185,$H$169,G$171)</f>
        <v>1234.09375</v>
      </c>
    </row>
    <row r="186" customFormat="false" ht="15" hidden="false" customHeight="false" outlineLevel="0" collapsed="false">
      <c r="B186" s="361" t="n">
        <v>1200</v>
      </c>
      <c r="C186" s="73" t="n">
        <f aca="true">TABLE($B$171,$F$169,$B186,$H$169,C$171)</f>
        <v>1404.81818181818</v>
      </c>
      <c r="D186" s="73" t="n">
        <f aca="true">TABLE($B$171,$F$169,$B186,$H$169,D$171)</f>
        <v>1373.6</v>
      </c>
      <c r="E186" s="73" t="n">
        <f aca="true">TABLE($B$171,$F$169,$B186,$H$169,E$171)</f>
        <v>1343.73913043478</v>
      </c>
      <c r="F186" s="73" t="n">
        <f aca="true">TABLE($B$171,$F$169,$B186,$H$169,F$171)</f>
        <v>1315.14893617021</v>
      </c>
      <c r="G186" s="73" t="n">
        <f aca="true">TABLE($B$171,$F$169,$B186,$H$169,G$171)</f>
        <v>1287.75</v>
      </c>
    </row>
    <row r="187" customFormat="false" ht="15" hidden="false" customHeight="false" outlineLevel="0" collapsed="false">
      <c r="B187" s="361" t="n">
        <v>1250</v>
      </c>
      <c r="C187" s="73" t="n">
        <f aca="true">TABLE($B$171,$F$169,$B187,$H$169,C$171)</f>
        <v>1463.35227272727</v>
      </c>
      <c r="D187" s="73" t="n">
        <f aca="true">TABLE($B$171,$F$169,$B187,$H$169,D$171)</f>
        <v>1430.83333333333</v>
      </c>
      <c r="E187" s="73" t="n">
        <f aca="true">TABLE($B$171,$F$169,$B187,$H$169,E$171)</f>
        <v>1399.72826086957</v>
      </c>
      <c r="F187" s="73" t="n">
        <f aca="true">TABLE($B$171,$F$169,$B187,$H$169,F$171)</f>
        <v>1369.94680851064</v>
      </c>
      <c r="G187" s="73" t="n">
        <f aca="true">TABLE($B$171,$F$169,$B187,$H$169,G$171)</f>
        <v>1341.40625</v>
      </c>
    </row>
    <row r="188" customFormat="false" ht="15" hidden="false" customHeight="false" outlineLevel="0" collapsed="false">
      <c r="B188" s="361" t="n">
        <v>1300</v>
      </c>
      <c r="C188" s="73" t="n">
        <f aca="true">TABLE($B$171,$F$169,$B188,$H$169,C$171)</f>
        <v>1521.88636363636</v>
      </c>
      <c r="D188" s="73" t="n">
        <f aca="true">TABLE($B$171,$F$169,$B188,$H$169,D$171)</f>
        <v>1488.06666666667</v>
      </c>
      <c r="E188" s="73" t="n">
        <f aca="true">TABLE($B$171,$F$169,$B188,$H$169,E$171)</f>
        <v>1455.71739130435</v>
      </c>
      <c r="F188" s="73" t="n">
        <f aca="true">TABLE($B$171,$F$169,$B188,$H$169,F$171)</f>
        <v>1424.74468085106</v>
      </c>
      <c r="G188" s="73" t="n">
        <f aca="true">TABLE($B$171,$F$169,$B188,$H$169,G$171)</f>
        <v>1395.0625</v>
      </c>
    </row>
    <row r="189" customFormat="false" ht="15" hidden="false" customHeight="false" outlineLevel="0" collapsed="false">
      <c r="B189" s="361" t="n">
        <v>1350</v>
      </c>
      <c r="C189" s="73" t="n">
        <f aca="true">TABLE($B$171,$F$169,$B189,$H$169,C$171)</f>
        <v>1580.42045454545</v>
      </c>
      <c r="D189" s="73" t="n">
        <f aca="true">TABLE($B$171,$F$169,$B189,$H$169,D$171)</f>
        <v>1545.3</v>
      </c>
      <c r="E189" s="73" t="n">
        <f aca="true">TABLE($B$171,$F$169,$B189,$H$169,E$171)</f>
        <v>1511.70652173913</v>
      </c>
      <c r="F189" s="73" t="n">
        <f aca="true">TABLE($B$171,$F$169,$B189,$H$169,F$171)</f>
        <v>1479.54255319149</v>
      </c>
      <c r="G189" s="73" t="n">
        <f aca="true">TABLE($B$171,$F$169,$B189,$H$169,G$171)</f>
        <v>1448.71875</v>
      </c>
    </row>
    <row r="190" customFormat="false" ht="15" hidden="false" customHeight="false" outlineLevel="0" collapsed="false">
      <c r="B190" s="361" t="n">
        <v>1400</v>
      </c>
      <c r="C190" s="73" t="n">
        <f aca="true">TABLE($B$171,$F$169,$B190,$H$169,C$171)</f>
        <v>1638.95454545455</v>
      </c>
      <c r="D190" s="73" t="n">
        <f aca="true">TABLE($B$171,$F$169,$B190,$H$169,D$171)</f>
        <v>1602.53333333333</v>
      </c>
      <c r="E190" s="73" t="n">
        <f aca="true">TABLE($B$171,$F$169,$B190,$H$169,E$171)</f>
        <v>1567.69565217391</v>
      </c>
      <c r="F190" s="73" t="n">
        <f aca="true">TABLE($B$171,$F$169,$B190,$H$169,F$171)</f>
        <v>1534.34042553192</v>
      </c>
      <c r="G190" s="73" t="n">
        <f aca="true">TABLE($B$171,$F$169,$B190,$H$169,G$171)</f>
        <v>1502.375</v>
      </c>
    </row>
    <row r="191" customFormat="false" ht="15" hidden="false" customHeight="false" outlineLevel="0" collapsed="false">
      <c r="B191" s="361" t="n">
        <v>1450</v>
      </c>
      <c r="C191" s="73" t="n">
        <f aca="true">TABLE($B$171,$F$169,$B191,$H$169,C$171)</f>
        <v>1697.48863636364</v>
      </c>
      <c r="D191" s="73" t="n">
        <f aca="true">TABLE($B$171,$F$169,$B191,$H$169,D$171)</f>
        <v>1659.76666666667</v>
      </c>
      <c r="E191" s="73" t="n">
        <f aca="true">TABLE($B$171,$F$169,$B191,$H$169,E$171)</f>
        <v>1623.6847826087</v>
      </c>
      <c r="F191" s="73" t="n">
        <f aca="true">TABLE($B$171,$F$169,$B191,$H$169,F$171)</f>
        <v>1589.13829787234</v>
      </c>
      <c r="G191" s="73" t="n">
        <f aca="true">TABLE($B$171,$F$169,$B191,$H$169,G$171)</f>
        <v>1556.03125</v>
      </c>
    </row>
    <row r="192" customFormat="false" ht="15" hidden="false" customHeight="false" outlineLevel="0" collapsed="false">
      <c r="B192" s="361" t="n">
        <v>1500</v>
      </c>
      <c r="C192" s="73" t="n">
        <f aca="true">TABLE($B$171,$F$169,$B192,$H$169,C$171)</f>
        <v>1756.02272727273</v>
      </c>
      <c r="D192" s="73" t="n">
        <f aca="true">TABLE($B$171,$F$169,$B192,$H$169,D$171)</f>
        <v>1717</v>
      </c>
      <c r="E192" s="73" t="n">
        <f aca="true">TABLE($B$171,$F$169,$B192,$H$169,E$171)</f>
        <v>1679.67391304348</v>
      </c>
      <c r="F192" s="73" t="n">
        <f aca="true">TABLE($B$171,$F$169,$B192,$H$169,F$171)</f>
        <v>1643.93617021277</v>
      </c>
      <c r="G192" s="73" t="n">
        <f aca="true">TABLE($B$171,$F$169,$B192,$H$169,G$171)</f>
        <v>1609.6875</v>
      </c>
    </row>
    <row r="193" customFormat="false" ht="15" hidden="false" customHeight="false" outlineLevel="0" collapsed="false">
      <c r="B193" s="361" t="n">
        <v>1550</v>
      </c>
      <c r="C193" s="73" t="n">
        <f aca="true">TABLE($B$171,$F$169,$B193,$H$169,C$171)</f>
        <v>1814.55681818182</v>
      </c>
      <c r="D193" s="73" t="n">
        <f aca="true">TABLE($B$171,$F$169,$B193,$H$169,D$171)</f>
        <v>1774.23333333333</v>
      </c>
      <c r="E193" s="73" t="n">
        <f aca="true">TABLE($B$171,$F$169,$B193,$H$169,E$171)</f>
        <v>1735.66304347826</v>
      </c>
      <c r="F193" s="73" t="n">
        <f aca="true">TABLE($B$171,$F$169,$B193,$H$169,F$171)</f>
        <v>1698.73404255319</v>
      </c>
      <c r="G193" s="73" t="n">
        <f aca="true">TABLE($B$171,$F$169,$B193,$H$169,G$171)</f>
        <v>1663.34375</v>
      </c>
    </row>
    <row r="194" customFormat="false" ht="15" hidden="false" customHeight="false" outlineLevel="0" collapsed="false">
      <c r="B194" s="361" t="n">
        <v>1600</v>
      </c>
      <c r="C194" s="73" t="n">
        <f aca="true">TABLE($B$171,$F$169,$B194,$H$169,C$171)</f>
        <v>1873.09090909091</v>
      </c>
      <c r="D194" s="73" t="n">
        <f aca="true">TABLE($B$171,$F$169,$B194,$H$169,D$171)</f>
        <v>1831.46666666667</v>
      </c>
      <c r="E194" s="73" t="n">
        <f aca="true">TABLE($B$171,$F$169,$B194,$H$169,E$171)</f>
        <v>1791.65217391304</v>
      </c>
      <c r="F194" s="73" t="n">
        <f aca="true">TABLE($B$171,$F$169,$B194,$H$169,F$171)</f>
        <v>1753.53191489362</v>
      </c>
      <c r="G194" s="73" t="n">
        <f aca="true">TABLE($B$171,$F$169,$B194,$H$169,G$171)</f>
        <v>1717</v>
      </c>
    </row>
    <row r="195" customFormat="false" ht="15" hidden="false" customHeight="false" outlineLevel="0" collapsed="false">
      <c r="B195" s="361" t="n">
        <v>1650</v>
      </c>
      <c r="C195" s="73" t="n">
        <f aca="true">TABLE($B$171,$F$169,$B195,$H$169,C$171)</f>
        <v>1931.625</v>
      </c>
      <c r="D195" s="73" t="n">
        <f aca="true">TABLE($B$171,$F$169,$B195,$H$169,D$171)</f>
        <v>1888.7</v>
      </c>
      <c r="E195" s="73" t="n">
        <f aca="true">TABLE($B$171,$F$169,$B195,$H$169,E$171)</f>
        <v>1847.64130434783</v>
      </c>
      <c r="F195" s="73" t="n">
        <f aca="true">TABLE($B$171,$F$169,$B195,$H$169,F$171)</f>
        <v>1808.32978723404</v>
      </c>
      <c r="G195" s="73" t="n">
        <f aca="true">TABLE($B$171,$F$169,$B195,$H$169,G$171)</f>
        <v>1770.65625</v>
      </c>
    </row>
    <row r="196" customFormat="false" ht="15" hidden="false" customHeight="false" outlineLevel="0" collapsed="false">
      <c r="B196" s="361" t="n">
        <v>1700</v>
      </c>
      <c r="C196" s="73" t="n">
        <f aca="true">TABLE($B$171,$F$169,$B196,$H$169,C$171)</f>
        <v>1990.15909090909</v>
      </c>
      <c r="D196" s="187" t="n">
        <f aca="true">TABLE($B$171,$F$169,$B196,$H$169,D$171)</f>
        <v>1945.93333333333</v>
      </c>
      <c r="E196" s="73" t="n">
        <f aca="true">TABLE($B$171,$F$169,$B196,$H$169,E$171)</f>
        <v>1903.63043478261</v>
      </c>
      <c r="F196" s="73" t="n">
        <f aca="true">TABLE($B$171,$F$169,$B196,$H$169,F$171)</f>
        <v>1863.12765957447</v>
      </c>
      <c r="G196" s="73" t="n">
        <f aca="true">TABLE($B$171,$F$169,$B196,$H$169,G$171)</f>
        <v>1824.3125</v>
      </c>
    </row>
    <row r="197" customFormat="false" ht="15" hidden="false" customHeight="false" outlineLevel="0" collapsed="false">
      <c r="B197" s="361" t="n">
        <v>1750</v>
      </c>
      <c r="C197" s="73" t="n">
        <f aca="true">TABLE($B$171,$F$169,$B197,$H$169,C$171)</f>
        <v>2048.69318181818</v>
      </c>
      <c r="D197" s="187" t="n">
        <f aca="true">TABLE($B$171,$F$169,$B197,$H$169,D$171)</f>
        <v>2003.16666666667</v>
      </c>
      <c r="E197" s="73" t="n">
        <f aca="true">TABLE($B$171,$F$169,$B197,$H$169,E$171)</f>
        <v>1959.61956521739</v>
      </c>
      <c r="F197" s="73" t="n">
        <f aca="true">TABLE($B$171,$F$169,$B197,$H$169,F$171)</f>
        <v>1917.92553191489</v>
      </c>
      <c r="G197" s="73" t="n">
        <f aca="true">TABLE($B$171,$F$169,$B197,$H$169,G$171)</f>
        <v>1877.96875</v>
      </c>
    </row>
    <row r="198" customFormat="false" ht="15" hidden="false" customHeight="false" outlineLevel="0" collapsed="false">
      <c r="B198" s="361" t="n">
        <v>1800</v>
      </c>
      <c r="C198" s="73" t="n">
        <f aca="true">TABLE($B$171,$F$169,$B198,$H$169,C$171)</f>
        <v>2107.22727272727</v>
      </c>
      <c r="D198" s="187" t="n">
        <f aca="true">TABLE($B$171,$F$169,$B198,$H$169,D$171)</f>
        <v>2060.4</v>
      </c>
      <c r="E198" s="73" t="n">
        <f aca="true">TABLE($B$171,$F$169,$B198,$H$169,E$171)</f>
        <v>2015.60869565217</v>
      </c>
      <c r="F198" s="73" t="n">
        <f aca="true">TABLE($B$171,$F$169,$B198,$H$169,F$171)</f>
        <v>1972.72340425532</v>
      </c>
      <c r="G198" s="73" t="n">
        <f aca="true">TABLE($B$171,$F$169,$B198,$H$169,G$171)</f>
        <v>1931.625</v>
      </c>
    </row>
    <row r="199" customFormat="false" ht="15" hidden="false" customHeight="false" outlineLevel="0" collapsed="false">
      <c r="D199" s="187"/>
    </row>
    <row r="200" customFormat="false" ht="15" hidden="false" customHeight="false" outlineLevel="0" collapsed="false">
      <c r="D200" s="187"/>
    </row>
    <row r="201" customFormat="false" ht="30" hidden="false" customHeight="false" outlineLevel="0" collapsed="false">
      <c r="A201" s="377" t="s">
        <v>396</v>
      </c>
      <c r="D201" s="187"/>
    </row>
    <row r="202" customFormat="false" ht="15" hidden="false" customHeight="false" outlineLevel="0" collapsed="false">
      <c r="D202" s="193"/>
      <c r="E202" s="72"/>
      <c r="F202" s="72"/>
    </row>
    <row r="203" customFormat="false" ht="15" hidden="false" customHeight="false" outlineLevel="0" collapsed="false">
      <c r="A203" s="378" t="s">
        <v>397</v>
      </c>
      <c r="B203" s="353" t="n">
        <f aca="false">B62</f>
        <v>53600</v>
      </c>
      <c r="D203" s="379"/>
      <c r="E203" s="72"/>
      <c r="F203" s="72"/>
    </row>
    <row r="204" customFormat="false" ht="15" hidden="false" customHeight="false" outlineLevel="0" collapsed="false">
      <c r="A204" s="378" t="s">
        <v>398</v>
      </c>
      <c r="B204" s="134" t="n">
        <v>83.12</v>
      </c>
      <c r="D204" s="72"/>
      <c r="E204" s="72"/>
      <c r="F204" s="72"/>
    </row>
    <row r="205" customFormat="false" ht="15" hidden="false" customHeight="false" outlineLevel="0" collapsed="false">
      <c r="A205" s="378" t="s">
        <v>399</v>
      </c>
      <c r="B205" s="127" t="n">
        <v>522.036</v>
      </c>
      <c r="D205" s="380"/>
      <c r="E205" s="72"/>
      <c r="F205" s="72"/>
    </row>
    <row r="206" customFormat="false" ht="15" hidden="false" customHeight="false" outlineLevel="0" collapsed="false">
      <c r="A206" s="378" t="s">
        <v>400</v>
      </c>
      <c r="B206" s="134" t="n">
        <v>5</v>
      </c>
      <c r="D206" s="72"/>
      <c r="E206" s="72"/>
      <c r="F206" s="72"/>
    </row>
    <row r="207" customFormat="false" ht="15" hidden="false" customHeight="false" outlineLevel="0" collapsed="false">
      <c r="A207" s="378" t="s">
        <v>401</v>
      </c>
      <c r="B207" s="73" t="n">
        <f aca="false">B205-B206</f>
        <v>517.036</v>
      </c>
    </row>
    <row r="208" customFormat="false" ht="15" hidden="false" customHeight="false" outlineLevel="0" collapsed="false">
      <c r="A208" s="378" t="s">
        <v>402</v>
      </c>
      <c r="B208" s="73" t="n">
        <f aca="false">((B206*B204)*B203)/1000000</f>
        <v>22.27616</v>
      </c>
    </row>
    <row r="209" customFormat="false" ht="45" hidden="false" customHeight="false" outlineLevel="0" collapsed="false">
      <c r="A209" s="381" t="s">
        <v>403</v>
      </c>
      <c r="B209" s="382" t="n">
        <f aca="false">((B207*B204)*B203)/1000000</f>
        <v>2303.515332352</v>
      </c>
    </row>
    <row r="210" customFormat="false" ht="30" hidden="false" customHeight="false" outlineLevel="0" collapsed="false">
      <c r="A210" s="381" t="s">
        <v>404</v>
      </c>
      <c r="B210" s="360" t="n">
        <f aca="false">(B204*B203)/1000000</f>
        <v>4.455232</v>
      </c>
    </row>
    <row r="213" customFormat="false" ht="45" hidden="false" customHeight="false" outlineLevel="0" collapsed="false">
      <c r="A213" s="377" t="s">
        <v>405</v>
      </c>
      <c r="B213" s="383" t="s">
        <v>406</v>
      </c>
      <c r="C213" s="383" t="s">
        <v>407</v>
      </c>
      <c r="D213" s="361" t="s">
        <v>81</v>
      </c>
      <c r="F213" s="384" t="s">
        <v>391</v>
      </c>
    </row>
    <row r="214" customFormat="false" ht="15" hidden="false" customHeight="false" outlineLevel="0" collapsed="false">
      <c r="F214" s="385" t="n">
        <f aca="false">I47</f>
        <v>45.5</v>
      </c>
    </row>
    <row r="215" customFormat="false" ht="15" hidden="false" customHeight="false" outlineLevel="0" collapsed="false">
      <c r="A215" s="0" t="s">
        <v>408</v>
      </c>
      <c r="B215" s="353" t="n">
        <f aca="false">B63</f>
        <v>106200</v>
      </c>
      <c r="C215" s="353" t="n">
        <f aca="false">B64</f>
        <v>33000</v>
      </c>
      <c r="D215" s="353" t="n">
        <f aca="false">SUM(B215:C215)</f>
        <v>139200</v>
      </c>
    </row>
    <row r="216" customFormat="false" ht="15" hidden="false" customHeight="false" outlineLevel="0" collapsed="false">
      <c r="A216" s="0" t="s">
        <v>409</v>
      </c>
      <c r="B216" s="319" t="n">
        <v>1000</v>
      </c>
      <c r="C216" s="319" t="n">
        <v>1000</v>
      </c>
      <c r="D216" s="353"/>
    </row>
    <row r="217" customFormat="false" ht="15" hidden="false" customHeight="false" outlineLevel="0" collapsed="false">
      <c r="A217" s="0" t="s">
        <v>376</v>
      </c>
      <c r="B217" s="58" t="n">
        <f aca="false">C81</f>
        <v>1.46285</v>
      </c>
      <c r="C217" s="58" t="n">
        <f aca="false">D81</f>
        <v>1.46991</v>
      </c>
    </row>
    <row r="218" customFormat="false" ht="15" hidden="false" customHeight="false" outlineLevel="0" collapsed="false">
      <c r="A218" s="0" t="s">
        <v>410</v>
      </c>
      <c r="B218" s="65" t="n">
        <f aca="false">(B216*B217)-B216</f>
        <v>462.85</v>
      </c>
      <c r="C218" s="65" t="n">
        <f aca="false">(C216*C217)-C216</f>
        <v>469.91</v>
      </c>
    </row>
    <row r="219" customFormat="false" ht="15" hidden="false" customHeight="false" outlineLevel="0" collapsed="false">
      <c r="A219" s="0" t="s">
        <v>411</v>
      </c>
      <c r="B219" s="353" t="n">
        <f aca="false">(B215*B218)</f>
        <v>49154670</v>
      </c>
      <c r="C219" s="353" t="n">
        <f aca="false">C215*C218</f>
        <v>15507030</v>
      </c>
    </row>
    <row r="220" customFormat="false" ht="15" hidden="false" customHeight="false" outlineLevel="0" collapsed="false">
      <c r="A220" s="0" t="s">
        <v>412</v>
      </c>
      <c r="B220" s="187" t="n">
        <f aca="false">(B219*$F$214)/1000000</f>
        <v>2236.537485</v>
      </c>
      <c r="C220" s="187" t="n">
        <f aca="false">(C219*$F$214)/1000000</f>
        <v>705.569865</v>
      </c>
      <c r="D220" s="386" t="n">
        <f aca="false">SUM(B220:C220)</f>
        <v>2942.10735</v>
      </c>
    </row>
    <row r="221" customFormat="false" ht="15.75" hidden="false" customHeight="false" outlineLevel="0" collapsed="false">
      <c r="A221" s="31"/>
      <c r="B221" s="31"/>
      <c r="C221" s="31"/>
      <c r="D221" s="31"/>
      <c r="E221" s="31"/>
      <c r="F221" s="31"/>
      <c r="G221" s="31"/>
      <c r="H221" s="31"/>
      <c r="I221" s="31"/>
      <c r="J221" s="31"/>
      <c r="K221" s="31"/>
    </row>
  </sheetData>
  <mergeCells count="9">
    <mergeCell ref="B70:K71"/>
    <mergeCell ref="B72:K73"/>
    <mergeCell ref="B74:K75"/>
    <mergeCell ref="B98:F98"/>
    <mergeCell ref="A104:A111"/>
    <mergeCell ref="B134:F134"/>
    <mergeCell ref="A140:A147"/>
    <mergeCell ref="B170:F170"/>
    <mergeCell ref="A176:A183"/>
  </mergeCells>
  <conditionalFormatting sqref="C100:G126">
    <cfRule type="cellIs" priority="2" operator="lessThan" aboveAverage="0" equalAverage="0" bottom="0" percent="0" rank="0" text="" dxfId="0">
      <formula>$D$95</formula>
    </cfRule>
    <cfRule type="cellIs" priority="3" operator="greaterThan" aboveAverage="0" equalAverage="0" bottom="0" percent="0" rank="0" text="" dxfId="1">
      <formula>$D$95</formula>
    </cfRule>
  </conditionalFormatting>
  <conditionalFormatting sqref="C136:G162">
    <cfRule type="cellIs" priority="4" operator="lessThan" aboveAverage="0" equalAverage="0" bottom="0" percent="0" rank="0" text="" dxfId="2">
      <formula>$D$131</formula>
    </cfRule>
    <cfRule type="cellIs" priority="5" operator="greaterThan" aboveAverage="0" equalAverage="0" bottom="0" percent="0" rank="0" text="" dxfId="3">
      <formula>$D$131</formula>
    </cfRule>
  </conditionalFormatting>
  <conditionalFormatting sqref="C172:G198">
    <cfRule type="cellIs" priority="6" operator="lessThan" aboveAverage="0" equalAverage="0" bottom="0" percent="0" rank="0" text="" dxfId="4">
      <formula>$D$167</formula>
    </cfRule>
    <cfRule type="cellIs" priority="7" operator="greaterThan" aboveAverage="0" equalAverage="0" bottom="0" percent="0" rank="0" text="" dxfId="5">
      <formula>$D$167</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defaultColWidth="8.96875" defaultRowHeight="15" zeroHeight="false" outlineLevelRow="0" outlineLevelCol="0"/>
  <cols>
    <col collapsed="false" customWidth="true" hidden="false" outlineLevel="0" max="1" min="1" style="0" width="35.99"/>
    <col collapsed="false" customWidth="true" hidden="false" outlineLevel="0" max="2" min="2" style="178" width="10.56"/>
    <col collapsed="false" customWidth="true" hidden="false" outlineLevel="0" max="3" min="3" style="72" width="11.28"/>
    <col collapsed="false" customWidth="true" hidden="false" outlineLevel="0" max="13" min="4" style="0" width="10.56"/>
  </cols>
  <sheetData>
    <row r="1" customFormat="false" ht="18.75" hidden="false" customHeight="false" outlineLevel="0" collapsed="false">
      <c r="A1" s="29" t="s">
        <v>1</v>
      </c>
      <c r="B1" s="387"/>
      <c r="C1" s="225"/>
      <c r="D1" s="266"/>
      <c r="E1" s="266"/>
      <c r="F1" s="266"/>
      <c r="G1" s="266"/>
      <c r="H1" s="266"/>
      <c r="I1" s="266"/>
      <c r="J1" s="266"/>
      <c r="K1" s="266"/>
    </row>
    <row r="2" customFormat="false" ht="15.75" hidden="false" customHeight="false" outlineLevel="0" collapsed="false">
      <c r="A2" s="30" t="s">
        <v>413</v>
      </c>
      <c r="B2" s="388"/>
      <c r="C2" s="77"/>
      <c r="D2" s="266"/>
      <c r="E2" s="266"/>
      <c r="F2" s="266"/>
      <c r="G2" s="266"/>
      <c r="H2" s="266"/>
      <c r="I2" s="266"/>
      <c r="J2" s="266"/>
      <c r="K2" s="266"/>
    </row>
    <row r="3" customFormat="false" ht="15.75" hidden="false" customHeight="false" outlineLevel="0" collapsed="false">
      <c r="A3" s="31" t="s">
        <v>233</v>
      </c>
      <c r="B3" s="389"/>
      <c r="C3" s="31"/>
      <c r="D3" s="31"/>
      <c r="E3" s="31"/>
      <c r="F3" s="31"/>
      <c r="G3" s="31"/>
      <c r="H3" s="31"/>
      <c r="I3" s="31"/>
      <c r="J3" s="31"/>
      <c r="K3" s="31"/>
      <c r="L3" s="31"/>
    </row>
    <row r="4" customFormat="false" ht="30" hidden="false" customHeight="false" outlineLevel="0" collapsed="false">
      <c r="A4" s="268" t="s">
        <v>414</v>
      </c>
      <c r="B4" s="183" t="s">
        <v>415</v>
      </c>
      <c r="C4" s="183" t="s">
        <v>299</v>
      </c>
      <c r="D4" s="183" t="s">
        <v>153</v>
      </c>
      <c r="E4" s="183" t="s">
        <v>85</v>
      </c>
      <c r="F4" s="183" t="s">
        <v>86</v>
      </c>
      <c r="G4" s="270" t="s">
        <v>197</v>
      </c>
      <c r="H4" s="270" t="s">
        <v>48</v>
      </c>
      <c r="I4" s="270" t="s">
        <v>53</v>
      </c>
      <c r="J4" s="270" t="s">
        <v>87</v>
      </c>
      <c r="K4" s="270" t="s">
        <v>88</v>
      </c>
      <c r="L4" s="270" t="s">
        <v>89</v>
      </c>
    </row>
    <row r="5" customFormat="false" ht="15" hidden="false" customHeight="false" outlineLevel="0" collapsed="false">
      <c r="A5" s="33" t="s">
        <v>413</v>
      </c>
      <c r="B5" s="390"/>
      <c r="C5" s="128"/>
      <c r="D5" s="122"/>
      <c r="E5" s="122"/>
      <c r="F5" s="122"/>
      <c r="G5" s="272"/>
      <c r="H5" s="273"/>
      <c r="I5" s="273"/>
      <c r="J5" s="273"/>
      <c r="K5" s="273"/>
    </row>
    <row r="6" customFormat="false" ht="15" hidden="false" customHeight="false" outlineLevel="0" collapsed="false">
      <c r="D6" s="73"/>
      <c r="E6" s="73"/>
      <c r="F6" s="73"/>
      <c r="G6" s="73"/>
      <c r="H6" s="73"/>
      <c r="I6" s="73"/>
      <c r="J6" s="73"/>
      <c r="K6" s="73"/>
      <c r="L6" s="73"/>
    </row>
    <row r="7" customFormat="false" ht="15" hidden="false" customHeight="false" outlineLevel="0" collapsed="false">
      <c r="A7" s="275" t="s">
        <v>416</v>
      </c>
      <c r="B7" s="80" t="n">
        <v>8900.4</v>
      </c>
      <c r="C7" s="138" t="n">
        <v>10726.9</v>
      </c>
      <c r="D7" s="138" t="n">
        <f aca="false">'Balance Sheet'!B28</f>
        <v>13561.6</v>
      </c>
      <c r="E7" s="138" t="n">
        <f aca="false">'Balance Sheet'!C28</f>
        <v>14681.4</v>
      </c>
      <c r="F7" s="138" t="n">
        <f aca="false">'Balance Sheet'!D28</f>
        <v>17179.9</v>
      </c>
      <c r="G7" s="138" t="n">
        <f aca="false">F7+G10</f>
        <v>19472.17975</v>
      </c>
      <c r="H7" s="138" t="n">
        <f aca="false">G7+H10</f>
        <v>22227.762076</v>
      </c>
      <c r="I7" s="138" t="n">
        <f aca="false">H7+I10</f>
        <v>25644.68416024</v>
      </c>
      <c r="J7" s="138" t="n">
        <f aca="false">I7+J10</f>
        <v>29276.3842040608</v>
      </c>
      <c r="K7" s="138" t="n">
        <f aca="false">J7+K10</f>
        <v>33707.0582575222</v>
      </c>
      <c r="L7" s="138" t="n">
        <f aca="false">K7+L10</f>
        <v>39023.8671216758</v>
      </c>
      <c r="M7" s="138"/>
    </row>
    <row r="8" customFormat="false" ht="15" hidden="false" customHeight="false" outlineLevel="0" collapsed="false">
      <c r="A8" s="391" t="s">
        <v>417</v>
      </c>
      <c r="B8" s="80" t="n">
        <v>1594.2</v>
      </c>
      <c r="C8" s="138" t="n">
        <v>2525.4</v>
      </c>
      <c r="D8" s="138" t="n">
        <f aca="false">'Balance Sheet'!B31</f>
        <v>1497.4</v>
      </c>
      <c r="E8" s="138" t="n">
        <f aca="false">'Balance Sheet'!C31</f>
        <v>2187.1</v>
      </c>
      <c r="F8" s="138" t="n">
        <f aca="false">'Balance Sheet'!D31</f>
        <v>2145.5</v>
      </c>
      <c r="G8" s="138" t="s">
        <v>418</v>
      </c>
      <c r="H8" s="138" t="n">
        <v>0</v>
      </c>
      <c r="I8" s="138" t="n">
        <v>0</v>
      </c>
      <c r="J8" s="138" t="n">
        <v>0</v>
      </c>
      <c r="K8" s="138" t="n">
        <v>0</v>
      </c>
      <c r="L8" s="138" t="n">
        <v>0</v>
      </c>
    </row>
    <row r="9" customFormat="false" ht="15" hidden="false" customHeight="false" outlineLevel="0" collapsed="false">
      <c r="A9" s="391" t="s">
        <v>362</v>
      </c>
      <c r="B9" s="80" t="n">
        <f aca="false">SUM(B7:B8)</f>
        <v>10494.6</v>
      </c>
      <c r="C9" s="138" t="n">
        <f aca="false">SUM(C7:C8)</f>
        <v>13252.3</v>
      </c>
      <c r="D9" s="138" t="n">
        <f aca="false">SUM(D7:D8)</f>
        <v>15059</v>
      </c>
      <c r="E9" s="138" t="n">
        <f aca="false">SUM(E7:E8)</f>
        <v>16868.5</v>
      </c>
      <c r="F9" s="138" t="n">
        <f aca="false">SUM(F7:F8)</f>
        <v>19325.4</v>
      </c>
      <c r="G9" s="138" t="n">
        <v>0</v>
      </c>
      <c r="H9" s="138" t="n">
        <v>0</v>
      </c>
      <c r="I9" s="138" t="n">
        <v>0</v>
      </c>
      <c r="J9" s="138" t="n">
        <v>0</v>
      </c>
      <c r="K9" s="138" t="n">
        <v>0</v>
      </c>
      <c r="L9" s="138" t="n">
        <v>0</v>
      </c>
    </row>
    <row r="10" customFormat="false" ht="15" hidden="false" customHeight="false" outlineLevel="0" collapsed="false">
      <c r="A10" s="391" t="s">
        <v>419</v>
      </c>
      <c r="B10" s="80"/>
      <c r="C10" s="138" t="n">
        <f aca="false">C9-B9</f>
        <v>2757.7</v>
      </c>
      <c r="D10" s="138" t="n">
        <f aca="false">D9-C9</f>
        <v>1806.7</v>
      </c>
      <c r="E10" s="138" t="n">
        <f aca="false">E9-D9</f>
        <v>1809.5</v>
      </c>
      <c r="F10" s="138" t="n">
        <f aca="false">F9-E9</f>
        <v>2456.9</v>
      </c>
      <c r="G10" s="138" t="n">
        <f aca="false">G17</f>
        <v>2292.27975</v>
      </c>
      <c r="H10" s="138" t="n">
        <f aca="false">H17</f>
        <v>2755.582326</v>
      </c>
      <c r="I10" s="138" t="n">
        <f aca="false">I17</f>
        <v>3416.92208424</v>
      </c>
      <c r="J10" s="138" t="n">
        <f aca="false">J17</f>
        <v>3631.7000438208</v>
      </c>
      <c r="K10" s="138" t="n">
        <f aca="false">K17</f>
        <v>4430.67405346138</v>
      </c>
      <c r="L10" s="138" t="n">
        <f aca="false">L17</f>
        <v>5316.80886415365</v>
      </c>
    </row>
    <row r="11" customFormat="false" ht="15" hidden="false" customHeight="false" outlineLevel="0" collapsed="false">
      <c r="A11" s="391"/>
      <c r="B11" s="80"/>
      <c r="C11" s="138"/>
      <c r="D11" s="138"/>
      <c r="E11" s="138"/>
      <c r="F11" s="138"/>
      <c r="G11" s="138"/>
      <c r="H11" s="138"/>
      <c r="I11" s="138"/>
      <c r="J11" s="138"/>
      <c r="K11" s="138"/>
      <c r="L11" s="138"/>
    </row>
    <row r="12" customFormat="false" ht="15" hidden="false" customHeight="false" outlineLevel="0" collapsed="false">
      <c r="A12" s="275" t="s">
        <v>420</v>
      </c>
      <c r="B12" s="80" t="n">
        <v>1482.7</v>
      </c>
      <c r="C12" s="138" t="n">
        <v>2144.2</v>
      </c>
      <c r="D12" s="138" t="n">
        <f aca="false">'Balance Sheet'!B29</f>
        <v>2724.1</v>
      </c>
      <c r="E12" s="138" t="n">
        <f aca="false">'Balance Sheet'!C29</f>
        <v>3155.3</v>
      </c>
      <c r="F12" s="138" t="n">
        <f aca="false">'Balance Sheet'!D29</f>
        <v>4176.9</v>
      </c>
      <c r="G12" s="138" t="n">
        <f aca="false">F12+G13</f>
        <v>5398.1</v>
      </c>
      <c r="H12" s="138" t="n">
        <f aca="false">G12+H13</f>
        <v>6607.90753660391</v>
      </c>
      <c r="I12" s="138" t="n">
        <f aca="false">H12+I13</f>
        <v>7964.63170969623</v>
      </c>
      <c r="J12" s="138" t="n">
        <f aca="false">I12+J13</f>
        <v>9491.06756182506</v>
      </c>
      <c r="K12" s="138" t="n">
        <f aca="false">J12+K13</f>
        <v>11213.613444378</v>
      </c>
      <c r="L12" s="138" t="n">
        <f aca="false">K12+L13</f>
        <v>13182.882858271</v>
      </c>
    </row>
    <row r="13" customFormat="false" ht="15" hidden="false" customHeight="false" outlineLevel="0" collapsed="false">
      <c r="A13" s="391" t="s">
        <v>421</v>
      </c>
      <c r="B13" s="80" t="n">
        <v>589.8</v>
      </c>
      <c r="C13" s="138" t="n">
        <v>646.7</v>
      </c>
      <c r="D13" s="138" t="n">
        <f aca="false">'Profit &amp; Loss Consolidated'!B20</f>
        <v>721.3</v>
      </c>
      <c r="E13" s="138" t="n">
        <f aca="false">'Profit &amp; Loss Consolidated'!G20</f>
        <v>997.2</v>
      </c>
      <c r="F13" s="138" t="n">
        <f aca="false">'Profit &amp; Loss Consolidated'!L20</f>
        <v>1003.8</v>
      </c>
      <c r="G13" s="138" t="n">
        <f aca="false">'Profit &amp; Loss Consolidated'!Q20</f>
        <v>1221.2</v>
      </c>
      <c r="H13" s="138" t="n">
        <f aca="false">H14*(G16+H10/2)</f>
        <v>1209.80753660391</v>
      </c>
      <c r="I13" s="138" t="n">
        <f aca="false">I14*(H16+I10/2)</f>
        <v>1356.72417309232</v>
      </c>
      <c r="J13" s="138" t="n">
        <f aca="false">J14*(I16+J10/2)</f>
        <v>1526.43585212883</v>
      </c>
      <c r="K13" s="138" t="n">
        <f aca="false">K14*(J16+K10/2)</f>
        <v>1722.54588255296</v>
      </c>
      <c r="L13" s="138" t="n">
        <f aca="false">L14*(K16+L10/2)</f>
        <v>1969.26941389299</v>
      </c>
    </row>
    <row r="14" customFormat="false" ht="15" hidden="false" customHeight="false" outlineLevel="0" collapsed="false">
      <c r="A14" s="283" t="s">
        <v>422</v>
      </c>
      <c r="B14" s="392"/>
      <c r="C14" s="286" t="n">
        <f aca="false">C13/(B16+C10/2)</f>
        <v>0.0735174585490903</v>
      </c>
      <c r="D14" s="286" t="n">
        <f aca="false">D13/(C16+D10/2)</f>
        <v>0.0760379715476937</v>
      </c>
      <c r="E14" s="286" t="n">
        <f aca="false">E13/(D16+E10/2)</f>
        <v>0.0849240988737252</v>
      </c>
      <c r="F14" s="286" t="n">
        <f aca="false">F13/(E16+F10/2)</f>
        <v>0.0787013261933977</v>
      </c>
      <c r="G14" s="288" t="n">
        <f aca="false">AVERAGE($C$14:$F$14)</f>
        <v>0.0782952137909767</v>
      </c>
      <c r="H14" s="288" t="n">
        <f aca="false">AVERAGE($C$14:$F$14)</f>
        <v>0.0782952137909767</v>
      </c>
      <c r="I14" s="288" t="n">
        <f aca="false">AVERAGE($C$14:$F$14)</f>
        <v>0.0782952137909767</v>
      </c>
      <c r="J14" s="288" t="n">
        <f aca="false">AVERAGE($C$14:$F$14)</f>
        <v>0.0782952137909767</v>
      </c>
      <c r="K14" s="288" t="n">
        <f aca="false">AVERAGE($C$14:$F$14)</f>
        <v>0.0782952137909767</v>
      </c>
      <c r="L14" s="288" t="n">
        <f aca="false">AVERAGE($C$14:$F$14)</f>
        <v>0.0782952137909767</v>
      </c>
      <c r="M14" s="288"/>
    </row>
    <row r="15" customFormat="false" ht="15" hidden="false" customHeight="false" outlineLevel="0" collapsed="false">
      <c r="A15" s="391"/>
      <c r="B15" s="80"/>
      <c r="C15" s="138"/>
      <c r="D15" s="138"/>
      <c r="E15" s="138"/>
      <c r="F15" s="138"/>
      <c r="G15" s="393"/>
      <c r="H15" s="138"/>
      <c r="I15" s="138"/>
      <c r="J15" s="138"/>
      <c r="K15" s="138"/>
      <c r="L15" s="138"/>
    </row>
    <row r="16" customFormat="false" ht="15" hidden="false" customHeight="false" outlineLevel="0" collapsed="false">
      <c r="A16" s="391" t="s">
        <v>211</v>
      </c>
      <c r="B16" s="394" t="n">
        <f aca="false">B7-B12</f>
        <v>7417.7</v>
      </c>
      <c r="C16" s="138" t="n">
        <f aca="false">C7-C12</f>
        <v>8582.7</v>
      </c>
      <c r="D16" s="138" t="n">
        <f aca="false">D7-D12</f>
        <v>10837.5</v>
      </c>
      <c r="E16" s="138" t="n">
        <f aca="false">E7-E12</f>
        <v>11526.1</v>
      </c>
      <c r="F16" s="138" t="n">
        <f aca="false">F7-F12</f>
        <v>13003</v>
      </c>
      <c r="G16" s="138" t="n">
        <f aca="false">G7-G12</f>
        <v>14074.07975</v>
      </c>
      <c r="H16" s="138" t="n">
        <f aca="false">H7-H12</f>
        <v>15619.8545393961</v>
      </c>
      <c r="I16" s="138" t="n">
        <f aca="false">I7-I12</f>
        <v>17680.0524505438</v>
      </c>
      <c r="J16" s="138" t="n">
        <f aca="false">J7-J12</f>
        <v>19785.3166422357</v>
      </c>
      <c r="K16" s="138" t="n">
        <f aca="false">K7-K12</f>
        <v>22493.4448131442</v>
      </c>
      <c r="L16" s="138" t="n">
        <f aca="false">L7-L12</f>
        <v>25840.9842634048</v>
      </c>
    </row>
    <row r="17" customFormat="false" ht="15" hidden="false" customHeight="false" outlineLevel="0" collapsed="false">
      <c r="A17" s="391" t="s">
        <v>141</v>
      </c>
      <c r="B17" s="80"/>
      <c r="C17" s="138" t="n">
        <f aca="false">C10</f>
        <v>2757.7</v>
      </c>
      <c r="D17" s="138" t="n">
        <f aca="false">D10</f>
        <v>1806.7</v>
      </c>
      <c r="E17" s="138" t="n">
        <f aca="false">E10</f>
        <v>1809.5</v>
      </c>
      <c r="F17" s="138" t="n">
        <f aca="false">F10</f>
        <v>2456.9</v>
      </c>
      <c r="G17" s="138" t="n">
        <f aca="false">G18*'Profit &amp; Loss Consolidated'!Q9</f>
        <v>2292.27975</v>
      </c>
      <c r="H17" s="138" t="n">
        <f aca="false">H18*'Profit &amp; Loss Consolidated'!V9</f>
        <v>2755.582326</v>
      </c>
      <c r="I17" s="138" t="n">
        <f aca="false">I18*'Profit &amp; Loss Consolidated'!AA9</f>
        <v>3416.92208424</v>
      </c>
      <c r="J17" s="138" t="n">
        <f aca="false">J18*'Profit &amp; Loss Consolidated'!AF9</f>
        <v>3631.7000438208</v>
      </c>
      <c r="K17" s="138" t="n">
        <f aca="false">K18*'Profit &amp; Loss Consolidated'!AK9</f>
        <v>4430.67405346138</v>
      </c>
      <c r="L17" s="138" t="n">
        <f aca="false">L18*'Profit &amp; Loss Consolidated'!AP9</f>
        <v>5316.80886415365</v>
      </c>
    </row>
    <row r="18" customFormat="false" ht="15" hidden="false" customHeight="false" outlineLevel="0" collapsed="false">
      <c r="A18" s="283" t="s">
        <v>423</v>
      </c>
      <c r="B18" s="392"/>
      <c r="C18" s="286" t="n">
        <f aca="false">C17/14167.3</f>
        <v>0.19465247435997</v>
      </c>
      <c r="D18" s="286" t="n">
        <f aca="false">D17/'Profit &amp; Loss Consolidated'!B9</f>
        <v>0.10655853730463</v>
      </c>
      <c r="E18" s="286" t="n">
        <f aca="false">E17/'Profit &amp; Loss Consolidated'!G9</f>
        <v>0.0804143594848504</v>
      </c>
      <c r="F18" s="286" t="n">
        <f aca="false">F17/'Profit &amp; Loss Consolidated'!L9</f>
        <v>0.0962625720431456</v>
      </c>
      <c r="G18" s="288" t="n">
        <v>0.075</v>
      </c>
      <c r="H18" s="288" t="n">
        <v>0.07</v>
      </c>
      <c r="I18" s="288" t="n">
        <v>0.07</v>
      </c>
      <c r="J18" s="288" t="n">
        <v>0.06</v>
      </c>
      <c r="K18" s="288" t="n">
        <f aca="false">$J$18</f>
        <v>0.06</v>
      </c>
      <c r="L18" s="288" t="n">
        <f aca="false">$J$18</f>
        <v>0.06</v>
      </c>
    </row>
    <row r="19" customFormat="false" ht="15.75" hidden="false" customHeight="false" outlineLevel="0" collapsed="false">
      <c r="A19" s="31"/>
      <c r="B19" s="395"/>
      <c r="C19" s="84"/>
      <c r="D19" s="84"/>
      <c r="E19" s="84"/>
      <c r="F19" s="84"/>
      <c r="G19" s="84"/>
      <c r="H19" s="84"/>
      <c r="I19" s="84"/>
      <c r="J19" s="84"/>
      <c r="K19" s="84"/>
      <c r="L19" s="84"/>
    </row>
    <row r="20" customFormat="false" ht="15" hidden="false" customHeight="false" outlineLevel="0" collapsed="false">
      <c r="C20" s="130"/>
      <c r="D20" s="130"/>
      <c r="E20" s="130"/>
      <c r="F20" s="130"/>
      <c r="G20" s="73"/>
      <c r="H20" s="73"/>
      <c r="I20" s="73"/>
      <c r="J20" s="73"/>
      <c r="K20" s="73"/>
      <c r="L20" s="73"/>
    </row>
    <row r="21" customFormat="false" ht="15" hidden="false" customHeight="false" outlineLevel="0" collapsed="false">
      <c r="A21" s="32"/>
      <c r="B21" s="394"/>
      <c r="C21" s="380"/>
      <c r="D21" s="65"/>
      <c r="E21" s="65"/>
      <c r="F21" s="65"/>
    </row>
    <row r="22" customFormat="false" ht="15" hidden="false" customHeight="false" outlineLevel="0" collapsed="false">
      <c r="A22" s="32"/>
      <c r="B22" s="394"/>
      <c r="C22" s="82"/>
      <c r="D22" s="82"/>
      <c r="E22" s="82"/>
      <c r="F22" s="82"/>
    </row>
    <row r="23" customFormat="false" ht="15" hidden="false" customHeight="false" outlineLevel="0" collapsed="false">
      <c r="A23" s="32"/>
      <c r="B23" s="39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B56" colorId="64" zoomScale="100" zoomScaleNormal="100" zoomScalePageLayoutView="100" workbookViewId="0">
      <selection pane="topLeft" activeCell="I65" activeCellId="0" sqref="I65"/>
    </sheetView>
  </sheetViews>
  <sheetFormatPr defaultColWidth="8.96875" defaultRowHeight="15" zeroHeight="false" outlineLevelRow="0" outlineLevelCol="0"/>
  <cols>
    <col collapsed="false" customWidth="true" hidden="false" outlineLevel="0" max="1" min="1" style="0" width="39.42"/>
    <col collapsed="false" customWidth="true" hidden="false" outlineLevel="0" max="3" min="2" style="0" width="10.56"/>
    <col collapsed="false" customWidth="true" hidden="false" outlineLevel="0" max="4" min="4" style="0" width="22.28"/>
    <col collapsed="false" customWidth="true" hidden="false" outlineLevel="0" max="6" min="5" style="0" width="10.56"/>
    <col collapsed="false" customWidth="true" hidden="false" outlineLevel="0" max="7" min="7" style="0" width="17.71"/>
    <col collapsed="false" customWidth="true" hidden="false" outlineLevel="0" max="8" min="8" style="0" width="10.56"/>
    <col collapsed="false" customWidth="true" hidden="false" outlineLevel="0" max="9" min="9" style="0" width="19.42"/>
    <col collapsed="false" customWidth="true" hidden="false" outlineLevel="0" max="13" min="10" style="0" width="11.56"/>
    <col collapsed="false" customWidth="true" hidden="false" outlineLevel="0" max="14" min="14" style="0" width="22.99"/>
  </cols>
  <sheetData>
    <row r="1" customFormat="false" ht="18.75" hidden="false" customHeight="false" outlineLevel="0" collapsed="false">
      <c r="A1" s="29" t="s">
        <v>1</v>
      </c>
    </row>
    <row r="2" customFormat="false" ht="15.75" hidden="false" customHeight="false" outlineLevel="0" collapsed="false">
      <c r="A2" s="30" t="s">
        <v>424</v>
      </c>
    </row>
    <row r="3" customFormat="false" ht="15.75" hidden="false" customHeight="false" outlineLevel="0" collapsed="false">
      <c r="A3" s="31" t="s">
        <v>96</v>
      </c>
      <c r="B3" s="31"/>
      <c r="C3" s="31"/>
      <c r="D3" s="31"/>
      <c r="E3" s="31"/>
      <c r="F3" s="31"/>
      <c r="G3" s="31"/>
      <c r="H3" s="31"/>
      <c r="I3" s="31"/>
      <c r="J3" s="31"/>
      <c r="K3" s="31"/>
      <c r="L3" s="31"/>
      <c r="M3" s="396"/>
      <c r="N3" s="396"/>
    </row>
    <row r="5" customFormat="false" ht="15.75" hidden="false" customHeight="false" outlineLevel="0" collapsed="false">
      <c r="A5" s="33" t="s">
        <v>425</v>
      </c>
      <c r="D5" s="34" t="s">
        <v>426</v>
      </c>
      <c r="E5" s="34"/>
      <c r="G5" s="33" t="s">
        <v>427</v>
      </c>
    </row>
    <row r="6" customFormat="false" ht="30" hidden="false" customHeight="false" outlineLevel="0" collapsed="false">
      <c r="A6" s="397" t="s">
        <v>428</v>
      </c>
      <c r="B6" s="297" t="n">
        <v>0.041</v>
      </c>
      <c r="D6" s="397"/>
      <c r="E6" s="398"/>
      <c r="G6" s="399" t="s">
        <v>429</v>
      </c>
      <c r="H6" s="145" t="n">
        <f aca="false">E9/E13</f>
        <v>0.756695593079815</v>
      </c>
    </row>
    <row r="7" customFormat="false" ht="30" hidden="false" customHeight="false" outlineLevel="0" collapsed="false">
      <c r="A7" s="400"/>
      <c r="B7" s="400"/>
      <c r="C7" s="400"/>
      <c r="D7" s="400" t="s">
        <v>430</v>
      </c>
      <c r="E7" s="401" t="n">
        <v>753</v>
      </c>
      <c r="F7" s="400"/>
      <c r="G7" s="402" t="s">
        <v>431</v>
      </c>
      <c r="H7" s="145" t="n">
        <f aca="false">E12/E13</f>
        <v>0.243304406920185</v>
      </c>
    </row>
    <row r="8" customFormat="false" ht="15" hidden="false" customHeight="false" outlineLevel="0" collapsed="false">
      <c r="D8" s="400" t="s">
        <v>432</v>
      </c>
      <c r="E8" s="403" t="n">
        <f aca="false">'Profit &amp; Loss Consolidated'!S55</f>
        <v>64.6156832298137</v>
      </c>
      <c r="G8" s="404"/>
      <c r="H8" s="145"/>
    </row>
    <row r="9" customFormat="false" ht="15" hidden="false" customHeight="false" outlineLevel="0" collapsed="false">
      <c r="A9" s="33" t="s">
        <v>433</v>
      </c>
      <c r="D9" s="400" t="s">
        <v>434</v>
      </c>
      <c r="E9" s="405" t="n">
        <f aca="false">E7*E8</f>
        <v>48655.6094720497</v>
      </c>
      <c r="G9" s="404" t="s">
        <v>435</v>
      </c>
      <c r="H9" s="145" t="n">
        <f aca="false">'Debt Schedule'!G36</f>
        <v>0.116503105125899</v>
      </c>
    </row>
    <row r="10" customFormat="false" ht="15" hidden="false" customHeight="false" outlineLevel="0" collapsed="false">
      <c r="A10" s="398" t="s">
        <v>436</v>
      </c>
      <c r="B10" s="257" t="n">
        <f aca="false">B11+(B12*B13)</f>
        <v>0.118006</v>
      </c>
      <c r="D10" s="400" t="s">
        <v>437</v>
      </c>
      <c r="E10" s="403" t="n">
        <f aca="false">'Balance Sheet'!D62</f>
        <v>18470.2</v>
      </c>
      <c r="G10" s="404" t="s">
        <v>438</v>
      </c>
      <c r="H10" s="145" t="n">
        <f aca="false">'Cost Model'!W20</f>
        <v>0.13</v>
      </c>
    </row>
    <row r="11" customFormat="false" ht="30" hidden="false" customHeight="false" outlineLevel="0" collapsed="false">
      <c r="A11" s="398" t="s">
        <v>439</v>
      </c>
      <c r="B11" s="406" t="n">
        <v>0.07</v>
      </c>
      <c r="D11" s="407" t="s">
        <v>440</v>
      </c>
      <c r="E11" s="403" t="n">
        <f aca="false">'Balance Sheet'!D42</f>
        <v>2825.7</v>
      </c>
      <c r="G11" s="37"/>
      <c r="H11" s="145"/>
    </row>
    <row r="12" customFormat="false" ht="15" hidden="false" customHeight="false" outlineLevel="0" collapsed="false">
      <c r="A12" s="398" t="s">
        <v>441</v>
      </c>
      <c r="B12" s="408" t="n">
        <v>0.6858</v>
      </c>
      <c r="D12" s="400" t="s">
        <v>231</v>
      </c>
      <c r="E12" s="403" t="n">
        <f aca="false">E10-E11</f>
        <v>15644.5</v>
      </c>
      <c r="G12" s="34" t="s">
        <v>442</v>
      </c>
      <c r="H12" s="145"/>
    </row>
    <row r="13" customFormat="false" ht="15" hidden="false" customHeight="false" outlineLevel="0" collapsed="false">
      <c r="A13" s="398" t="s">
        <v>443</v>
      </c>
      <c r="B13" s="409" t="n">
        <v>0.07</v>
      </c>
      <c r="D13" s="400" t="s">
        <v>426</v>
      </c>
      <c r="E13" s="410" t="n">
        <f aca="false">E9+E12</f>
        <v>64300.1094720497</v>
      </c>
      <c r="G13" s="411" t="s">
        <v>444</v>
      </c>
      <c r="H13" s="412" t="n">
        <f aca="false">B10*H6+((H9*H7)*(1-H10))</f>
        <v>0.113955395597381</v>
      </c>
    </row>
    <row r="15" customFormat="false" ht="15" hidden="false" customHeight="false" outlineLevel="0" collapsed="false">
      <c r="A15" s="33" t="s">
        <v>445</v>
      </c>
    </row>
    <row r="16" customFormat="false" ht="15" hidden="false" customHeight="false" outlineLevel="0" collapsed="false">
      <c r="C16" s="413" t="s">
        <v>446</v>
      </c>
      <c r="D16" s="413"/>
      <c r="E16" s="413"/>
      <c r="F16" s="413"/>
      <c r="G16" s="413"/>
      <c r="H16" s="413"/>
      <c r="I16" s="414" t="s">
        <v>447</v>
      </c>
      <c r="J16" s="414"/>
      <c r="K16" s="414"/>
      <c r="L16" s="414"/>
      <c r="M16" s="414"/>
      <c r="N16" s="415" t="s">
        <v>448</v>
      </c>
    </row>
    <row r="17" customFormat="false" ht="15" hidden="false" customHeight="false" outlineLevel="0" collapsed="false">
      <c r="B17" s="416" t="s">
        <v>86</v>
      </c>
      <c r="C17" s="416" t="s">
        <v>43</v>
      </c>
      <c r="D17" s="417" t="s">
        <v>48</v>
      </c>
      <c r="E17" s="417" t="s">
        <v>53</v>
      </c>
      <c r="F17" s="418" t="s">
        <v>87</v>
      </c>
      <c r="G17" s="417" t="s">
        <v>88</v>
      </c>
      <c r="H17" s="417" t="s">
        <v>89</v>
      </c>
      <c r="I17" s="417" t="s">
        <v>449</v>
      </c>
      <c r="J17" s="417" t="s">
        <v>450</v>
      </c>
      <c r="K17" s="417" t="s">
        <v>451</v>
      </c>
      <c r="L17" s="417" t="s">
        <v>452</v>
      </c>
      <c r="M17" s="417" t="s">
        <v>453</v>
      </c>
      <c r="N17" s="89" t="s">
        <v>454</v>
      </c>
    </row>
    <row r="19" customFormat="false" ht="15" hidden="false" customHeight="false" outlineLevel="0" collapsed="false">
      <c r="A19" s="419" t="s">
        <v>455</v>
      </c>
      <c r="B19" s="65" t="n">
        <f aca="false">'Profit &amp; Loss Consolidated'!L13</f>
        <v>24359</v>
      </c>
      <c r="C19" s="65" t="n">
        <f aca="false">'Profit &amp; Loss Consolidated'!Q13</f>
        <v>31242.43</v>
      </c>
      <c r="D19" s="420" t="n">
        <f aca="false">'Profit &amp; Loss Consolidated'!V13</f>
        <v>40324.4304216159</v>
      </c>
      <c r="E19" s="65" t="n">
        <f aca="false">'Profit &amp; Loss Consolidated'!AA13</f>
        <v>49546.6891433872</v>
      </c>
      <c r="F19" s="65" t="n">
        <f aca="false">'Profit &amp; Loss Consolidated'!AF13</f>
        <v>60962.8145378002</v>
      </c>
      <c r="G19" s="65" t="n">
        <f aca="false">'Profit &amp; Loss Consolidated'!AK13</f>
        <v>73939.1437361162</v>
      </c>
      <c r="H19" s="65" t="n">
        <f aca="false">'Profit &amp; Loss Consolidated'!AP13</f>
        <v>88331.0724833394</v>
      </c>
      <c r="I19" s="73" t="n">
        <f aca="false">H19*(1+I37)</f>
        <v>102968.986652141</v>
      </c>
      <c r="J19" s="73" t="n">
        <f aca="false">I19*(1+J37)</f>
        <v>117053.84229029</v>
      </c>
      <c r="K19" s="73" t="n">
        <f aca="false">J19*(1+K37)</f>
        <v>129679.06354742</v>
      </c>
      <c r="L19" s="73" t="n">
        <f aca="false">K19*(1+L37)</f>
        <v>139914.517828377</v>
      </c>
      <c r="M19" s="73" t="n">
        <f aca="false">L19*(1+M37)</f>
        <v>146910.243719796</v>
      </c>
      <c r="N19" s="73" t="n">
        <f aca="false">M19*(1+N37)</f>
        <v>152933.563712307</v>
      </c>
    </row>
    <row r="20" customFormat="false" ht="15" hidden="false" customHeight="false" outlineLevel="0" collapsed="false">
      <c r="A20" s="419" t="s">
        <v>129</v>
      </c>
      <c r="B20" s="65" t="n">
        <f aca="false">'Profit &amp; Loss Consolidated'!L25+'Profit &amp; Loss Consolidated'!L20</f>
        <v>4353.8</v>
      </c>
      <c r="C20" s="65" t="n">
        <f aca="false">'Profit &amp; Loss Consolidated'!Q25+'Profit &amp; Loss Consolidated'!Q20</f>
        <v>5890.63</v>
      </c>
      <c r="D20" s="65" t="n">
        <f aca="false">'Profit &amp; Loss Consolidated'!V25+'Profit &amp; Loss Consolidated'!V20</f>
        <v>7698.51568281836</v>
      </c>
      <c r="E20" s="65" t="n">
        <f aca="false">'Profit &amp; Loss Consolidated'!AA25+'Profit &amp; Loss Consolidated'!AA20</f>
        <v>9081.72265326045</v>
      </c>
      <c r="F20" s="65" t="n">
        <f aca="false">'Profit &amp; Loss Consolidated'!AF25+'Profit &amp; Loss Consolidated'!AF20</f>
        <v>10746.320090043</v>
      </c>
      <c r="G20" s="65" t="n">
        <f aca="false">'Profit &amp; Loss Consolidated'!AK25+'Profit &amp; Loss Consolidated'!AK20</f>
        <v>12638.4125098524</v>
      </c>
      <c r="H20" s="65" t="n">
        <f aca="false">'Profit &amp; Loss Consolidated'!AP25+'Profit &amp; Loss Consolidated'!AP20</f>
        <v>14736.9150118229</v>
      </c>
      <c r="I20" s="65" t="n">
        <f aca="false">I21+I24</f>
        <v>17179.0646539737</v>
      </c>
      <c r="J20" s="65" t="n">
        <f aca="false">J21+J24</f>
        <v>19528.9435205791</v>
      </c>
      <c r="K20" s="65" t="n">
        <f aca="false">K21+K24</f>
        <v>21635.300971485</v>
      </c>
      <c r="L20" s="65" t="n">
        <f aca="false">L21+L24</f>
        <v>23342.9562235404</v>
      </c>
      <c r="M20" s="65" t="n">
        <f aca="false">M21+M24</f>
        <v>24510.1040347174</v>
      </c>
      <c r="N20" s="65" t="n">
        <f aca="false">N21+N24</f>
        <v>25515.0183001408</v>
      </c>
    </row>
    <row r="21" customFormat="false" ht="15" hidden="false" customHeight="false" outlineLevel="0" collapsed="false">
      <c r="A21" s="421" t="s">
        <v>456</v>
      </c>
      <c r="B21" s="65" t="n">
        <f aca="false">'Profit &amp; Loss Consolidated'!L25</f>
        <v>3350</v>
      </c>
      <c r="C21" s="65" t="n">
        <f aca="false">'Profit &amp; Loss Consolidated'!Q25</f>
        <v>4669.43</v>
      </c>
      <c r="D21" s="65" t="n">
        <f aca="false">'Profit &amp; Loss Consolidated'!V25</f>
        <v>6488.70814621445</v>
      </c>
      <c r="E21" s="65" t="n">
        <f aca="false">'Profit &amp; Loss Consolidated'!AA25</f>
        <v>7724.99848016813</v>
      </c>
      <c r="F21" s="65" t="n">
        <f aca="false">'Profit &amp; Loss Consolidated'!AF25</f>
        <v>9219.88423791412</v>
      </c>
      <c r="G21" s="65" t="n">
        <f aca="false">'Profit &amp; Loss Consolidated'!AK25</f>
        <v>10915.8666272994</v>
      </c>
      <c r="H21" s="65" t="n">
        <f aca="false">'Profit &amp; Loss Consolidated'!AP25</f>
        <v>12767.6455979299</v>
      </c>
      <c r="I21" s="65" t="n">
        <f aca="false">I19*I44</f>
        <v>14883.4548499394</v>
      </c>
      <c r="J21" s="65" t="n">
        <f aca="false">J19*J44</f>
        <v>16919.3233164952</v>
      </c>
      <c r="K21" s="65" t="n">
        <f aca="false">K19*K44</f>
        <v>18744.2117286323</v>
      </c>
      <c r="L21" s="65" t="n">
        <f aca="false">L19*L44</f>
        <v>20223.6758528534</v>
      </c>
      <c r="M21" s="65" t="n">
        <f aca="false">M19*M44</f>
        <v>21234.8596454961</v>
      </c>
      <c r="N21" s="65" t="n">
        <f aca="false">N19*N44</f>
        <v>22105.4888909614</v>
      </c>
    </row>
    <row r="22" customFormat="false" ht="15" hidden="false" customHeight="false" outlineLevel="0" collapsed="false">
      <c r="A22" s="422" t="s">
        <v>457</v>
      </c>
      <c r="B22" s="65" t="n">
        <f aca="false">'Profit &amp; Loss Consolidated'!L42</f>
        <v>536</v>
      </c>
      <c r="C22" s="65" t="n">
        <f aca="false">'Profit &amp; Loss Consolidated'!Q42</f>
        <v>312.9</v>
      </c>
      <c r="D22" s="65" t="n">
        <f aca="false">'Profit &amp; Loss Consolidated'!V42</f>
        <v>782.966336010435</v>
      </c>
      <c r="E22" s="65" t="n">
        <f aca="false">'Profit &amp; Loss Consolidated'!AA42</f>
        <v>727.147629380475</v>
      </c>
      <c r="F22" s="65" t="n">
        <f aca="false">'Profit &amp; Loss Consolidated'!AF42</f>
        <v>856.990097935946</v>
      </c>
      <c r="G22" s="65" t="n">
        <f aca="false">'Profit &amp; Loss Consolidated'!AK42</f>
        <v>1192.85807994567</v>
      </c>
      <c r="H22" s="65" t="n">
        <f aca="false">'Profit &amp; Loss Consolidated'!AP42</f>
        <v>1439.33267448033</v>
      </c>
      <c r="I22" s="41" t="n">
        <f aca="false">I21*I48</f>
        <v>1677.85381496991</v>
      </c>
      <c r="J22" s="41" t="n">
        <f aca="false">J21*J48</f>
        <v>1907.36300539834</v>
      </c>
      <c r="K22" s="41" t="n">
        <f aca="false">K21*K48</f>
        <v>2113.08781963467</v>
      </c>
      <c r="L22" s="41" t="n">
        <f aca="false">L21*L48</f>
        <v>2279.87198029919</v>
      </c>
      <c r="M22" s="41" t="n">
        <f aca="false">M21*M48</f>
        <v>2393.86557931415</v>
      </c>
      <c r="N22" s="41" t="n">
        <f aca="false">N21*N48</f>
        <v>2492.01406806603</v>
      </c>
    </row>
    <row r="23" customFormat="false" ht="15" hidden="false" customHeight="false" outlineLevel="0" collapsed="false">
      <c r="A23" s="398" t="s">
        <v>458</v>
      </c>
      <c r="B23" s="65" t="n">
        <f aca="false">B21-B22</f>
        <v>2814</v>
      </c>
      <c r="C23" s="65" t="n">
        <f aca="false">C21-C22</f>
        <v>4356.53</v>
      </c>
      <c r="D23" s="65" t="n">
        <f aca="false">D21-D22</f>
        <v>5705.74181020402</v>
      </c>
      <c r="E23" s="65" t="n">
        <f aca="false">E21-E22</f>
        <v>6997.85085078766</v>
      </c>
      <c r="F23" s="65" t="n">
        <f aca="false">F21-F22</f>
        <v>8362.89413997817</v>
      </c>
      <c r="G23" s="65" t="n">
        <f aca="false">G21-G22</f>
        <v>9723.00854735376</v>
      </c>
      <c r="H23" s="65" t="n">
        <f aca="false">H21-H22</f>
        <v>11328.3129234496</v>
      </c>
      <c r="I23" s="65" t="n">
        <f aca="false">I21-I22</f>
        <v>13205.6010349695</v>
      </c>
      <c r="J23" s="65" t="n">
        <f aca="false">J21-J22</f>
        <v>15011.9603110969</v>
      </c>
      <c r="K23" s="65" t="n">
        <f aca="false">K21-K22</f>
        <v>16631.1239089977</v>
      </c>
      <c r="L23" s="65" t="n">
        <f aca="false">L21-L22</f>
        <v>17943.8038725542</v>
      </c>
      <c r="M23" s="65" t="n">
        <f aca="false">M21-M22</f>
        <v>18840.9940661819</v>
      </c>
      <c r="N23" s="65" t="n">
        <f aca="false">N21-N22</f>
        <v>19613.4748228954</v>
      </c>
    </row>
    <row r="24" customFormat="false" ht="15" hidden="false" customHeight="false" outlineLevel="0" collapsed="false">
      <c r="A24" s="419" t="s">
        <v>459</v>
      </c>
      <c r="B24" s="65" t="n">
        <f aca="false">'Profit &amp; Loss Consolidated'!L20</f>
        <v>1003.8</v>
      </c>
      <c r="C24" s="65" t="n">
        <f aca="false">'Profit &amp; Loss Consolidated'!Q20</f>
        <v>1221.2</v>
      </c>
      <c r="D24" s="65" t="n">
        <f aca="false">'Profit &amp; Loss Consolidated'!V20</f>
        <v>1209.80753660391</v>
      </c>
      <c r="E24" s="65" t="n">
        <f aca="false">'Profit &amp; Loss Consolidated'!AA20</f>
        <v>1356.72417309232</v>
      </c>
      <c r="F24" s="65" t="n">
        <f aca="false">'Profit &amp; Loss Consolidated'!AF20</f>
        <v>1526.43585212883</v>
      </c>
      <c r="G24" s="65" t="n">
        <f aca="false">'Profit &amp; Loss Consolidated'!AK20</f>
        <v>1722.54588255296</v>
      </c>
      <c r="H24" s="65" t="n">
        <f aca="false">'Profit &amp; Loss Consolidated'!AP20</f>
        <v>1969.26941389299</v>
      </c>
      <c r="I24" s="65" t="n">
        <f aca="false">I19*I45</f>
        <v>2295.60980403428</v>
      </c>
      <c r="J24" s="65" t="n">
        <f aca="false">J19*J45</f>
        <v>2609.62020408389</v>
      </c>
      <c r="K24" s="65" t="n">
        <f aca="false">K19*K45</f>
        <v>2891.08924285264</v>
      </c>
      <c r="L24" s="65" t="n">
        <f aca="false">L19*L45</f>
        <v>3119.28037068697</v>
      </c>
      <c r="M24" s="65" t="n">
        <f aca="false">M19*M45</f>
        <v>3275.24438922131</v>
      </c>
      <c r="N24" s="65" t="n">
        <f aca="false">N19*N45</f>
        <v>3409.52940917939</v>
      </c>
    </row>
    <row r="25" customFormat="false" ht="15" hidden="false" customHeight="false" outlineLevel="0" collapsed="false">
      <c r="A25" s="422" t="s">
        <v>460</v>
      </c>
      <c r="B25" s="65" t="n">
        <f aca="false">SUM('Cash Flow Statement'!D31:D34)</f>
        <v>-1271.7</v>
      </c>
      <c r="C25" s="65" t="n">
        <f aca="false">SUM('Cash Flow Statement'!E31:E34)</f>
        <v>-1158.91546713996</v>
      </c>
      <c r="D25" s="65" t="n">
        <f aca="false">SUM('Cash Flow Statement'!F31:F34)</f>
        <v>-2934.83282179303</v>
      </c>
      <c r="E25" s="65" t="n">
        <f aca="false">SUM('Cash Flow Statement'!G31:G34)</f>
        <v>-3225.22641084281</v>
      </c>
      <c r="F25" s="65" t="n">
        <f aca="false">SUM('Cash Flow Statement'!H31:H34)</f>
        <v>-3929.60992794619</v>
      </c>
      <c r="G25" s="65" t="n">
        <f aca="false">SUM('Cash Flow Statement'!I31:I34)</f>
        <v>-4466.65661809884</v>
      </c>
      <c r="H25" s="65" t="n">
        <f aca="false">SUM('Cash Flow Statement'!J31:J34)</f>
        <v>-4953.92824916417</v>
      </c>
      <c r="I25" s="140" t="n">
        <f aca="false">H25</f>
        <v>-4953.92824916417</v>
      </c>
      <c r="J25" s="140" t="n">
        <f aca="false">I25</f>
        <v>-4953.92824916417</v>
      </c>
      <c r="K25" s="140" t="n">
        <f aca="false">J25</f>
        <v>-4953.92824916417</v>
      </c>
      <c r="L25" s="140" t="n">
        <f aca="false">K25</f>
        <v>-4953.92824916417</v>
      </c>
      <c r="M25" s="140" t="n">
        <f aca="false">L25</f>
        <v>-4953.92824916417</v>
      </c>
      <c r="N25" s="140" t="n">
        <f aca="false">M25</f>
        <v>-4953.92824916417</v>
      </c>
    </row>
    <row r="26" customFormat="false" ht="15" hidden="false" customHeight="false" outlineLevel="0" collapsed="false">
      <c r="A26" s="398" t="s">
        <v>461</v>
      </c>
      <c r="B26" s="65" t="n">
        <f aca="false">B23+B24+B25</f>
        <v>2546.1</v>
      </c>
      <c r="C26" s="65" t="n">
        <f aca="false">C23+C24+C25</f>
        <v>4418.81453286004</v>
      </c>
      <c r="D26" s="65" t="n">
        <f aca="false">D23+D24+D25</f>
        <v>3980.7165250149</v>
      </c>
      <c r="E26" s="65" t="n">
        <f aca="false">E23+E24+E25</f>
        <v>5129.34861303716</v>
      </c>
      <c r="F26" s="65" t="n">
        <f aca="false">F23+F24+F25</f>
        <v>5959.72006416081</v>
      </c>
      <c r="G26" s="65" t="n">
        <f aca="false">G23+G24+G25</f>
        <v>6978.89781180789</v>
      </c>
      <c r="H26" s="65" t="n">
        <f aca="false">H23+H24+H25</f>
        <v>8343.65408817838</v>
      </c>
      <c r="I26" s="65" t="n">
        <f aca="false">I23+I24+I25</f>
        <v>10547.2825898396</v>
      </c>
      <c r="J26" s="65" t="n">
        <f aca="false">J23+J24+J25</f>
        <v>12667.6522660166</v>
      </c>
      <c r="K26" s="65" t="n">
        <f aca="false">K23+K24+K25</f>
        <v>14568.2849026861</v>
      </c>
      <c r="L26" s="65" t="n">
        <f aca="false">L23+L24+L25</f>
        <v>16109.155994077</v>
      </c>
      <c r="M26" s="65" t="n">
        <f aca="false">M23+M24+M25</f>
        <v>17162.3102062391</v>
      </c>
      <c r="N26" s="65" t="n">
        <f aca="false">N23+N24+N25</f>
        <v>18069.0759829106</v>
      </c>
    </row>
    <row r="27" customFormat="false" ht="15" hidden="false" customHeight="false" outlineLevel="0" collapsed="false">
      <c r="A27" s="422" t="s">
        <v>141</v>
      </c>
      <c r="B27" s="65" t="n">
        <f aca="false">'Fixed Asset'!F17</f>
        <v>2456.9</v>
      </c>
      <c r="C27" s="65" t="n">
        <f aca="false">'Fixed Asset'!G17</f>
        <v>2292.27975</v>
      </c>
      <c r="D27" s="65" t="n">
        <f aca="false">'Fixed Asset'!H17</f>
        <v>2755.582326</v>
      </c>
      <c r="E27" s="65" t="n">
        <f aca="false">'Fixed Asset'!I17</f>
        <v>3416.92208424</v>
      </c>
      <c r="F27" s="65" t="n">
        <f aca="false">'Fixed Asset'!J17</f>
        <v>3631.7000438208</v>
      </c>
      <c r="G27" s="65" t="n">
        <f aca="false">'Fixed Asset'!K17</f>
        <v>4430.67405346138</v>
      </c>
      <c r="H27" s="65" t="n">
        <f aca="false">'Fixed Asset'!L17</f>
        <v>5316.80886415365</v>
      </c>
      <c r="I27" s="65" t="n">
        <f aca="false">I19*I46</f>
        <v>6197.89169964263</v>
      </c>
      <c r="J27" s="65" t="n">
        <f aca="false">J19*J46</f>
        <v>7045.68493029042</v>
      </c>
      <c r="K27" s="65" t="n">
        <f aca="false">K19*K46</f>
        <v>7805.62009698356</v>
      </c>
      <c r="L27" s="65" t="n">
        <f aca="false">L19*L46</f>
        <v>8421.71081704015</v>
      </c>
      <c r="M27" s="65" t="n">
        <f aca="false">M19*M46</f>
        <v>8842.79635789216</v>
      </c>
      <c r="N27" s="65" t="n">
        <f aca="false">N19*N46</f>
        <v>9205.35100856574</v>
      </c>
    </row>
    <row r="28" customFormat="false" ht="15" hidden="false" customHeight="false" outlineLevel="0" collapsed="false">
      <c r="A28" s="423" t="s">
        <v>462</v>
      </c>
      <c r="B28" s="65" t="n">
        <f aca="false">B26-B27</f>
        <v>89.1999999999971</v>
      </c>
      <c r="C28" s="65" t="n">
        <f aca="false">C26-C27</f>
        <v>2126.53478286004</v>
      </c>
      <c r="D28" s="65" t="n">
        <f aca="false">D26-D27</f>
        <v>1225.1341990149</v>
      </c>
      <c r="E28" s="65" t="n">
        <f aca="false">E26-E27</f>
        <v>1712.42652879716</v>
      </c>
      <c r="F28" s="65" t="n">
        <f aca="false">F26-F27</f>
        <v>2328.02002034001</v>
      </c>
      <c r="G28" s="65" t="n">
        <f aca="false">G26-G27</f>
        <v>2548.22375834651</v>
      </c>
      <c r="H28" s="65" t="n">
        <f aca="false">H26-H27</f>
        <v>3026.84522402473</v>
      </c>
      <c r="I28" s="65" t="n">
        <f aca="false">I26-I27</f>
        <v>4349.39089019696</v>
      </c>
      <c r="J28" s="65" t="n">
        <f aca="false">J26-J27</f>
        <v>5621.9673357262</v>
      </c>
      <c r="K28" s="65" t="n">
        <f aca="false">K26-K27</f>
        <v>6762.66480570257</v>
      </c>
      <c r="L28" s="65" t="n">
        <f aca="false">L26-L27</f>
        <v>7687.44517703687</v>
      </c>
      <c r="M28" s="65" t="n">
        <f aca="false">M26-M27</f>
        <v>8319.51384834692</v>
      </c>
      <c r="N28" s="65" t="n">
        <f aca="false">N26-N27</f>
        <v>8863.72497434487</v>
      </c>
    </row>
    <row r="29" customFormat="false" ht="15" hidden="false" customHeight="false" outlineLevel="0" collapsed="false">
      <c r="A29" s="37"/>
    </row>
    <row r="30" customFormat="false" ht="15" hidden="false" customHeight="false" outlineLevel="0" collapsed="false">
      <c r="A30" s="398" t="s">
        <v>432</v>
      </c>
      <c r="B30" s="73" t="n">
        <f aca="false">'Profit &amp; Loss Consolidated'!L55</f>
        <v>67.5063685253326</v>
      </c>
      <c r="C30" s="73" t="n">
        <f aca="false">'Profit &amp; Loss Consolidated'!Q55</f>
        <v>64.7394685677254</v>
      </c>
      <c r="D30" s="73" t="n">
        <f aca="false">'Profit &amp; Loss Consolidated'!V55</f>
        <v>64.6156832298137</v>
      </c>
      <c r="E30" s="73" t="n">
        <f aca="false">'Profit &amp; Loss Consolidated'!AA55</f>
        <v>64.6156832298137</v>
      </c>
      <c r="F30" s="73" t="n">
        <f aca="false">'Profit &amp; Loss Consolidated'!AF55</f>
        <v>58.1834437495158</v>
      </c>
      <c r="G30" s="73" t="n">
        <f aca="false">'Profit &amp; Loss Consolidated'!AK55</f>
        <v>58.1834437495158</v>
      </c>
      <c r="H30" s="73" t="n">
        <f aca="false">'Profit &amp; Loss Consolidated'!AP55</f>
        <v>58.1834437495158</v>
      </c>
      <c r="I30" s="148" t="n">
        <f aca="false">H30</f>
        <v>58.1834437495158</v>
      </c>
      <c r="J30" s="148" t="n">
        <f aca="false">I30</f>
        <v>58.1834437495158</v>
      </c>
      <c r="K30" s="148" t="n">
        <f aca="false">J30</f>
        <v>58.1834437495158</v>
      </c>
      <c r="L30" s="148" t="n">
        <f aca="false">K30</f>
        <v>58.1834437495158</v>
      </c>
      <c r="M30" s="148" t="n">
        <f aca="false">L30</f>
        <v>58.1834437495158</v>
      </c>
    </row>
    <row r="31" customFormat="false" ht="15" hidden="false" customHeight="false" outlineLevel="0" collapsed="false">
      <c r="A31" s="398"/>
    </row>
    <row r="32" customFormat="false" ht="15" hidden="false" customHeight="false" outlineLevel="0" collapsed="false">
      <c r="A32" s="398" t="s">
        <v>463</v>
      </c>
      <c r="C32" s="38"/>
      <c r="D32" s="38" t="n">
        <v>1</v>
      </c>
      <c r="E32" s="38" t="n">
        <v>2</v>
      </c>
      <c r="F32" s="38" t="n">
        <v>3</v>
      </c>
      <c r="G32" s="38" t="n">
        <v>4</v>
      </c>
      <c r="H32" s="38" t="n">
        <v>5</v>
      </c>
      <c r="I32" s="38" t="n">
        <v>6</v>
      </c>
      <c r="J32" s="38" t="n">
        <v>7</v>
      </c>
      <c r="K32" s="38" t="n">
        <v>8</v>
      </c>
      <c r="L32" s="38" t="n">
        <v>9</v>
      </c>
      <c r="M32" s="38" t="n">
        <v>10</v>
      </c>
    </row>
    <row r="33" customFormat="false" ht="15" hidden="false" customHeight="false" outlineLevel="0" collapsed="false">
      <c r="A33" s="424" t="s">
        <v>464</v>
      </c>
      <c r="C33" s="425"/>
      <c r="D33" s="425" t="n">
        <f aca="false">1/(1+$H$13)^D32</f>
        <v>0.897702012084361</v>
      </c>
      <c r="E33" s="425" t="n">
        <f aca="false">1/(1+$H$13)^E32</f>
        <v>0.805868902500311</v>
      </c>
      <c r="F33" s="425" t="n">
        <f aca="false">1/(1+$H$13)^F32</f>
        <v>0.723430135250745</v>
      </c>
      <c r="G33" s="425" t="n">
        <f aca="false">1/(1+$H$13)^G32</f>
        <v>0.649424688017056</v>
      </c>
      <c r="H33" s="425" t="n">
        <f aca="false">1/(1+$H$13)^H32</f>
        <v>0.58298984913017</v>
      </c>
      <c r="I33" s="425" t="n">
        <f aca="false">1/(1+$H$13)^I32</f>
        <v>0.523351160588912</v>
      </c>
      <c r="J33" s="425" t="n">
        <f aca="false">1/(1+$H$13)^J32</f>
        <v>0.469813389887352</v>
      </c>
      <c r="K33" s="425" t="n">
        <f aca="false">1/(1+$H$13)^K32</f>
        <v>0.42175242540605</v>
      </c>
      <c r="L33" s="425" t="n">
        <f aca="false">1/(1+$H$13)^L32</f>
        <v>0.378608000888471</v>
      </c>
      <c r="M33" s="425" t="n">
        <f aca="false">1/(1+$H$13)^M32</f>
        <v>0.339877164188818</v>
      </c>
    </row>
    <row r="34" customFormat="false" ht="15" hidden="false" customHeight="false" outlineLevel="0" collapsed="false">
      <c r="A34" s="423" t="s">
        <v>465</v>
      </c>
      <c r="C34" s="65"/>
      <c r="D34" s="426" t="n">
        <f aca="false">D28*D33</f>
        <v>1099.80543552903</v>
      </c>
      <c r="E34" s="65" t="n">
        <f aca="false">E28*E33</f>
        <v>1379.99128737419</v>
      </c>
      <c r="F34" s="65" t="n">
        <f aca="false">F28*F33</f>
        <v>1684.15983818102</v>
      </c>
      <c r="G34" s="65" t="n">
        <f aca="false">G28*G33</f>
        <v>1654.87941926183</v>
      </c>
      <c r="H34" s="65" t="n">
        <f aca="false">H28*H33</f>
        <v>1764.62004049455</v>
      </c>
      <c r="I34" s="65" t="n">
        <f aca="false">I28*I33</f>
        <v>2276.25877023942</v>
      </c>
      <c r="J34" s="65" t="n">
        <f aca="false">J28*J33</f>
        <v>2641.27553183349</v>
      </c>
      <c r="K34" s="65" t="n">
        <f aca="false">K28*K33</f>
        <v>2852.17028401319</v>
      </c>
      <c r="L34" s="65" t="n">
        <f aca="false">L28*L33</f>
        <v>2910.52825041764</v>
      </c>
      <c r="M34" s="65" t="n">
        <f aca="false">M28*M33</f>
        <v>2827.61277420575</v>
      </c>
    </row>
    <row r="36" customFormat="false" ht="15" hidden="false" customHeight="false" outlineLevel="0" collapsed="false">
      <c r="A36" s="184" t="s">
        <v>466</v>
      </c>
    </row>
    <row r="37" customFormat="false" ht="15" hidden="false" customHeight="false" outlineLevel="0" collapsed="false">
      <c r="A37" s="419" t="s">
        <v>455</v>
      </c>
      <c r="C37" s="427" t="n">
        <f aca="false">C19/B19-1</f>
        <v>0.282582618334086</v>
      </c>
      <c r="D37" s="428" t="n">
        <f aca="false">D19/C19-1</f>
        <v>0.29069443131075</v>
      </c>
      <c r="E37" s="427" t="n">
        <f aca="false">E19/D19-1</f>
        <v>0.228701524741878</v>
      </c>
      <c r="F37" s="427" t="n">
        <f aca="false">F19/E19-1</f>
        <v>0.230411468289533</v>
      </c>
      <c r="G37" s="427" t="n">
        <f aca="false">G19/F19-1</f>
        <v>0.212856464989326</v>
      </c>
      <c r="H37" s="427" t="n">
        <f aca="false">H19/G19-1</f>
        <v>0.19464559663535</v>
      </c>
      <c r="I37" s="429" t="n">
        <f aca="false">H37-($H$37-$M$37)/5</f>
        <v>0.16571647730828</v>
      </c>
      <c r="J37" s="429" t="n">
        <f aca="false">I37-($H$37-$M$37)/5</f>
        <v>0.13678735798121</v>
      </c>
      <c r="K37" s="429" t="n">
        <f aca="false">J37-($H$37-$M$37)/5</f>
        <v>0.10785823865414</v>
      </c>
      <c r="L37" s="429" t="n">
        <f aca="false">K37-($H$37-$M$37)/5</f>
        <v>0.07892911932707</v>
      </c>
      <c r="M37" s="429" t="n">
        <v>0.05</v>
      </c>
      <c r="N37" s="429" t="n">
        <f aca="false">B6</f>
        <v>0.041</v>
      </c>
    </row>
    <row r="38" customFormat="false" ht="15" hidden="false" customHeight="false" outlineLevel="0" collapsed="false">
      <c r="A38" s="419" t="s">
        <v>129</v>
      </c>
      <c r="C38" s="427" t="n">
        <f aca="false">C20/B20-1</f>
        <v>0.352985897377005</v>
      </c>
      <c r="D38" s="427" t="n">
        <f aca="false">D20/C20-1</f>
        <v>0.306908714826489</v>
      </c>
      <c r="E38" s="427" t="n">
        <f aca="false">E20/D20-1</f>
        <v>0.17967190396574</v>
      </c>
      <c r="F38" s="427" t="n">
        <f aca="false">F20/E20-1</f>
        <v>0.183290935028157</v>
      </c>
      <c r="G38" s="427" t="n">
        <f aca="false">G20/F20-1</f>
        <v>0.176068868594615</v>
      </c>
      <c r="H38" s="427" t="n">
        <f aca="false">H20/G20-1</f>
        <v>0.166041621155708</v>
      </c>
      <c r="I38" s="427" t="n">
        <f aca="false">I20/H20-1</f>
        <v>0.16571647730828</v>
      </c>
      <c r="J38" s="427" t="n">
        <f aca="false">J20/I20-1</f>
        <v>0.13678735798121</v>
      </c>
      <c r="K38" s="427" t="n">
        <f aca="false">K20/J20-1</f>
        <v>0.10785823865414</v>
      </c>
      <c r="L38" s="427" t="n">
        <f aca="false">L20/K20-1</f>
        <v>0.07892911932707</v>
      </c>
      <c r="M38" s="427" t="n">
        <f aca="false">M20/L20-1</f>
        <v>0.0500000000000003</v>
      </c>
      <c r="N38" s="427" t="n">
        <f aca="false">N20/M20-1</f>
        <v>0.0409999999999999</v>
      </c>
    </row>
    <row r="39" customFormat="false" ht="15" hidden="false" customHeight="false" outlineLevel="0" collapsed="false">
      <c r="A39" s="419" t="s">
        <v>456</v>
      </c>
      <c r="C39" s="427" t="n">
        <f aca="false">C21/B21-1</f>
        <v>0.393859701492538</v>
      </c>
      <c r="D39" s="427" t="n">
        <f aca="false">D21/C21-1</f>
        <v>0.389614609537877</v>
      </c>
      <c r="E39" s="427" t="n">
        <f aca="false">E21/D21-1</f>
        <v>0.190529502343997</v>
      </c>
      <c r="F39" s="427" t="n">
        <f aca="false">F21/E21-1</f>
        <v>0.193512757521404</v>
      </c>
      <c r="G39" s="427" t="n">
        <f aca="false">G21/F21-1</f>
        <v>0.183948338788363</v>
      </c>
      <c r="H39" s="427" t="n">
        <f aca="false">H21/G21-1</f>
        <v>0.16964104031826</v>
      </c>
      <c r="I39" s="427" t="n">
        <f aca="false">I21/H21-1</f>
        <v>0.16571647730828</v>
      </c>
      <c r="J39" s="427" t="n">
        <f aca="false">J21/I21-1</f>
        <v>0.13678735798121</v>
      </c>
      <c r="K39" s="427" t="n">
        <f aca="false">K21/J21-1</f>
        <v>0.10785823865414</v>
      </c>
      <c r="L39" s="427" t="n">
        <f aca="false">L21/K21-1</f>
        <v>0.07892911932707</v>
      </c>
      <c r="M39" s="427" t="n">
        <f aca="false">M21/L21-1</f>
        <v>0.0500000000000003</v>
      </c>
      <c r="N39" s="427" t="n">
        <f aca="false">N21/M21-1</f>
        <v>0.0409999999999999</v>
      </c>
    </row>
    <row r="40" customFormat="false" ht="15" hidden="false" customHeight="false" outlineLevel="0" collapsed="false">
      <c r="A40" s="419" t="s">
        <v>459</v>
      </c>
      <c r="C40" s="427" t="n">
        <f aca="false">C24/B24-1</f>
        <v>0.216577007371987</v>
      </c>
      <c r="D40" s="427" t="n">
        <f aca="false">D24/C24-1</f>
        <v>-0.00932890877504922</v>
      </c>
      <c r="E40" s="427" t="n">
        <f aca="false">E24/D24-1</f>
        <v>0.121438023853629</v>
      </c>
      <c r="F40" s="427" t="n">
        <f aca="false">F24/E24-1</f>
        <v>0.125089301423516</v>
      </c>
      <c r="G40" s="427" t="n">
        <f aca="false">G24/F24-1</f>
        <v>0.128475775873993</v>
      </c>
      <c r="H40" s="427" t="n">
        <f aca="false">H24/G24-1</f>
        <v>0.143231906818275</v>
      </c>
      <c r="I40" s="427" t="n">
        <f aca="false">I24/H24-1</f>
        <v>0.16571647730828</v>
      </c>
      <c r="J40" s="427" t="n">
        <f aca="false">J24/I24-1</f>
        <v>0.13678735798121</v>
      </c>
      <c r="K40" s="427" t="n">
        <f aca="false">K24/J24-1</f>
        <v>0.10785823865414</v>
      </c>
      <c r="L40" s="427" t="n">
        <f aca="false">L24/K24-1</f>
        <v>0.0789291193270703</v>
      </c>
      <c r="M40" s="427" t="n">
        <f aca="false">M24/L24-1</f>
        <v>0.05</v>
      </c>
      <c r="N40" s="427" t="n">
        <f aca="false">N24/M24-1</f>
        <v>0.0409999999999999</v>
      </c>
    </row>
    <row r="42" customFormat="false" ht="15" hidden="false" customHeight="false" outlineLevel="0" collapsed="false">
      <c r="A42" s="184" t="s">
        <v>467</v>
      </c>
    </row>
    <row r="43" customFormat="false" ht="15" hidden="false" customHeight="false" outlineLevel="0" collapsed="false">
      <c r="A43" s="421" t="s">
        <v>468</v>
      </c>
      <c r="B43" s="427" t="n">
        <f aca="false">B20/B$19</f>
        <v>0.178734759226569</v>
      </c>
      <c r="C43" s="427" t="n">
        <f aca="false">C20/C$19</f>
        <v>0.188545833342669</v>
      </c>
      <c r="D43" s="427" t="n">
        <f aca="false">D20/D$19</f>
        <v>0.190914430838224</v>
      </c>
      <c r="E43" s="427" t="n">
        <f aca="false">E20/E$19</f>
        <v>0.183296256728237</v>
      </c>
      <c r="F43" s="427" t="n">
        <f aca="false">F20/F$19</f>
        <v>0.176276639645298</v>
      </c>
      <c r="G43" s="427" t="n">
        <f aca="false">G20/G$19</f>
        <v>0.17092992792773</v>
      </c>
      <c r="H43" s="427" t="n">
        <f aca="false">H20/H$19</f>
        <v>0.166837270255068</v>
      </c>
    </row>
    <row r="44" customFormat="false" ht="15" hidden="false" customHeight="false" outlineLevel="0" collapsed="false">
      <c r="A44" s="430" t="s">
        <v>469</v>
      </c>
      <c r="B44" s="427" t="n">
        <f aca="false">B21/B$19</f>
        <v>0.137526171025083</v>
      </c>
      <c r="C44" s="427" t="n">
        <f aca="false">C21/C$19</f>
        <v>0.149457964697368</v>
      </c>
      <c r="D44" s="427" t="n">
        <f aca="false">D21/D$19</f>
        <v>0.160912580249024</v>
      </c>
      <c r="E44" s="427" t="n">
        <f aca="false">E21/E$19</f>
        <v>0.155913515387721</v>
      </c>
      <c r="F44" s="427" t="n">
        <f aca="false">F21/F$19</f>
        <v>0.151237837488578</v>
      </c>
      <c r="G44" s="427" t="n">
        <f aca="false">G21/G$19</f>
        <v>0.147633121993642</v>
      </c>
      <c r="H44" s="427" t="n">
        <f aca="false">H21/H$19</f>
        <v>0.144543083639543</v>
      </c>
      <c r="I44" s="429" t="n">
        <f aca="false">H44</f>
        <v>0.144543083639543</v>
      </c>
      <c r="J44" s="429" t="n">
        <f aca="false">I44</f>
        <v>0.144543083639543</v>
      </c>
      <c r="K44" s="429" t="n">
        <f aca="false">J44</f>
        <v>0.144543083639543</v>
      </c>
      <c r="L44" s="429" t="n">
        <f aca="false">K44</f>
        <v>0.144543083639543</v>
      </c>
      <c r="M44" s="429" t="n">
        <f aca="false">L44</f>
        <v>0.144543083639543</v>
      </c>
      <c r="N44" s="429" t="n">
        <f aca="false">M44</f>
        <v>0.144543083639543</v>
      </c>
    </row>
    <row r="45" customFormat="false" ht="15" hidden="false" customHeight="false" outlineLevel="0" collapsed="false">
      <c r="A45" s="419" t="s">
        <v>459</v>
      </c>
      <c r="B45" s="427" t="n">
        <f aca="false">B24/B$19</f>
        <v>0.0412085882014861</v>
      </c>
      <c r="C45" s="427" t="n">
        <f aca="false">C24/C$19</f>
        <v>0.0390878686453006</v>
      </c>
      <c r="D45" s="427" t="n">
        <f aca="false">D24/D$19</f>
        <v>0.0300018505892</v>
      </c>
      <c r="E45" s="427" t="n">
        <f aca="false">E24/E$19</f>
        <v>0.0273827413405158</v>
      </c>
      <c r="F45" s="427" t="n">
        <f aca="false">F24/F$19</f>
        <v>0.0250388021567207</v>
      </c>
      <c r="G45" s="427" t="n">
        <f aca="false">G24/G$19</f>
        <v>0.0232968059340884</v>
      </c>
      <c r="H45" s="427" t="n">
        <f aca="false">H24/H$19</f>
        <v>0.0222941866155245</v>
      </c>
      <c r="I45" s="429" t="n">
        <f aca="false">H45</f>
        <v>0.0222941866155245</v>
      </c>
      <c r="J45" s="429" t="n">
        <f aca="false">I45</f>
        <v>0.0222941866155245</v>
      </c>
      <c r="K45" s="429" t="n">
        <f aca="false">J45</f>
        <v>0.0222941866155245</v>
      </c>
      <c r="L45" s="429" t="n">
        <f aca="false">K45</f>
        <v>0.0222941866155245</v>
      </c>
      <c r="M45" s="429" t="n">
        <f aca="false">L45</f>
        <v>0.0222941866155245</v>
      </c>
      <c r="N45" s="429" t="n">
        <f aca="false">M45</f>
        <v>0.0222941866155245</v>
      </c>
    </row>
    <row r="46" customFormat="false" ht="15" hidden="false" customHeight="false" outlineLevel="0" collapsed="false">
      <c r="A46" s="421" t="s">
        <v>141</v>
      </c>
      <c r="B46" s="427" t="n">
        <f aca="false">B27/B$19</f>
        <v>0.10086210435568</v>
      </c>
      <c r="C46" s="427" t="n">
        <f aca="false">C27/C$19</f>
        <v>0.0733707253245026</v>
      </c>
      <c r="D46" s="427" t="n">
        <f aca="false">D27/D$19</f>
        <v>0.0683353068397681</v>
      </c>
      <c r="E46" s="427" t="n">
        <f aca="false">E27/E$19</f>
        <v>0.0689636813945628</v>
      </c>
      <c r="F46" s="427" t="n">
        <f aca="false">F27/F$19</f>
        <v>0.0595723814813201</v>
      </c>
      <c r="G46" s="427" t="n">
        <f aca="false">G27/G$19</f>
        <v>0.0599232534971483</v>
      </c>
      <c r="H46" s="427" t="n">
        <f aca="false">H27/H$19</f>
        <v>0.0601918296096369</v>
      </c>
      <c r="I46" s="429" t="n">
        <f aca="false">H46</f>
        <v>0.0601918296096369</v>
      </c>
      <c r="J46" s="429" t="n">
        <f aca="false">I46</f>
        <v>0.0601918296096369</v>
      </c>
      <c r="K46" s="429" t="n">
        <f aca="false">J46</f>
        <v>0.0601918296096369</v>
      </c>
      <c r="L46" s="429" t="n">
        <f aca="false">K46</f>
        <v>0.0601918296096369</v>
      </c>
      <c r="M46" s="429" t="n">
        <f aca="false">L46</f>
        <v>0.0601918296096369</v>
      </c>
      <c r="N46" s="429" t="n">
        <f aca="false">M46</f>
        <v>0.0601918296096369</v>
      </c>
    </row>
    <row r="47" customFormat="false" ht="15" hidden="false" customHeight="false" outlineLevel="0" collapsed="false">
      <c r="A47" s="37"/>
      <c r="B47" s="427"/>
      <c r="C47" s="427"/>
      <c r="D47" s="427"/>
      <c r="E47" s="427"/>
      <c r="F47" s="427"/>
      <c r="G47" s="427"/>
      <c r="H47" s="427"/>
      <c r="I47" s="431"/>
      <c r="J47" s="431"/>
      <c r="K47" s="431"/>
      <c r="L47" s="431"/>
      <c r="M47" s="431"/>
      <c r="N47" s="431"/>
    </row>
    <row r="48" customFormat="false" ht="15" hidden="false" customHeight="false" outlineLevel="0" collapsed="false">
      <c r="A48" s="432" t="s">
        <v>470</v>
      </c>
      <c r="B48" s="427" t="n">
        <f aca="false">B22/B$21</f>
        <v>0.16</v>
      </c>
      <c r="C48" s="427" t="n">
        <f aca="false">C22/C$21</f>
        <v>0.0670103203174691</v>
      </c>
      <c r="D48" s="427" t="n">
        <f aca="false">D22/D$21</f>
        <v>0.120665981327458</v>
      </c>
      <c r="E48" s="427" t="n">
        <f aca="false">E22/E$21</f>
        <v>0.0941291614810323</v>
      </c>
      <c r="F48" s="427" t="n">
        <f aca="false">F22/F$21</f>
        <v>0.0929502015233359</v>
      </c>
      <c r="G48" s="427" t="n">
        <f aca="false">G22/G$21</f>
        <v>0.109277450950386</v>
      </c>
      <c r="H48" s="427" t="n">
        <f aca="false">H22/H$21</f>
        <v>0.112732818548292</v>
      </c>
      <c r="I48" s="429" t="n">
        <f aca="false">H48</f>
        <v>0.112732818548292</v>
      </c>
      <c r="J48" s="429" t="n">
        <f aca="false">I48</f>
        <v>0.112732818548292</v>
      </c>
      <c r="K48" s="429" t="n">
        <f aca="false">J48</f>
        <v>0.112732818548292</v>
      </c>
      <c r="L48" s="429" t="n">
        <f aca="false">K48</f>
        <v>0.112732818548292</v>
      </c>
      <c r="M48" s="429" t="n">
        <f aca="false">L48</f>
        <v>0.112732818548292</v>
      </c>
      <c r="N48" s="429" t="n">
        <f aca="false">M48</f>
        <v>0.112732818548292</v>
      </c>
    </row>
    <row r="49" customFormat="false" ht="15.75" hidden="false" customHeight="false" outlineLevel="0" collapsed="false">
      <c r="A49" s="396"/>
      <c r="B49" s="396"/>
      <c r="C49" s="396"/>
      <c r="D49" s="396"/>
      <c r="E49" s="396"/>
      <c r="F49" s="396"/>
      <c r="G49" s="396"/>
      <c r="H49" s="396"/>
      <c r="I49" s="396"/>
      <c r="J49" s="396"/>
      <c r="K49" s="396"/>
      <c r="L49" s="396"/>
      <c r="M49" s="396"/>
      <c r="N49" s="396"/>
    </row>
    <row r="51" customFormat="false" ht="15" hidden="false" customHeight="false" outlineLevel="0" collapsed="false">
      <c r="A51" s="33" t="s">
        <v>471</v>
      </c>
      <c r="D51" s="33" t="s">
        <v>472</v>
      </c>
      <c r="G51" s="33" t="s">
        <v>473</v>
      </c>
    </row>
    <row r="52" customFormat="false" ht="15" hidden="false" customHeight="false" outlineLevel="0" collapsed="false">
      <c r="A52" s="398" t="s">
        <v>474</v>
      </c>
      <c r="B52" s="433" t="n">
        <f aca="false">SUM(D34:M34)</f>
        <v>21091.3016315501</v>
      </c>
      <c r="D52" s="398" t="s">
        <v>475</v>
      </c>
      <c r="E52" s="433" t="n">
        <f aca="false">B52+B55</f>
        <v>62384.7204905944</v>
      </c>
      <c r="G52" s="398" t="s">
        <v>476</v>
      </c>
      <c r="H52" s="433" t="n">
        <f aca="false">E56</f>
        <v>46740.2204905944</v>
      </c>
    </row>
    <row r="53" customFormat="false" ht="15" hidden="false" customHeight="false" outlineLevel="0" collapsed="false">
      <c r="A53" s="398" t="s">
        <v>444</v>
      </c>
      <c r="B53" s="434" t="n">
        <f aca="false">H13</f>
        <v>0.113955395597381</v>
      </c>
      <c r="D53" s="398" t="s">
        <v>477</v>
      </c>
      <c r="E53" s="433" t="n">
        <f aca="false">-E10</f>
        <v>-18470.2</v>
      </c>
      <c r="G53" s="398" t="s">
        <v>432</v>
      </c>
      <c r="H53" s="65" t="n">
        <f aca="false">E8</f>
        <v>64.6156832298137</v>
      </c>
    </row>
    <row r="54" customFormat="false" ht="15" hidden="false" customHeight="false" outlineLevel="0" collapsed="false">
      <c r="A54" s="398" t="s">
        <v>478</v>
      </c>
      <c r="B54" s="434" t="n">
        <f aca="false">B6</f>
        <v>0.041</v>
      </c>
      <c r="D54" s="398" t="s">
        <v>479</v>
      </c>
      <c r="E54" s="433" t="n">
        <f aca="false">E11</f>
        <v>2825.7</v>
      </c>
      <c r="G54" s="398"/>
    </row>
    <row r="55" customFormat="false" ht="15" hidden="false" customHeight="false" outlineLevel="0" collapsed="false">
      <c r="A55" s="398" t="s">
        <v>480</v>
      </c>
      <c r="B55" s="353" t="n">
        <f aca="false">N28/($B$53-$B$54)*M33</f>
        <v>41293.4188590443</v>
      </c>
      <c r="D55" s="398" t="s">
        <v>231</v>
      </c>
      <c r="E55" s="433" t="n">
        <f aca="false">E53+E54</f>
        <v>-15644.5</v>
      </c>
      <c r="G55" s="398" t="s">
        <v>481</v>
      </c>
      <c r="H55" s="435" t="n">
        <f aca="false">H52/H53</f>
        <v>723.357212278589</v>
      </c>
    </row>
    <row r="56" customFormat="false" ht="15" hidden="false" customHeight="false" outlineLevel="0" collapsed="false">
      <c r="A56" s="398" t="s">
        <v>482</v>
      </c>
      <c r="B56" s="145" t="n">
        <f aca="false">B55/(B52+B55)</f>
        <v>0.661915586610186</v>
      </c>
      <c r="D56" s="398" t="s">
        <v>476</v>
      </c>
      <c r="E56" s="433" t="n">
        <f aca="false">E52+E55</f>
        <v>46740.2204905944</v>
      </c>
    </row>
    <row r="57" customFormat="false" ht="15.75" hidden="false" customHeight="false" outlineLevel="0" collapsed="false">
      <c r="A57" s="396"/>
      <c r="B57" s="396"/>
      <c r="C57" s="396"/>
      <c r="D57" s="396"/>
      <c r="E57" s="396"/>
      <c r="F57" s="396"/>
      <c r="G57" s="396"/>
      <c r="H57" s="396"/>
      <c r="I57" s="396"/>
      <c r="J57" s="396"/>
      <c r="K57" s="396"/>
      <c r="L57" s="396"/>
      <c r="M57" s="396"/>
      <c r="N57" s="396"/>
    </row>
    <row r="59" customFormat="false" ht="15.75" hidden="false" customHeight="false" outlineLevel="0" collapsed="false">
      <c r="A59" s="33" t="s">
        <v>483</v>
      </c>
      <c r="B59" s="436"/>
      <c r="C59" s="436"/>
      <c r="D59" s="436"/>
      <c r="E59" s="436"/>
      <c r="F59" s="436"/>
      <c r="G59" s="436"/>
      <c r="H59" s="436"/>
      <c r="I59" s="436"/>
      <c r="J59" s="436"/>
      <c r="K59" s="436"/>
      <c r="L59" s="436"/>
      <c r="M59" s="436"/>
      <c r="N59" s="436"/>
    </row>
    <row r="61" customFormat="false" ht="15" hidden="false" customHeight="false" outlineLevel="0" collapsed="false">
      <c r="A61" s="437"/>
      <c r="B61" s="438"/>
      <c r="C61" s="437"/>
      <c r="D61" s="413" t="s">
        <v>484</v>
      </c>
      <c r="E61" s="413"/>
      <c r="F61" s="413"/>
      <c r="G61" s="437"/>
      <c r="H61" s="413" t="s">
        <v>473</v>
      </c>
      <c r="I61" s="413"/>
      <c r="J61" s="413"/>
      <c r="K61" s="439"/>
    </row>
    <row r="62" customFormat="false" ht="15" hidden="false" customHeight="false" outlineLevel="0" collapsed="false">
      <c r="A62" s="440" t="s">
        <v>444</v>
      </c>
      <c r="B62" s="441" t="s">
        <v>485</v>
      </c>
      <c r="C62" s="442" t="n">
        <f aca="false">B55</f>
        <v>41293.4188590443</v>
      </c>
      <c r="D62" s="443" t="n">
        <v>0.03</v>
      </c>
      <c r="E62" s="443" t="n">
        <v>0.041</v>
      </c>
      <c r="F62" s="443" t="n">
        <v>0.05</v>
      </c>
      <c r="G62" s="444"/>
      <c r="H62" s="443" t="n">
        <v>0.03</v>
      </c>
      <c r="I62" s="443" t="n">
        <v>0.041</v>
      </c>
      <c r="J62" s="443" t="n">
        <v>0.05</v>
      </c>
      <c r="K62" s="445"/>
    </row>
    <row r="63" customFormat="false" ht="15" hidden="false" customHeight="false" outlineLevel="0" collapsed="false">
      <c r="A63" s="446" t="n">
        <v>0.1</v>
      </c>
      <c r="B63" s="447" t="n">
        <f aca="false">NPV($A63,$D$28:$M$28)</f>
        <v>22860.6355685686</v>
      </c>
      <c r="C63" s="448" t="n">
        <v>0.1</v>
      </c>
      <c r="D63" s="449" t="n">
        <f aca="true">TABLE($C$62,$B$53,$C63,$B$54,D$62)</f>
        <v>43036.824406142</v>
      </c>
      <c r="E63" s="449" t="n">
        <f aca="true">TABLE($C$62,$B$53,$C63,$B$54,E$62)</f>
        <v>51060.6391259311</v>
      </c>
      <c r="F63" s="449" t="n">
        <f aca="true">TABLE($C$62,$B$53,$C63,$B$54,F$62)</f>
        <v>60251.5541685988</v>
      </c>
      <c r="G63" s="450"/>
      <c r="H63" s="451" t="n">
        <f aca="false">($B63+D63+$E$55)/$H$53</f>
        <v>777.720786391435</v>
      </c>
      <c r="I63" s="451" t="n">
        <f aca="false">($B63+E63+$E$55)/$H$53</f>
        <v>901.898297464892</v>
      </c>
      <c r="J63" s="451" t="n">
        <f aca="false">($B63+F63+$E$55)/$H$53</f>
        <v>1044.13799196722</v>
      </c>
    </row>
    <row r="64" customFormat="false" ht="15" hidden="false" customHeight="false" outlineLevel="0" collapsed="false">
      <c r="A64" s="446" t="n">
        <v>0.11</v>
      </c>
      <c r="B64" s="447" t="n">
        <f aca="false">NPV($A64,$D$28:$M$28)</f>
        <v>21573.6213776592</v>
      </c>
      <c r="C64" s="448" t="n">
        <v>0.11</v>
      </c>
      <c r="D64" s="449" t="n">
        <f aca="true">TABLE($C$62,$B$53,$C64,$B$54,D$62)</f>
        <v>37657.2213553742</v>
      </c>
      <c r="E64" s="449" t="n">
        <f aca="true">TABLE($C$62,$B$53,$C64,$B$54,E$62)</f>
        <v>43660.5464989846</v>
      </c>
      <c r="F64" s="449" t="n">
        <f aca="true">TABLE($C$62,$B$53,$C64,$B$54,F$62)</f>
        <v>50209.6284738323</v>
      </c>
      <c r="G64" s="450"/>
      <c r="H64" s="451" t="n">
        <f aca="false">($B64+D64+$E$55)/$H$53</f>
        <v>674.547424934179</v>
      </c>
      <c r="I64" s="451" t="n">
        <f aca="false">($B64+E64+$E$55)/$H$53</f>
        <v>767.455598980081</v>
      </c>
      <c r="J64" s="451" t="n">
        <f aca="false">($B64+F64+$E$55)/$H$53</f>
        <v>868.809970666519</v>
      </c>
    </row>
    <row r="65" customFormat="false" ht="15" hidden="false" customHeight="false" outlineLevel="0" collapsed="false">
      <c r="A65" s="446" t="n">
        <f aca="false">H13</f>
        <v>0.113955395597381</v>
      </c>
      <c r="B65" s="447" t="n">
        <f aca="false">NPV($A65,$D$28:$M$28)</f>
        <v>21091.3016315501</v>
      </c>
      <c r="C65" s="448" t="n">
        <v>0.113955395597381</v>
      </c>
      <c r="D65" s="449" t="n">
        <f aca="true">TABLE($C$62,$B$53,$C65,$B$54,D$62)</f>
        <v>35883.0744229607</v>
      </c>
      <c r="E65" s="449" t="n">
        <f aca="true">TABLE($C$62,$B$53,$C65,$B$54,E$62)</f>
        <v>41293.4188590443</v>
      </c>
      <c r="F65" s="449" t="n">
        <f aca="true">TABLE($C$62,$B$53,$C65,$B$54,F$62)</f>
        <v>47104.3557825056</v>
      </c>
      <c r="G65" s="450"/>
      <c r="H65" s="451" t="n">
        <f aca="false">($B65+D65+$E$55)/$H$53</f>
        <v>639.626078200179</v>
      </c>
      <c r="I65" s="452" t="n">
        <f aca="false">($B65+E65+$E$55)/$H$53</f>
        <v>723.357212278589</v>
      </c>
      <c r="J65" s="451" t="n">
        <f aca="false">($B65+F65+$E$55)/$H$53</f>
        <v>813.287963343992</v>
      </c>
    </row>
    <row r="66" customFormat="false" ht="15" hidden="false" customHeight="false" outlineLevel="0" collapsed="false">
      <c r="A66" s="446" t="n">
        <v>0.12</v>
      </c>
      <c r="B66" s="447" t="n">
        <f aca="false">NPV($A66,$D$28:$M$28)</f>
        <v>20381.7867520425</v>
      </c>
      <c r="C66" s="448" t="n">
        <v>0.12</v>
      </c>
      <c r="D66" s="449" t="n">
        <f aca="true">TABLE($C$62,$B$53,$C66,$B$54,D$62)</f>
        <v>33473.0856492215</v>
      </c>
      <c r="E66" s="449" t="n">
        <f aca="true">TABLE($C$62,$B$53,$C66,$B$54,E$62)</f>
        <v>38133.8950434169</v>
      </c>
      <c r="F66" s="449" t="n">
        <f aca="true">TABLE($C$62,$B$53,$C66,$B$54,F$62)</f>
        <v>43036.824406142</v>
      </c>
      <c r="G66" s="450"/>
      <c r="H66" s="451" t="n">
        <f aca="false">($B66+D66+$E$55)/$H$53</f>
        <v>591.348268583094</v>
      </c>
      <c r="I66" s="451" t="n">
        <f aca="false">($B66+E66+$E$55)/$H$53</f>
        <v>663.479509192571</v>
      </c>
      <c r="J66" s="451" t="n">
        <f aca="false">($B66+F66+$E$55)/$H$53</f>
        <v>739.357827236306</v>
      </c>
    </row>
    <row r="67" customFormat="false" ht="15" hidden="false" customHeight="false" outlineLevel="0" collapsed="false">
      <c r="A67" s="446" t="n">
        <v>0.13</v>
      </c>
      <c r="B67" s="447" t="n">
        <f aca="false">NPV($A67,$D$28:$M$28)</f>
        <v>19276.9079287981</v>
      </c>
      <c r="C67" s="448" t="n">
        <v>0.13</v>
      </c>
      <c r="D67" s="449" t="n">
        <f aca="true">TABLE($C$62,$B$53,$C67,$B$54,D$62)</f>
        <v>30125.7770842994</v>
      </c>
      <c r="E67" s="449" t="n">
        <f aca="true">TABLE($C$62,$B$53,$C67,$B$54,E$62)</f>
        <v>33849.1877351678</v>
      </c>
      <c r="F67" s="449" t="n">
        <f aca="true">TABLE($C$62,$B$53,$C67,$B$54,F$62)</f>
        <v>37657.2213553742</v>
      </c>
      <c r="G67" s="450"/>
      <c r="H67" s="451" t="n">
        <f aca="false">($B67+D67+$E$55)/$H$53</f>
        <v>522.445686955476</v>
      </c>
      <c r="I67" s="451" t="n">
        <f aca="false">($B67+E67+$E$55)/$H$53</f>
        <v>580.069633105294</v>
      </c>
      <c r="J67" s="451" t="n">
        <f aca="false">($B67+F67+$E$55)/$H$53</f>
        <v>639.00321439488</v>
      </c>
    </row>
    <row r="69" customFormat="false" ht="15.75" hidden="false" customHeight="false" outlineLevel="0" collapsed="false">
      <c r="A69" s="33" t="s">
        <v>486</v>
      </c>
      <c r="B69" s="453"/>
      <c r="C69" s="453"/>
      <c r="D69" s="453"/>
      <c r="E69" s="453"/>
      <c r="F69" s="453"/>
      <c r="G69" s="453"/>
      <c r="H69" s="453"/>
      <c r="I69" s="453"/>
      <c r="J69" s="453"/>
    </row>
    <row r="71" customFormat="false" ht="15" hidden="false" customHeight="false" outlineLevel="0" collapsed="false">
      <c r="A71" s="398"/>
      <c r="B71" s="454"/>
      <c r="D71" s="413" t="s">
        <v>487</v>
      </c>
      <c r="E71" s="413"/>
      <c r="F71" s="413"/>
      <c r="H71" s="413" t="s">
        <v>473</v>
      </c>
      <c r="I71" s="413"/>
      <c r="J71" s="413"/>
    </row>
    <row r="72" customFormat="false" ht="15" hidden="false" customHeight="false" outlineLevel="0" collapsed="false">
      <c r="A72" s="440" t="s">
        <v>444</v>
      </c>
      <c r="B72" s="455" t="s">
        <v>485</v>
      </c>
      <c r="C72" s="444"/>
      <c r="D72" s="456" t="n">
        <v>4.5</v>
      </c>
      <c r="E72" s="456" t="n">
        <v>5</v>
      </c>
      <c r="F72" s="456" t="n">
        <v>5.5</v>
      </c>
      <c r="G72" s="444"/>
      <c r="H72" s="456" t="n">
        <f aca="false">D72</f>
        <v>4.5</v>
      </c>
      <c r="I72" s="456" t="n">
        <f aca="false">E72</f>
        <v>5</v>
      </c>
      <c r="J72" s="456" t="n">
        <f aca="false">F72</f>
        <v>5.5</v>
      </c>
    </row>
    <row r="73" customFormat="false" ht="15" hidden="false" customHeight="false" outlineLevel="0" collapsed="false">
      <c r="A73" s="457" t="n">
        <v>0.1</v>
      </c>
      <c r="B73" s="458" t="n">
        <v>24512.506329693</v>
      </c>
      <c r="D73" s="353" t="n">
        <f aca="false">(D$72*($N$21+$N$24))/(1+$A73)^$M$32</f>
        <v>44267.1483838094</v>
      </c>
      <c r="E73" s="353" t="n">
        <f aca="false">(E$72*($N$21+$N$24))/(1+$A73)^$M$32</f>
        <v>49185.7204264549</v>
      </c>
      <c r="F73" s="353" t="n">
        <f aca="false">(F$72*($N$21+$N$24))/(1+$A73)^$M$32</f>
        <v>54104.2924691004</v>
      </c>
      <c r="H73" s="65" t="n">
        <f aca="false">($B73+D73+$E$55)/$H$53</f>
        <v>822.325975019418</v>
      </c>
      <c r="I73" s="65" t="n">
        <f aca="false">($B73+E73+$E$55)/$H$53</f>
        <v>898.446381038371</v>
      </c>
      <c r="J73" s="65" t="n">
        <f aca="false">($B73+F73+$E$55)/$H$53</f>
        <v>974.566787057324</v>
      </c>
    </row>
    <row r="74" customFormat="false" ht="15" hidden="false" customHeight="false" outlineLevel="0" collapsed="false">
      <c r="A74" s="457" t="n">
        <v>0.11</v>
      </c>
      <c r="B74" s="458" t="n">
        <v>23102.6399105772</v>
      </c>
      <c r="D74" s="353" t="n">
        <f aca="false">(D$72*($N$21+$N$24))/(1+$A74)^$M$32</f>
        <v>40436.9703943023</v>
      </c>
      <c r="E74" s="353" t="n">
        <f aca="false">(E$72*($N$21+$N$24))/(1+$A74)^$M$32</f>
        <v>44929.9671047804</v>
      </c>
      <c r="F74" s="353" t="n">
        <f aca="false">(F$72*($N$21+$N$24))/(1+$A74)^$M$32</f>
        <v>49422.9638152584</v>
      </c>
      <c r="H74" s="65" t="n">
        <f aca="false">($B74+D74+$E$55)/$H$53</f>
        <v>741.23042442397</v>
      </c>
      <c r="I74" s="65" t="n">
        <f aca="false">($B74+E74+$E$55)/$H$53</f>
        <v>810.764575978139</v>
      </c>
      <c r="J74" s="65" t="n">
        <f aca="false">($B74+F74+$E$55)/$H$53</f>
        <v>880.298727532308</v>
      </c>
    </row>
    <row r="75" customFormat="false" ht="15" hidden="false" customHeight="false" outlineLevel="0" collapsed="false">
      <c r="A75" s="457" t="n">
        <v>0.114145489024307</v>
      </c>
      <c r="B75" s="458" t="n">
        <v>21536.419591101</v>
      </c>
      <c r="D75" s="353" t="n">
        <f aca="false">(D$72*($N$21+$N$24))/(1+$A75)^$M$32</f>
        <v>38957.3435783547</v>
      </c>
      <c r="E75" s="353" t="n">
        <f aca="false">(E$72*($N$21+$N$24))/(1+$A75)^$M$32</f>
        <v>43285.937309283</v>
      </c>
      <c r="F75" s="353" t="n">
        <f aca="false">(F$72*($N$21+$N$24))/(1+$A75)^$M$32</f>
        <v>47614.5310402113</v>
      </c>
      <c r="H75" s="65" t="n">
        <f aca="false">($B75+D75+$E$55)/$H$53</f>
        <v>694.092531838496</v>
      </c>
      <c r="I75" s="459" t="n">
        <f aca="false">($B75+E75+$E$55)/$H$53</f>
        <v>761.082363324656</v>
      </c>
      <c r="J75" s="65" t="n">
        <f aca="false">($B75+F75+$E$55)/$H$53</f>
        <v>828.072194810816</v>
      </c>
    </row>
    <row r="76" customFormat="false" ht="15" hidden="false" customHeight="false" outlineLevel="0" collapsed="false">
      <c r="A76" s="460" t="n">
        <v>0.12</v>
      </c>
      <c r="B76" s="458" t="n">
        <v>20590.7165272346</v>
      </c>
      <c r="D76" s="353" t="n">
        <f aca="false">(D$72*($N$21+$N$24))/(1+$A76)^$M$32</f>
        <v>36968.1886069523</v>
      </c>
      <c r="E76" s="353" t="n">
        <f aca="false">(E$72*($N$21+$N$24))/(1+$A76)^$M$32</f>
        <v>41075.7651188359</v>
      </c>
      <c r="F76" s="353" t="n">
        <f aca="false">(F$72*($N$21+$N$24))/(1+$A76)^$M$32</f>
        <v>45183.3416307195</v>
      </c>
      <c r="H76" s="65" t="n">
        <f aca="false">($B76+D76+$E$55)/$H$53</f>
        <v>648.672319769693</v>
      </c>
      <c r="I76" s="65" t="n">
        <f aca="false">($B76+E76+$E$55)/$H$53</f>
        <v>712.241662482893</v>
      </c>
      <c r="J76" s="65" t="n">
        <f aca="false">($B76+F76+$E$55)/$H$53</f>
        <v>775.811005196093</v>
      </c>
    </row>
    <row r="77" customFormat="false" ht="15" hidden="false" customHeight="false" outlineLevel="0" collapsed="false">
      <c r="A77" s="457" t="n">
        <v>0.13</v>
      </c>
      <c r="B77" s="458" t="n">
        <v>20590.7165272346</v>
      </c>
      <c r="D77" s="353" t="n">
        <f aca="false">(D$72*($N$21+$N$24))/(1+$A77)^$M$32</f>
        <v>33823.9219205086</v>
      </c>
      <c r="E77" s="353" t="n">
        <f aca="false">(E$72*($N$21+$N$24))/(1+$A77)^$M$32</f>
        <v>37582.1354672317</v>
      </c>
      <c r="F77" s="353" t="n">
        <f aca="false">(F$72*($N$21+$N$24))/(1+$A77)^$M$32</f>
        <v>41340.3490139549</v>
      </c>
      <c r="H77" s="65" t="n">
        <f aca="false">($B77+D77+$E$55)/$H$53</f>
        <v>600.011274505175</v>
      </c>
      <c r="I77" s="65" t="n">
        <f aca="false">($B77+E77+$E$55)/$H$53</f>
        <v>658.173834411206</v>
      </c>
      <c r="J77" s="65" t="n">
        <f aca="false">($B77+F77+$E$55)/$H$53</f>
        <v>716.336394317238</v>
      </c>
    </row>
    <row r="78" customFormat="false" ht="15.75" hidden="false" customHeight="false" outlineLevel="0" collapsed="false">
      <c r="A78" s="396"/>
      <c r="B78" s="396"/>
      <c r="C78" s="396"/>
      <c r="D78" s="396"/>
      <c r="E78" s="396"/>
      <c r="F78" s="396"/>
      <c r="G78" s="396"/>
      <c r="H78" s="396"/>
      <c r="I78" s="396"/>
      <c r="J78" s="396"/>
      <c r="K78" s="396"/>
      <c r="L78" s="396"/>
      <c r="M78" s="396"/>
      <c r="N78" s="396"/>
    </row>
  </sheetData>
  <mergeCells count="7">
    <mergeCell ref="D5:E5"/>
    <mergeCell ref="C16:H16"/>
    <mergeCell ref="I16:M16"/>
    <mergeCell ref="D61:F61"/>
    <mergeCell ref="H61:J61"/>
    <mergeCell ref="D71:F71"/>
    <mergeCell ref="H71:J7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2006-09-16T05:30:00Z</dcterms:created>
  <dc:creator/>
  <dc:description/>
  <dc:language>en-US</dc:language>
  <cp:lastModifiedBy/>
  <dcterms:modified xsi:type="dcterms:W3CDTF">2011-03-01T16:37:12Z</dcterms:modified>
  <cp:revision>0</cp:revision>
  <dc:subject/>
  <dc:title/>
</cp:coreProperties>
</file>