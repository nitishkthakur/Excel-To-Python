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BudgW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<sst xmlns="http://schemas.openxmlformats.org/spreadsheetml/2006/main" count="71" uniqueCount="68">
  <si>
    <t xml:space="preserve">Equity Analysis of a Project</t>
  </si>
  <si>
    <t xml:space="preserve">INPUT SHEET: USER ENTERS ALL BOLD NUMBERS</t>
  </si>
  <si>
    <t xml:space="preserve">INITIAL INVESTMENT</t>
  </si>
  <si>
    <t xml:space="preserve">CASHFLOW DETAILS</t>
  </si>
  <si>
    <t xml:space="preserve">DISCOUNT RATE</t>
  </si>
  <si>
    <t xml:space="preserve">Initial Investment=</t>
  </si>
  <si>
    <t xml:space="preserve">Revenues in  year 1=</t>
  </si>
  <si>
    <t xml:space="preserve">Approach(1:Direct;2:CAPM)=</t>
  </si>
  <si>
    <t xml:space="preserve">Opportunity cost (if any)=</t>
  </si>
  <si>
    <t xml:space="preserve">Var. Expenses as % of Rev=</t>
  </si>
  <si>
    <t xml:space="preserve">1. Discount rate =</t>
  </si>
  <si>
    <t xml:space="preserve">Lifetime of the investment</t>
  </si>
  <si>
    <t xml:space="preserve">Fixed expenses in year 1=</t>
  </si>
  <si>
    <t xml:space="preserve">2a. Beta</t>
  </si>
  <si>
    <t xml:space="preserve">Salvage Value at end of project=</t>
  </si>
  <si>
    <t xml:space="preserve">Tax rate on net income=</t>
  </si>
  <si>
    <t xml:space="preserve"> b. Riskless rate=</t>
  </si>
  <si>
    <t xml:space="preserve">Deprec. method(1:St.line;2:DDB)=</t>
  </si>
  <si>
    <t xml:space="preserve">If you do not have the breakdown of fixed and variable</t>
  </si>
  <si>
    <t xml:space="preserve"> c. Market risk premium =</t>
  </si>
  <si>
    <t xml:space="preserve">Tax Credit (if any )=</t>
  </si>
  <si>
    <t xml:space="preserve">expenses, input the entire expense as a % of revenues.</t>
  </si>
  <si>
    <t xml:space="preserve"> d. Debt Ratio =</t>
  </si>
  <si>
    <t xml:space="preserve">Other invest.(non-depreciable)=</t>
  </si>
  <si>
    <t xml:space="preserve"> e. Cost of Borrowing =</t>
  </si>
  <si>
    <t xml:space="preserve">Discount rate used=</t>
  </si>
  <si>
    <t xml:space="preserve">WORKING CAPITAL</t>
  </si>
  <si>
    <t xml:space="preserve">Initial Investment in Work. Cap=</t>
  </si>
  <si>
    <t xml:space="preserve">Working Capital as % of Rev=</t>
  </si>
  <si>
    <t xml:space="preserve">Salvageable fraction at end=</t>
  </si>
  <si>
    <t xml:space="preserve">GROWTH RATES</t>
  </si>
  <si>
    <t xml:space="preserve">Revenues</t>
  </si>
  <si>
    <t xml:space="preserve">Do not enter</t>
  </si>
  <si>
    <t xml:space="preserve">Fixed Expenses</t>
  </si>
  <si>
    <t xml:space="preserve">Default: The fixed expense growth rate is set equal to the growth rate in revenues by default.</t>
  </si>
  <si>
    <t xml:space="preserve">YEAR</t>
  </si>
  <si>
    <t xml:space="preserve">Investment</t>
  </si>
  <si>
    <t xml:space="preserve"> - Tax Credit</t>
  </si>
  <si>
    <t xml:space="preserve">Net Investment</t>
  </si>
  <si>
    <t xml:space="preserve"> + Working Cap</t>
  </si>
  <si>
    <t xml:space="preserve"> + Opp. Cost</t>
  </si>
  <si>
    <t xml:space="preserve"> + Other invest.</t>
  </si>
  <si>
    <t xml:space="preserve">Initial Investment</t>
  </si>
  <si>
    <t xml:space="preserve">SALVAGE VALUE</t>
  </si>
  <si>
    <t xml:space="preserve">Equipment</t>
  </si>
  <si>
    <t xml:space="preserve">Working Capital</t>
  </si>
  <si>
    <t xml:space="preserve">OPERATING CASHFLOWS</t>
  </si>
  <si>
    <t xml:space="preserve">Lifetime Index</t>
  </si>
  <si>
    <t xml:space="preserve"> -Var. Expenses</t>
  </si>
  <si>
    <t xml:space="preserve"> - Fixed Expenses</t>
  </si>
  <si>
    <t xml:space="preserve">EBITDA</t>
  </si>
  <si>
    <t xml:space="preserve"> - Depreciation</t>
  </si>
  <si>
    <t xml:space="preserve">EBIT</t>
  </si>
  <si>
    <t xml:space="preserve"> -Tax</t>
  </si>
  <si>
    <t xml:space="preserve">EBIT(1-t)</t>
  </si>
  <si>
    <t xml:space="preserve"> + Depreciation</t>
  </si>
  <si>
    <t xml:space="preserve"> - ∂ Work. Cap</t>
  </si>
  <si>
    <t xml:space="preserve">NATCF</t>
  </si>
  <si>
    <t xml:space="preserve">Discount Factor</t>
  </si>
  <si>
    <t xml:space="preserve">Discounted CF</t>
  </si>
  <si>
    <t xml:space="preserve">Investment Measures</t>
  </si>
  <si>
    <t xml:space="preserve">NPV =</t>
  </si>
  <si>
    <t xml:space="preserve">IRR =</t>
  </si>
  <si>
    <t xml:space="preserve">ROC =</t>
  </si>
  <si>
    <t xml:space="preserve">BOOK VALUE &amp; DEPRECIATION</t>
  </si>
  <si>
    <t xml:space="preserve">Book Value (beginning)</t>
  </si>
  <si>
    <t xml:space="preserve">Depreciation</t>
  </si>
  <si>
    <t xml:space="preserve">BV(ending)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</si>
</sst>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_);&quot;($&quot;#,##0\)"/>
    <numFmt numFmtId="166" formatCode="0%"/>
    <numFmt numFmtId="167" formatCode="0.00%"/>
    <numFmt numFmtId="168" formatCode="General"/>
  </numFmts>
  <fonts count="11">
    <font>
      <sz val="10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8"/>
      <name val="Geneva"/>
      <family val="0"/>
    </font>
    <font>
      <b val="true"/>
      <i val="true"/>
      <sz val="10"/>
      <name val="Geneva"/>
      <family val="0"/>
    </font>
    <font>
      <sz val="10"/>
      <name val="Times New Roman"/>
      <family val="0"/>
    </font>
    <font>
      <b val="true"/>
      <sz val="10"/>
      <name val="Times New Roman"/>
      <family val="0"/>
    </font>
    <font>
      <i val="true"/>
      <sz val="10"/>
      <name val="Times New Roman"/>
      <family val="0"/>
    </font>
    <font>
      <i val="true"/>
      <sz val="10"/>
      <name val="Geneva"/>
      <family val="0"/>
    </font>
    <font>
      <sz val="12"/>
      <name val="Times New Roman"/>
      <family val="0"/>
    </font>
  </fonts>
  <fills count="2">
    <fill>
      <patternFill patternType="none"/>
    </fill>
    <fill>
      <patternFill patternType="gray125"/>
    </fill>
  </fills>
  <borders count="22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double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/>
      <right style="double"/>
      <top/>
      <bottom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zeroHeight="false" outlineLevelRow="0" outlineLevelCol="0"/>
  <cols>
    <col collapsed="false" customWidth="true" hidden="false" outlineLevel="0" max="1" min="1" style="0" width="12.7"/>
  </cols>
  <sheetData>
    <row r="1" s="2" customFormat="true" ht="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5" customFormat="true" ht="20" hidden="false" customHeight="true" outlineLevel="0" collapsed="false">
      <c r="A2" s="3"/>
      <c r="B2" s="3"/>
      <c r="C2" s="3"/>
      <c r="D2" s="3"/>
      <c r="E2" s="4" t="s">
        <v>1</v>
      </c>
      <c r="F2" s="3"/>
      <c r="G2" s="3"/>
      <c r="H2" s="3"/>
      <c r="I2" s="3"/>
      <c r="J2" s="3"/>
      <c r="K2" s="3"/>
      <c r="L2" s="3"/>
      <c r="M2" s="3"/>
    </row>
    <row r="3" s="5" customFormat="true" ht="20" hidden="false" customHeight="true" outlineLevel="0" collapsed="false">
      <c r="A3" s="6" t="s">
        <v>2</v>
      </c>
      <c r="B3" s="7"/>
      <c r="C3" s="8"/>
      <c r="D3" s="3"/>
      <c r="E3" s="6" t="s">
        <v>3</v>
      </c>
      <c r="F3" s="7"/>
      <c r="G3" s="8"/>
      <c r="H3" s="3"/>
      <c r="I3" s="9" t="s">
        <v>4</v>
      </c>
      <c r="J3" s="10"/>
      <c r="K3" s="11"/>
      <c r="L3" s="3"/>
      <c r="M3" s="3"/>
    </row>
    <row r="4" s="5" customFormat="true" ht="20" hidden="false" customHeight="true" outlineLevel="0" collapsed="false">
      <c r="A4" s="12" t="s">
        <v>5</v>
      </c>
      <c r="B4" s="13"/>
      <c r="C4" s="14" t="n">
        <v>50000</v>
      </c>
      <c r="D4" s="3"/>
      <c r="E4" s="12" t="s">
        <v>6</v>
      </c>
      <c r="F4" s="13"/>
      <c r="G4" s="14" t="n">
        <v>40000</v>
      </c>
      <c r="H4" s="3"/>
      <c r="I4" s="15" t="s">
        <v>7</v>
      </c>
      <c r="J4" s="13"/>
      <c r="K4" s="16" t="n">
        <v>2</v>
      </c>
      <c r="L4" s="3"/>
      <c r="M4" s="3"/>
    </row>
    <row r="5" s="5" customFormat="true" ht="20" hidden="false" customHeight="true" outlineLevel="0" collapsed="false">
      <c r="A5" s="12" t="s">
        <v>8</v>
      </c>
      <c r="B5" s="13"/>
      <c r="C5" s="14" t="n">
        <v>7484</v>
      </c>
      <c r="D5" s="3"/>
      <c r="E5" s="12" t="s">
        <v>9</v>
      </c>
      <c r="F5" s="13"/>
      <c r="G5" s="17" t="n">
        <v>0.5</v>
      </c>
      <c r="H5" s="3"/>
      <c r="I5" s="18" t="s">
        <v>10</v>
      </c>
      <c r="J5" s="13"/>
      <c r="K5" s="19" t="n">
        <v>0.1</v>
      </c>
      <c r="L5" s="3"/>
      <c r="M5" s="3"/>
    </row>
    <row r="6" s="5" customFormat="true" ht="20" hidden="false" customHeight="true" outlineLevel="0" collapsed="false">
      <c r="A6" s="12" t="s">
        <v>11</v>
      </c>
      <c r="B6" s="13"/>
      <c r="C6" s="20" t="n">
        <v>10</v>
      </c>
      <c r="D6" s="3"/>
      <c r="E6" s="12" t="s">
        <v>12</v>
      </c>
      <c r="F6" s="13"/>
      <c r="G6" s="20" t="n">
        <v>0</v>
      </c>
      <c r="H6" s="3"/>
      <c r="I6" s="18" t="s">
        <v>13</v>
      </c>
      <c r="J6" s="13"/>
      <c r="K6" s="16" t="n">
        <v>0.9</v>
      </c>
      <c r="L6" s="3"/>
      <c r="M6" s="3"/>
    </row>
    <row r="7" s="5" customFormat="true" ht="20" hidden="false" customHeight="true" outlineLevel="0" collapsed="false">
      <c r="A7" s="12" t="s">
        <v>14</v>
      </c>
      <c r="B7" s="13"/>
      <c r="C7" s="14" t="n">
        <v>10000</v>
      </c>
      <c r="D7" s="3"/>
      <c r="E7" s="21" t="s">
        <v>15</v>
      </c>
      <c r="F7" s="22"/>
      <c r="G7" s="17" t="n">
        <v>0.4</v>
      </c>
      <c r="H7" s="3"/>
      <c r="I7" s="18" t="s">
        <v>16</v>
      </c>
      <c r="J7" s="13"/>
      <c r="K7" s="23" t="n">
        <v>0.08</v>
      </c>
      <c r="L7" s="3"/>
      <c r="M7" s="3"/>
    </row>
    <row r="8" s="5" customFormat="true" ht="20" hidden="false" customHeight="true" outlineLevel="0" collapsed="false">
      <c r="A8" s="12" t="s">
        <v>17</v>
      </c>
      <c r="B8" s="13"/>
      <c r="C8" s="20" t="n">
        <v>2</v>
      </c>
      <c r="D8" s="3"/>
      <c r="E8" s="3" t="s">
        <v>18</v>
      </c>
      <c r="F8" s="3"/>
      <c r="G8" s="24"/>
      <c r="H8" s="3"/>
      <c r="I8" s="18" t="s">
        <v>19</v>
      </c>
      <c r="J8" s="13"/>
      <c r="K8" s="23" t="n">
        <v>0.055</v>
      </c>
      <c r="L8" s="3"/>
      <c r="M8" s="3"/>
    </row>
    <row r="9" s="5" customFormat="true" ht="20" hidden="false" customHeight="true" outlineLevel="0" collapsed="false">
      <c r="A9" s="12" t="s">
        <v>20</v>
      </c>
      <c r="B9" s="13"/>
      <c r="C9" s="17" t="n">
        <v>0.1</v>
      </c>
      <c r="D9" s="3"/>
      <c r="E9" s="3" t="s">
        <v>21</v>
      </c>
      <c r="F9" s="3"/>
      <c r="G9" s="24"/>
      <c r="H9" s="3"/>
      <c r="I9" s="18" t="s">
        <v>22</v>
      </c>
      <c r="J9" s="13"/>
      <c r="K9" s="25" t="n">
        <v>0.3</v>
      </c>
      <c r="L9" s="3"/>
      <c r="M9" s="3"/>
    </row>
    <row r="10" s="5" customFormat="true" ht="20" hidden="false" customHeight="true" outlineLevel="0" collapsed="false">
      <c r="A10" s="21" t="s">
        <v>23</v>
      </c>
      <c r="B10" s="22"/>
      <c r="C10" s="20" t="n">
        <v>0</v>
      </c>
      <c r="D10" s="3"/>
      <c r="E10" s="3"/>
      <c r="F10" s="3"/>
      <c r="G10" s="24"/>
      <c r="H10" s="3"/>
      <c r="I10" s="26" t="s">
        <v>24</v>
      </c>
      <c r="J10" s="27"/>
      <c r="K10" s="28" t="n">
        <v>0.09</v>
      </c>
      <c r="L10" s="3"/>
      <c r="M10" s="3"/>
    </row>
    <row r="11" s="5" customFormat="true" ht="20" hidden="false" customHeight="true" outlineLevel="0" collapsed="false">
      <c r="A11" s="3"/>
      <c r="B11" s="3"/>
      <c r="C11" s="24"/>
      <c r="D11" s="3"/>
      <c r="E11" s="0"/>
      <c r="F11" s="0"/>
      <c r="G11" s="0"/>
      <c r="H11" s="0"/>
      <c r="I11" s="3" t="s">
        <v>25</v>
      </c>
      <c r="J11" s="3"/>
      <c r="K11" s="29" t="n">
        <f aca="false">IF(K4=1,K5,(K7+K6*K8)*(1-K9)+K10*(1-G7)*K9)</f>
        <v>0.10685</v>
      </c>
      <c r="L11" s="3"/>
      <c r="M11" s="3"/>
    </row>
    <row r="12" s="5" customFormat="true" ht="20" hidden="false" customHeight="true" outlineLevel="0" collapsed="false">
      <c r="A12" s="6" t="s">
        <v>26</v>
      </c>
      <c r="B12" s="7"/>
      <c r="C12" s="30"/>
      <c r="D12" s="3"/>
      <c r="E12" s="0"/>
      <c r="F12" s="0"/>
      <c r="G12" s="0"/>
      <c r="H12" s="0"/>
      <c r="I12" s="0"/>
      <c r="J12" s="3"/>
      <c r="K12" s="3"/>
      <c r="L12" s="3"/>
      <c r="M12" s="3"/>
    </row>
    <row r="13" s="5" customFormat="true" ht="20" hidden="false" customHeight="true" outlineLevel="0" collapsed="false">
      <c r="A13" s="12" t="s">
        <v>27</v>
      </c>
      <c r="B13" s="13"/>
      <c r="C13" s="31" t="n">
        <v>10000</v>
      </c>
      <c r="D13" s="3"/>
      <c r="E13" s="0"/>
      <c r="F13" s="0"/>
      <c r="G13" s="0"/>
      <c r="H13" s="0"/>
      <c r="I13" s="0"/>
      <c r="J13" s="3"/>
      <c r="K13" s="3"/>
      <c r="L13" s="3"/>
      <c r="M13" s="3"/>
    </row>
    <row r="14" s="5" customFormat="true" ht="20" hidden="false" customHeight="true" outlineLevel="0" collapsed="false">
      <c r="A14" s="12" t="s">
        <v>28</v>
      </c>
      <c r="B14" s="13"/>
      <c r="C14" s="32" t="n">
        <v>0.25</v>
      </c>
      <c r="D14" s="3"/>
      <c r="E14" s="0"/>
      <c r="F14" s="0"/>
      <c r="G14" s="0"/>
      <c r="H14" s="0"/>
      <c r="I14" s="0"/>
      <c r="J14" s="3"/>
      <c r="K14" s="3"/>
      <c r="L14" s="3"/>
      <c r="M14" s="3"/>
    </row>
    <row r="15" s="5" customFormat="true" ht="20" hidden="false" customHeight="true" outlineLevel="0" collapsed="false">
      <c r="A15" s="21" t="s">
        <v>29</v>
      </c>
      <c r="B15" s="22"/>
      <c r="C15" s="33" t="n">
        <v>1</v>
      </c>
      <c r="D15" s="3"/>
      <c r="E15" s="0"/>
      <c r="F15" s="0"/>
      <c r="G15" s="0"/>
      <c r="H15" s="0"/>
      <c r="I15" s="0"/>
      <c r="J15" s="3"/>
      <c r="K15" s="3"/>
      <c r="L15" s="3"/>
      <c r="M15" s="3"/>
    </row>
    <row r="16" s="5" customFormat="true" ht="20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0"/>
      <c r="J16" s="3"/>
      <c r="K16" s="3"/>
      <c r="L16" s="3"/>
      <c r="M16" s="3"/>
    </row>
    <row r="17" s="5" customFormat="true" ht="20" hidden="false" customHeight="true" outlineLevel="0" collapsed="false">
      <c r="A17" s="6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3"/>
    </row>
    <row r="18" s="38" customFormat="true" ht="20" hidden="false" customHeight="true" outlineLevel="0" collapsed="false">
      <c r="A18" s="34"/>
      <c r="B18" s="35"/>
      <c r="C18" s="35" t="n">
        <v>1</v>
      </c>
      <c r="D18" s="35" t="n">
        <v>2</v>
      </c>
      <c r="E18" s="35" t="n">
        <v>3</v>
      </c>
      <c r="F18" s="35" t="n">
        <v>4</v>
      </c>
      <c r="G18" s="35" t="n">
        <v>5</v>
      </c>
      <c r="H18" s="35" t="n">
        <v>6</v>
      </c>
      <c r="I18" s="35" t="n">
        <v>7</v>
      </c>
      <c r="J18" s="35" t="n">
        <v>8</v>
      </c>
      <c r="K18" s="35" t="n">
        <v>9</v>
      </c>
      <c r="L18" s="36" t="n">
        <v>10</v>
      </c>
      <c r="M18" s="37"/>
    </row>
    <row r="19" s="5" customFormat="true" ht="20" hidden="false" customHeight="true" outlineLevel="0" collapsed="false">
      <c r="A19" s="12" t="s">
        <v>31</v>
      </c>
      <c r="B19" s="13"/>
      <c r="C19" s="13" t="s">
        <v>32</v>
      </c>
      <c r="D19" s="39" t="n">
        <v>0.1</v>
      </c>
      <c r="E19" s="39" t="n">
        <v>0.1</v>
      </c>
      <c r="F19" s="39" t="n">
        <v>0.1</v>
      </c>
      <c r="G19" s="39" t="n">
        <v>0.1</v>
      </c>
      <c r="H19" s="39" t="n">
        <v>0</v>
      </c>
      <c r="I19" s="39" t="n">
        <v>0</v>
      </c>
      <c r="J19" s="39" t="n">
        <v>0</v>
      </c>
      <c r="K19" s="39" t="n">
        <v>0</v>
      </c>
      <c r="L19" s="40" t="n">
        <v>0</v>
      </c>
      <c r="M19" s="3"/>
    </row>
    <row r="20" s="5" customFormat="true" ht="20" hidden="false" customHeight="true" outlineLevel="0" collapsed="false">
      <c r="A20" s="12" t="s">
        <v>33</v>
      </c>
      <c r="B20" s="13"/>
      <c r="C20" s="13" t="s">
        <v>32</v>
      </c>
      <c r="D20" s="39" t="n">
        <f aca="false">D19</f>
        <v>0.1</v>
      </c>
      <c r="E20" s="39" t="n">
        <f aca="false">E19</f>
        <v>0.1</v>
      </c>
      <c r="F20" s="39" t="n">
        <f aca="false">F19</f>
        <v>0.1</v>
      </c>
      <c r="G20" s="39" t="n">
        <f aca="false">G19</f>
        <v>0.1</v>
      </c>
      <c r="H20" s="39" t="n">
        <f aca="false">H19</f>
        <v>0</v>
      </c>
      <c r="I20" s="39" t="n">
        <f aca="false">I19</f>
        <v>0</v>
      </c>
      <c r="J20" s="39" t="n">
        <f aca="false">J19</f>
        <v>0</v>
      </c>
      <c r="K20" s="39" t="n">
        <f aca="false">K19</f>
        <v>0</v>
      </c>
      <c r="L20" s="40" t="n">
        <f aca="false">L19</f>
        <v>0</v>
      </c>
      <c r="M20" s="3"/>
    </row>
    <row r="21" s="5" customFormat="true" ht="20" hidden="false" customHeight="true" outlineLevel="0" collapsed="false">
      <c r="A21" s="21" t="s">
        <v>34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41"/>
      <c r="M21" s="3"/>
    </row>
    <row r="22" s="5" customFormat="true" ht="14" hidden="false" customHeight="false" outlineLevel="0" collapsed="false">
      <c r="A22" s="3"/>
      <c r="B22" s="3"/>
      <c r="C22" s="3"/>
      <c r="D22" s="3"/>
      <c r="E22" s="3"/>
      <c r="F22" s="3" t="s">
        <v>35</v>
      </c>
      <c r="G22" s="3"/>
      <c r="H22" s="3"/>
      <c r="I22" s="3"/>
      <c r="J22" s="3"/>
      <c r="K22" s="3"/>
      <c r="L22" s="3"/>
      <c r="M22" s="3"/>
    </row>
    <row r="23" s="5" customFormat="true" ht="13" hidden="false" customHeight="false" outlineLevel="0" collapsed="false">
      <c r="A23" s="3"/>
      <c r="B23" s="3" t="n">
        <v>0</v>
      </c>
      <c r="C23" s="3" t="n">
        <v>1</v>
      </c>
      <c r="D23" s="3" t="n">
        <v>2</v>
      </c>
      <c r="E23" s="3" t="n">
        <v>3</v>
      </c>
      <c r="F23" s="3" t="n">
        <v>4</v>
      </c>
      <c r="G23" s="3" t="n">
        <v>5</v>
      </c>
      <c r="H23" s="3" t="n">
        <v>6</v>
      </c>
      <c r="I23" s="3" t="n">
        <v>7</v>
      </c>
      <c r="J23" s="3" t="n">
        <v>8</v>
      </c>
      <c r="K23" s="3" t="n">
        <v>9</v>
      </c>
      <c r="L23" s="3" t="n">
        <v>10</v>
      </c>
      <c r="M23" s="3"/>
    </row>
    <row r="24" s="5" customFormat="true" ht="13" hidden="false" customHeight="false" outlineLevel="0" collapsed="false">
      <c r="A24" s="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="5" customFormat="true" ht="13" hidden="false" customHeight="false" outlineLevel="0" collapsed="false">
      <c r="A25" s="42" t="s">
        <v>36</v>
      </c>
      <c r="B25" s="43" t="n">
        <f aca="false">C4</f>
        <v>50000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="5" customFormat="true" ht="13" hidden="false" customHeight="false" outlineLevel="0" collapsed="false">
      <c r="A26" s="42" t="s">
        <v>37</v>
      </c>
      <c r="B26" s="43" t="n">
        <f aca="false">C4*C9</f>
        <v>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="5" customFormat="true" ht="13" hidden="false" customHeight="false" outlineLevel="0" collapsed="false">
      <c r="A27" s="42" t="s">
        <v>38</v>
      </c>
      <c r="B27" s="43" t="n">
        <f aca="false">B25-B26</f>
        <v>45000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="5" customFormat="true" ht="13" hidden="false" customHeight="false" outlineLevel="0" collapsed="false">
      <c r="A28" s="42" t="s">
        <v>39</v>
      </c>
      <c r="B28" s="43" t="n">
        <f aca="false">C13</f>
        <v>10000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="5" customFormat="true" ht="13" hidden="false" customHeight="false" outlineLevel="0" collapsed="false">
      <c r="A29" s="42" t="s">
        <v>40</v>
      </c>
      <c r="B29" s="43" t="n">
        <f aca="false">C5</f>
        <v>7484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="5" customFormat="true" ht="13" hidden="false" customHeight="false" outlineLevel="0" collapsed="false">
      <c r="A30" s="42" t="s">
        <v>41</v>
      </c>
      <c r="B30" s="43" t="n">
        <f aca="false">C10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="5" customFormat="true" ht="13" hidden="false" customHeight="false" outlineLevel="0" collapsed="false">
      <c r="A31" s="42" t="s">
        <v>42</v>
      </c>
      <c r="B31" s="43" t="n">
        <f aca="false">B27+B28+B29+B30</f>
        <v>62484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="5" customFormat="true" ht="13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="5" customFormat="true" ht="13" hidden="false" customHeight="false" outlineLevel="0" collapsed="false">
      <c r="A33" s="3" t="s">
        <v>43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="5" customFormat="true" ht="13" hidden="false" customHeight="false" outlineLevel="0" collapsed="false">
      <c r="A34" s="3" t="s">
        <v>44</v>
      </c>
      <c r="B34" s="3"/>
      <c r="C34" s="44" t="n">
        <f aca="false">IF(C23=C6,C7,0)</f>
        <v>0</v>
      </c>
      <c r="D34" s="44" t="n">
        <f aca="false">IF(D23=C6,C7,0)</f>
        <v>0</v>
      </c>
      <c r="E34" s="44" t="n">
        <f aca="false">IF(E23=C6,C7,0)</f>
        <v>0</v>
      </c>
      <c r="F34" s="44" t="n">
        <f aca="false">IF(F23=C6,C7,0)</f>
        <v>0</v>
      </c>
      <c r="G34" s="44" t="n">
        <f aca="false">IF(G23=C6,C7,0)</f>
        <v>0</v>
      </c>
      <c r="H34" s="44" t="n">
        <f aca="false">IF(H23=C6,C7,0)</f>
        <v>0</v>
      </c>
      <c r="I34" s="44" t="n">
        <f aca="false">IF(I23=C6,C7,0)</f>
        <v>0</v>
      </c>
      <c r="J34" s="44" t="n">
        <f aca="false">IF(J23=C6,C7,0)</f>
        <v>0</v>
      </c>
      <c r="K34" s="44" t="n">
        <f aca="false">IF(K23=C6,C7,0)</f>
        <v>0</v>
      </c>
      <c r="L34" s="44" t="n">
        <f aca="false">IF(L23=C6,C7,0)</f>
        <v>10000</v>
      </c>
      <c r="M34" s="3"/>
    </row>
    <row r="35" s="5" customFormat="true" ht="13" hidden="false" customHeight="false" outlineLevel="0" collapsed="false">
      <c r="A35" s="3" t="s">
        <v>45</v>
      </c>
      <c r="B35" s="3"/>
      <c r="C35" s="44" t="n">
        <f aca="false">IF(C23=C6,(C13+SUM(C48:L48))*C15,0)</f>
        <v>0</v>
      </c>
      <c r="D35" s="44" t="n">
        <f aca="false">IF(D23=C6,(C13+SUM(C48:L48))*C15,0)</f>
        <v>0</v>
      </c>
      <c r="E35" s="44" t="n">
        <f aca="false">IF(E23=C6,(C13+SUM(C48:L48))*C15,0)</f>
        <v>0</v>
      </c>
      <c r="F35" s="44" t="n">
        <f aca="false">IF(F23=C6,(C13+SUM(C48:L48))*C15,0)</f>
        <v>0</v>
      </c>
      <c r="G35" s="44" t="n">
        <f aca="false">IF(G23=C6,(C13+SUM(C48:L48))*C15,0)</f>
        <v>0</v>
      </c>
      <c r="H35" s="44" t="n">
        <f aca="false">IF(21=C6,(C13+SUM(C48:L48))*C15,0)</f>
        <v>0</v>
      </c>
      <c r="I35" s="44" t="n">
        <f aca="false">IF(I23=C6,(C13+SUM(C48:L48))*C15,0)</f>
        <v>0</v>
      </c>
      <c r="J35" s="44" t="n">
        <f aca="false">IF(J23=C6,(C13+SUM(C48:L48))*C15,0)</f>
        <v>0</v>
      </c>
      <c r="K35" s="44" t="n">
        <f aca="false">IF(K23=C6,(C13+SUM(C48:L48))*C15,0)</f>
        <v>0</v>
      </c>
      <c r="L35" s="44" t="n">
        <f aca="false">IF(L23=C6,(C13+SUM(C48:L48))*C15,0)</f>
        <v>14641</v>
      </c>
      <c r="M35" s="3"/>
    </row>
    <row r="36" s="5" customFormat="true" ht="14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="5" customFormat="true" ht="13" hidden="false" customHeight="false" outlineLevel="0" collapsed="false">
      <c r="A37" s="45" t="s">
        <v>46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3"/>
    </row>
    <row r="38" s="5" customFormat="true" ht="13" hidden="false" customHeight="false" outlineLevel="0" collapsed="false">
      <c r="A38" s="18" t="s">
        <v>47</v>
      </c>
      <c r="B38" s="13"/>
      <c r="C38" s="13" t="n">
        <f aca="false">IF(C23&gt;C6,0,1)</f>
        <v>1</v>
      </c>
      <c r="D38" s="13" t="n">
        <f aca="false">IF(D23&gt;C6,0,1)</f>
        <v>1</v>
      </c>
      <c r="E38" s="13" t="n">
        <f aca="false">IF(E23&gt;C6,0,1)</f>
        <v>1</v>
      </c>
      <c r="F38" s="13" t="n">
        <f aca="false">IF(F23&gt;C6,0,1)</f>
        <v>1</v>
      </c>
      <c r="G38" s="13" t="n">
        <f aca="false">IF(G23&gt;C6,0,1)</f>
        <v>1</v>
      </c>
      <c r="H38" s="13" t="n">
        <f aca="false">IF(H23&gt;C6,0,1)</f>
        <v>1</v>
      </c>
      <c r="I38" s="13" t="n">
        <f aca="false">IF(I23&gt;C6,0,1)</f>
        <v>1</v>
      </c>
      <c r="J38" s="13" t="n">
        <f aca="false">IF(J23&gt;C6,0,1)</f>
        <v>1</v>
      </c>
      <c r="K38" s="13" t="n">
        <f aca="false">IF(K23&gt;C6,0,1)</f>
        <v>1</v>
      </c>
      <c r="L38" s="46" t="n">
        <f aca="false">IF(L23&gt;C6,0,1)</f>
        <v>1</v>
      </c>
      <c r="M38" s="3"/>
    </row>
    <row r="39" s="5" customFormat="true" ht="13" hidden="false" customHeight="false" outlineLevel="0" collapsed="false">
      <c r="A39" s="18" t="s">
        <v>31</v>
      </c>
      <c r="B39" s="47"/>
      <c r="C39" s="47" t="n">
        <f aca="false">G4</f>
        <v>40000</v>
      </c>
      <c r="D39" s="47" t="n">
        <f aca="false">C39*(1+D19)*D38</f>
        <v>44000</v>
      </c>
      <c r="E39" s="47" t="n">
        <f aca="false">D39*(1+E19)*E38</f>
        <v>48400</v>
      </c>
      <c r="F39" s="47" t="n">
        <f aca="false">E39*(1+F19)*F38</f>
        <v>53240</v>
      </c>
      <c r="G39" s="47" t="n">
        <f aca="false">F39*(1+G19)*G38</f>
        <v>58564</v>
      </c>
      <c r="H39" s="47" t="n">
        <f aca="false">G39*(1+H19)*H38</f>
        <v>58564</v>
      </c>
      <c r="I39" s="47" t="n">
        <f aca="false">H39*(1+I19)*I38</f>
        <v>58564</v>
      </c>
      <c r="J39" s="47" t="n">
        <f aca="false">I39*(1+J19)*J38</f>
        <v>58564</v>
      </c>
      <c r="K39" s="47" t="n">
        <f aca="false">J39*(1+K19)*K38</f>
        <v>58564</v>
      </c>
      <c r="L39" s="48" t="n">
        <f aca="false">K39*(1+L19)*L38</f>
        <v>58564</v>
      </c>
      <c r="M39" s="3"/>
    </row>
    <row r="40" s="5" customFormat="true" ht="13" hidden="false" customHeight="false" outlineLevel="0" collapsed="false">
      <c r="A40" s="18" t="s">
        <v>48</v>
      </c>
      <c r="B40" s="47"/>
      <c r="C40" s="47" t="n">
        <f aca="false">C39*G5</f>
        <v>20000</v>
      </c>
      <c r="D40" s="47" t="n">
        <f aca="false">D39*G5</f>
        <v>22000</v>
      </c>
      <c r="E40" s="47" t="n">
        <f aca="false">E39*G5</f>
        <v>24200</v>
      </c>
      <c r="F40" s="47" t="n">
        <f aca="false">F39*G5</f>
        <v>26620</v>
      </c>
      <c r="G40" s="47" t="n">
        <f aca="false">G39*G5</f>
        <v>29282</v>
      </c>
      <c r="H40" s="47" t="n">
        <f aca="false">H39*G5</f>
        <v>29282</v>
      </c>
      <c r="I40" s="47" t="n">
        <f aca="false">I39*G5</f>
        <v>29282</v>
      </c>
      <c r="J40" s="47" t="n">
        <f aca="false">J39*G5</f>
        <v>29282</v>
      </c>
      <c r="K40" s="47" t="n">
        <f aca="false">K39*G5</f>
        <v>29282</v>
      </c>
      <c r="L40" s="48" t="n">
        <f aca="false">L39*G5</f>
        <v>29282</v>
      </c>
      <c r="M40" s="3"/>
    </row>
    <row r="41" s="5" customFormat="true" ht="13" hidden="false" customHeight="false" outlineLevel="0" collapsed="false">
      <c r="A41" s="18" t="s">
        <v>49</v>
      </c>
      <c r="B41" s="47"/>
      <c r="C41" s="47" t="n">
        <f aca="false">G6</f>
        <v>0</v>
      </c>
      <c r="D41" s="47" t="n">
        <f aca="false">C41*(1+D20)*D38</f>
        <v>0</v>
      </c>
      <c r="E41" s="47" t="n">
        <f aca="false">D41*(1+E20)*E38</f>
        <v>0</v>
      </c>
      <c r="F41" s="47" t="n">
        <f aca="false">E41*(1+F20)*F38</f>
        <v>0</v>
      </c>
      <c r="G41" s="47" t="n">
        <f aca="false">F41*(1+G20)*G38</f>
        <v>0</v>
      </c>
      <c r="H41" s="47" t="n">
        <f aca="false">G41*(1+H20)*H38</f>
        <v>0</v>
      </c>
      <c r="I41" s="47" t="n">
        <f aca="false">H41*(1+I20)*I38</f>
        <v>0</v>
      </c>
      <c r="J41" s="47" t="n">
        <f aca="false">I41*(1+J20)*J38</f>
        <v>0</v>
      </c>
      <c r="K41" s="47" t="n">
        <f aca="false">J41*(1+K20)*K38</f>
        <v>0</v>
      </c>
      <c r="L41" s="48" t="n">
        <f aca="false">K41*(1+L20)*L38</f>
        <v>0</v>
      </c>
      <c r="M41" s="3"/>
    </row>
    <row r="42" s="5" customFormat="true" ht="13" hidden="false" customHeight="false" outlineLevel="0" collapsed="false">
      <c r="A42" s="18" t="s">
        <v>50</v>
      </c>
      <c r="B42" s="47"/>
      <c r="C42" s="47" t="n">
        <f aca="false">C39-C40-C41</f>
        <v>20000</v>
      </c>
      <c r="D42" s="47" t="n">
        <f aca="false">D39-D40-D41</f>
        <v>22000</v>
      </c>
      <c r="E42" s="47" t="n">
        <f aca="false">E39-E40-E41</f>
        <v>24200</v>
      </c>
      <c r="F42" s="47" t="n">
        <f aca="false">F39-F40-F41</f>
        <v>26620</v>
      </c>
      <c r="G42" s="47" t="n">
        <f aca="false">G39-G40-G41</f>
        <v>29282</v>
      </c>
      <c r="H42" s="47" t="n">
        <f aca="false">H39-H40-H41</f>
        <v>29282</v>
      </c>
      <c r="I42" s="47" t="n">
        <f aca="false">I39-I40-I41</f>
        <v>29282</v>
      </c>
      <c r="J42" s="47" t="n">
        <f aca="false">J39-J40-J41</f>
        <v>29282</v>
      </c>
      <c r="K42" s="47" t="n">
        <f aca="false">K39-K40-K41</f>
        <v>29282</v>
      </c>
      <c r="L42" s="48" t="n">
        <f aca="false">L39-L40-L41</f>
        <v>29282</v>
      </c>
      <c r="M42" s="3"/>
    </row>
    <row r="43" s="5" customFormat="true" ht="13" hidden="false" customHeight="false" outlineLevel="0" collapsed="false">
      <c r="A43" s="18" t="s">
        <v>51</v>
      </c>
      <c r="B43" s="47"/>
      <c r="C43" s="47" t="n">
        <f aca="false">C61</f>
        <v>10000</v>
      </c>
      <c r="D43" s="47" t="n">
        <f aca="false">D61</f>
        <v>8000</v>
      </c>
      <c r="E43" s="47" t="n">
        <f aca="false">E61</f>
        <v>6400</v>
      </c>
      <c r="F43" s="47" t="n">
        <f aca="false">F61</f>
        <v>5120</v>
      </c>
      <c r="G43" s="47" t="n">
        <f aca="false">G61</f>
        <v>4096</v>
      </c>
      <c r="H43" s="47" t="n">
        <f aca="false">H61</f>
        <v>3276.8</v>
      </c>
      <c r="I43" s="47" t="n">
        <f aca="false">I61</f>
        <v>2621.44</v>
      </c>
      <c r="J43" s="47" t="n">
        <f aca="false">J61</f>
        <v>485.760000000004</v>
      </c>
      <c r="K43" s="47" t="n">
        <f aca="false">K61</f>
        <v>0</v>
      </c>
      <c r="L43" s="48" t="n">
        <f aca="false">L61</f>
        <v>0</v>
      </c>
      <c r="M43" s="3"/>
    </row>
    <row r="44" s="5" customFormat="true" ht="13" hidden="false" customHeight="false" outlineLevel="0" collapsed="false">
      <c r="A44" s="18" t="s">
        <v>52</v>
      </c>
      <c r="B44" s="47"/>
      <c r="C44" s="47" t="n">
        <f aca="false">C42-C43</f>
        <v>10000</v>
      </c>
      <c r="D44" s="47" t="n">
        <f aca="false">D42-D43</f>
        <v>14000</v>
      </c>
      <c r="E44" s="47" t="n">
        <f aca="false">E42-E43</f>
        <v>17800</v>
      </c>
      <c r="F44" s="47" t="n">
        <f aca="false">F42-F43</f>
        <v>21500</v>
      </c>
      <c r="G44" s="47" t="n">
        <f aca="false">G42-G43</f>
        <v>25186</v>
      </c>
      <c r="H44" s="47" t="n">
        <f aca="false">H42-H43</f>
        <v>26005.2</v>
      </c>
      <c r="I44" s="47" t="n">
        <f aca="false">I42-I43</f>
        <v>26660.56</v>
      </c>
      <c r="J44" s="47" t="n">
        <f aca="false">J42-J43</f>
        <v>28796.24</v>
      </c>
      <c r="K44" s="47" t="n">
        <f aca="false">K42-K43</f>
        <v>29282</v>
      </c>
      <c r="L44" s="47" t="n">
        <f aca="false">L42-L43</f>
        <v>29282</v>
      </c>
      <c r="M44" s="3"/>
    </row>
    <row r="45" s="5" customFormat="true" ht="13" hidden="false" customHeight="false" outlineLevel="0" collapsed="false">
      <c r="A45" s="18" t="s">
        <v>53</v>
      </c>
      <c r="B45" s="47"/>
      <c r="C45" s="47" t="n">
        <f aca="false">C44*G7</f>
        <v>4000</v>
      </c>
      <c r="D45" s="47" t="n">
        <f aca="false">D44*G7</f>
        <v>5600</v>
      </c>
      <c r="E45" s="47" t="n">
        <f aca="false">E44*G7</f>
        <v>7120</v>
      </c>
      <c r="F45" s="47" t="n">
        <f aca="false">F44*G7</f>
        <v>8600</v>
      </c>
      <c r="G45" s="47" t="n">
        <f aca="false">G44*G7</f>
        <v>10074.4</v>
      </c>
      <c r="H45" s="47" t="n">
        <f aca="false">H44*G7</f>
        <v>10402.08</v>
      </c>
      <c r="I45" s="47" t="n">
        <f aca="false">I44*G7</f>
        <v>10664.224</v>
      </c>
      <c r="J45" s="47" t="n">
        <f aca="false">J44*G7</f>
        <v>11518.496</v>
      </c>
      <c r="K45" s="47" t="n">
        <f aca="false">K44*G7</f>
        <v>11712.8</v>
      </c>
      <c r="L45" s="48" t="n">
        <f aca="false">L44*G7</f>
        <v>11712.8</v>
      </c>
      <c r="M45" s="3"/>
    </row>
    <row r="46" s="5" customFormat="true" ht="13" hidden="false" customHeight="false" outlineLevel="0" collapsed="false">
      <c r="A46" s="18" t="s">
        <v>54</v>
      </c>
      <c r="B46" s="47"/>
      <c r="C46" s="47" t="n">
        <f aca="false">C44-C45</f>
        <v>6000</v>
      </c>
      <c r="D46" s="47" t="n">
        <f aca="false">D44-D45</f>
        <v>8400</v>
      </c>
      <c r="E46" s="47" t="n">
        <f aca="false">E44-E45</f>
        <v>10680</v>
      </c>
      <c r="F46" s="47" t="n">
        <f aca="false">F44-F45</f>
        <v>12900</v>
      </c>
      <c r="G46" s="47" t="n">
        <f aca="false">G44-G45</f>
        <v>15111.6</v>
      </c>
      <c r="H46" s="47" t="n">
        <f aca="false">H44-H45</f>
        <v>15603.12</v>
      </c>
      <c r="I46" s="47" t="n">
        <f aca="false">I44-I45</f>
        <v>15996.336</v>
      </c>
      <c r="J46" s="47" t="n">
        <f aca="false">J44-J45</f>
        <v>17277.744</v>
      </c>
      <c r="K46" s="47" t="n">
        <f aca="false">K44-K45</f>
        <v>17569.2</v>
      </c>
      <c r="L46" s="48" t="n">
        <f aca="false">L44-L45</f>
        <v>17569.2</v>
      </c>
      <c r="M46" s="3"/>
    </row>
    <row r="47" s="5" customFormat="true" ht="13" hidden="false" customHeight="false" outlineLevel="0" collapsed="false">
      <c r="A47" s="18" t="s">
        <v>55</v>
      </c>
      <c r="B47" s="47"/>
      <c r="C47" s="47" t="n">
        <f aca="false">C43</f>
        <v>10000</v>
      </c>
      <c r="D47" s="47" t="n">
        <f aca="false">D43</f>
        <v>8000</v>
      </c>
      <c r="E47" s="47" t="n">
        <f aca="false">E43</f>
        <v>6400</v>
      </c>
      <c r="F47" s="47" t="n">
        <f aca="false">F43</f>
        <v>5120</v>
      </c>
      <c r="G47" s="47" t="n">
        <f aca="false">G43</f>
        <v>4096</v>
      </c>
      <c r="H47" s="47" t="n">
        <f aca="false">H43</f>
        <v>3276.8</v>
      </c>
      <c r="I47" s="47" t="n">
        <f aca="false">I43</f>
        <v>2621.44</v>
      </c>
      <c r="J47" s="47" t="n">
        <f aca="false">J43</f>
        <v>485.760000000004</v>
      </c>
      <c r="K47" s="47" t="n">
        <f aca="false">K43</f>
        <v>0</v>
      </c>
      <c r="L47" s="48" t="n">
        <f aca="false">L43</f>
        <v>0</v>
      </c>
      <c r="M47" s="3"/>
    </row>
    <row r="48" s="5" customFormat="true" ht="13" hidden="false" customHeight="false" outlineLevel="0" collapsed="false">
      <c r="A48" s="18" t="s">
        <v>56</v>
      </c>
      <c r="B48" s="47"/>
      <c r="C48" s="47" t="n">
        <f aca="false">(C14*C39-B28)*C38</f>
        <v>0</v>
      </c>
      <c r="D48" s="47" t="n">
        <f aca="false">(C14*D39-B28)*D38</f>
        <v>1000</v>
      </c>
      <c r="E48" s="47" t="n">
        <f aca="false">(C14*E39-B28-SUM(C48,D48))*E38</f>
        <v>1100</v>
      </c>
      <c r="F48" s="47" t="n">
        <f aca="false">(C14*F39-B28-SUM(C48:E48))*F38</f>
        <v>1210</v>
      </c>
      <c r="G48" s="47" t="n">
        <f aca="false">(C14*G39-B28-SUM(C48:F48))*G38</f>
        <v>1331</v>
      </c>
      <c r="H48" s="47" t="n">
        <f aca="false">(C14*H39-B28-SUM(C48:G48))*H38</f>
        <v>0</v>
      </c>
      <c r="I48" s="47" t="n">
        <f aca="false">(C14*I39-B28-SUM(C48:H48))*I38</f>
        <v>0</v>
      </c>
      <c r="J48" s="47" t="n">
        <f aca="false">(C14*J39-B28-SUM(C48:I48))*J38</f>
        <v>0</v>
      </c>
      <c r="K48" s="47" t="n">
        <f aca="false">(C14*K39-B28-SUM(C48:J48))*K38</f>
        <v>0</v>
      </c>
      <c r="L48" s="48" t="n">
        <f aca="false">(C14*L39-B28-SUM(C48:K48))*L38</f>
        <v>0</v>
      </c>
      <c r="M48" s="3"/>
    </row>
    <row r="49" s="5" customFormat="true" ht="13" hidden="false" customHeight="false" outlineLevel="0" collapsed="false">
      <c r="A49" s="18" t="s">
        <v>57</v>
      </c>
      <c r="B49" s="47" t="n">
        <f aca="false">0-B31</f>
        <v>-62484</v>
      </c>
      <c r="C49" s="47" t="n">
        <f aca="false">C46+C47-C48</f>
        <v>16000</v>
      </c>
      <c r="D49" s="47" t="n">
        <f aca="false">D46+D47-D48</f>
        <v>15400</v>
      </c>
      <c r="E49" s="47" t="n">
        <f aca="false">E46+E47-E48</f>
        <v>15980</v>
      </c>
      <c r="F49" s="47" t="n">
        <f aca="false">F46+F47-F48</f>
        <v>16810</v>
      </c>
      <c r="G49" s="47" t="n">
        <f aca="false">G46+G47-G48</f>
        <v>17876.6</v>
      </c>
      <c r="H49" s="47" t="n">
        <f aca="false">H46+H47-H48</f>
        <v>18879.92</v>
      </c>
      <c r="I49" s="47" t="n">
        <f aca="false">I46+I47-I48</f>
        <v>18617.776</v>
      </c>
      <c r="J49" s="47" t="n">
        <f aca="false">J46+J47-J48</f>
        <v>17763.504</v>
      </c>
      <c r="K49" s="47" t="n">
        <f aca="false">K46+K47-K48</f>
        <v>17569.2</v>
      </c>
      <c r="L49" s="47" t="n">
        <f aca="false">L46+L47-L48</f>
        <v>17569.2</v>
      </c>
      <c r="M49" s="3"/>
    </row>
    <row r="50" s="5" customFormat="true" ht="13" hidden="false" customHeight="false" outlineLevel="0" collapsed="false">
      <c r="A50" s="18" t="s">
        <v>58</v>
      </c>
      <c r="B50" s="13" t="n">
        <f aca="false">1</f>
        <v>1</v>
      </c>
      <c r="C50" s="13" t="n">
        <f aca="false">C38*(1+K11)^C23</f>
        <v>1.10685</v>
      </c>
      <c r="D50" s="13" t="n">
        <f aca="false">D38*(1+K11)^D23</f>
        <v>1.2251169225</v>
      </c>
      <c r="E50" s="13" t="n">
        <f aca="false">E38*(1+K11)^E23</f>
        <v>1.35602066566913</v>
      </c>
      <c r="F50" s="13" t="n">
        <f aca="false">F38*(1+K11)^F23</f>
        <v>1.50091147379587</v>
      </c>
      <c r="G50" s="13" t="n">
        <f aca="false">G38*(1+K11)^G23</f>
        <v>1.66128386477096</v>
      </c>
      <c r="H50" s="13" t="n">
        <f aca="false">H38*(1+K11)^H23</f>
        <v>1.83879204572174</v>
      </c>
      <c r="I50" s="13" t="n">
        <f aca="false">I38*(1+K11)^I23</f>
        <v>2.03526697580711</v>
      </c>
      <c r="J50" s="13" t="n">
        <f aca="false">J38*(1+K11)^J23</f>
        <v>2.2527352521721</v>
      </c>
      <c r="K50" s="13" t="n">
        <f aca="false">K38*(1+K11)^K23</f>
        <v>2.49344001386668</v>
      </c>
      <c r="L50" s="46" t="n">
        <f aca="false">L38*(1+K11)^L23</f>
        <v>2.75986407934834</v>
      </c>
      <c r="M50" s="3"/>
    </row>
    <row r="51" s="5" customFormat="true" ht="14" hidden="false" customHeight="false" outlineLevel="0" collapsed="false">
      <c r="A51" s="26" t="s">
        <v>59</v>
      </c>
      <c r="B51" s="49" t="n">
        <f aca="false">0-B31</f>
        <v>-62484</v>
      </c>
      <c r="C51" s="49" t="n">
        <f aca="false">(C49+C34+C35)/(1+K11)^C23</f>
        <v>14455.4365993585</v>
      </c>
      <c r="D51" s="49" t="n">
        <f aca="false">(D49+D34+D35)/(1+K11)^D23</f>
        <v>12570.2287815717</v>
      </c>
      <c r="E51" s="49" t="n">
        <f aca="false">(E49+E34+E35)/(1+K11)^E23</f>
        <v>11784.4811694774</v>
      </c>
      <c r="F51" s="49" t="n">
        <f aca="false">(F49+F34+F35)/(1+K11)^F23</f>
        <v>11199.8610800721</v>
      </c>
      <c r="G51" s="49" t="n">
        <f aca="false">(G49+G34+G35)/(1+K11)^G23</f>
        <v>10760.7136739781</v>
      </c>
      <c r="H51" s="49" t="n">
        <f aca="false">(H49+H34+H35)/(1+K11)^H23</f>
        <v>10267.5667125749</v>
      </c>
      <c r="I51" s="49" t="n">
        <f aca="false">(I49+I34+I35)/(1+K11)^I23</f>
        <v>9147.58418492834</v>
      </c>
      <c r="J51" s="49" t="n">
        <f aca="false">(J49+J34+J35)/(1+K11)^J23</f>
        <v>7885.30475690491</v>
      </c>
      <c r="K51" s="49" t="n">
        <f aca="false">(K49+K34+K35)/(1+K11)^K23</f>
        <v>7046.16910865832</v>
      </c>
      <c r="L51" s="50" t="n">
        <f aca="false">(L49+L34+L35)/(1+K11)^L23</f>
        <v>15294.3039173026</v>
      </c>
      <c r="M51" s="3"/>
    </row>
    <row r="52" s="5" customFormat="true" ht="14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="5" customFormat="true" ht="14" hidden="false" customHeight="false" outlineLevel="0" collapsed="false">
      <c r="A53" s="3"/>
      <c r="B53" s="51" t="s">
        <v>60</v>
      </c>
      <c r="C53" s="51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="5" customFormat="true" ht="13" hidden="false" customHeight="false" outlineLevel="0" collapsed="false">
      <c r="A54" s="3"/>
      <c r="B54" s="52" t="s">
        <v>61</v>
      </c>
      <c r="C54" s="53" t="n">
        <f aca="false">SUM(B51:L51)</f>
        <v>47927.6499848268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="5" customFormat="true" ht="13" hidden="false" customHeight="false" outlineLevel="0" collapsed="false">
      <c r="A55" s="3"/>
      <c r="B55" s="52" t="s">
        <v>62</v>
      </c>
      <c r="C55" s="40" t="n">
        <f aca="false">IRR(B49:L49,K11)</f>
        <v>0.235539360238676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="5" customFormat="true" ht="14" hidden="false" customHeight="false" outlineLevel="0" collapsed="false">
      <c r="A56" s="3"/>
      <c r="B56" s="54" t="s">
        <v>63</v>
      </c>
      <c r="C56" s="55" t="n">
        <f aca="false">SUM(C46:L46)/SUM(B62:K62)</f>
        <v>0.601197174600591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="5" customFormat="true" ht="14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="5" customFormat="true" ht="13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="5" customFormat="true" ht="13" hidden="false" customHeight="false" outlineLevel="0" collapsed="false">
      <c r="A59" s="3"/>
      <c r="B59" s="3"/>
      <c r="C59" s="3"/>
      <c r="D59" s="3"/>
      <c r="E59" s="3" t="s">
        <v>64</v>
      </c>
      <c r="F59" s="3"/>
      <c r="G59" s="3"/>
      <c r="H59" s="3"/>
      <c r="I59" s="3"/>
      <c r="J59" s="3"/>
      <c r="K59" s="3"/>
      <c r="L59" s="3"/>
      <c r="M59" s="3"/>
    </row>
    <row r="60" s="5" customFormat="true" ht="13" hidden="false" customHeight="false" outlineLevel="0" collapsed="false">
      <c r="A60" s="3" t="s">
        <v>65</v>
      </c>
      <c r="B60" s="3"/>
      <c r="C60" s="44" t="n">
        <f aca="false">C4</f>
        <v>50000</v>
      </c>
      <c r="D60" s="44" t="n">
        <f aca="false">(C60-C61)*D38</f>
        <v>40000</v>
      </c>
      <c r="E60" s="44" t="n">
        <f aca="false">(D60-D61)*E38</f>
        <v>32000</v>
      </c>
      <c r="F60" s="44" t="n">
        <f aca="false">(E60-E61)*F38</f>
        <v>25600</v>
      </c>
      <c r="G60" s="44" t="n">
        <f aca="false">(F60-F61)*G38</f>
        <v>20480</v>
      </c>
      <c r="H60" s="44" t="n">
        <f aca="false">(G60-G61)*H38</f>
        <v>16384</v>
      </c>
      <c r="I60" s="44" t="n">
        <f aca="false">(H60-H61)*I38</f>
        <v>13107.2</v>
      </c>
      <c r="J60" s="44" t="n">
        <f aca="false">(I60-I61)*J38</f>
        <v>10485.76</v>
      </c>
      <c r="K60" s="44" t="n">
        <f aca="false">(J60-J61)*K38</f>
        <v>10000</v>
      </c>
      <c r="L60" s="44" t="n">
        <f aca="false">(K60-K61)*L38</f>
        <v>10000</v>
      </c>
      <c r="M60" s="3"/>
    </row>
    <row r="61" s="5" customFormat="true" ht="13" hidden="false" customHeight="false" outlineLevel="0" collapsed="false">
      <c r="A61" s="3" t="s">
        <v>66</v>
      </c>
      <c r="B61" s="3"/>
      <c r="C61" s="44" t="n">
        <f aca="false">IF(C8=1,((C4-C7)/C6)*C38,(IF(C7&lt;C4*(1-2/C6)^(C23),C4*(1-2/C6)^(C23-1)*(2/C6)*C38,(IF(0&lt;(C4*(1-2/C6)^(C23-1))-C7,0,C4*C38*(1-2/C6)^(C23-1)-C7)))))</f>
        <v>10000</v>
      </c>
      <c r="D61" s="44" t="n">
        <f aca="false">IF(C8=1,((C4-C7)/C6)*D38,(IF(C7&lt;C4*(1-2/C6)^(D23),C4*(1-2/C6)^(D23-1)*(2/C6)*D38,(IF(0&lt;(C4*(1-2/C6)^(D23-1))-C7,0,C4*D38*(1-2/C6)^(D23-1)-C7)))))</f>
        <v>8000</v>
      </c>
      <c r="E61" s="44" t="n">
        <f aca="false">IF(C8=1,((C4-C7)/C6)*E38,(IF(C7&lt;C4*(1-2/C6)^(E23),C4*(1-2/C6)^(E23-1)*(2/C6)*E38,(IF(0&lt;(C4*(1-2/C6)^(E23-1))-C7,0,C4*E38*(1-2/C6)^(E23-1)-C7)))))</f>
        <v>6400</v>
      </c>
      <c r="F61" s="44" t="n">
        <f aca="false">IF(C8=1,((C4-C7)/C6)*F38,(IF(C7&lt;C4*(1-2/C6)^(F23),C4*(1-2/C6)^(F23-1)*(2/C6)*F38,(IF(0&gt;(C4*(1-2/C6)^(F23-1))-C7,0,C4*F38*(1-2/C6)^(F23-1)-C7)))))</f>
        <v>5120</v>
      </c>
      <c r="G61" s="44" t="n">
        <f aca="false">IF(C8=1,((C4-C7)/C6)*F38,(IF(C7&lt;C4*(1-2/C6)^(G23),C4*(1-2/C6)^(G23-1)*(2/C6)*G38,(IF(0&gt;(C4*(1-2/C6)^(G23-1))-C7,0,C4*G38*(1-2/C6)^(G23-1)-C7)))))</f>
        <v>4096</v>
      </c>
      <c r="H61" s="44" t="n">
        <f aca="false">IF(C8=1,((C4-C7)/C6)*H38,(IF(C7&lt;C4*(1-2/C6)^(H23),C4*(1-2/C6)^(H23-1)*(2/C6)*H38,(IF(0&gt;(C4*(1-2/C6)^(H23-1))-C7,0,C4*H38*(1-2/C6)^(H23-1)-C7)))))</f>
        <v>3276.8</v>
      </c>
      <c r="I61" s="44" t="n">
        <f aca="false">IF(C8=1,((C4-C7)/C6)*I38,(IF(C7&lt;C4*(1-2/C6)^(I23),C4*(1-2/C6)^(I23-1)*(2/C6)*I38,(IF(0&gt;(C4*(1-2/C6)^(I23-1))-C7,0,C4*I38*(1-2/C6)^(I23-1)-C7)))))</f>
        <v>2621.44</v>
      </c>
      <c r="J61" s="44" t="n">
        <f aca="false">IF(C8=1,((C4-C7)/C6)*J38,(IF(C7&lt;C4*(1-2/C6)^(J23),C4*(1-2/C6)^(J23-1)*(2/C6)*J38,(IF(0&gt;(C4*(1-2/C6)^(J23-1))-C7,0,C4*J38*(1-2/C6)^(J23-1)-C7)))))</f>
        <v>485.760000000004</v>
      </c>
      <c r="K61" s="44" t="n">
        <f aca="false">IF(C8=1,((C4-C7)/C6)*K38,(IF(C7&lt;C4*(1-2/C6)^(K23),C4*(1-2/C6)^(K23-1)*(2/C6)*K38,(IF(0&gt;(C4*(1-2/C6)^(K23-1))-C7,0,C4*K38*(1-2/C6)^(K23-1)-C7)))))</f>
        <v>0</v>
      </c>
      <c r="L61" s="44" t="n">
        <f aca="false">IF(C8=1,((C4-C7)/C6)*L38,(IF(C7&lt;C4*(1-2/C6)^(L23),C4*(1-2/C6)^(L23-1)*(2/C6)*L38,(IF(0&gt;(C4*(1-2/C6)^(L23-1))-C7,0,C4*L38*(1-2/C6)^(L23-1)-C7)))))</f>
        <v>0</v>
      </c>
      <c r="M61" s="3"/>
    </row>
    <row r="62" s="5" customFormat="true" ht="13" hidden="false" customHeight="false" outlineLevel="0" collapsed="false">
      <c r="A62" s="3" t="s">
        <v>67</v>
      </c>
      <c r="B62" s="44" t="n">
        <f aca="false">C4</f>
        <v>50000</v>
      </c>
      <c r="C62" s="44" t="n">
        <f aca="false">C60-C61</f>
        <v>40000</v>
      </c>
      <c r="D62" s="44" t="n">
        <f aca="false">D60-D61</f>
        <v>32000</v>
      </c>
      <c r="E62" s="44" t="n">
        <f aca="false">E60-E61</f>
        <v>25600</v>
      </c>
      <c r="F62" s="44" t="n">
        <f aca="false">F60-F61</f>
        <v>20480</v>
      </c>
      <c r="G62" s="44" t="n">
        <f aca="false">G60-G61</f>
        <v>16384</v>
      </c>
      <c r="H62" s="44" t="n">
        <f aca="false">H60-H61</f>
        <v>13107.2</v>
      </c>
      <c r="I62" s="44" t="n">
        <f aca="false">I60-I61</f>
        <v>10485.76</v>
      </c>
      <c r="J62" s="44" t="n">
        <f aca="false">J60-J61</f>
        <v>10000</v>
      </c>
      <c r="K62" s="44" t="n">
        <f aca="false">K60-K61</f>
        <v>10000</v>
      </c>
      <c r="L62" s="44" t="n">
        <f aca="false">L60-L61</f>
        <v>10000</v>
      </c>
      <c r="M62" s="3"/>
    </row>
    <row r="63" s="5" customFormat="true" ht="13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="5" customFormat="true" ht="13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="5" customFormat="true" ht="13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="5" customFormat="true" ht="13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customFormat="false" ht="14" hidden="false" customHeight="false" outlineLevel="0" collapsed="false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</row>
    <row r="68" customFormat="false" ht="14" hidden="false" customHeight="false" outlineLevel="0" collapsed="false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</row>
    <row r="69" customFormat="false" ht="14" hidden="false" customHeight="false" outlineLevel="0" collapsed="false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</row>
    <row r="70" customFormat="false" ht="14" hidden="false" customHeight="false" outlineLevel="0" collapsed="false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</row>
    <row r="71" customFormat="false" ht="14" hidden="false" customHeight="false" outlineLevel="0" collapsed="false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</row>
    <row r="72" customFormat="false" ht="14" hidden="false" customHeight="false" outlineLevel="0" collapsed="false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</row>
    <row r="73" customFormat="false" ht="14" hidden="false" customHeight="false" outlineLevel="0" collapsed="false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</row>
    <row r="74" customFormat="false" ht="14" hidden="false" customHeight="false" outlineLevel="0" collapsed="false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</row>
    <row r="75" customFormat="false" ht="14" hidden="false" customHeight="false" outlineLevel="0" collapsed="false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</row>
    <row r="76" customFormat="false" ht="14" hidden="false" customHeight="false" outlineLevel="0" collapsed="false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</row>
    <row r="77" customFormat="false" ht="14" hidden="false" customHeight="false" outlineLevel="0" collapsed="false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</row>
    <row r="78" customFormat="false" ht="14" hidden="false" customHeight="false" outlineLevel="0" collapsed="false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</row>
    <row r="79" customFormat="false" ht="14" hidden="false" customHeight="false" outlineLevel="0" collapsed="false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</row>
    <row r="80" customFormat="false" ht="14" hidden="false" customHeight="false" outlineLevel="0" collapsed="false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</row>
    <row r="81" customFormat="false" ht="14" hidden="false" customHeight="false" outlineLevel="0" collapsed="false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</row>
    <row r="82" customFormat="false" ht="14" hidden="false" customHeight="false" outlineLevel="0" collapsed="false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</row>
    <row r="83" customFormat="false" ht="14" hidden="false" customHeight="false" outlineLevel="0" collapsed="false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</row>
    <row r="84" customFormat="false" ht="14" hidden="false" customHeight="false" outlineLevel="0" collapsed="false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</row>
    <row r="85" customFormat="false" ht="14" hidden="false" customHeight="false" outlineLevel="0" collapsed="false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</row>
    <row r="86" customFormat="false" ht="14" hidden="false" customHeight="false" outlineLevel="0" collapsed="false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</row>
    <row r="87" customFormat="false" ht="14" hidden="false" customHeight="false" outlineLevel="0" collapsed="false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</row>
    <row r="88" customFormat="false" ht="14" hidden="false" customHeight="false" outlineLevel="0" collapsed="false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</row>
    <row r="89" customFormat="false" ht="14" hidden="false" customHeight="false" outlineLevel="0" collapsed="false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</row>
    <row r="90" customFormat="false" ht="14" hidden="false" customHeight="false" outlineLevel="0" collapsed="false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</row>
    <row r="91" customFormat="false" ht="14" hidden="false" customHeight="false" outlineLevel="0" collapsed="false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</row>
    <row r="92" customFormat="false" ht="14" hidden="false" customHeight="false" outlineLevel="0" collapsed="false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</row>
    <row r="93" customFormat="false" ht="14" hidden="false" customHeight="false" outlineLevel="0" collapsed="false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</row>
    <row r="94" customFormat="false" ht="14" hidden="false" customHeight="false" outlineLevel="0" collapsed="false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</row>
    <row r="95" customFormat="false" ht="14" hidden="false" customHeight="false" outlineLevel="0" collapsed="false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</row>
    <row r="96" customFormat="false" ht="14" hidden="false" customHeight="false" outlineLevel="0" collapsed="false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</row>
    <row r="97" customFormat="false" ht="14" hidden="false" customHeight="false" outlineLevel="0" collapsed="false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</row>
    <row r="98" customFormat="false" ht="14" hidden="false" customHeight="false" outlineLevel="0" collapsed="false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</row>
    <row r="99" customFormat="false" ht="14" hidden="false" customHeight="false" outlineLevel="0" collapsed="false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</row>
    <row r="100" customFormat="false" ht="14" hidden="false" customHeight="false" outlineLevel="0" collapsed="false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</row>
    <row r="101" customFormat="false" ht="14" hidden="false" customHeight="false" outlineLevel="0" collapsed="false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</row>
    <row r="102" customFormat="false" ht="14" hidden="false" customHeight="false" outlineLevel="0" collapsed="false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</row>
    <row r="103" customFormat="false" ht="14" hidden="false" customHeight="false" outlineLevel="0" collapsed="false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</row>
    <row r="104" customFormat="false" ht="14" hidden="false" customHeight="false" outlineLevel="0" collapsed="false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</row>
    <row r="105" customFormat="false" ht="14" hidden="false" customHeight="false" outlineLevel="0" collapsed="false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</row>
  </sheetData>
  <mergeCells count="2">
    <mergeCell ref="A1:K1"/>
    <mergeCell ref="B53:C53"/>
  </mergeCells>
  <printOptions headings="false" gridLines="false" gridLinesSet="true" horizontalCentered="false" verticalCentered="false"/>
  <pageMargins left="0.747916666666667" right="0.747916666666667" top="0.984027777777778" bottom="0.984027777777778" header="0.5" footer="0.511811023622047"/>
  <pageSetup paperSize="1" scale="100" fitToWidth="1" fitToHeight="1" pageOrder="downThenOver" orientation="landscape" blackAndWhite="false" draft="false" cellComments="none" firstPageNumber="5" useFirstPageNumber="true" horizontalDpi="300" verticalDpi="300" copies="1"/>
  <headerFooter differentFirst="false" differentOddEven="false">
    <oddHeader>&amp;C&amp;"Times New Roman,Regular"&amp;12CAPITAL BUDGETING WORKSHEET&amp;R&amp;P</oddHeader>
    <oddFooter/>
  </headerFooter>
  <rowBreaks count="2" manualBreakCount="2">
    <brk id="20" man="true" max="16383" min="0"/>
    <brk id="61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2000-11-16T04:03:24Z</dcterms:created>
  <dc:creator>Aswath Damodaran</dc:creator>
  <dc:description/>
  <dc:language>en-US</dc:language>
  <cp:lastModifiedBy>Aswath Damodaran</cp:lastModifiedBy>
  <cp:revision>0</cp:revision>
  <dc:subject/>
  <dc:title/>
</cp:coreProperties>
</file>