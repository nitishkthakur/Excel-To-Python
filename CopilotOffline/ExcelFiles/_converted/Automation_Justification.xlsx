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drawings/drawing7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wmf" ContentType="image/x-wmf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XXXXXXXXXXXXXXXXXXXXXXXXX" sheetId="1" state="hidden" r:id="rId3"/>
    <sheet name="Instruction" sheetId="2" state="visible" r:id="rId4"/>
    <sheet name="Financial Inputs" sheetId="3" state="visible" r:id="rId5"/>
    <sheet name="Labor Savings" sheetId="4" state="visible" r:id="rId6"/>
    <sheet name="PM Labor Savings " sheetId="5" state="visible" r:id="rId7"/>
    <sheet name="Production Increase" sheetId="6" state="visible" r:id="rId8"/>
    <sheet name="Scrap Savings" sheetId="7" state="visible" r:id="rId9"/>
    <sheet name="Miscellaneous Savings" sheetId="8" state="visible" r:id="rId10"/>
    <sheet name="Savings Summary" sheetId="9" state="visible" r:id="rId11"/>
    <sheet name="Investment Summary" sheetId="10" state="visible" r:id="rId12"/>
    <sheet name="Financial Spreadsheet " sheetId="11" state="visible" r:id="rId13"/>
    <sheet name="Module1" sheetId="12" state="hidden" r:id="rId14"/>
    <sheet name="YyUb15rA40OfsReezZBJfoS3m" sheetId="13" state="hidden" r:id="rId15"/>
  </sheets>
  <definedNames>
    <definedName function="false" hidden="false" localSheetId="2" name="_xlnm.Print_Area" vbProcedure="false">'Financial Inputs'!$B$3:$G$26</definedName>
    <definedName function="false" hidden="false" localSheetId="10" name="_xlnm.Print_Area" vbProcedure="false">'Financial Spreadsheet '!$B$3:$M$81</definedName>
    <definedName function="false" hidden="false" localSheetId="1" name="_xlnm.Print_Area" vbProcedure="false">Instruction!$A$2:$G$20</definedName>
    <definedName function="false" hidden="false" localSheetId="9" name="_xlnm.Print_Area" vbProcedure="false">'Investment Summary'!$B$3:$H$27</definedName>
    <definedName function="false" hidden="false" localSheetId="3" name="_xlnm.Print_Area" vbProcedure="false">'Labor Savings'!$B$3:$I$43</definedName>
    <definedName function="false" hidden="false" localSheetId="7" name="_xlnm.Print_Area" vbProcedure="false">'Miscellaneous Savings'!$A$2:$K$17</definedName>
    <definedName function="false" hidden="false" localSheetId="4" name="_xlnm.Print_Area" vbProcedure="false">'PM Labor Savings '!$B$3:$I$19</definedName>
    <definedName function="false" hidden="false" localSheetId="5" name="_xlnm.Print_Area" vbProcedure="false">'Production Increase'!$B$3:$J$28</definedName>
    <definedName function="false" hidden="false" localSheetId="8" name="_xlnm.Print_Area" vbProcedure="false">'Savings Summary'!$B$3:$H$24</definedName>
    <definedName function="false" hidden="false" localSheetId="6" name="_xlnm.Print_Area" vbProcedure="false">'Scrap Savings'!$B$3:$J$20</definedName>
    <definedName function="false" hidden="false" name="Ann_Lab_Sav" vbProcedure="false">'Labor Savings'!$H$39</definedName>
    <definedName function="false" hidden="false" name="Ann_Prod_Hrs" vbProcedure="false">'Production Increase'!$G$14</definedName>
    <definedName function="false" hidden="false" name="Cap_Eval_Dur" vbProcedure="false">'Financial Inputs'!$F$21</definedName>
    <definedName function="false" hidden="false" name="Current_Production" vbProcedure="false">'Production Increase'!$I$8</definedName>
    <definedName function="false" hidden="false" name="Disability_Savings" vbProcedure="false">'Labor Savings'!$H$41</definedName>
    <definedName function="false" hidden="false" name="Hrs_Laborer" vbProcedure="false">'Labor Savings'!$H$22</definedName>
    <definedName function="false" hidden="false" name="Hurdle_Rate" vbProcedure="false">'Financial Inputs'!$F$19</definedName>
    <definedName function="false" hidden="false" name="Inc_Ann_Rev" vbProcedure="false">'Production Increase'!$I$27</definedName>
    <definedName function="false" hidden="false" name="invest5a_7" vbProcedure="false">#REF!</definedName>
    <definedName function="false" hidden="false" name="invest77a_1" vbProcedure="false">#REF!</definedName>
    <definedName function="false" hidden="false" name="invest7a_7" vbProcedure="false">#REF!</definedName>
    <definedName function="false" hidden="false" name="Investment" vbProcedure="false">'Financial Inputs'!$F$8</definedName>
    <definedName function="false" hidden="false" name="Misc_Savings" vbProcedure="false">'Miscellaneous Savings'!$I$15</definedName>
    <definedName function="false" hidden="false" name="PM_Lab_Savings" vbProcedure="false">'PM Labor Savings '!$H$18</definedName>
    <definedName function="false" hidden="false" name="Prod_Rate" vbProcedure="false">'Production Increase'!$G$9</definedName>
    <definedName function="false" hidden="false" name="Robotic_Ann_Prod_Hrs" vbProcedure="false">'Production Increase'!$G$22</definedName>
    <definedName function="false" hidden="false" name="Robotic_Production" vbProcedure="false">'Production Increase'!$I$16</definedName>
    <definedName function="false" hidden="false" name="Robotic_Prod_Rate" vbProcedure="false">'Production Increase'!$G$17</definedName>
    <definedName function="false" hidden="false" name="Scrap_Savings" vbProcedure="false">'Scrap Savings'!$I$19</definedName>
    <definedName function="false" hidden="false" name="shifts" vbProcedure="false">'Labor Savings'!$H$20</definedName>
    <definedName function="false" hidden="false" name="Tax_Rate" vbProcedure="false">'Financial Inputs'!$F$17</definedName>
    <definedName function="false" hidden="false" name="Total_Investment" vbProcedure="false">'Investment Summary'!$G$8</definedName>
    <definedName function="false" hidden="false" name="Unit_Price" vbProcedure="false">'Production Increase'!$G$25</definedName>
    <definedName function="false" hidden="false" localSheetId="5" name="Ann_Lab_Sav" vbProcedure="false">'Production Increase'!$I$32</definedName>
    <definedName function="false" hidden="false" localSheetId="10" name="disc_fact" vbProcedure="false">'Financial Spreadsheet '!$D$32</definedName>
    <definedName function="false" hidden="false" localSheetId="10" name="invest5a" vbProcedure="false">'Financial Spreadsheet '!$E$10</definedName>
    <definedName function="false" hidden="false" localSheetId="10" name="invest5a_1" vbProcedure="false">'Financial Spreadsheet '!$F$10</definedName>
    <definedName function="false" hidden="false" localSheetId="10" name="invest5a_2" vbProcedure="false">'Financial Spreadsheet '!$G$10</definedName>
    <definedName function="false" hidden="false" localSheetId="10" name="invest5a_3" vbProcedure="false">'Financial Spreadsheet '!$H$10</definedName>
    <definedName function="false" hidden="false" localSheetId="10" name="invest5a_4" vbProcedure="false">'Financial Spreadsheet '!$I$10</definedName>
    <definedName function="false" hidden="false" localSheetId="10" name="invest5a_5" vbProcedure="false">'Financial Spreadsheet '!$J$10</definedName>
    <definedName function="false" hidden="false" localSheetId="10" name="invest5a_6" vbProcedure="false">'Financial Spreadsheet '!$K$10</definedName>
    <definedName function="false" hidden="false" localSheetId="10" name="invest5a_7" vbProcedure="false">'Financial Spreadsheet '!$L$10</definedName>
    <definedName function="false" hidden="false" localSheetId="10" name="invest77a_1" vbProcedure="false">#REF!</definedName>
    <definedName function="false" hidden="false" localSheetId="10" name="invest7a" vbProcedure="false">'Financial Spreadsheet '!$E$11</definedName>
    <definedName function="false" hidden="false" localSheetId="10" name="invest7a_1" vbProcedure="false">'Financial Spreadsheet '!$F$11</definedName>
    <definedName function="false" hidden="false" localSheetId="10" name="invest7a_2" vbProcedure="false">'Financial Spreadsheet '!$G$11</definedName>
    <definedName function="false" hidden="false" localSheetId="10" name="invest7a_3" vbProcedure="false">'Financial Spreadsheet '!$H$11</definedName>
    <definedName function="false" hidden="false" localSheetId="10" name="invest7a_4" vbProcedure="false">'Financial Spreadsheet '!$I$11</definedName>
    <definedName function="false" hidden="false" localSheetId="10" name="invest7a_5" vbProcedure="false">'Financial Spreadsheet '!$J$11</definedName>
    <definedName function="false" hidden="false" localSheetId="10" name="invest7a_6" vbProcedure="false">'Financial Spreadsheet '!$K$11</definedName>
    <definedName function="false" hidden="false" localSheetId="10" name="invest7a_7" vbProcedure="false">'Financial Spreadsheet '!$L$11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10" authorId="0">
      <text>
        <r>
          <rPr>
            <b val="true"/>
            <sz val="10"/>
            <color rgb="FF000000"/>
            <rFont val="Tahoma"/>
            <family val="2"/>
          </rPr>
          <t xml:space="preserve">Select Boxes with a Triangle in the corner to read comments describing the contents to be entered into the box, or describing the meaning of the box.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57</xdr:colOff>
                <xdr:row>12</xdr:row>
                <xdr:rowOff>13</xdr:rowOff>
              </xdr:from>
              <xdr:to>
                <xdr:col>5</xdr:col>
                <xdr:colOff>-383</xdr:colOff>
                <xdr:row>15</xdr:row>
                <xdr:rowOff>9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F8" authorId="0">
      <text>
        <r>
          <rPr>
            <b val="true"/>
            <sz val="10"/>
            <color rgb="FF000000"/>
            <rFont val="Tahoma"/>
            <family val="2"/>
          </rPr>
          <t xml:space="preserve">This is the Base Bid Systems Price Without Options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580</xdr:colOff>
                <xdr:row>5</xdr:row>
                <xdr:rowOff>26</xdr:rowOff>
              </xdr:from>
              <xdr:to>
                <xdr:col>4</xdr:col>
                <xdr:colOff>25</xdr:colOff>
                <xdr:row>7</xdr:row>
                <xdr:rowOff>29</xdr:rowOff>
              </xdr:to>
            </anchor>
          </commentPr>
        </mc:Choice>
        <mc:Fallback/>
      </mc:AlternateContent>
    </comment>
    <comment ref="F17" authorId="0">
      <text>
        <r>
          <rPr>
            <b val="true"/>
            <sz val="10"/>
            <color rgb="FF000000"/>
            <rFont val="Tahoma"/>
            <family val="2"/>
          </rPr>
          <t xml:space="preserve">Use 40% if Actual Rate Is Not 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535</xdr:colOff>
                <xdr:row>8</xdr:row>
                <xdr:rowOff>9</xdr:rowOff>
              </xdr:from>
              <xdr:to>
                <xdr:col>4</xdr:col>
                <xdr:colOff>11</xdr:colOff>
                <xdr:row>9</xdr:row>
                <xdr:rowOff>-64</xdr:rowOff>
              </xdr:to>
            </anchor>
          </commentPr>
        </mc:Choice>
        <mc:Fallback/>
      </mc:AlternateContent>
    </comment>
    <comment ref="F19" authorId="0">
      <text>
        <r>
          <rPr>
            <b val="true"/>
            <sz val="10"/>
            <color rgb="FF000000"/>
            <rFont val="Tahoma"/>
            <family val="2"/>
          </rPr>
          <t xml:space="preserve">This is the Customers Minimum Required Rate of Return For Projects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523</xdr:colOff>
                <xdr:row>10</xdr:row>
                <xdr:rowOff>0</xdr:rowOff>
              </xdr:from>
              <xdr:to>
                <xdr:col>4</xdr:col>
                <xdr:colOff>9</xdr:colOff>
                <xdr:row>11</xdr:row>
                <xdr:rowOff>36</xdr:rowOff>
              </xdr:to>
            </anchor>
          </commentPr>
        </mc:Choice>
        <mc:Fallback/>
      </mc:AlternateContent>
    </comment>
    <comment ref="F21" authorId="0">
      <text>
        <r>
          <rPr>
            <b val="true"/>
            <sz val="10"/>
            <color rgb="FF000000"/>
            <rFont val="Tahoma"/>
            <family val="2"/>
          </rPr>
          <t xml:space="preserve">Enter "5" or "7" for the duration in years of the evaluation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12</xdr:row>
                <xdr:rowOff>23</xdr:rowOff>
              </xdr:from>
              <xdr:to>
                <xdr:col>8</xdr:col>
                <xdr:colOff>131</xdr:colOff>
                <xdr:row>14</xdr:row>
                <xdr:rowOff>1</xdr:rowOff>
              </xdr:to>
            </anchor>
          </commentPr>
        </mc:Choice>
        <mc:Fallback/>
      </mc:AlternateContent>
    </comment>
    <comment ref="F23" authorId="0">
      <text>
        <r>
          <rPr>
            <b val="true"/>
            <sz val="10"/>
            <color rgb="FF000000"/>
            <rFont val="Tahoma"/>
            <family val="2"/>
          </rPr>
          <t xml:space="preserve">This is the Interest Rate The Customer Pays For Funds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535</xdr:colOff>
                <xdr:row>14</xdr:row>
                <xdr:rowOff>0</xdr:rowOff>
              </xdr:from>
              <xdr:to>
                <xdr:col>4</xdr:col>
                <xdr:colOff>9</xdr:colOff>
                <xdr:row>15</xdr:row>
                <xdr:rowOff>15</xdr:rowOff>
              </xdr:to>
            </anchor>
          </commentPr>
        </mc:Choice>
        <mc:Fallback/>
      </mc:AlternateContent>
    </comment>
    <comment ref="F25" authorId="0">
      <text>
        <r>
          <rPr>
            <b val="true"/>
            <sz val="10"/>
            <color rgb="FF000000"/>
            <rFont val="Tahoma"/>
            <family val="2"/>
          </rPr>
          <t xml:space="preserve">This is The Maximum Amount of Time The Customer is Willing to Wait For Their Payback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475</xdr:colOff>
                <xdr:row>15</xdr:row>
                <xdr:rowOff>18</xdr:rowOff>
              </xdr:from>
              <xdr:to>
                <xdr:col>4</xdr:col>
                <xdr:colOff>37</xdr:colOff>
                <xdr:row>17</xdr:row>
                <xdr:rowOff>5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F32" authorId="0">
      <text>
        <r>
          <rPr>
            <sz val="10"/>
            <color rgb="FF000000"/>
            <rFont val="Tahoma"/>
            <family val="2"/>
          </rPr>
          <t xml:space="preserve">Burdened Rates.  Includes Benefits, Overhead, Etc...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20</xdr:colOff>
                <xdr:row>30</xdr:row>
                <xdr:rowOff>25</xdr:rowOff>
              </xdr:from>
              <xdr:to>
                <xdr:col>8</xdr:col>
                <xdr:colOff>-12</xdr:colOff>
                <xdr:row>32</xdr:row>
                <xdr:rowOff>23</xdr:rowOff>
              </xdr:to>
            </anchor>
          </commentPr>
        </mc:Choice>
        <mc:Fallback/>
      </mc:AlternateContent>
    </comment>
    <comment ref="F42" authorId="0">
      <text>
        <r>
          <rPr>
            <b val="true"/>
            <sz val="10"/>
            <color rgb="FF000000"/>
            <rFont val="Tahoma"/>
            <family val="2"/>
          </rPr>
          <t xml:space="preserve">Use 5% if Actual Rate is Not 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427</xdr:colOff>
                <xdr:row>38</xdr:row>
                <xdr:rowOff>6</xdr:rowOff>
              </xdr:from>
              <xdr:to>
                <xdr:col>5</xdr:col>
                <xdr:colOff>74</xdr:colOff>
                <xdr:row>39</xdr:row>
                <xdr:rowOff>22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H10" authorId="0">
      <text>
        <r>
          <rPr>
            <b val="true"/>
            <sz val="10"/>
            <color rgb="FF000000"/>
            <rFont val="Tahoma"/>
            <family val="2"/>
          </rPr>
          <t xml:space="preserve">Burdened Rate Includes Benefits, Overhead, Etc...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3</xdr:colOff>
                <xdr:row>8</xdr:row>
                <xdr:rowOff>6</xdr:rowOff>
              </xdr:from>
              <xdr:to>
                <xdr:col>12</xdr:col>
                <xdr:colOff>3</xdr:colOff>
                <xdr:row>10</xdr:row>
                <xdr:rowOff>4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G37" authorId="0">
      <text>
        <r>
          <rPr>
            <b val="true"/>
            <sz val="10"/>
            <color rgb="FF000000"/>
            <rFont val="Tahoma"/>
            <family val="2"/>
          </rPr>
          <t xml:space="preserve">Net Present Value is The Value Of Future Cash Flows Today.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104</xdr:colOff>
                <xdr:row>26</xdr:row>
                <xdr:rowOff>18</xdr:rowOff>
              </xdr:from>
              <xdr:to>
                <xdr:col>6</xdr:col>
                <xdr:colOff>65</xdr:colOff>
                <xdr:row>29</xdr:row>
                <xdr:rowOff>5</xdr:rowOff>
              </xdr:to>
            </anchor>
          </commentPr>
        </mc:Choice>
        <mc:Fallback/>
      </mc:AlternateContent>
    </comment>
    <comment ref="H37" authorId="0">
      <text>
        <r>
          <rPr>
            <b val="true"/>
            <sz val="10"/>
            <color rgb="FF000000"/>
            <rFont val="Tahoma"/>
            <family val="2"/>
          </rPr>
          <t xml:space="preserve">Internal Rate of Return is when  the net initial investment cash outflows = the present value of the incremental net cash inflows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15</xdr:colOff>
                <xdr:row>31</xdr:row>
                <xdr:rowOff>8</xdr:rowOff>
              </xdr:from>
              <xdr:to>
                <xdr:col>11</xdr:col>
                <xdr:colOff>38</xdr:colOff>
                <xdr:row>35</xdr:row>
                <xdr:rowOff>23</xdr:rowOff>
              </xdr:to>
            </anchor>
          </commentPr>
        </mc:Choice>
        <mc:Fallback/>
      </mc:AlternateContent>
    </comment>
    <comment ref="H40" authorId="0">
      <text>
        <r>
          <rPr>
            <b val="true"/>
            <sz val="10"/>
            <color rgb="FF000000"/>
            <rFont val="Tahoma"/>
            <family val="2"/>
          </rPr>
          <t xml:space="preserve">The Payback Period is the amount of time it takes to recoupe our initial investment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75</xdr:colOff>
                <xdr:row>35</xdr:row>
                <xdr:rowOff>15</xdr:rowOff>
              </xdr:from>
              <xdr:to>
                <xdr:col>10</xdr:col>
                <xdr:colOff>96</xdr:colOff>
                <xdr:row>38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<sst xmlns="http://schemas.openxmlformats.org/spreadsheetml/2006/main" count="309" uniqueCount="158">
  <si>
    <t xml:space="preserve">Go Through The Entire Workbook, Sheet By Sheet and Enter Data Using The Following Rules:</t>
  </si>
  <si>
    <r>
      <rPr>
        <sz val="14"/>
        <rFont val="Times New Roman"/>
        <family val="1"/>
      </rPr>
      <t xml:space="preserve"> - You </t>
    </r>
    <r>
      <rPr>
        <i val="true"/>
        <u val="single"/>
        <sz val="14"/>
        <color rgb="FFFF0000"/>
        <rFont val="Arial Black"/>
        <family val="2"/>
      </rPr>
      <t xml:space="preserve">Must</t>
    </r>
    <r>
      <rPr>
        <sz val="14"/>
        <rFont val="Times New Roman"/>
        <family val="1"/>
      </rPr>
      <t xml:space="preserve"> Enter Data In The Light Green Boxes</t>
    </r>
  </si>
  <si>
    <r>
      <rPr>
        <sz val="14"/>
        <rFont val="Times New Roman"/>
        <family val="1"/>
      </rPr>
      <t xml:space="preserve"> - You </t>
    </r>
    <r>
      <rPr>
        <i val="true"/>
        <u val="single"/>
        <sz val="14"/>
        <color rgb="FFFF0000"/>
        <rFont val="Arial Black"/>
        <family val="2"/>
      </rPr>
      <t xml:space="preserve">Can</t>
    </r>
    <r>
      <rPr>
        <sz val="14"/>
        <rFont val="Times New Roman"/>
        <family val="1"/>
      </rPr>
      <t xml:space="preserve"> Enter Data (or Replace Data) In The Light Yellow Boxes</t>
    </r>
  </si>
  <si>
    <r>
      <rPr>
        <sz val="14"/>
        <rFont val="Times New Roman"/>
        <family val="1"/>
      </rPr>
      <t xml:space="preserve"> - The Fields With No Shading Are Automatically Calculated - </t>
    </r>
    <r>
      <rPr>
        <u val="single"/>
        <sz val="14"/>
        <color rgb="FFFF0000"/>
        <rFont val="Arial Black"/>
        <family val="2"/>
      </rPr>
      <t xml:space="preserve">DO NOT ENTER DATA!</t>
    </r>
  </si>
  <si>
    <t xml:space="preserve">If You Don't Know An Exact Value For A Field Put In Your Best</t>
  </si>
  <si>
    <t xml:space="preserve">Estimate, Then Let The Customer Update It If Necessary</t>
  </si>
  <si>
    <r>
      <rPr>
        <sz val="16"/>
        <rFont val="Arial Black"/>
        <family val="2"/>
      </rPr>
      <t xml:space="preserve">ENTER DATA </t>
    </r>
    <r>
      <rPr>
        <b val="true"/>
        <i val="true"/>
        <u val="single"/>
        <sz val="16"/>
        <rFont val="Arial Black"/>
        <family val="2"/>
      </rPr>
      <t xml:space="preserve">ONLY</t>
    </r>
    <r>
      <rPr>
        <sz val="16"/>
        <rFont val="Arial Black"/>
        <family val="2"/>
      </rPr>
      <t xml:space="preserve"> IN SHADED FIELDS</t>
    </r>
  </si>
  <si>
    <t xml:space="preserve">Insert Customer Logo</t>
  </si>
  <si>
    <t xml:space="preserve">In This Area</t>
  </si>
  <si>
    <t xml:space="preserve">Financial Inputs</t>
  </si>
  <si>
    <t xml:space="preserve"> </t>
  </si>
  <si>
    <t xml:space="preserve">Robotic System Investment</t>
  </si>
  <si>
    <r>
      <rPr>
        <b val="true"/>
        <sz val="18"/>
        <rFont val="Arial"/>
        <family val="2"/>
      </rPr>
      <t xml:space="preserve">(</t>
    </r>
    <r>
      <rPr>
        <sz val="18"/>
        <rFont val="Arial"/>
        <family val="2"/>
      </rPr>
      <t xml:space="preserve">Total system price including all robots, peripheral equipment, controls, engineering, build, set-up &amp; run-off at FANUC Robotics, and installation supervision at end users</t>
    </r>
    <r>
      <rPr>
        <b val="true"/>
        <sz val="18"/>
        <rFont val="Arial"/>
        <family val="2"/>
      </rPr>
      <t xml:space="preserve">)</t>
    </r>
  </si>
  <si>
    <r>
      <rPr>
        <b val="true"/>
        <sz val="18"/>
        <rFont val="Arial"/>
        <family val="2"/>
      </rPr>
      <t xml:space="preserve">Plant Startup Expenses (</t>
    </r>
    <r>
      <rPr>
        <sz val="18"/>
        <rFont val="Arial"/>
        <family val="2"/>
      </rPr>
      <t xml:space="preserve">if </t>
    </r>
    <r>
      <rPr>
        <i val="true"/>
        <u val="single"/>
        <sz val="18"/>
        <rFont val="Arial"/>
        <family val="2"/>
      </rPr>
      <t xml:space="preserve">not</t>
    </r>
    <r>
      <rPr>
        <sz val="18"/>
        <rFont val="Arial"/>
        <family val="2"/>
      </rPr>
      <t xml:space="preserve"> included in Robotic System Investment</t>
    </r>
    <r>
      <rPr>
        <b val="true"/>
        <sz val="18"/>
        <rFont val="Arial"/>
        <family val="2"/>
      </rPr>
      <t xml:space="preserve">)</t>
    </r>
  </si>
  <si>
    <t xml:space="preserve">Installation</t>
  </si>
  <si>
    <t xml:space="preserve">Robotic Systems Training</t>
  </si>
  <si>
    <t xml:space="preserve">Internal Labor for Startup and Debug</t>
  </si>
  <si>
    <t xml:space="preserve">Production Support/Service Contracts</t>
  </si>
  <si>
    <t xml:space="preserve">Combined State and Federal Income Tax Rate</t>
  </si>
  <si>
    <t xml:space="preserve">Corporate Hurdle Rate for Investment Decisions</t>
  </si>
  <si>
    <t xml:space="preserve">Capital Evaluation Duration In Years (Enter "5" or "7")</t>
  </si>
  <si>
    <t xml:space="preserve">Corporate Discount Factor / Weighted Average Cost of Capital</t>
  </si>
  <si>
    <t xml:space="preserve">Corporate Payback Period (Months) for this Application</t>
  </si>
  <si>
    <t xml:space="preserve">Labor Savings</t>
  </si>
  <si>
    <t xml:space="preserve">Current Number of Laborers per Shift:</t>
  </si>
  <si>
    <t xml:space="preserve">Operators</t>
  </si>
  <si>
    <t xml:space="preserve">Maintenance</t>
  </si>
  <si>
    <t xml:space="preserve">Technicians</t>
  </si>
  <si>
    <t xml:space="preserve">Material Handlers</t>
  </si>
  <si>
    <t xml:space="preserve">Robotic System Number of Laborers per Shift: </t>
  </si>
  <si>
    <t xml:space="preserve">Number of Shifts: </t>
  </si>
  <si>
    <t xml:space="preserve">Annual Hours Per Laborer</t>
  </si>
  <si>
    <t xml:space="preserve">Production Hours Per Day</t>
  </si>
  <si>
    <t xml:space="preserve">Production Days Per Week</t>
  </si>
  <si>
    <t xml:space="preserve">Production Weeks Per Year</t>
  </si>
  <si>
    <t xml:space="preserve">Current Annual Labor Hours:</t>
  </si>
  <si>
    <t xml:space="preserve">Robotic System Annual Labor Hours:</t>
  </si>
  <si>
    <t xml:space="preserve">Annual Labor Savings (Hours):</t>
  </si>
  <si>
    <r>
      <rPr>
        <b val="true"/>
        <u val="single"/>
        <sz val="18"/>
        <rFont val="Arial"/>
        <family val="2"/>
      </rPr>
      <t xml:space="preserve">Burdened</t>
    </r>
    <r>
      <rPr>
        <b val="true"/>
        <sz val="18"/>
        <rFont val="Arial"/>
        <family val="2"/>
      </rPr>
      <t xml:space="preserve"> Hourly Rate for Laborers:</t>
    </r>
  </si>
  <si>
    <t xml:space="preserve">Current Annual Labor Cost:</t>
  </si>
  <si>
    <t xml:space="preserve">Robotic System Annual Labor Cost: </t>
  </si>
  <si>
    <t xml:space="preserve">Annual Labor Savings (Dollars):</t>
  </si>
  <si>
    <t xml:space="preserve">Annual Lost Time and Disability Savings:</t>
  </si>
  <si>
    <t xml:space="preserve">Annual Average Percentage Rate:</t>
  </si>
  <si>
    <t xml:space="preserve">Preventive Maintenance (PM) Labor Cost</t>
  </si>
  <si>
    <t xml:space="preserve">Total Additional Number of PM Personnel Assigned:</t>
  </si>
  <si>
    <t xml:space="preserve">Burdened Hourly Rate for PM:</t>
  </si>
  <si>
    <t xml:space="preserve">Number of proposed FANUC Robots In System:</t>
  </si>
  <si>
    <t xml:space="preserve">Proposed PM Man-Hours per Year</t>
  </si>
  <si>
    <t xml:space="preserve">Number of Robots * 4 Hrs. per Quarter * 4-Quarters</t>
  </si>
  <si>
    <t xml:space="preserve">Yearly Peripheral Equipment Estimate</t>
  </si>
  <si>
    <t xml:space="preserve">Annual PM Labor Savings:</t>
  </si>
  <si>
    <t xml:space="preserve">Production Increase</t>
  </si>
  <si>
    <t xml:space="preserve">Current Systems Annual Production</t>
  </si>
  <si>
    <t xml:space="preserve">Production Rate Per Hour</t>
  </si>
  <si>
    <t xml:space="preserve">Total Available Production Hours Per Year</t>
  </si>
  <si>
    <t xml:space="preserve">Less Daily Scheduled Downtime (lunches, breaks, etc. - hrs)</t>
  </si>
  <si>
    <t xml:space="preserve">Less Annual Unscheduled Downtime (avg. percentage)</t>
  </si>
  <si>
    <t xml:space="preserve">Less Annual Change-Over (hours)</t>
  </si>
  <si>
    <t xml:space="preserve">Net Annual Production Hours</t>
  </si>
  <si>
    <t xml:space="preserve">FANUC Robotics Proposed Systems Annual Production</t>
  </si>
  <si>
    <t xml:space="preserve">Increased Annual Production</t>
  </si>
  <si>
    <t xml:space="preserve">Price Per Unit</t>
  </si>
  <si>
    <t xml:space="preserve">Increased Annual Revenue</t>
  </si>
  <si>
    <t xml:space="preserve">Scrap Reduction Savings</t>
  </si>
  <si>
    <t xml:space="preserve">Current Systems Annual Scrap</t>
  </si>
  <si>
    <t xml:space="preserve">Scrap Rate</t>
  </si>
  <si>
    <t xml:space="preserve">Net Annual Production Hours (Current System)</t>
  </si>
  <si>
    <t xml:space="preserve">Net Annual Production Hours (FANUC Robotics System)</t>
  </si>
  <si>
    <t xml:space="preserve">Miscellaneous Saving</t>
  </si>
  <si>
    <t xml:space="preserve">This Sheet To Be Used For Unique Savings Opportunities Specific To Your Application (Modify As Required)</t>
  </si>
  <si>
    <t xml:space="preserve">Miscellaneous Saving #1</t>
  </si>
  <si>
    <t xml:space="preserve">Total Miscellaneous Savings</t>
  </si>
  <si>
    <t xml:space="preserve">DO NOT CHANGE ANY VALUES OR ENTER ANY DATA ON THIS SHEET!!!!!!!!!!!!!!!!!</t>
  </si>
  <si>
    <t xml:space="preserve">Annual Savings Summary</t>
  </si>
  <si>
    <t xml:space="preserve">Operator Labor Savings :</t>
  </si>
  <si>
    <t xml:space="preserve">Lost Time and Disability Savings :</t>
  </si>
  <si>
    <r>
      <rPr>
        <b val="true"/>
        <sz val="18"/>
        <rFont val="Arial"/>
        <family val="2"/>
      </rPr>
      <t xml:space="preserve">Workers Compensation Premiums </t>
    </r>
    <r>
      <rPr>
        <b val="true"/>
        <sz val="12"/>
        <rFont val="Arial"/>
        <family val="2"/>
      </rPr>
      <t xml:space="preserve">($1.3 per $100 of payroll)</t>
    </r>
  </si>
  <si>
    <t xml:space="preserve">System Preventive Maintenance:</t>
  </si>
  <si>
    <t xml:space="preserve">Production Increase Value:</t>
  </si>
  <si>
    <t xml:space="preserve">Scrap Reduction Savings:</t>
  </si>
  <si>
    <t xml:space="preserve">Miscellaneous Savings:</t>
  </si>
  <si>
    <t xml:space="preserve">Total Annual Profit Increase:</t>
  </si>
  <si>
    <t xml:space="preserve">DO NOT CHANGE ANY VALUES OR ENTER ANY DATA ON THIS SHEET!!!!!!!!!!!!!!!!!!!!</t>
  </si>
  <si>
    <t xml:space="preserve">Investment Summary</t>
  </si>
  <si>
    <t xml:space="preserve">Total Initial Investment:</t>
  </si>
  <si>
    <t xml:space="preserve">Total Annual Profit Increase (Before Income Taxes):</t>
  </si>
  <si>
    <t xml:space="preserve">Weighted Average Cost of Capital / Discount Factor:</t>
  </si>
  <si>
    <t xml:space="preserve">Corporate Hurdle Rate:</t>
  </si>
  <si>
    <t xml:space="preserve">Year IRR Generated From Project:</t>
  </si>
  <si>
    <t xml:space="preserve">(True Interest Return Generated by the Project)</t>
  </si>
  <si>
    <t xml:space="preserve">(If IRR &gt; Hurdle Rate, Accept the Project)</t>
  </si>
  <si>
    <t xml:space="preserve">(If IRR &lt; Hurdle Rate, Reject the Project)</t>
  </si>
  <si>
    <t xml:space="preserve">Year NPV:</t>
  </si>
  <si>
    <t xml:space="preserve">(Present Value of Net Annual Cash Flows)</t>
  </si>
  <si>
    <t xml:space="preserve">(IF NPV &gt; $0, Accept the Project)</t>
  </si>
  <si>
    <t xml:space="preserve">(IF NPV &lt; $0, Reject the Project)</t>
  </si>
  <si>
    <t xml:space="preserve">Payback In Months (Before Income Taxes):</t>
  </si>
  <si>
    <t xml:space="preserve">Today (Year 0)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</si>
  <si>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</si>
  <si>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</si>
  <si>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</si>
  <si>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</si>
  <si>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</si>
  <si>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</si>
  <si>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</si>
  <si>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 5 Year (-)</t>
  </si>
  <si>
    <t xml:space="preserve"> 7 Year (-)</t>
  </si>
  <si>
    <t xml:space="preserve">Total Equipment Investment</t>
  </si>
  <si>
    <t xml:space="preserve">Cash Flow Data:</t>
  </si>
  <si>
    <t xml:space="preserve">Operator Labor Savings</t>
  </si>
  <si>
    <t xml:space="preserve">   </t>
  </si>
  <si>
    <t xml:space="preserve">Annual lost time and disability savings</t>
  </si>
  <si>
    <t xml:space="preserve">Workers Comp Premiums</t>
  </si>
  <si>
    <t xml:space="preserve">System Preventive Maintenance</t>
  </si>
  <si>
    <t xml:space="preserve">Increased Annual Revenue (Production Increase)</t>
  </si>
  <si>
    <t xml:space="preserve">Scrap Savings</t>
  </si>
  <si>
    <t xml:space="preserve">Miscellaneous Savings</t>
  </si>
  <si>
    <t xml:space="preserve">Equipment Depreciation (-)</t>
  </si>
  <si>
    <t xml:space="preserve">Net Pre-Tax Profit:</t>
  </si>
  <si>
    <t xml:space="preserve"> Income Taxes @</t>
  </si>
  <si>
    <t xml:space="preserve"> Add Depreciation (+)</t>
  </si>
  <si>
    <t xml:space="preserve">Net Annual Cash Flow (after tax):</t>
  </si>
  <si>
    <t xml:space="preserve">Cumulative Cash Flow:</t>
  </si>
  <si>
    <t xml:space="preserve">Weighted Average Cost of Capital @</t>
  </si>
  <si>
    <t xml:space="preserve">Present Value of Annual Cash Flows</t>
  </si>
  <si>
    <t xml:space="preserve">Cumulative Discount Cash Flow</t>
  </si>
  <si>
    <t xml:space="preserve">Time Period</t>
  </si>
  <si>
    <t xml:space="preserve">NPV</t>
  </si>
  <si>
    <t xml:space="preserve">IRR</t>
  </si>
  <si>
    <t xml:space="preserve">5 Years</t>
  </si>
  <si>
    <t xml:space="preserve">7 Years</t>
  </si>
  <si>
    <t xml:space="preserve"> Years After Tax Payback</t>
  </si>
  <si>
    <t xml:space="preserve">Financial Analysis</t>
  </si>
  <si>
    <t xml:space="preserve">(continued)</t>
  </si>
  <si>
    <t xml:space="preserve">NOT FOR CUSTOMER PRESENTATION</t>
  </si>
  <si>
    <t xml:space="preserve">Payback </t>
  </si>
  <si>
    <t xml:space="preserve">Calculation Detail:</t>
  </si>
  <si>
    <t xml:space="preserve">Formula Checks:</t>
  </si>
  <si>
    <t xml:space="preserve">(Should = 0 )</t>
  </si>
  <si>
    <t xml:space="preserve">IRR 7YR</t>
  </si>
  <si>
    <t xml:space="preserve">GUESS</t>
  </si>
  <si>
    <t xml:space="preserve">Depreciation Rates:</t>
  </si>
  <si>
    <t xml:space="preserve">(Straight-Line - Change if Applicable)</t>
  </si>
  <si>
    <t xml:space="preserve">Formula</t>
  </si>
  <si>
    <t xml:space="preserve">Checker</t>
  </si>
  <si>
    <t xml:space="preserve">Should = 0</t>
  </si>
  <si>
    <t xml:space="preserve">Deprec.</t>
  </si>
  <si>
    <t xml:space="preserve">Investment Year 1</t>
  </si>
  <si>
    <t xml:space="preserve">Investment Year 2</t>
  </si>
  <si>
    <t xml:space="preserve">Investment Year 3</t>
  </si>
  <si>
    <t xml:space="preserve">Investment Year 4</t>
  </si>
  <si>
    <t xml:space="preserve">Investment Year 5</t>
  </si>
  <si>
    <t xml:space="preserve">Investment Year 6</t>
  </si>
  <si>
    <t xml:space="preserve">Investment Year 7</t>
  </si>
  <si>
    <t xml:space="preserve">Total Depreciation</t>
  </si>
  <si>
    <t xml:space="preserve">Inflation Factors</t>
  </si>
  <si>
    <t xml:space="preserve">Enter Rate</t>
  </si>
</sst>
</file>

<file path=xl/styles.xml><?xml version="1.0" encoding="utf-8"?>
<styleSheet xmlns="http://schemas.openxmlformats.org/spreadsheetml/2006/main">
  <numFmts count="37">
    <numFmt numFmtId="164" formatCode="General"/>
    <numFmt numFmtId="165" formatCode="_(* #,##0.0_);_(* \(#,##0.00\);_(* \-??_);_(@_)"/>
    <numFmt numFmtId="166" formatCode="General_)"/>
    <numFmt numFmtId="167" formatCode="0.000"/>
    <numFmt numFmtId="168" formatCode="&quot;fl&quot;#,##0_);&quot;(fl&quot;#,##0\)"/>
    <numFmt numFmtId="169" formatCode="&quot;fl&quot;#,##0_);[RED]&quot;(fl&quot;#,##0\)"/>
    <numFmt numFmtId="170" formatCode="&quot;fl&quot;#,##0.00_);&quot;(fl&quot;#,##0.00\)"/>
    <numFmt numFmtId="171" formatCode="[$-409]m/d/yyyy"/>
    <numFmt numFmtId="172" formatCode="#,##0;[RED]\-#,##0"/>
    <numFmt numFmtId="173" formatCode="0.00_)"/>
    <numFmt numFmtId="174" formatCode="\60&quot;47:&quot;"/>
    <numFmt numFmtId="175" formatCode="0.00%"/>
    <numFmt numFmtId="176" formatCode="@"/>
    <numFmt numFmtId="177" formatCode="&quot;fl&quot;#,##0.00_);[RED]&quot;(fl&quot;#,##0.00\)"/>
    <numFmt numFmtId="178" formatCode="_(&quot;fl&quot;* #,##0_);_(&quot;fl&quot;* \(#,##0\);_(&quot;fl&quot;* \-_);_(@_)"/>
    <numFmt numFmtId="179" formatCode="#,##0._);[RED]\(#,##0.\)"/>
    <numFmt numFmtId="180" formatCode="\$#,##0_);&quot;($&quot;#,##0\)"/>
    <numFmt numFmtId="181" formatCode="0.0%_)"/>
    <numFmt numFmtId="182" formatCode="0_);[RED]\(0\)"/>
    <numFmt numFmtId="183" formatCode="General"/>
    <numFmt numFmtId="184" formatCode="[$-409]#,##0_);\(#,##0\)"/>
    <numFmt numFmtId="185" formatCode="[$-409]#,##0_);[RED]\(#,##0\)"/>
    <numFmt numFmtId="186" formatCode="0"/>
    <numFmt numFmtId="187" formatCode="\$#,##0.00_);[RED]&quot;($&quot;#,##0.00\)"/>
    <numFmt numFmtId="188" formatCode="_(* #,##0.00_);_(* \(#,##0.00\);_(* \-??_);_(@_)"/>
    <numFmt numFmtId="189" formatCode="_(* #,##0_);_(* \(#,##0\);_(* \-??_);_(@_)"/>
    <numFmt numFmtId="190" formatCode="0%"/>
    <numFmt numFmtId="191" formatCode="\$#,##0_);[RED]&quot;($&quot;#,##0\)"/>
    <numFmt numFmtId="192" formatCode="#,##0.0_);[RED]\(#,##0.0\)"/>
    <numFmt numFmtId="193" formatCode="[$-409]#,##0.00_);[RED]\(#,##0.00\)"/>
    <numFmt numFmtId="194" formatCode="0.0%"/>
    <numFmt numFmtId="195" formatCode="_(\$* #,##0.00_);_(\$* \(#,##0.00\);_(\$* \-??_);_(@_)"/>
    <numFmt numFmtId="196" formatCode="#,##0.0_);\(#,##0.0\)"/>
    <numFmt numFmtId="197" formatCode="#,##0.00000_);\(#,##0.00000\)"/>
    <numFmt numFmtId="198" formatCode="[$-409]#,##0.00_);\(#,##0.00\)"/>
    <numFmt numFmtId="199" formatCode="0.0000"/>
    <numFmt numFmtId="200" formatCode="#,##0.0000_);\(#,##0.0000\)"/>
  </numFmts>
  <fonts count="66">
    <font>
      <sz val="14"/>
      <name val="Times New Roman"/>
      <family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</font>
    <font>
      <sz val="10"/>
      <color rgb="FF000000"/>
      <name val="Arial"/>
      <family val="2"/>
    </font>
    <font>
      <sz val="10"/>
      <name val="MS Sans Serif"/>
      <family val="0"/>
    </font>
    <font>
      <sz val="8"/>
      <name val="Arial"/>
      <family val="2"/>
    </font>
    <font>
      <b val="true"/>
      <sz val="12"/>
      <name val="Arial"/>
      <family val="2"/>
    </font>
    <font>
      <u val="single"/>
      <sz val="8"/>
      <color rgb="FF0000FF"/>
      <name val="Times New Roman"/>
      <family val="0"/>
    </font>
    <font>
      <b val="true"/>
      <i val="true"/>
      <sz val="16"/>
      <name val="Arial"/>
      <family val="0"/>
    </font>
    <font>
      <sz val="12"/>
      <name val="Arial Black"/>
      <family val="2"/>
    </font>
    <font>
      <i val="true"/>
      <u val="single"/>
      <sz val="14"/>
      <color rgb="FFFF0000"/>
      <name val="Arial Black"/>
      <family val="2"/>
    </font>
    <font>
      <u val="single"/>
      <sz val="14"/>
      <color rgb="FFFF0000"/>
      <name val="Arial Black"/>
      <family val="2"/>
    </font>
    <font>
      <sz val="14"/>
      <name val="Arial Black"/>
      <family val="2"/>
    </font>
    <font>
      <b val="true"/>
      <sz val="10"/>
      <color rgb="FF000000"/>
      <name val="Tahoma"/>
      <family val="2"/>
    </font>
    <font>
      <sz val="14"/>
      <name val="Arial"/>
      <family val="2"/>
    </font>
    <font>
      <sz val="16"/>
      <name val="Arial Black"/>
      <family val="2"/>
    </font>
    <font>
      <b val="true"/>
      <i val="true"/>
      <u val="single"/>
      <sz val="16"/>
      <name val="Arial Black"/>
      <family val="2"/>
    </font>
    <font>
      <i val="true"/>
      <sz val="14"/>
      <name val="Arial"/>
      <family val="2"/>
    </font>
    <font>
      <b val="true"/>
      <i val="true"/>
      <u val="single"/>
      <sz val="28"/>
      <name val="Arial"/>
      <family val="2"/>
    </font>
    <font>
      <sz val="18"/>
      <name val="Arial"/>
      <family val="2"/>
    </font>
    <font>
      <b val="true"/>
      <sz val="20"/>
      <name val="Arial"/>
      <family val="2"/>
    </font>
    <font>
      <b val="true"/>
      <sz val="18"/>
      <name val="Arial"/>
      <family val="2"/>
    </font>
    <font>
      <sz val="18"/>
      <name val="Times New Roman"/>
      <family val="1"/>
    </font>
    <font>
      <i val="true"/>
      <u val="single"/>
      <sz val="18"/>
      <name val="Arial"/>
      <family val="2"/>
    </font>
    <font>
      <b val="true"/>
      <sz val="20"/>
      <color rgb="FFFF0000"/>
      <name val="Arial"/>
      <family val="2"/>
    </font>
    <font>
      <b val="true"/>
      <sz val="14"/>
      <name val="Times New Roman"/>
      <family val="1"/>
    </font>
    <font>
      <b val="true"/>
      <u val="single"/>
      <sz val="18"/>
      <name val="Arial"/>
      <family val="2"/>
    </font>
    <font>
      <sz val="24"/>
      <name val="Arial"/>
      <family val="2"/>
    </font>
    <font>
      <b val="true"/>
      <u val="double"/>
      <sz val="18"/>
      <name val="Arial"/>
      <family val="2"/>
    </font>
    <font>
      <sz val="10"/>
      <color rgb="FF000000"/>
      <name val="Tahoma"/>
      <family val="2"/>
    </font>
    <font>
      <b val="true"/>
      <i val="true"/>
      <sz val="22"/>
      <name val="Arial"/>
      <family val="2"/>
    </font>
    <font>
      <b val="true"/>
      <i val="true"/>
      <sz val="28"/>
      <name val="Arial"/>
      <family val="2"/>
    </font>
    <font>
      <b val="true"/>
      <sz val="14"/>
      <name val="Arial"/>
      <family val="2"/>
    </font>
    <font>
      <b val="true"/>
      <sz val="22"/>
      <name val="Arial"/>
      <family val="2"/>
    </font>
    <font>
      <b val="true"/>
      <i val="true"/>
      <sz val="22"/>
      <name val="Times New Roman"/>
      <family val="0"/>
    </font>
    <font>
      <b val="true"/>
      <i val="true"/>
      <sz val="12"/>
      <name val="Arial"/>
      <family val="2"/>
    </font>
    <font>
      <sz val="16"/>
      <color rgb="FFFF0000"/>
      <name val="Arial Black"/>
      <family val="2"/>
    </font>
    <font>
      <b val="true"/>
      <i val="true"/>
      <sz val="28"/>
      <name val="Times New Roman"/>
      <family val="1"/>
    </font>
    <font>
      <sz val="22"/>
      <name val="Times New Roman"/>
      <family val="1"/>
    </font>
    <font>
      <b val="true"/>
      <sz val="22"/>
      <name val="Times New Roman"/>
      <family val="1"/>
    </font>
    <font>
      <b val="true"/>
      <sz val="24"/>
      <name val="Arial"/>
      <family val="2"/>
    </font>
    <font>
      <b val="true"/>
      <u val="single"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9"/>
      <name val="Helvetica-Condensed"/>
      <family val="0"/>
    </font>
    <font>
      <sz val="12"/>
      <name val="Helvetica-Condensed"/>
      <family val="0"/>
    </font>
    <font>
      <b val="true"/>
      <i val="true"/>
      <u val="single"/>
      <sz val="22"/>
      <name val="Times New Roman"/>
      <family val="1"/>
    </font>
    <font>
      <sz val="13"/>
      <name val="Helvetica-Condensed"/>
      <family val="0"/>
    </font>
    <font>
      <b val="true"/>
      <sz val="13"/>
      <name val="Helvetica-Condensed"/>
      <family val="0"/>
    </font>
    <font>
      <sz val="13"/>
      <color rgb="FFFF0000"/>
      <name val="Helvetica-Condensed"/>
      <family val="0"/>
    </font>
    <font>
      <b val="true"/>
      <i val="true"/>
      <sz val="9"/>
      <name val="Helvetica-Condensed"/>
      <family val="0"/>
    </font>
    <font>
      <b val="true"/>
      <i val="true"/>
      <sz val="13"/>
      <name val="Helvetica-Condensed"/>
      <family val="0"/>
    </font>
    <font>
      <sz val="13"/>
      <name val="Arial"/>
      <family val="2"/>
    </font>
    <font>
      <b val="true"/>
      <sz val="13"/>
      <name val="Times New Roman"/>
      <family val="0"/>
    </font>
    <font>
      <sz val="13"/>
      <name val="Times New Roman"/>
      <family val="1"/>
    </font>
    <font>
      <b val="true"/>
      <sz val="11"/>
      <name val="Helvetica-Condensed"/>
      <family val="0"/>
    </font>
    <font>
      <sz val="11"/>
      <name val="Helvetica-Condensed"/>
      <family val="0"/>
    </font>
    <font>
      <b val="true"/>
      <i val="true"/>
      <sz val="22"/>
      <name val="Helvetica-Condensed"/>
      <family val="0"/>
    </font>
    <font>
      <i val="true"/>
      <sz val="12"/>
      <name val="Times New Roman"/>
      <family val="0"/>
    </font>
    <font>
      <i val="true"/>
      <sz val="12"/>
      <name val="Helvetica-Condensed"/>
      <family val="0"/>
    </font>
    <font>
      <sz val="18"/>
      <name val="Helvetica-Condensed"/>
      <family val="0"/>
    </font>
    <font>
      <b val="true"/>
      <sz val="18"/>
      <color rgb="FFFFFFFF"/>
      <name val="Arial Black"/>
      <family val="2"/>
    </font>
    <font>
      <sz val="8"/>
      <color rgb="FF000000"/>
      <name val="Tahoma"/>
      <family val="0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0"/>
        <bgColor rgb="FFFFFF99"/>
      </patternFill>
    </fill>
    <fill>
      <patternFill patternType="solid">
        <fgColor rgb="FFFFFFFF"/>
        <bgColor rgb="FFFFFFC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32">
    <border diagonalUp="false" diagonalDown="false">
      <left/>
      <right/>
      <top/>
      <bottom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5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88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95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90" fontId="0" fillId="0" borderId="0" applyFont="true" applyBorder="false" applyAlignment="false" applyProtection="false"/>
    <xf numFmtId="165" fontId="4" fillId="0" borderId="0" applyFont="true" applyBorder="false" applyAlignment="false" applyProtection="true">
      <protection locked="true" hidden="false"/>
    </xf>
    <xf numFmtId="166" fontId="4" fillId="0" borderId="0" applyFont="true" applyBorder="false" applyAlignment="false" applyProtection="true">
      <protection locked="true" hidden="false"/>
    </xf>
    <xf numFmtId="167" fontId="4" fillId="0" borderId="0" applyFont="true" applyBorder="false" applyAlignment="false" applyProtection="true">
      <protection locked="true" hidden="false"/>
    </xf>
    <xf numFmtId="168" fontId="4" fillId="0" borderId="0" applyFont="true" applyBorder="false" applyAlignment="false" applyProtection="true">
      <protection locked="true" hidden="false"/>
    </xf>
    <xf numFmtId="169" fontId="4" fillId="0" borderId="0" applyFont="true" applyBorder="false" applyAlignment="false" applyProtection="true">
      <protection locked="true" hidden="false"/>
    </xf>
    <xf numFmtId="165" fontId="4" fillId="0" borderId="0" applyFont="true" applyBorder="false" applyAlignment="false" applyProtection="true">
      <protection locked="true" hidden="false"/>
    </xf>
    <xf numFmtId="170" fontId="4" fillId="0" borderId="0" applyFont="true" applyBorder="false" applyAlignment="false" applyProtection="true">
      <protection locked="true" hidden="false"/>
    </xf>
    <xf numFmtId="166" fontId="4" fillId="0" borderId="0" applyFont="true" applyBorder="false" applyAlignment="false" applyProtection="true">
      <protection locked="true" hidden="false"/>
    </xf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71" fontId="5" fillId="0" borderId="0" applyFont="true" applyBorder="false" applyAlignment="false" applyProtection="true">
      <protection locked="true" hidden="false"/>
    </xf>
    <xf numFmtId="172" fontId="6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false" applyAlignment="false" applyProtection="true">
      <protection locked="true" hidden="false"/>
    </xf>
    <xf numFmtId="166" fontId="4" fillId="0" borderId="0" applyFont="true" applyBorder="false" applyAlignment="false" applyProtection="true">
      <protection locked="true" hidden="false"/>
    </xf>
    <xf numFmtId="165" fontId="4" fillId="0" borderId="0" applyFont="true" applyBorder="false" applyAlignment="false" applyProtection="true">
      <protection locked="true" hidden="false"/>
    </xf>
    <xf numFmtId="170" fontId="4" fillId="0" borderId="0" applyFont="true" applyBorder="false" applyAlignment="false" applyProtection="true">
      <protection locked="true" hidden="false"/>
    </xf>
    <xf numFmtId="166" fontId="4" fillId="0" borderId="0" applyFont="true" applyBorder="false" applyAlignment="false" applyProtection="true">
      <protection locked="true" hidden="false"/>
    </xf>
    <xf numFmtId="164" fontId="7" fillId="2" borderId="0" applyFont="true" applyBorder="false" applyAlignment="false" applyProtection="false"/>
    <xf numFmtId="164" fontId="8" fillId="0" borderId="2" applyFont="true" applyBorder="true" applyAlignment="false" applyProtection="false"/>
    <xf numFmtId="164" fontId="8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applyFont="true" applyBorder="false" applyAlignment="false" applyProtection="false"/>
    <xf numFmtId="164" fontId="7" fillId="3" borderId="0" applyFont="true" applyBorder="false" applyAlignment="false" applyProtection="false"/>
    <xf numFmtId="165" fontId="4" fillId="0" borderId="0" applyFont="true" applyBorder="false" applyAlignment="false" applyProtection="true">
      <protection locked="true" hidden="false"/>
    </xf>
    <xf numFmtId="166" fontId="4" fillId="0" borderId="0" applyFont="true" applyBorder="false" applyAlignment="false" applyProtection="true">
      <protection locked="true" hidden="false"/>
    </xf>
    <xf numFmtId="165" fontId="4" fillId="0" borderId="0" applyFont="true" applyBorder="false" applyAlignment="false" applyProtection="true">
      <protection locked="true" hidden="false"/>
    </xf>
    <xf numFmtId="170" fontId="4" fillId="0" borderId="0" applyFont="true" applyBorder="false" applyAlignment="false" applyProtection="true">
      <protection locked="true" hidden="false"/>
    </xf>
    <xf numFmtId="166" fontId="4" fillId="0" borderId="0" applyFont="true" applyBorder="false" applyAlignment="false" applyProtection="true">
      <protection locked="true" hidden="false"/>
    </xf>
    <xf numFmtId="173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75" fontId="0" fillId="0" borderId="0" applyFont="true" applyBorder="false" applyAlignment="false" applyProtection="false"/>
    <xf numFmtId="165" fontId="4" fillId="0" borderId="0" applyFont="true" applyBorder="false" applyAlignment="false" applyProtection="true">
      <protection locked="true" hidden="false"/>
    </xf>
    <xf numFmtId="166" fontId="4" fillId="0" borderId="0" applyFont="true" applyBorder="false" applyAlignment="false" applyProtection="true">
      <protection locked="true" hidden="false"/>
    </xf>
    <xf numFmtId="165" fontId="4" fillId="0" borderId="0" applyFont="true" applyBorder="false" applyAlignment="false" applyProtection="true">
      <protection locked="true" hidden="false"/>
    </xf>
    <xf numFmtId="170" fontId="4" fillId="0" borderId="0" applyFont="true" applyBorder="false" applyAlignment="false" applyProtection="true">
      <protection locked="true" hidden="false"/>
    </xf>
    <xf numFmtId="166" fontId="4" fillId="0" borderId="0" applyFont="true" applyBorder="false" applyAlignment="false" applyProtection="true">
      <protection locked="true" hidden="false"/>
    </xf>
    <xf numFmtId="176" fontId="5" fillId="0" borderId="0" applyFont="true" applyBorder="false" applyAlignment="false" applyProtection="true">
      <protection locked="true" hidden="false"/>
    </xf>
    <xf numFmtId="177" fontId="4" fillId="0" borderId="0" applyFont="true" applyBorder="false" applyAlignment="false" applyProtection="true">
      <protection locked="true" hidden="false"/>
    </xf>
    <xf numFmtId="178" fontId="4" fillId="0" borderId="0" applyFont="true" applyBorder="false" applyAlignment="false" applyProtection="true">
      <protection locked="true" hidden="false"/>
    </xf>
  </cellStyleXfs>
  <cellXfs count="3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3" fillId="5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9" fontId="2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3" fillId="6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3" fillId="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3" fillId="6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23" fillId="5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23" fillId="5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2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27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27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27" fillId="6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2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2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23" fillId="5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7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27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27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2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23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28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0" fillId="4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9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0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23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27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27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27" fillId="6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3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8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0" fillId="4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0" fontId="2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27" fillId="5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23" fillId="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23" fillId="5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3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3" fillId="5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3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2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23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27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27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2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27" fillId="6" borderId="1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2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2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27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23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27" fillId="5" borderId="1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5" fontId="27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2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23" fillId="6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22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2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3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3" fillId="0" borderId="1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3" fillId="0" borderId="1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7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4" fontId="50" fillId="4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4" fontId="51" fillId="4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5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50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5" fontId="52" fillId="4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5" fontId="50" fillId="4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5" fontId="5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50" fillId="4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52" fillId="4" borderId="1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5" fontId="50" fillId="4" borderId="1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5" fontId="50" fillId="4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51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4" fontId="51" fillId="4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5" fontId="51" fillId="4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4" fontId="53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4" fontId="53" fillId="4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4" fontId="5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5" fontId="5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4" fontId="53" fillId="4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4" fontId="5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5" fontId="5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5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50" fillId="4" borderId="1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94" fontId="5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5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50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5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5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50" fillId="4" borderId="1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4" fontId="51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51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5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5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5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5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51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51" fillId="4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1" fillId="4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1" fontId="51" fillId="4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94" fontId="51" fillId="4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51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1" fontId="51" fillId="4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94" fontId="51" fillId="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8" fontId="51" fillId="4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4" fontId="51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4" fontId="51" fillId="4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0" fillId="4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7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58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8" fontId="58" fillId="4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4" fontId="58" fillId="4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4" fontId="58" fillId="4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59" fillId="4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58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8" fontId="58" fillId="4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4" fontId="58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58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59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84" fontId="58" fillId="4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59" fillId="4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4" fillId="8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7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48" fillId="7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3" fontId="48" fillId="7" borderId="2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8" fillId="7" borderId="2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8" fillId="7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48" fillId="7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8" fillId="7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8" fillId="7" borderId="2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48" fillId="7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4" fontId="48" fillId="7" borderId="2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48" fillId="7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8" fillId="7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2" fillId="7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4" fontId="48" fillId="7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200" fontId="48" fillId="7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98" fontId="48" fillId="7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4" fontId="48" fillId="7" borderId="2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99" fontId="48" fillId="7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200" fontId="48" fillId="7" borderId="2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4" fontId="62" fillId="7" borderId="2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99" fontId="48" fillId="7" borderId="1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200" fontId="48" fillId="7" borderId="2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4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2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2" fillId="4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48" fillId="4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8" fillId="4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200" fontId="48" fillId="4" borderId="2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200" fontId="48" fillId="4" borderId="2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84" fontId="4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lc Currency (0)" xfId="20"/>
    <cellStyle name="Calc Currency (2)" xfId="21"/>
    <cellStyle name="Calc Percent (0)" xfId="22"/>
    <cellStyle name="Calc Percent (1)" xfId="23"/>
    <cellStyle name="Calc Percent (2)" xfId="24"/>
    <cellStyle name="Calc Units (0)" xfId="25"/>
    <cellStyle name="Calc Units (1)" xfId="26"/>
    <cellStyle name="Calc Units (2)" xfId="27"/>
    <cellStyle name="Comma [00]" xfId="28"/>
    <cellStyle name="Currency [00]" xfId="29"/>
    <cellStyle name="Date Short" xfId="30"/>
    <cellStyle name="DELTA" xfId="31"/>
    <cellStyle name="Enter Currency (0)" xfId="32"/>
    <cellStyle name="Enter Currency (2)" xfId="33"/>
    <cellStyle name="Enter Units (0)" xfId="34"/>
    <cellStyle name="Enter Units (1)" xfId="35"/>
    <cellStyle name="Enter Units (2)" xfId="36"/>
    <cellStyle name="Grey" xfId="37"/>
    <cellStyle name="Header1" xfId="38"/>
    <cellStyle name="Header2" xfId="39"/>
    <cellStyle name="Hyperlink 1" xfId="40"/>
    <cellStyle name="Input [yellow]" xfId="41"/>
    <cellStyle name="Link Currency (0)" xfId="42"/>
    <cellStyle name="Link Currency (2)" xfId="43"/>
    <cellStyle name="Link Units (0)" xfId="44"/>
    <cellStyle name="Link Units (1)" xfId="45"/>
    <cellStyle name="Link Units (2)" xfId="46"/>
    <cellStyle name="Normal - Style1" xfId="47"/>
    <cellStyle name="Percent [00]" xfId="48"/>
    <cellStyle name="Percent [0]" xfId="49"/>
    <cellStyle name="Percent [2]" xfId="50"/>
    <cellStyle name="PrePop Currency (0)" xfId="51"/>
    <cellStyle name="PrePop Currency (2)" xfId="52"/>
    <cellStyle name="PrePop Units (0)" xfId="53"/>
    <cellStyle name="PrePop Units (1)" xfId="54"/>
    <cellStyle name="PrePop Units (2)" xfId="55"/>
    <cellStyle name="Text Indent A" xfId="56"/>
    <cellStyle name="Text Indent B" xfId="57"/>
    <cellStyle name="Text Indent C" xfId="5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.wmf"/><Relationship Id="rId2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3</xdr:row>
      <xdr:rowOff>0</xdr:rowOff>
    </xdr:from>
    <xdr:to>
      <xdr:col>4</xdr:col>
      <xdr:colOff>7269480</xdr:colOff>
      <xdr:row>10</xdr:row>
      <xdr:rowOff>247680</xdr:rowOff>
    </xdr:to>
    <xdr:sp>
      <xdr:nvSpPr>
        <xdr:cNvPr id="0" name="Rectangle 1"/>
        <xdr:cNvSpPr/>
      </xdr:nvSpPr>
      <xdr:spPr>
        <a:xfrm>
          <a:off x="492840" y="733320"/>
          <a:ext cx="8297640" cy="213372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07932" dir="2700000" blurRad="0" rotWithShape="0">
            <a:srgbClr val="80808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0</xdr:colOff>
      <xdr:row>0</xdr:row>
      <xdr:rowOff>56880</xdr:rowOff>
    </xdr:from>
    <xdr:to>
      <xdr:col>4</xdr:col>
      <xdr:colOff>1114560</xdr:colOff>
      <xdr:row>2</xdr:row>
      <xdr:rowOff>133560</xdr:rowOff>
    </xdr:to>
    <xdr:pic>
      <xdr:nvPicPr>
        <xdr:cNvPr id="1" name="Picture 4" descr=""/>
        <xdr:cNvPicPr/>
      </xdr:nvPicPr>
      <xdr:blipFill>
        <a:blip r:embed="rId1"/>
        <a:stretch/>
      </xdr:blipFill>
      <xdr:spPr>
        <a:xfrm>
          <a:off x="246240" y="56880"/>
          <a:ext cx="2389320" cy="56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6</xdr:col>
      <xdr:colOff>246600</xdr:colOff>
      <xdr:row>25</xdr:row>
      <xdr:rowOff>238320</xdr:rowOff>
    </xdr:to>
    <xdr:sp>
      <xdr:nvSpPr>
        <xdr:cNvPr id="2" name="Rectangle 9"/>
        <xdr:cNvSpPr/>
      </xdr:nvSpPr>
      <xdr:spPr>
        <a:xfrm>
          <a:off x="246240" y="561960"/>
          <a:ext cx="9647280" cy="839160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07932" dir="2700000" blurRad="0" rotWithShape="0">
            <a:srgbClr val="80808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2122560</xdr:colOff>
      <xdr:row>5</xdr:row>
      <xdr:rowOff>208800</xdr:rowOff>
    </xdr:to>
    <xdr:pic>
      <xdr:nvPicPr>
        <xdr:cNvPr id="3" name="Picture 19" descr=""/>
        <xdr:cNvPicPr/>
      </xdr:nvPicPr>
      <xdr:blipFill>
        <a:blip r:embed="rId1"/>
        <a:stretch/>
      </xdr:blipFill>
      <xdr:spPr>
        <a:xfrm>
          <a:off x="492840" y="790560"/>
          <a:ext cx="2902320" cy="685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8</xdr:col>
      <xdr:colOff>246600</xdr:colOff>
      <xdr:row>42</xdr:row>
      <xdr:rowOff>247680</xdr:rowOff>
    </xdr:to>
    <xdr:sp>
      <xdr:nvSpPr>
        <xdr:cNvPr id="4" name="Rectangle 5"/>
        <xdr:cNvSpPr/>
      </xdr:nvSpPr>
      <xdr:spPr>
        <a:xfrm>
          <a:off x="246240" y="571680"/>
          <a:ext cx="8479440" cy="1195380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07932" dir="2700000" blurRad="0" rotWithShape="0">
            <a:srgbClr val="80808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128160</xdr:colOff>
      <xdr:row>2</xdr:row>
      <xdr:rowOff>181080</xdr:rowOff>
    </xdr:from>
    <xdr:to>
      <xdr:col>4</xdr:col>
      <xdr:colOff>1693080</xdr:colOff>
      <xdr:row>5</xdr:row>
      <xdr:rowOff>85680</xdr:rowOff>
    </xdr:to>
    <xdr:pic>
      <xdr:nvPicPr>
        <xdr:cNvPr id="5" name="Picture 10" descr=""/>
        <xdr:cNvPicPr/>
      </xdr:nvPicPr>
      <xdr:blipFill>
        <a:blip r:embed="rId1"/>
        <a:stretch/>
      </xdr:blipFill>
      <xdr:spPr>
        <a:xfrm>
          <a:off x="374400" y="752760"/>
          <a:ext cx="255060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8</xdr:col>
      <xdr:colOff>246600</xdr:colOff>
      <xdr:row>18</xdr:row>
      <xdr:rowOff>247680</xdr:rowOff>
    </xdr:to>
    <xdr:sp>
      <xdr:nvSpPr>
        <xdr:cNvPr id="6" name="Rectangle 5"/>
        <xdr:cNvSpPr/>
      </xdr:nvSpPr>
      <xdr:spPr>
        <a:xfrm>
          <a:off x="246240" y="561960"/>
          <a:ext cx="9063000" cy="488196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07932" dir="2700000" blurRad="0" rotWithShape="0">
            <a:srgbClr val="80808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108720</xdr:colOff>
      <xdr:row>2</xdr:row>
      <xdr:rowOff>123840</xdr:rowOff>
    </xdr:from>
    <xdr:to>
      <xdr:col>4</xdr:col>
      <xdr:colOff>1814760</xdr:colOff>
      <xdr:row>5</xdr:row>
      <xdr:rowOff>85320</xdr:rowOff>
    </xdr:to>
    <xdr:pic>
      <xdr:nvPicPr>
        <xdr:cNvPr id="7" name="Picture 9" descr=""/>
        <xdr:cNvPicPr/>
      </xdr:nvPicPr>
      <xdr:blipFill>
        <a:blip r:embed="rId1"/>
        <a:stretch/>
      </xdr:blipFill>
      <xdr:spPr>
        <a:xfrm>
          <a:off x="354960" y="685800"/>
          <a:ext cx="2691720" cy="64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9</xdr:col>
      <xdr:colOff>246600</xdr:colOff>
      <xdr:row>27</xdr:row>
      <xdr:rowOff>247680</xdr:rowOff>
    </xdr:to>
    <xdr:sp>
      <xdr:nvSpPr>
        <xdr:cNvPr id="8" name="Rectangle 5"/>
        <xdr:cNvSpPr/>
      </xdr:nvSpPr>
      <xdr:spPr>
        <a:xfrm>
          <a:off x="246240" y="552600"/>
          <a:ext cx="10068840" cy="711504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07932" dir="2700000" blurRad="0" rotWithShape="0">
            <a:srgbClr val="80808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108720</xdr:colOff>
      <xdr:row>2</xdr:row>
      <xdr:rowOff>123480</xdr:rowOff>
    </xdr:from>
    <xdr:to>
      <xdr:col>4</xdr:col>
      <xdr:colOff>2090880</xdr:colOff>
      <xdr:row>5</xdr:row>
      <xdr:rowOff>114480</xdr:rowOff>
    </xdr:to>
    <xdr:pic>
      <xdr:nvPicPr>
        <xdr:cNvPr id="9" name="Picture 8" descr=""/>
        <xdr:cNvPicPr/>
      </xdr:nvPicPr>
      <xdr:blipFill>
        <a:blip r:embed="rId1"/>
        <a:stretch/>
      </xdr:blipFill>
      <xdr:spPr>
        <a:xfrm>
          <a:off x="354960" y="676080"/>
          <a:ext cx="2967840" cy="705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9</xdr:col>
      <xdr:colOff>246600</xdr:colOff>
      <xdr:row>19</xdr:row>
      <xdr:rowOff>247680</xdr:rowOff>
    </xdr:to>
    <xdr:sp>
      <xdr:nvSpPr>
        <xdr:cNvPr id="10" name="Rectangle 3"/>
        <xdr:cNvSpPr/>
      </xdr:nvSpPr>
      <xdr:spPr>
        <a:xfrm>
          <a:off x="246240" y="552600"/>
          <a:ext cx="10068840" cy="513396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07932" dir="2700000" blurRad="0" rotWithShape="0">
            <a:srgbClr val="80808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0</xdr:colOff>
      <xdr:row>3</xdr:row>
      <xdr:rowOff>0</xdr:rowOff>
    </xdr:from>
    <xdr:to>
      <xdr:col>4</xdr:col>
      <xdr:colOff>1740600</xdr:colOff>
      <xdr:row>5</xdr:row>
      <xdr:rowOff>114480</xdr:rowOff>
    </xdr:to>
    <xdr:pic>
      <xdr:nvPicPr>
        <xdr:cNvPr id="11" name="Picture 8" descr=""/>
        <xdr:cNvPicPr/>
      </xdr:nvPicPr>
      <xdr:blipFill>
        <a:blip r:embed="rId1"/>
        <a:stretch/>
      </xdr:blipFill>
      <xdr:spPr>
        <a:xfrm>
          <a:off x="492840" y="790560"/>
          <a:ext cx="2479680" cy="590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118080</xdr:colOff>
      <xdr:row>2</xdr:row>
      <xdr:rowOff>171000</xdr:rowOff>
    </xdr:from>
    <xdr:to>
      <xdr:col>8</xdr:col>
      <xdr:colOff>1551600</xdr:colOff>
      <xdr:row>4</xdr:row>
      <xdr:rowOff>219240</xdr:rowOff>
    </xdr:to>
    <xdr:pic>
      <xdr:nvPicPr>
        <xdr:cNvPr id="12" name="Picture 4" descr=""/>
        <xdr:cNvPicPr/>
      </xdr:nvPicPr>
      <xdr:blipFill>
        <a:blip r:embed="rId1"/>
        <a:stretch/>
      </xdr:blipFill>
      <xdr:spPr>
        <a:xfrm>
          <a:off x="7945560" y="723600"/>
          <a:ext cx="1433520" cy="52452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9</xdr:col>
      <xdr:colOff>246600</xdr:colOff>
      <xdr:row>15</xdr:row>
      <xdr:rowOff>247680</xdr:rowOff>
    </xdr:to>
    <xdr:sp>
      <xdr:nvSpPr>
        <xdr:cNvPr id="13" name="Rectangle 2"/>
        <xdr:cNvSpPr/>
      </xdr:nvSpPr>
      <xdr:spPr>
        <a:xfrm>
          <a:off x="246240" y="552600"/>
          <a:ext cx="9397800" cy="407664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07932" dir="2700000" blurRad="0" rotWithShape="0">
            <a:srgbClr val="80808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157680</xdr:colOff>
      <xdr:row>2</xdr:row>
      <xdr:rowOff>152280</xdr:rowOff>
    </xdr:from>
    <xdr:to>
      <xdr:col>4</xdr:col>
      <xdr:colOff>1604520</xdr:colOff>
      <xdr:row>5</xdr:row>
      <xdr:rowOff>10080</xdr:rowOff>
    </xdr:to>
    <xdr:pic>
      <xdr:nvPicPr>
        <xdr:cNvPr id="14" name="Picture 3" descr=""/>
        <xdr:cNvPicPr/>
      </xdr:nvPicPr>
      <xdr:blipFill>
        <a:blip r:embed="rId2"/>
        <a:stretch/>
      </xdr:blipFill>
      <xdr:spPr>
        <a:xfrm>
          <a:off x="403920" y="704880"/>
          <a:ext cx="2432520" cy="572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8</xdr:col>
      <xdr:colOff>360</xdr:colOff>
      <xdr:row>23</xdr:row>
      <xdr:rowOff>247680</xdr:rowOff>
    </xdr:to>
    <xdr:sp>
      <xdr:nvSpPr>
        <xdr:cNvPr id="15" name="Rectangle 5"/>
        <xdr:cNvSpPr/>
      </xdr:nvSpPr>
      <xdr:spPr>
        <a:xfrm>
          <a:off x="246240" y="571680"/>
          <a:ext cx="8994600" cy="641772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07932" dir="2700000" blurRad="0" rotWithShape="0">
            <a:srgbClr val="80808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79200</xdr:colOff>
      <xdr:row>2</xdr:row>
      <xdr:rowOff>94680</xdr:rowOff>
    </xdr:from>
    <xdr:to>
      <xdr:col>3</xdr:col>
      <xdr:colOff>2585520</xdr:colOff>
      <xdr:row>5</xdr:row>
      <xdr:rowOff>77040</xdr:rowOff>
    </xdr:to>
    <xdr:pic>
      <xdr:nvPicPr>
        <xdr:cNvPr id="16" name="Picture 8" descr=""/>
        <xdr:cNvPicPr/>
      </xdr:nvPicPr>
      <xdr:blipFill>
        <a:blip r:embed="rId1"/>
        <a:stretch/>
      </xdr:blipFill>
      <xdr:spPr>
        <a:xfrm>
          <a:off x="325440" y="666360"/>
          <a:ext cx="2900160" cy="686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7</xdr:col>
      <xdr:colOff>246600</xdr:colOff>
      <xdr:row>26</xdr:row>
      <xdr:rowOff>237960</xdr:rowOff>
    </xdr:to>
    <xdr:sp>
      <xdr:nvSpPr>
        <xdr:cNvPr id="17" name="Rectangle 9"/>
        <xdr:cNvSpPr/>
      </xdr:nvSpPr>
      <xdr:spPr>
        <a:xfrm>
          <a:off x="246240" y="561960"/>
          <a:ext cx="9063720" cy="617220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07932" dir="2700000" blurRad="0" rotWithShape="0">
            <a:srgbClr val="80808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98640</xdr:colOff>
      <xdr:row>2</xdr:row>
      <xdr:rowOff>171360</xdr:rowOff>
    </xdr:from>
    <xdr:to>
      <xdr:col>3</xdr:col>
      <xdr:colOff>2209680</xdr:colOff>
      <xdr:row>5</xdr:row>
      <xdr:rowOff>95760</xdr:rowOff>
    </xdr:to>
    <xdr:pic>
      <xdr:nvPicPr>
        <xdr:cNvPr id="18" name="Picture 13" descr=""/>
        <xdr:cNvPicPr/>
      </xdr:nvPicPr>
      <xdr:blipFill>
        <a:blip r:embed="rId1"/>
        <a:stretch/>
      </xdr:blipFill>
      <xdr:spPr>
        <a:xfrm>
          <a:off x="344880" y="733320"/>
          <a:ext cx="2593800" cy="62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12</xdr:col>
      <xdr:colOff>246600</xdr:colOff>
      <xdr:row>40</xdr:row>
      <xdr:rowOff>190440</xdr:rowOff>
    </xdr:to>
    <xdr:sp>
      <xdr:nvSpPr>
        <xdr:cNvPr id="19" name="Rectangle 4"/>
        <xdr:cNvSpPr/>
      </xdr:nvSpPr>
      <xdr:spPr>
        <a:xfrm>
          <a:off x="246240" y="466560"/>
          <a:ext cx="12083760" cy="7798680"/>
        </a:xfrm>
        <a:prstGeom prst="rect">
          <a:avLst/>
        </a:prstGeom>
        <a:noFill/>
        <a:ln w="9360">
          <a:solidFill>
            <a:srgbClr val="000000"/>
          </a:solidFill>
          <a:miter/>
        </a:ln>
        <a:effectLst>
          <a:outerShdw dist="107932" dir="2700000" blurRad="0" rotWithShape="0">
            <a:srgbClr val="80808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128160</xdr:colOff>
      <xdr:row>3</xdr:row>
      <xdr:rowOff>0</xdr:rowOff>
    </xdr:from>
    <xdr:to>
      <xdr:col>3</xdr:col>
      <xdr:colOff>198000</xdr:colOff>
      <xdr:row>5</xdr:row>
      <xdr:rowOff>208800</xdr:rowOff>
    </xdr:to>
    <xdr:pic>
      <xdr:nvPicPr>
        <xdr:cNvPr id="20" name="Picture 10" descr=""/>
        <xdr:cNvPicPr/>
      </xdr:nvPicPr>
      <xdr:blipFill>
        <a:blip r:embed="rId1"/>
        <a:stretch/>
      </xdr:blipFill>
      <xdr:spPr>
        <a:xfrm>
          <a:off x="374400" y="619200"/>
          <a:ext cx="2893680" cy="685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296875" defaultRowHeight="18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296875" defaultRowHeight="18.75" zeroHeight="false" outlineLevelRow="0" outlineLevelCol="0"/>
  <cols>
    <col collapsed="false" customWidth="true" hidden="false" outlineLevel="0" max="3" min="1" style="0" width="2.77"/>
    <col collapsed="false" customWidth="true" hidden="false" outlineLevel="0" max="5" min="5" style="0" width="81.77"/>
    <col collapsed="false" customWidth="true" hidden="false" outlineLevel="0" max="6" min="6" style="0" width="3.55"/>
    <col collapsed="false" customWidth="true" hidden="false" outlineLevel="0" max="7" min="7" style="0" width="2.77"/>
  </cols>
  <sheetData>
    <row r="1" customFormat="false" ht="18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9.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9.5" hidden="false" customHeight="false" outlineLevel="0" collapsed="false">
      <c r="A3" s="1"/>
      <c r="B3" s="2"/>
      <c r="C3" s="3"/>
      <c r="D3" s="3"/>
      <c r="E3" s="3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customFormat="false" ht="20.25" hidden="false" customHeight="false" outlineLevel="0" collapsed="false">
      <c r="A4" s="1"/>
      <c r="B4" s="5"/>
      <c r="C4" s="6" t="s">
        <v>0</v>
      </c>
      <c r="D4" s="6"/>
      <c r="E4" s="6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19.5" hidden="false" customHeight="false" outlineLevel="0" collapsed="false">
      <c r="A5" s="1"/>
      <c r="B5" s="5"/>
      <c r="C5" s="5"/>
      <c r="D5" s="8"/>
      <c r="E5" s="7"/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customFormat="false" ht="23.25" hidden="false" customHeight="false" outlineLevel="0" collapsed="false">
      <c r="A6" s="1"/>
      <c r="B6" s="5"/>
      <c r="C6" s="5"/>
      <c r="D6" s="9"/>
      <c r="E6" s="7" t="s">
        <v>1</v>
      </c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customFormat="false" ht="19.5" hidden="false" customHeight="false" outlineLevel="0" collapsed="false">
      <c r="A7" s="1"/>
      <c r="B7" s="5"/>
      <c r="C7" s="5"/>
      <c r="D7" s="8"/>
      <c r="E7" s="7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customFormat="false" ht="23.25" hidden="false" customHeight="false" outlineLevel="0" collapsed="false">
      <c r="A8" s="1"/>
      <c r="B8" s="5"/>
      <c r="C8" s="5"/>
      <c r="D8" s="10"/>
      <c r="E8" s="7" t="s">
        <v>2</v>
      </c>
      <c r="F8" s="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customFormat="false" ht="19.5" hidden="false" customHeight="false" outlineLevel="0" collapsed="false">
      <c r="A9" s="1"/>
      <c r="B9" s="5"/>
      <c r="C9" s="5"/>
      <c r="D9" s="8"/>
      <c r="E9" s="7"/>
      <c r="F9" s="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customFormat="false" ht="23.25" hidden="false" customHeight="false" outlineLevel="0" collapsed="false">
      <c r="A10" s="1"/>
      <c r="B10" s="5"/>
      <c r="C10" s="5"/>
      <c r="D10" s="11"/>
      <c r="E10" s="7" t="s">
        <v>3</v>
      </c>
      <c r="F10" s="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customFormat="false" ht="19.5" hidden="false" customHeight="false" outlineLevel="0" collapsed="false">
      <c r="A11" s="1"/>
      <c r="B11" s="5"/>
      <c r="C11" s="12"/>
      <c r="D11" s="13"/>
      <c r="E11" s="14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customFormat="false" ht="19.5" hidden="false" customHeight="false" outlineLevel="0" collapsed="false">
      <c r="A12" s="1"/>
      <c r="B12" s="12"/>
      <c r="C12" s="13"/>
      <c r="D12" s="13"/>
      <c r="E12" s="13"/>
      <c r="F12" s="1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customFormat="false" ht="18.7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customFormat="false" ht="18.7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customFormat="false" ht="18.7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customFormat="false" ht="18.7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customFormat="false" ht="19.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customFormat="false" ht="22.5" hidden="false" customHeight="false" outlineLevel="0" collapsed="false">
      <c r="A18" s="1"/>
      <c r="B18" s="1"/>
      <c r="C18" s="15" t="s">
        <v>4</v>
      </c>
      <c r="D18" s="15"/>
      <c r="E18" s="1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customFormat="false" ht="23.25" hidden="false" customHeight="false" outlineLevel="0" collapsed="false">
      <c r="A19" s="1"/>
      <c r="B19" s="1"/>
      <c r="C19" s="16" t="s">
        <v>5</v>
      </c>
      <c r="D19" s="16"/>
      <c r="E19" s="1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customFormat="false" ht="18.7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customFormat="false" ht="18.7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customFormat="false" ht="18.7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customFormat="false" ht="18.7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customFormat="false" ht="18.7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customFormat="false" ht="18.7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customFormat="false" ht="18.7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customFormat="false" ht="18.7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customFormat="false" ht="18.7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customFormat="false" ht="18.7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customFormat="false" ht="18.7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customFormat="false" ht="18.7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customFormat="false" ht="18.7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8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customFormat="false" ht="18.7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customFormat="false" ht="18.7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customFormat="false" ht="18.7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customFormat="false" ht="18.7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customFormat="false" ht="18.7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8.7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customFormat="false" ht="18.7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customFormat="false" ht="18.7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customFormat="false" ht="18.7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customFormat="false" ht="18.7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customFormat="false" ht="18.7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customFormat="false" ht="18.7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customFormat="false" ht="18.7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customFormat="false" ht="18.7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customFormat="false" ht="18.7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customFormat="false" ht="18.7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customFormat="false" ht="18.7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customFormat="false" ht="18.7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customFormat="false" ht="18.7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customFormat="false" ht="18.7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customFormat="false" ht="18.7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customFormat="false" ht="18.7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customFormat="false" ht="18.7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customFormat="false" ht="18.7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customFormat="false" ht="18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customFormat="false" ht="18.7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customFormat="false" ht="18.7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customFormat="false" ht="18.7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customFormat="false" ht="18.7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18.7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18.7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18.7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customFormat="false" ht="18.7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customFormat="false" ht="18.7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customFormat="false" ht="18.7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customFormat="false" ht="18.7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customFormat="false" ht="18.7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customFormat="false" ht="18.7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customFormat="false" ht="18.7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</sheetData>
  <mergeCells count="3">
    <mergeCell ref="C4:E4"/>
    <mergeCell ref="C18:E18"/>
    <mergeCell ref="C19:E19"/>
  </mergeCells>
  <printOptions headings="false" gridLines="false" gridLinesSet="true" horizontalCentered="true" verticalCentered="true"/>
  <pageMargins left="0.25" right="0.25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71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defaultColWidth="8.87890625" defaultRowHeight="18" zeroHeight="false" outlineLevelRow="0" outlineLevelCol="0"/>
  <cols>
    <col collapsed="false" customWidth="true" hidden="false" outlineLevel="0" max="1" min="1" style="17" width="2.77"/>
    <col collapsed="false" customWidth="true" hidden="false" outlineLevel="0" max="2" min="2" style="18" width="2.77"/>
    <col collapsed="false" customWidth="true" hidden="false" outlineLevel="0" max="3" min="3" style="18" width="8.77"/>
    <col collapsed="false" customWidth="true" hidden="false" outlineLevel="0" max="4" min="4" style="18" width="72.77"/>
    <col collapsed="false" customWidth="true" hidden="false" outlineLevel="0" max="5" min="5" style="18" width="5.77"/>
    <col collapsed="false" customWidth="true" hidden="false" outlineLevel="0" max="6" min="6" style="18" width="15.66"/>
    <col collapsed="false" customWidth="true" hidden="false" outlineLevel="0" max="8" min="7" style="18" width="2.77"/>
    <col collapsed="false" customWidth="true" hidden="false" outlineLevel="0" max="9" min="9" style="18" width="27.44"/>
    <col collapsed="false" customWidth="false" hidden="false" outlineLevel="0" max="257" min="10" style="18" width="8.88"/>
  </cols>
  <sheetData>
    <row r="1" s="20" customFormat="true" ht="25.5" hidden="false" customHeight="false" outlineLevel="0" collapsed="false">
      <c r="A1" s="19" t="s">
        <v>6</v>
      </c>
      <c r="B1" s="19"/>
      <c r="C1" s="19"/>
      <c r="D1" s="19"/>
      <c r="E1" s="19"/>
      <c r="F1" s="19"/>
      <c r="G1" s="19"/>
      <c r="H1" s="19"/>
    </row>
    <row r="2" s="21" customFormat="true" ht="18.75" hidden="false" customHeight="false" outlineLevel="0" collapsed="false"/>
    <row r="3" s="25" customFormat="true" ht="18" hidden="false" customHeight="false" outlineLevel="0" collapsed="false">
      <c r="A3" s="21"/>
      <c r="B3" s="22"/>
      <c r="C3" s="23"/>
      <c r="D3" s="23"/>
      <c r="E3" s="23"/>
      <c r="F3" s="23"/>
      <c r="G3" s="24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="25" customFormat="true" ht="18.75" hidden="false" customHeight="false" outlineLevel="0" collapsed="false">
      <c r="A4" s="21"/>
      <c r="B4" s="26"/>
      <c r="C4" s="27" t="s">
        <v>7</v>
      </c>
      <c r="D4" s="21"/>
      <c r="E4" s="21"/>
      <c r="F4" s="21"/>
      <c r="G4" s="28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="25" customFormat="true" ht="18.75" hidden="false" customHeight="false" outlineLevel="0" collapsed="false">
      <c r="A5" s="21"/>
      <c r="B5" s="26"/>
      <c r="C5" s="27" t="s">
        <v>8</v>
      </c>
      <c r="D5" s="21"/>
      <c r="E5" s="21"/>
      <c r="F5" s="21"/>
      <c r="G5" s="28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="25" customFormat="true" ht="34.5" hidden="false" customHeight="false" outlineLevel="0" collapsed="false">
      <c r="A6" s="21"/>
      <c r="B6" s="26"/>
      <c r="C6" s="29" t="s">
        <v>9</v>
      </c>
      <c r="D6" s="29"/>
      <c r="E6" s="29"/>
      <c r="F6" s="29"/>
      <c r="G6" s="28" t="s">
        <v>10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customFormat="false" ht="18.75" hidden="false" customHeight="true" outlineLevel="0" collapsed="false">
      <c r="B7" s="26"/>
      <c r="C7" s="30"/>
      <c r="D7" s="30"/>
      <c r="E7" s="8"/>
      <c r="F7" s="21"/>
      <c r="G7" s="28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="37" customFormat="true" ht="27" hidden="false" customHeight="false" outlineLevel="0" collapsed="false">
      <c r="A8" s="31"/>
      <c r="B8" s="32"/>
      <c r="C8" s="33" t="s">
        <v>11</v>
      </c>
      <c r="D8" s="34"/>
      <c r="E8" s="35"/>
      <c r="F8" s="36" t="n">
        <v>160000</v>
      </c>
      <c r="G8" s="28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 customFormat="false" ht="93" hidden="false" customHeight="false" outlineLevel="0" collapsed="false">
      <c r="B9" s="26"/>
      <c r="C9" s="38"/>
      <c r="D9" s="39" t="s">
        <v>12</v>
      </c>
      <c r="E9" s="35"/>
      <c r="F9" s="30"/>
      <c r="G9" s="28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customFormat="false" ht="23.25" hidden="false" customHeight="false" outlineLevel="0" collapsed="false">
      <c r="B10" s="26"/>
      <c r="C10" s="30"/>
      <c r="D10" s="30"/>
      <c r="E10" s="35"/>
      <c r="F10" s="30"/>
      <c r="G10" s="28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="42" customFormat="true" ht="27" hidden="false" customHeight="false" outlineLevel="0" collapsed="false">
      <c r="A11" s="40"/>
      <c r="B11" s="41"/>
      <c r="C11" s="33" t="s">
        <v>13</v>
      </c>
      <c r="D11" s="33"/>
      <c r="E11" s="35"/>
      <c r="F11" s="33"/>
      <c r="G11" s="28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</row>
    <row r="12" s="37" customFormat="true" ht="27" hidden="false" customHeight="false" outlineLevel="0" collapsed="false">
      <c r="A12" s="31"/>
      <c r="B12" s="32"/>
      <c r="C12" s="34"/>
      <c r="D12" s="34" t="s">
        <v>14</v>
      </c>
      <c r="E12" s="35"/>
      <c r="F12" s="43" t="n">
        <v>5000</v>
      </c>
      <c r="G12" s="28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 s="37" customFormat="true" ht="27" hidden="false" customHeight="false" outlineLevel="0" collapsed="false">
      <c r="A13" s="31"/>
      <c r="B13" s="32"/>
      <c r="C13" s="34"/>
      <c r="D13" s="34" t="s">
        <v>15</v>
      </c>
      <c r="E13" s="35"/>
      <c r="F13" s="44" t="n">
        <v>0</v>
      </c>
      <c r="G13" s="28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 s="37" customFormat="true" ht="27" hidden="false" customHeight="false" outlineLevel="0" collapsed="false">
      <c r="A14" s="31"/>
      <c r="B14" s="32"/>
      <c r="C14" s="34"/>
      <c r="D14" s="34" t="s">
        <v>16</v>
      </c>
      <c r="E14" s="35"/>
      <c r="F14" s="45" t="n">
        <v>2500</v>
      </c>
      <c r="G14" s="28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 s="37" customFormat="true" ht="27" hidden="false" customHeight="false" outlineLevel="0" collapsed="false">
      <c r="A15" s="31"/>
      <c r="B15" s="32"/>
      <c r="C15" s="34"/>
      <c r="D15" s="34" t="s">
        <v>17</v>
      </c>
      <c r="E15" s="35"/>
      <c r="F15" s="44" t="n">
        <v>0</v>
      </c>
      <c r="G15" s="28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 customFormat="false" ht="24" hidden="false" customHeight="false" outlineLevel="0" collapsed="false">
      <c r="B16" s="26"/>
      <c r="C16" s="30"/>
      <c r="D16" s="30"/>
      <c r="E16" s="35"/>
      <c r="F16" s="30"/>
      <c r="G16" s="2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="37" customFormat="true" ht="27" hidden="false" customHeight="false" outlineLevel="0" collapsed="false">
      <c r="A17" s="31"/>
      <c r="B17" s="32"/>
      <c r="C17" s="34" t="s">
        <v>18</v>
      </c>
      <c r="D17" s="34"/>
      <c r="E17" s="35"/>
      <c r="F17" s="46" t="n">
        <v>0.35</v>
      </c>
      <c r="G17" s="28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 customFormat="false" ht="24" hidden="false" customHeight="false" outlineLevel="0" collapsed="false">
      <c r="B18" s="26"/>
      <c r="C18" s="30"/>
      <c r="D18" s="30"/>
      <c r="E18" s="35"/>
      <c r="F18" s="30"/>
      <c r="G18" s="28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="37" customFormat="true" ht="27" hidden="false" customHeight="false" outlineLevel="0" collapsed="false">
      <c r="A19" s="31"/>
      <c r="B19" s="32"/>
      <c r="C19" s="34" t="s">
        <v>19</v>
      </c>
      <c r="D19" s="34"/>
      <c r="E19" s="35"/>
      <c r="F19" s="46" t="n">
        <v>0.33</v>
      </c>
      <c r="G19" s="28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customFormat="false" ht="24" hidden="false" customHeight="false" outlineLevel="0" collapsed="false">
      <c r="B20" s="26"/>
      <c r="C20" s="30"/>
      <c r="D20" s="30"/>
      <c r="E20" s="35"/>
      <c r="F20" s="30"/>
      <c r="G20" s="28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="37" customFormat="true" ht="27" hidden="false" customHeight="false" outlineLevel="0" collapsed="false">
      <c r="A21" s="31"/>
      <c r="B21" s="32"/>
      <c r="C21" s="34" t="s">
        <v>20</v>
      </c>
      <c r="D21" s="34"/>
      <c r="E21" s="35"/>
      <c r="F21" s="47" t="n">
        <v>5</v>
      </c>
      <c r="G21" s="28"/>
      <c r="H21" s="31"/>
      <c r="I21" s="48" t="str">
        <f aca="false">IF(Cap_Eval_Dur=5," ",IF(Cap_Eval_Dur=7," ",IF(Cap_Eval_Dur=0,"&lt;== Enter Duration","&lt;== Invalid Duration")))</f>
        <v> 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 customFormat="false" ht="24" hidden="false" customHeight="false" outlineLevel="0" collapsed="false">
      <c r="B22" s="26"/>
      <c r="C22" s="30"/>
      <c r="D22" s="30"/>
      <c r="E22" s="35"/>
      <c r="F22" s="30"/>
      <c r="G22" s="28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="37" customFormat="true" ht="27" hidden="false" customHeight="false" outlineLevel="0" collapsed="false">
      <c r="A23" s="31"/>
      <c r="B23" s="32"/>
      <c r="C23" s="34" t="s">
        <v>21</v>
      </c>
      <c r="D23" s="34"/>
      <c r="E23" s="35"/>
      <c r="F23" s="46" t="n">
        <v>0.06</v>
      </c>
      <c r="G23" s="28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customFormat="false" ht="24" hidden="false" customHeight="false" outlineLevel="0" collapsed="false">
      <c r="B24" s="26"/>
      <c r="C24" s="30"/>
      <c r="D24" s="30"/>
      <c r="E24" s="35"/>
      <c r="F24" s="30"/>
      <c r="G24" s="28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="37" customFormat="true" ht="27" hidden="false" customHeight="false" outlineLevel="0" collapsed="false">
      <c r="A25" s="31"/>
      <c r="B25" s="32"/>
      <c r="C25" s="34" t="s">
        <v>22</v>
      </c>
      <c r="D25" s="34"/>
      <c r="E25" s="35"/>
      <c r="F25" s="47" t="n">
        <v>24</v>
      </c>
      <c r="G25" s="28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 customFormat="false" ht="18.75" hidden="false" customHeight="false" outlineLevel="0" collapsed="false">
      <c r="B26" s="49"/>
      <c r="C26" s="50"/>
      <c r="D26" s="50"/>
      <c r="E26" s="50"/>
      <c r="F26" s="50"/>
      <c r="G26" s="51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customFormat="false" ht="18.75" hidden="false" customHeight="false" outlineLevel="0" collapsed="false">
      <c r="B27" s="17"/>
      <c r="C27" s="1"/>
      <c r="D27" s="1"/>
      <c r="E27" s="1"/>
      <c r="F27" s="1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customFormat="false" ht="18" hidden="false" customHeight="false" outlineLevel="0" collapsed="false">
      <c r="B28" s="17"/>
      <c r="C28" s="17" t="s">
        <v>10</v>
      </c>
      <c r="D28" s="17" t="s">
        <v>10</v>
      </c>
      <c r="E28" s="17" t="s">
        <v>10</v>
      </c>
      <c r="F28" s="17" t="s">
        <v>10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customFormat="false" ht="18" hidden="false" customHeight="false" outlineLevel="0" collapsed="false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customFormat="false" ht="18" hidden="false" customHeight="false" outlineLevel="0" collapsed="false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customFormat="false" ht="18" hidden="false" customHeight="false" outlineLevel="0" collapsed="false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customFormat="false" ht="18" hidden="false" customHeight="false" outlineLevel="0" collapsed="false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customFormat="false" ht="18" hidden="false" customHeight="false" outlineLevel="0" collapsed="false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customFormat="false" ht="18" hidden="false" customHeight="false" outlineLevel="0" collapsed="false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customFormat="false" ht="18" hidden="false" customHeight="false" outlineLevel="0" collapsed="false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customFormat="false" ht="18" hidden="false" customHeight="false" outlineLevel="0" collapsed="false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customFormat="false" ht="18" hidden="false" customHeight="false" outlineLevel="0" collapsed="false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customFormat="false" ht="18" hidden="false" customHeight="false" outlineLevel="0" collapsed="false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customFormat="false" ht="18" hidden="false" customHeight="false" outlineLevel="0" collapsed="false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customFormat="false" ht="18" hidden="false" customHeight="false" outlineLevel="0" collapsed="false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customFormat="false" ht="18" hidden="false" customHeight="false" outlineLevel="0" collapsed="false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customFormat="false" ht="18" hidden="false" customHeight="false" outlineLevel="0" collapsed="false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customFormat="false" ht="18" hidden="false" customHeight="false" outlineLevel="0" collapsed="false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customFormat="false" ht="18" hidden="false" customHeight="false" outlineLevel="0" collapsed="false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customFormat="false" ht="18" hidden="false" customHeight="false" outlineLevel="0" collapsed="false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customFormat="false" ht="18" hidden="false" customHeight="false" outlineLevel="0" collapsed="false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customFormat="false" ht="18" hidden="false" customHeight="false" outlineLevel="0" collapsed="false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customFormat="false" ht="18" hidden="false" customHeight="false" outlineLevel="0" collapsed="false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customFormat="false" ht="18" hidden="false" customHeight="false" outlineLevel="0" collapsed="false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customFormat="false" ht="18" hidden="false" customHeight="false" outlineLevel="0" collapsed="false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customFormat="false" ht="18" hidden="false" customHeight="false" outlineLevel="0" collapsed="false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customFormat="false" ht="18" hidden="false" customHeight="false" outlineLevel="0" collapsed="false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customFormat="false" ht="18" hidden="false" customHeight="false" outlineLevel="0" collapsed="false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customFormat="false" ht="18" hidden="false" customHeight="false" outlineLevel="0" collapsed="false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customFormat="false" ht="18" hidden="false" customHeight="false" outlineLevel="0" collapsed="false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customFormat="false" ht="18" hidden="false" customHeight="false" outlineLevel="0" collapsed="false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customFormat="false" ht="18" hidden="false" customHeight="false" outlineLevel="0" collapsed="false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customFormat="false" ht="18" hidden="false" customHeight="false" outlineLevel="0" collapsed="false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customFormat="false" ht="18" hidden="false" customHeight="false" outlineLevel="0" collapsed="false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customFormat="false" ht="18" hidden="false" customHeight="false" outlineLevel="0" collapsed="false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customFormat="false" ht="18" hidden="false" customHeight="false" outlineLevel="0" collapsed="false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customFormat="false" ht="18" hidden="false" customHeight="false" outlineLevel="0" collapsed="false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customFormat="false" ht="18" hidden="false" customHeight="false" outlineLevel="0" collapsed="false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customFormat="false" ht="18" hidden="false" customHeight="false" outlineLevel="0" collapsed="false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customFormat="false" ht="18" hidden="false" customHeight="false" outlineLevel="0" collapsed="false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customFormat="false" ht="18" hidden="false" customHeight="false" outlineLevel="0" collapsed="false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customFormat="false" ht="18" hidden="false" customHeight="false" outlineLevel="0" collapsed="false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customFormat="false" ht="18" hidden="false" customHeight="false" outlineLevel="0" collapsed="false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customFormat="false" ht="18" hidden="false" customHeight="false" outlineLevel="0" collapsed="false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customFormat="false" ht="18" hidden="false" customHeight="false" outlineLevel="0" collapsed="false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customFormat="false" ht="18" hidden="false" customHeight="false" outlineLevel="0" collapsed="false">
      <c r="F71" s="17"/>
    </row>
  </sheetData>
  <mergeCells count="2">
    <mergeCell ref="A1:H1"/>
    <mergeCell ref="C6:F6"/>
  </mergeCells>
  <printOptions headings="false" gridLines="false" gridLinesSet="true" horizontalCentered="true" verticalCentered="false"/>
  <pageMargins left="0.5" right="0.5" top="1.03958333333333" bottom="0.984027777777778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&amp;C&amp;"Arial,Bold"&amp;18Application Description&amp;R&amp;"Arial,Bold"&amp;10 </oddHeader>
    <oddFooter>&amp;L&amp;"Arial,Bold"&amp;10 Proposal 10xxxx
 &amp;C&amp;"Arial,Bold"&amp;10Page 1 of 9
&amp;"Times New Roman,Regular"The information contained herein is proprietary and confidential, and should not be shared outside "nickname"&amp;R&amp;"Arial,Bold"&amp;10&amp;D - &amp;T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8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defaultColWidth="8.87890625" defaultRowHeight="18.75" zeroHeight="false" outlineLevelRow="0" outlineLevelCol="0"/>
  <cols>
    <col collapsed="false" customWidth="true" hidden="false" outlineLevel="0" max="1" min="1" style="17" width="2.77"/>
    <col collapsed="false" customWidth="true" hidden="false" outlineLevel="0" max="2" min="2" style="18" width="2.77"/>
    <col collapsed="false" customWidth="true" hidden="false" outlineLevel="0" max="3" min="3" style="18" width="6.66"/>
    <col collapsed="false" customWidth="true" hidden="false" outlineLevel="0" max="4" min="4" style="18" width="1.66"/>
    <col collapsed="false" customWidth="true" hidden="false" outlineLevel="0" max="5" min="5" style="18" width="50.66"/>
    <col collapsed="false" customWidth="true" hidden="false" outlineLevel="0" max="6" min="6" style="0" width="10.44"/>
    <col collapsed="false" customWidth="true" hidden="false" outlineLevel="0" max="7" min="7" style="18" width="2.77"/>
    <col collapsed="false" customWidth="true" hidden="false" outlineLevel="0" max="8" min="8" style="18" width="17.66"/>
    <col collapsed="false" customWidth="true" hidden="false" outlineLevel="0" max="10" min="9" style="18" width="2.77"/>
    <col collapsed="false" customWidth="false" hidden="false" outlineLevel="0" max="11" min="11" style="18" width="8.88"/>
    <col collapsed="false" customWidth="true" hidden="false" outlineLevel="0" max="12" min="12" style="18" width="9.55"/>
    <col collapsed="false" customWidth="false" hidden="false" outlineLevel="0" max="257" min="13" style="18" width="8.88"/>
  </cols>
  <sheetData>
    <row r="1" s="20" customFormat="true" ht="25.5" hidden="false" customHeight="false" outlineLevel="0" collapsed="false">
      <c r="A1" s="19" t="s">
        <v>6</v>
      </c>
      <c r="B1" s="19"/>
      <c r="C1" s="19"/>
      <c r="D1" s="19"/>
      <c r="E1" s="19"/>
      <c r="F1" s="19"/>
      <c r="G1" s="19"/>
      <c r="H1" s="19"/>
      <c r="I1" s="19"/>
      <c r="J1" s="19"/>
    </row>
    <row r="2" s="17" customFormat="true" ht="19.5" hidden="false" customHeight="false" outlineLevel="0" collapsed="false">
      <c r="F2" s="1"/>
    </row>
    <row r="3" s="25" customFormat="true" ht="18" hidden="false" customHeight="false" outlineLevel="0" collapsed="false">
      <c r="A3" s="21"/>
      <c r="B3" s="22"/>
      <c r="C3" s="23"/>
      <c r="D3" s="23"/>
      <c r="E3" s="23"/>
      <c r="F3" s="23"/>
      <c r="G3" s="23"/>
      <c r="H3" s="23"/>
      <c r="I3" s="24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="25" customFormat="true" ht="18.75" hidden="false" customHeight="false" outlineLevel="0" collapsed="false">
      <c r="A4" s="21"/>
      <c r="B4" s="26"/>
      <c r="C4" s="27" t="s">
        <v>7</v>
      </c>
      <c r="D4" s="21"/>
      <c r="E4" s="21"/>
      <c r="F4" s="21"/>
      <c r="G4" s="21"/>
      <c r="H4" s="21"/>
      <c r="I4" s="28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="25" customFormat="true" ht="18.75" hidden="false" customHeight="false" outlineLevel="0" collapsed="false">
      <c r="A5" s="21"/>
      <c r="B5" s="26"/>
      <c r="C5" s="27" t="s">
        <v>8</v>
      </c>
      <c r="D5" s="21"/>
      <c r="E5" s="21"/>
      <c r="F5" s="8"/>
      <c r="G5" s="21"/>
      <c r="H5" s="21"/>
      <c r="I5" s="28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customFormat="false" ht="34.5" hidden="false" customHeight="false" outlineLevel="0" collapsed="false">
      <c r="B6" s="26" t="s">
        <v>10</v>
      </c>
      <c r="C6" s="29" t="s">
        <v>23</v>
      </c>
      <c r="D6" s="29"/>
      <c r="E6" s="29"/>
      <c r="F6" s="29"/>
      <c r="G6" s="29"/>
      <c r="H6" s="29"/>
      <c r="I6" s="2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customFormat="false" ht="19.5" hidden="false" customHeight="false" outlineLevel="0" collapsed="false">
      <c r="B7" s="26"/>
      <c r="C7" s="21" t="s">
        <v>10</v>
      </c>
      <c r="D7" s="21"/>
      <c r="E7" s="21" t="s">
        <v>10</v>
      </c>
      <c r="F7" s="8"/>
      <c r="G7" s="21"/>
      <c r="H7" s="21" t="s">
        <v>10</v>
      </c>
      <c r="I7" s="2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="37" customFormat="true" ht="27" hidden="false" customHeight="false" outlineLevel="0" collapsed="false">
      <c r="A8" s="31"/>
      <c r="B8" s="32"/>
      <c r="C8" s="34" t="s">
        <v>24</v>
      </c>
      <c r="D8" s="34"/>
      <c r="E8" s="34"/>
      <c r="F8" s="8"/>
      <c r="G8" s="8"/>
      <c r="H8" s="52" t="n">
        <f aca="false">SUM(F9:F12)</f>
        <v>2</v>
      </c>
      <c r="I8" s="53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 customFormat="false" ht="19.5" hidden="false" customHeight="false" outlineLevel="0" collapsed="false">
      <c r="B9" s="26"/>
      <c r="C9" s="21"/>
      <c r="D9" s="21" t="s">
        <v>10</v>
      </c>
      <c r="E9" s="21" t="s">
        <v>25</v>
      </c>
      <c r="F9" s="54" t="n">
        <v>1</v>
      </c>
      <c r="G9" s="55"/>
      <c r="H9" s="55"/>
      <c r="I9" s="2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customFormat="false" ht="19.5" hidden="false" customHeight="false" outlineLevel="0" collapsed="false">
      <c r="B10" s="26"/>
      <c r="C10" s="21"/>
      <c r="D10" s="21"/>
      <c r="E10" s="21" t="s">
        <v>26</v>
      </c>
      <c r="F10" s="56" t="n">
        <v>0</v>
      </c>
      <c r="G10" s="55"/>
      <c r="H10" s="55"/>
      <c r="I10" s="28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customFormat="false" ht="19.5" hidden="false" customHeight="false" outlineLevel="0" collapsed="false">
      <c r="B11" s="26"/>
      <c r="C11" s="21"/>
      <c r="D11" s="21"/>
      <c r="E11" s="21" t="s">
        <v>27</v>
      </c>
      <c r="F11" s="57" t="n">
        <v>0</v>
      </c>
      <c r="G11" s="55"/>
      <c r="H11" s="55"/>
      <c r="I11" s="28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customFormat="false" ht="19.5" hidden="false" customHeight="false" outlineLevel="0" collapsed="false">
      <c r="B12" s="26"/>
      <c r="C12" s="21"/>
      <c r="D12" s="21"/>
      <c r="E12" s="21" t="s">
        <v>28</v>
      </c>
      <c r="F12" s="56" t="n">
        <v>1</v>
      </c>
      <c r="G12" s="55"/>
      <c r="H12" s="55"/>
      <c r="I12" s="28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customFormat="false" ht="24" hidden="false" customHeight="false" outlineLevel="0" collapsed="false">
      <c r="B13" s="26"/>
      <c r="C13" s="30"/>
      <c r="D13" s="30"/>
      <c r="E13" s="30"/>
      <c r="F13" s="35"/>
      <c r="G13" s="58"/>
      <c r="H13" s="58"/>
      <c r="I13" s="28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="37" customFormat="true" ht="27" hidden="false" customHeight="false" outlineLevel="0" collapsed="false">
      <c r="A14" s="31"/>
      <c r="B14" s="32"/>
      <c r="C14" s="34" t="s">
        <v>29</v>
      </c>
      <c r="D14" s="34"/>
      <c r="E14" s="34"/>
      <c r="F14" s="35"/>
      <c r="G14" s="34"/>
      <c r="H14" s="52" t="n">
        <f aca="false">SUM(F15:F18)</f>
        <v>1</v>
      </c>
      <c r="I14" s="53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 customFormat="false" ht="19.5" hidden="false" customHeight="false" outlineLevel="0" collapsed="false">
      <c r="B15" s="26"/>
      <c r="C15" s="21"/>
      <c r="D15" s="21" t="s">
        <v>10</v>
      </c>
      <c r="E15" s="21" t="s">
        <v>25</v>
      </c>
      <c r="F15" s="54" t="n">
        <v>0</v>
      </c>
      <c r="G15" s="55"/>
      <c r="H15" s="55"/>
      <c r="I15" s="2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customFormat="false" ht="19.5" hidden="false" customHeight="false" outlineLevel="0" collapsed="false">
      <c r="B16" s="26"/>
      <c r="C16" s="21"/>
      <c r="D16" s="21"/>
      <c r="E16" s="21" t="s">
        <v>26</v>
      </c>
      <c r="F16" s="56" t="n">
        <v>0</v>
      </c>
      <c r="G16" s="55"/>
      <c r="H16" s="55"/>
      <c r="I16" s="28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customFormat="false" ht="19.5" hidden="false" customHeight="false" outlineLevel="0" collapsed="false">
      <c r="B17" s="26"/>
      <c r="C17" s="21"/>
      <c r="D17" s="21"/>
      <c r="E17" s="21" t="s">
        <v>27</v>
      </c>
      <c r="F17" s="57" t="n">
        <v>0</v>
      </c>
      <c r="G17" s="55"/>
      <c r="H17" s="55"/>
      <c r="I17" s="28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customFormat="false" ht="19.5" hidden="false" customHeight="false" outlineLevel="0" collapsed="false">
      <c r="B18" s="26"/>
      <c r="C18" s="21"/>
      <c r="D18" s="21"/>
      <c r="E18" s="21" t="s">
        <v>28</v>
      </c>
      <c r="F18" s="56" t="n">
        <v>1</v>
      </c>
      <c r="G18" s="55"/>
      <c r="H18" s="55"/>
      <c r="I18" s="28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customFormat="false" ht="24" hidden="false" customHeight="false" outlineLevel="0" collapsed="false">
      <c r="B19" s="26"/>
      <c r="C19" s="30"/>
      <c r="D19" s="30" t="s">
        <v>10</v>
      </c>
      <c r="E19" s="30"/>
      <c r="F19" s="35"/>
      <c r="G19" s="59"/>
      <c r="H19" s="59" t="s">
        <v>10</v>
      </c>
      <c r="I19" s="28"/>
      <c r="J19" s="17"/>
      <c r="K19" s="17"/>
      <c r="L19" s="1"/>
      <c r="M19" s="1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="37" customFormat="true" ht="27" hidden="false" customHeight="false" outlineLevel="0" collapsed="false">
      <c r="A20" s="31"/>
      <c r="B20" s="32"/>
      <c r="C20" s="34" t="s">
        <v>30</v>
      </c>
      <c r="D20" s="34"/>
      <c r="E20" s="34"/>
      <c r="F20" s="35"/>
      <c r="G20" s="34"/>
      <c r="H20" s="60" t="n">
        <v>2</v>
      </c>
      <c r="I20" s="53"/>
      <c r="J20" s="31"/>
      <c r="K20" s="31"/>
      <c r="L20" s="1"/>
      <c r="M20" s="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customFormat="false" ht="24" hidden="false" customHeight="false" outlineLevel="0" collapsed="false">
      <c r="B21" s="26"/>
      <c r="C21" s="30"/>
      <c r="D21" s="30"/>
      <c r="E21" s="30"/>
      <c r="F21" s="35"/>
      <c r="G21" s="59"/>
      <c r="H21" s="59"/>
      <c r="I21" s="28"/>
      <c r="J21" s="17"/>
      <c r="K21" s="17"/>
      <c r="L21" s="1"/>
      <c r="M21" s="1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customFormat="false" ht="24" hidden="false" customHeight="false" outlineLevel="0" collapsed="false">
      <c r="B22" s="26"/>
      <c r="C22" s="34" t="s">
        <v>31</v>
      </c>
      <c r="D22" s="30"/>
      <c r="E22" s="30"/>
      <c r="F22" s="35"/>
      <c r="G22" s="34"/>
      <c r="H22" s="52" t="n">
        <f aca="false">F23*F24*F25</f>
        <v>2000</v>
      </c>
      <c r="I22" s="28"/>
      <c r="J22" s="17"/>
      <c r="K22" s="17"/>
      <c r="L22" s="1"/>
      <c r="M22" s="1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customFormat="false" ht="19.5" hidden="false" customHeight="false" outlineLevel="0" collapsed="false">
      <c r="B23" s="26"/>
      <c r="C23" s="21"/>
      <c r="D23" s="21" t="s">
        <v>10</v>
      </c>
      <c r="E23" s="21" t="s">
        <v>32</v>
      </c>
      <c r="F23" s="61" t="n">
        <v>8</v>
      </c>
      <c r="G23" s="55"/>
      <c r="H23" s="55"/>
      <c r="I23" s="28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customFormat="false" ht="19.5" hidden="false" customHeight="false" outlineLevel="0" collapsed="false">
      <c r="B24" s="26"/>
      <c r="C24" s="21"/>
      <c r="D24" s="21"/>
      <c r="E24" s="21" t="s">
        <v>33</v>
      </c>
      <c r="F24" s="62" t="n">
        <v>5</v>
      </c>
      <c r="G24" s="55"/>
      <c r="H24" s="55"/>
      <c r="I24" s="28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customFormat="false" ht="19.5" hidden="false" customHeight="false" outlineLevel="0" collapsed="false">
      <c r="B25" s="26"/>
      <c r="C25" s="21"/>
      <c r="D25" s="21"/>
      <c r="E25" s="21" t="s">
        <v>34</v>
      </c>
      <c r="F25" s="63" t="n">
        <v>50</v>
      </c>
      <c r="G25" s="55"/>
      <c r="H25" s="55"/>
      <c r="I25" s="28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customFormat="false" ht="19.5" hidden="false" customHeight="false" outlineLevel="0" collapsed="false">
      <c r="B26" s="26"/>
      <c r="C26" s="21"/>
      <c r="D26" s="21"/>
      <c r="E26" s="21"/>
      <c r="F26" s="64"/>
      <c r="G26" s="55"/>
      <c r="H26" s="55"/>
      <c r="I26" s="28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customFormat="false" ht="23.25" hidden="false" customHeight="false" outlineLevel="0" collapsed="false">
      <c r="B27" s="26"/>
      <c r="C27" s="34" t="s">
        <v>35</v>
      </c>
      <c r="D27" s="30"/>
      <c r="E27" s="30"/>
      <c r="F27" s="35"/>
      <c r="G27" s="30"/>
      <c r="H27" s="65" t="n">
        <f aca="false">Hrs_Laborer*H8*shifts</f>
        <v>8000</v>
      </c>
      <c r="I27" s="28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customFormat="false" ht="30" hidden="false" customHeight="false" outlineLevel="0" collapsed="false">
      <c r="B28" s="26"/>
      <c r="C28" s="34" t="s">
        <v>36</v>
      </c>
      <c r="D28" s="30"/>
      <c r="E28" s="30"/>
      <c r="F28" s="35"/>
      <c r="G28" s="30"/>
      <c r="H28" s="66" t="n">
        <f aca="false">Hrs_Laborer*H14*shifts</f>
        <v>4000</v>
      </c>
      <c r="I28" s="28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="72" customFormat="true" ht="30.75" hidden="false" customHeight="false" outlineLevel="0" collapsed="false">
      <c r="A29" s="67"/>
      <c r="B29" s="68"/>
      <c r="C29" s="34" t="s">
        <v>37</v>
      </c>
      <c r="D29" s="30"/>
      <c r="E29" s="30"/>
      <c r="F29" s="35"/>
      <c r="G29" s="69"/>
      <c r="H29" s="70" t="n">
        <f aca="false">H27-H28</f>
        <v>4000</v>
      </c>
      <c r="I29" s="71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</row>
    <row r="30" s="72" customFormat="true" ht="30" hidden="false" customHeight="false" outlineLevel="0" collapsed="false">
      <c r="A30" s="67"/>
      <c r="B30" s="68"/>
      <c r="C30" s="34"/>
      <c r="D30" s="30"/>
      <c r="E30" s="30"/>
      <c r="F30" s="35"/>
      <c r="G30" s="69"/>
      <c r="H30" s="73"/>
      <c r="I30" s="71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</row>
    <row r="31" s="37" customFormat="true" ht="27" hidden="false" customHeight="false" outlineLevel="0" collapsed="false">
      <c r="A31" s="31"/>
      <c r="B31" s="32"/>
      <c r="C31" s="74" t="s">
        <v>38</v>
      </c>
      <c r="D31" s="34"/>
      <c r="E31" s="34"/>
      <c r="F31" s="35"/>
      <c r="G31" s="75"/>
      <c r="H31" s="8"/>
      <c r="I31" s="53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 customFormat="false" ht="19.5" hidden="false" customHeight="false" outlineLevel="0" collapsed="false">
      <c r="B32" s="26"/>
      <c r="C32" s="21"/>
      <c r="D32" s="21" t="s">
        <v>10</v>
      </c>
      <c r="E32" s="21" t="s">
        <v>25</v>
      </c>
      <c r="F32" s="76" t="n">
        <v>20</v>
      </c>
      <c r="G32" s="55"/>
      <c r="H32" s="55"/>
      <c r="I32" s="28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customFormat="false" ht="19.5" hidden="false" customHeight="false" outlineLevel="0" collapsed="false">
      <c r="B33" s="26"/>
      <c r="C33" s="21"/>
      <c r="D33" s="21"/>
      <c r="E33" s="21" t="s">
        <v>26</v>
      </c>
      <c r="F33" s="77" t="n">
        <v>0</v>
      </c>
      <c r="G33" s="55"/>
      <c r="H33" s="55"/>
      <c r="I33" s="28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customFormat="false" ht="19.5" hidden="false" customHeight="false" outlineLevel="0" collapsed="false">
      <c r="B34" s="26"/>
      <c r="C34" s="21"/>
      <c r="D34" s="21"/>
      <c r="E34" s="21" t="s">
        <v>27</v>
      </c>
      <c r="F34" s="78" t="n">
        <v>0</v>
      </c>
      <c r="G34" s="55"/>
      <c r="H34" s="55"/>
      <c r="I34" s="28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customFormat="false" ht="19.5" hidden="false" customHeight="false" outlineLevel="0" collapsed="false">
      <c r="B35" s="26"/>
      <c r="C35" s="21"/>
      <c r="D35" s="21"/>
      <c r="E35" s="21" t="s">
        <v>28</v>
      </c>
      <c r="F35" s="77" t="n">
        <v>20</v>
      </c>
      <c r="G35" s="55"/>
      <c r="H35" s="55"/>
      <c r="I35" s="28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customFormat="false" ht="24" hidden="false" customHeight="false" outlineLevel="0" collapsed="false">
      <c r="B36" s="26"/>
      <c r="C36" s="30"/>
      <c r="D36" s="30"/>
      <c r="E36" s="30"/>
      <c r="F36" s="35"/>
      <c r="G36" s="30"/>
      <c r="H36" s="30"/>
      <c r="I36" s="28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customFormat="false" ht="23.25" hidden="false" customHeight="false" outlineLevel="0" collapsed="false">
      <c r="B37" s="26"/>
      <c r="C37" s="34" t="s">
        <v>39</v>
      </c>
      <c r="D37" s="30"/>
      <c r="E37" s="30"/>
      <c r="F37" s="35"/>
      <c r="G37" s="30"/>
      <c r="H37" s="79" t="n">
        <f aca="false">(((Hrs_Laborer)*(($F$9*$F$32)+($F$10*$F$33)+($F$11*$F$34)+($F$12*$F$35)))*shifts)</f>
        <v>160000</v>
      </c>
      <c r="I37" s="28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customFormat="false" ht="30" hidden="false" customHeight="false" outlineLevel="0" collapsed="false">
      <c r="B38" s="26"/>
      <c r="C38" s="34" t="s">
        <v>40</v>
      </c>
      <c r="D38" s="30"/>
      <c r="E38" s="30"/>
      <c r="F38" s="35"/>
      <c r="G38" s="30"/>
      <c r="H38" s="80" t="n">
        <f aca="false">((Hrs_Laborer)*(($F$15*$F$32)+($F$16*$F$33)+($F$17*$F$34)+($F$18*$F$35)))*shifts</f>
        <v>80000</v>
      </c>
      <c r="I38" s="28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="72" customFormat="true" ht="30.75" hidden="false" customHeight="false" outlineLevel="0" collapsed="false">
      <c r="A39" s="67"/>
      <c r="B39" s="68"/>
      <c r="C39" s="34" t="s">
        <v>41</v>
      </c>
      <c r="D39" s="30"/>
      <c r="E39" s="30"/>
      <c r="F39" s="35"/>
      <c r="G39" s="69"/>
      <c r="H39" s="81" t="n">
        <f aca="false">H37-H38</f>
        <v>80000</v>
      </c>
      <c r="I39" s="71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</row>
    <row r="40" customFormat="false" ht="24" hidden="false" customHeight="false" outlineLevel="0" collapsed="false">
      <c r="B40" s="26"/>
      <c r="C40" s="30"/>
      <c r="D40" s="30" t="s">
        <v>10</v>
      </c>
      <c r="E40" s="30"/>
      <c r="F40" s="35"/>
      <c r="G40" s="30"/>
      <c r="H40" s="30"/>
      <c r="I40" s="28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="72" customFormat="true" ht="30.75" hidden="false" customHeight="false" outlineLevel="0" collapsed="false">
      <c r="A41" s="67"/>
      <c r="B41" s="68"/>
      <c r="C41" s="34" t="s">
        <v>42</v>
      </c>
      <c r="D41" s="30"/>
      <c r="E41" s="30"/>
      <c r="F41" s="35"/>
      <c r="G41" s="69"/>
      <c r="H41" s="82" t="n">
        <f aca="false">H39*F42</f>
        <v>4000</v>
      </c>
      <c r="I41" s="71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</row>
    <row r="42" customFormat="false" ht="19.5" hidden="false" customHeight="false" outlineLevel="0" collapsed="false">
      <c r="B42" s="26"/>
      <c r="C42" s="21"/>
      <c r="D42" s="21" t="s">
        <v>10</v>
      </c>
      <c r="E42" s="21" t="s">
        <v>43</v>
      </c>
      <c r="F42" s="83" t="n">
        <v>0.05</v>
      </c>
      <c r="G42" s="55"/>
      <c r="H42" s="55"/>
      <c r="I42" s="28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customFormat="false" ht="19.5" hidden="false" customHeight="false" outlineLevel="0" collapsed="false">
      <c r="B43" s="49"/>
      <c r="C43" s="50"/>
      <c r="D43" s="50"/>
      <c r="E43" s="50" t="s">
        <v>10</v>
      </c>
      <c r="F43" s="13"/>
      <c r="G43" s="50"/>
      <c r="H43" s="50" t="s">
        <v>10</v>
      </c>
      <c r="I43" s="51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customFormat="false" ht="18.75" hidden="false" customHeight="false" outlineLevel="0" collapsed="false">
      <c r="B44" s="17"/>
      <c r="C44" s="17"/>
      <c r="D44" s="17"/>
      <c r="E44" s="17" t="s">
        <v>10</v>
      </c>
      <c r="F44" s="1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customFormat="false" ht="18.75" hidden="false" customHeight="false" outlineLevel="0" collapsed="false">
      <c r="B45" s="17"/>
      <c r="C45" s="17"/>
      <c r="D45" s="17"/>
      <c r="E45" s="17"/>
      <c r="F45" s="1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customFormat="false" ht="18.75" hidden="false" customHeight="false" outlineLevel="0" collapsed="false">
      <c r="B46" s="17"/>
      <c r="C46" s="17"/>
      <c r="D46" s="17"/>
      <c r="E46" s="17"/>
      <c r="F46" s="1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customFormat="false" ht="18.75" hidden="false" customHeight="false" outlineLevel="0" collapsed="false">
      <c r="B47" s="17"/>
      <c r="C47" s="17"/>
      <c r="D47" s="17"/>
      <c r="E47" s="17"/>
      <c r="F47" s="1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customFormat="false" ht="18.75" hidden="false" customHeight="false" outlineLevel="0" collapsed="false">
      <c r="B48" s="17"/>
      <c r="C48" s="17"/>
      <c r="D48" s="17"/>
      <c r="E48" s="17"/>
      <c r="F48" s="1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customFormat="false" ht="18.75" hidden="false" customHeight="false" outlineLevel="0" collapsed="false">
      <c r="B49" s="17"/>
      <c r="C49" s="17"/>
      <c r="D49" s="17"/>
      <c r="E49" s="17"/>
      <c r="F49" s="1" t="n">
        <v>15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customFormat="false" ht="18.75" hidden="false" customHeight="false" outlineLevel="0" collapsed="false">
      <c r="B50" s="17"/>
      <c r="C50" s="17"/>
      <c r="D50" s="17"/>
      <c r="E50" s="17"/>
      <c r="F50" s="1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customFormat="false" ht="18.75" hidden="false" customHeight="false" outlineLevel="0" collapsed="false">
      <c r="B51" s="17"/>
      <c r="C51" s="17"/>
      <c r="D51" s="17"/>
      <c r="E51" s="17"/>
      <c r="F51" s="1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customFormat="false" ht="18.75" hidden="false" customHeight="false" outlineLevel="0" collapsed="false">
      <c r="B52" s="17"/>
      <c r="C52" s="17"/>
      <c r="D52" s="17"/>
      <c r="E52" s="17"/>
      <c r="F52" s="1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customFormat="false" ht="18.75" hidden="false" customHeight="false" outlineLevel="0" collapsed="false">
      <c r="B53" s="17"/>
      <c r="C53" s="17"/>
      <c r="D53" s="17"/>
      <c r="E53" s="17"/>
      <c r="F53" s="1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customFormat="false" ht="18.75" hidden="false" customHeight="false" outlineLevel="0" collapsed="false">
      <c r="B54" s="17"/>
      <c r="C54" s="17"/>
      <c r="D54" s="17"/>
      <c r="E54" s="17"/>
      <c r="F54" s="1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customFormat="false" ht="18.75" hidden="false" customHeight="false" outlineLevel="0" collapsed="false">
      <c r="B55" s="17"/>
      <c r="C55" s="17"/>
      <c r="D55" s="17"/>
      <c r="E55" s="17"/>
      <c r="F55" s="1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customFormat="false" ht="18.75" hidden="false" customHeight="false" outlineLevel="0" collapsed="false">
      <c r="B56" s="17"/>
      <c r="C56" s="17"/>
      <c r="D56" s="17"/>
      <c r="E56" s="17"/>
      <c r="F56" s="1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customFormat="false" ht="18.75" hidden="false" customHeight="false" outlineLevel="0" collapsed="false">
      <c r="B57" s="17"/>
      <c r="C57" s="17"/>
      <c r="D57" s="17"/>
      <c r="E57" s="17"/>
      <c r="F57" s="1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customFormat="false" ht="18.75" hidden="false" customHeight="false" outlineLevel="0" collapsed="false">
      <c r="B58" s="17"/>
      <c r="C58" s="17"/>
      <c r="D58" s="17"/>
      <c r="E58" s="17"/>
      <c r="F58" s="1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customFormat="false" ht="18.75" hidden="false" customHeight="false" outlineLevel="0" collapsed="false">
      <c r="B59" s="17"/>
      <c r="C59" s="17"/>
      <c r="D59" s="17"/>
      <c r="E59" s="17"/>
      <c r="F59" s="1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customFormat="false" ht="18.75" hidden="false" customHeight="false" outlineLevel="0" collapsed="false">
      <c r="B60" s="17"/>
      <c r="C60" s="17"/>
      <c r="D60" s="17"/>
      <c r="E60" s="17"/>
      <c r="F60" s="1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customFormat="false" ht="18.75" hidden="false" customHeight="false" outlineLevel="0" collapsed="false">
      <c r="B61" s="17"/>
      <c r="C61" s="17"/>
      <c r="D61" s="17"/>
      <c r="E61" s="17"/>
      <c r="F61" s="1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customFormat="false" ht="18.75" hidden="false" customHeight="false" outlineLevel="0" collapsed="false">
      <c r="B62" s="17"/>
      <c r="C62" s="17"/>
      <c r="D62" s="17"/>
      <c r="E62" s="17"/>
      <c r="F62" s="1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customFormat="false" ht="18.75" hidden="false" customHeight="false" outlineLevel="0" collapsed="false">
      <c r="B63" s="17"/>
      <c r="C63" s="17"/>
      <c r="D63" s="17"/>
      <c r="E63" s="17"/>
      <c r="F63" s="1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customFormat="false" ht="18.75" hidden="false" customHeight="false" outlineLevel="0" collapsed="false">
      <c r="B64" s="17"/>
      <c r="C64" s="17"/>
      <c r="D64" s="17"/>
      <c r="E64" s="17"/>
      <c r="F64" s="1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customFormat="false" ht="18.75" hidden="false" customHeight="false" outlineLevel="0" collapsed="false">
      <c r="B65" s="17"/>
      <c r="C65" s="17"/>
      <c r="D65" s="17"/>
      <c r="E65" s="17"/>
      <c r="F65" s="1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customFormat="false" ht="18.75" hidden="false" customHeight="false" outlineLevel="0" collapsed="false">
      <c r="B66" s="17"/>
      <c r="C66" s="17"/>
      <c r="D66" s="17"/>
      <c r="E66" s="17"/>
      <c r="F66" s="1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customFormat="false" ht="18.75" hidden="false" customHeight="false" outlineLevel="0" collapsed="false">
      <c r="B67" s="17"/>
      <c r="C67" s="17"/>
      <c r="D67" s="17"/>
      <c r="E67" s="17"/>
      <c r="F67" s="1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customFormat="false" ht="18.75" hidden="false" customHeight="false" outlineLevel="0" collapsed="false">
      <c r="B68" s="17"/>
      <c r="C68" s="17"/>
      <c r="D68" s="17"/>
      <c r="E68" s="17"/>
      <c r="F68" s="1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customFormat="false" ht="18.75" hidden="false" customHeight="false" outlineLevel="0" collapsed="false">
      <c r="B69" s="17"/>
      <c r="C69" s="17"/>
      <c r="D69" s="17"/>
      <c r="E69" s="17"/>
      <c r="F69" s="1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customFormat="false" ht="18.75" hidden="false" customHeight="false" outlineLevel="0" collapsed="false">
      <c r="B70" s="17"/>
      <c r="C70" s="17"/>
      <c r="D70" s="17"/>
      <c r="E70" s="17"/>
      <c r="F70" s="1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customFormat="false" ht="18.75" hidden="false" customHeight="false" outlineLevel="0" collapsed="false">
      <c r="B71" s="17"/>
      <c r="C71" s="17"/>
      <c r="D71" s="17"/>
      <c r="E71" s="17"/>
      <c r="F71" s="1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customFormat="false" ht="18.75" hidden="false" customHeight="false" outlineLevel="0" collapsed="false">
      <c r="B72" s="17"/>
      <c r="C72" s="17"/>
      <c r="D72" s="17"/>
      <c r="E72" s="17"/>
      <c r="F72" s="1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customFormat="false" ht="18.75" hidden="false" customHeight="false" outlineLevel="0" collapsed="false">
      <c r="B73" s="17"/>
      <c r="C73" s="17"/>
      <c r="D73" s="17"/>
      <c r="E73" s="17"/>
      <c r="F73" s="1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customFormat="false" ht="18.75" hidden="false" customHeight="false" outlineLevel="0" collapsed="false">
      <c r="B74" s="17"/>
      <c r="C74" s="17"/>
      <c r="D74" s="17"/>
      <c r="E74" s="17"/>
      <c r="F74" s="1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customFormat="false" ht="18.75" hidden="false" customHeight="false" outlineLevel="0" collapsed="false">
      <c r="B75" s="17"/>
      <c r="C75" s="17"/>
      <c r="D75" s="17"/>
      <c r="E75" s="17"/>
      <c r="F75" s="1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customFormat="false" ht="18.75" hidden="false" customHeight="false" outlineLevel="0" collapsed="false">
      <c r="B76" s="17"/>
      <c r="C76" s="17"/>
      <c r="D76" s="17"/>
      <c r="E76" s="17"/>
      <c r="F76" s="1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customFormat="false" ht="18.75" hidden="false" customHeight="false" outlineLevel="0" collapsed="false">
      <c r="B77" s="17"/>
      <c r="C77" s="17"/>
      <c r="D77" s="17"/>
      <c r="E77" s="17"/>
      <c r="F77" s="1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customFormat="false" ht="18.75" hidden="false" customHeight="false" outlineLevel="0" collapsed="false">
      <c r="B78" s="17"/>
      <c r="C78" s="17"/>
      <c r="D78" s="17"/>
      <c r="E78" s="17"/>
      <c r="F78" s="1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customFormat="false" ht="18.75" hidden="false" customHeight="false" outlineLevel="0" collapsed="false">
      <c r="B79" s="17"/>
      <c r="C79" s="17"/>
      <c r="D79" s="17"/>
      <c r="E79" s="17"/>
      <c r="F79" s="1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customFormat="false" ht="18.75" hidden="false" customHeight="false" outlineLevel="0" collapsed="false">
      <c r="B80" s="17"/>
      <c r="C80" s="17"/>
      <c r="D80" s="17"/>
      <c r="E80" s="17"/>
      <c r="F80" s="1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customFormat="false" ht="18.75" hidden="false" customHeight="false" outlineLevel="0" collapsed="false">
      <c r="B81" s="17"/>
      <c r="C81" s="17"/>
      <c r="D81" s="17"/>
      <c r="E81" s="17"/>
      <c r="F81" s="1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customFormat="false" ht="18.75" hidden="false" customHeight="false" outlineLevel="0" collapsed="false">
      <c r="B82" s="17"/>
      <c r="C82" s="17"/>
      <c r="D82" s="17"/>
      <c r="E82" s="17"/>
      <c r="F82" s="1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customFormat="false" ht="18.75" hidden="false" customHeight="false" outlineLevel="0" collapsed="false">
      <c r="B83" s="17"/>
      <c r="C83" s="17"/>
      <c r="D83" s="17"/>
      <c r="E83" s="17"/>
      <c r="F83" s="1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</sheetData>
  <mergeCells count="2">
    <mergeCell ref="A1:J1"/>
    <mergeCell ref="C6:H6"/>
  </mergeCells>
  <printOptions headings="false" gridLines="false" gridLinesSet="true" horizontalCentered="true" verticalCentered="true"/>
  <pageMargins left="0.5" right="0.5" top="0.875" bottom="0.875" header="0.5" footer="0.4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&amp;C&amp;"Arial,Bold"&amp;18Application Description</oddHeader>
    <oddFooter>&amp;L&amp;"Arial,Bold"&amp;10Proposal 10xxxx
 &amp;C&amp;"Arial,Bold"&amp;10Page 2 of 9
&amp;"Times New Roman,Regular"The information contained herein is proprietary and confidential, and should not be shared outside "nickname"&amp;R&amp;"Arial,Bold"&amp;10&amp;D - &amp;T
 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6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defaultColWidth="8.87890625" defaultRowHeight="18" zeroHeight="false" outlineLevelRow="0" outlineLevelCol="0"/>
  <cols>
    <col collapsed="false" customWidth="true" hidden="false" outlineLevel="0" max="1" min="1" style="17" width="2.77"/>
    <col collapsed="false" customWidth="true" hidden="false" outlineLevel="0" max="2" min="2" style="18" width="2.77"/>
    <col collapsed="false" customWidth="true" hidden="false" outlineLevel="0" max="3" min="3" style="18" width="6.66"/>
    <col collapsed="false" customWidth="true" hidden="false" outlineLevel="0" max="4" min="4" style="18" width="1.66"/>
    <col collapsed="false" customWidth="true" hidden="false" outlineLevel="0" max="5" min="5" style="18" width="60.77"/>
    <col collapsed="false" customWidth="true" hidden="false" outlineLevel="0" max="6" min="6" style="18" width="8.77"/>
    <col collapsed="false" customWidth="true" hidden="false" outlineLevel="0" max="7" min="7" style="18" width="2.77"/>
    <col collapsed="false" customWidth="true" hidden="false" outlineLevel="0" max="8" min="8" style="18" width="15.77"/>
    <col collapsed="false" customWidth="true" hidden="false" outlineLevel="0" max="10" min="9" style="18" width="2.77"/>
    <col collapsed="false" customWidth="false" hidden="false" outlineLevel="0" max="257" min="11" style="18" width="8.88"/>
  </cols>
  <sheetData>
    <row r="1" s="17" customFormat="true" ht="25.5" hidden="false" customHeight="false" outlineLevel="0" collapsed="false">
      <c r="A1" s="19" t="s">
        <v>6</v>
      </c>
      <c r="B1" s="19"/>
      <c r="C1" s="19"/>
      <c r="D1" s="19"/>
      <c r="E1" s="19"/>
      <c r="F1" s="19"/>
      <c r="G1" s="19"/>
      <c r="H1" s="19"/>
      <c r="I1" s="19"/>
      <c r="J1" s="19"/>
    </row>
    <row r="2" s="21" customFormat="true" ht="18.75" hidden="false" customHeight="false" outlineLevel="0" collapsed="false"/>
    <row r="3" s="25" customFormat="true" ht="17.45" hidden="false" customHeight="true" outlineLevel="0" collapsed="false">
      <c r="A3" s="21"/>
      <c r="B3" s="22"/>
      <c r="C3" s="23"/>
      <c r="D3" s="23"/>
      <c r="E3" s="23"/>
      <c r="F3" s="23"/>
      <c r="G3" s="23"/>
      <c r="H3" s="23"/>
      <c r="I3" s="24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="25" customFormat="true" ht="17.45" hidden="false" customHeight="true" outlineLevel="0" collapsed="false">
      <c r="A4" s="21"/>
      <c r="B4" s="26"/>
      <c r="C4" s="27" t="s">
        <v>7</v>
      </c>
      <c r="D4" s="21"/>
      <c r="E4" s="21"/>
      <c r="F4" s="21"/>
      <c r="G4" s="21"/>
      <c r="H4" s="21"/>
      <c r="I4" s="28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customFormat="false" ht="18.75" hidden="false" customHeight="false" outlineLevel="0" collapsed="false">
      <c r="B5" s="26"/>
      <c r="C5" s="27" t="s">
        <v>8</v>
      </c>
      <c r="D5" s="21"/>
      <c r="E5" s="21"/>
      <c r="F5" s="21"/>
      <c r="G5" s="21"/>
      <c r="H5" s="21"/>
      <c r="I5" s="28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="87" customFormat="true" ht="34.5" hidden="false" customHeight="false" outlineLevel="0" collapsed="false">
      <c r="A6" s="84"/>
      <c r="B6" s="85"/>
      <c r="C6" s="29" t="s">
        <v>44</v>
      </c>
      <c r="D6" s="29"/>
      <c r="E6" s="29"/>
      <c r="F6" s="29"/>
      <c r="G6" s="29"/>
      <c r="H6" s="29"/>
      <c r="I6" s="86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</row>
    <row r="7" s="87" customFormat="true" ht="35.25" hidden="false" customHeight="false" outlineLevel="0" collapsed="false">
      <c r="A7" s="84"/>
      <c r="B7" s="85"/>
      <c r="C7" s="21"/>
      <c r="D7" s="88"/>
      <c r="E7" s="21" t="s">
        <v>10</v>
      </c>
      <c r="F7" s="89"/>
      <c r="G7" s="90"/>
      <c r="H7" s="91"/>
      <c r="I7" s="86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</row>
    <row r="8" s="96" customFormat="true" ht="24" hidden="false" customHeight="false" outlineLevel="0" collapsed="false">
      <c r="A8" s="92"/>
      <c r="B8" s="93"/>
      <c r="C8" s="34" t="s">
        <v>45</v>
      </c>
      <c r="D8" s="30"/>
      <c r="E8" s="30"/>
      <c r="F8" s="8"/>
      <c r="G8" s="30"/>
      <c r="H8" s="94" t="n">
        <v>0</v>
      </c>
      <c r="I8" s="95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</row>
    <row r="9" customFormat="false" ht="19.5" hidden="false" customHeight="false" outlineLevel="0" collapsed="false">
      <c r="B9" s="26"/>
      <c r="C9" s="97"/>
      <c r="D9" s="21"/>
      <c r="E9" s="21"/>
      <c r="F9" s="8"/>
      <c r="G9" s="21"/>
      <c r="H9" s="98"/>
      <c r="I9" s="2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="96" customFormat="true" ht="24" hidden="false" customHeight="false" outlineLevel="0" collapsed="false">
      <c r="A10" s="92"/>
      <c r="B10" s="93"/>
      <c r="C10" s="34" t="s">
        <v>46</v>
      </c>
      <c r="D10" s="30"/>
      <c r="E10" s="30"/>
      <c r="F10" s="8"/>
      <c r="G10" s="30"/>
      <c r="H10" s="99" t="n">
        <v>0</v>
      </c>
      <c r="I10" s="95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</row>
    <row r="11" customFormat="false" ht="19.5" hidden="false" customHeight="false" outlineLevel="0" collapsed="false">
      <c r="B11" s="26"/>
      <c r="C11" s="97"/>
      <c r="D11" s="21"/>
      <c r="E11" s="21" t="s">
        <v>10</v>
      </c>
      <c r="F11" s="8"/>
      <c r="G11" s="21"/>
      <c r="H11" s="100"/>
      <c r="I11" s="28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="96" customFormat="true" ht="24" hidden="false" customHeight="false" outlineLevel="0" collapsed="false">
      <c r="A12" s="92"/>
      <c r="B12" s="93"/>
      <c r="C12" s="34" t="s">
        <v>47</v>
      </c>
      <c r="D12" s="30"/>
      <c r="E12" s="30"/>
      <c r="F12" s="8"/>
      <c r="G12" s="30"/>
      <c r="H12" s="101" t="n">
        <v>0</v>
      </c>
      <c r="I12" s="95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</row>
    <row r="13" customFormat="false" ht="19.5" hidden="false" customHeight="false" outlineLevel="0" collapsed="false">
      <c r="B13" s="26"/>
      <c r="C13" s="97"/>
      <c r="D13" s="21"/>
      <c r="E13" s="21"/>
      <c r="F13" s="8"/>
      <c r="G13" s="21"/>
      <c r="H13" s="97"/>
      <c r="I13" s="28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="96" customFormat="true" ht="24" hidden="false" customHeight="false" outlineLevel="0" collapsed="false">
      <c r="A14" s="92"/>
      <c r="B14" s="93"/>
      <c r="C14" s="34" t="s">
        <v>48</v>
      </c>
      <c r="D14" s="30"/>
      <c r="E14" s="30"/>
      <c r="F14" s="8"/>
      <c r="G14" s="30"/>
      <c r="H14" s="102" t="n">
        <f aca="false">F15+F16</f>
        <v>0</v>
      </c>
      <c r="I14" s="95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</row>
    <row r="15" customFormat="false" ht="19.5" hidden="false" customHeight="false" outlineLevel="0" collapsed="false">
      <c r="B15" s="26"/>
      <c r="C15" s="21"/>
      <c r="D15" s="21" t="s">
        <v>49</v>
      </c>
      <c r="E15" s="21"/>
      <c r="F15" s="103" t="n">
        <f aca="false">H12*4*4</f>
        <v>0</v>
      </c>
      <c r="G15" s="21"/>
      <c r="H15" s="104"/>
      <c r="I15" s="2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</row>
    <row r="16" customFormat="false" ht="19.5" hidden="false" customHeight="false" outlineLevel="0" collapsed="false">
      <c r="B16" s="26"/>
      <c r="C16" s="21" t="s">
        <v>10</v>
      </c>
      <c r="D16" s="21" t="s">
        <v>50</v>
      </c>
      <c r="E16" s="21"/>
      <c r="F16" s="62" t="n">
        <v>0</v>
      </c>
      <c r="G16" s="21"/>
      <c r="H16" s="104"/>
      <c r="I16" s="28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customFormat="false" ht="19.5" hidden="false" customHeight="false" outlineLevel="0" collapsed="false">
      <c r="B17" s="26"/>
      <c r="C17" s="21"/>
      <c r="D17" s="21"/>
      <c r="E17" s="21" t="s">
        <v>10</v>
      </c>
      <c r="F17" s="8"/>
      <c r="G17" s="21"/>
      <c r="H17" s="21"/>
      <c r="I17" s="28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</row>
    <row r="18" s="96" customFormat="true" ht="28.5" hidden="false" customHeight="false" outlineLevel="0" collapsed="false">
      <c r="A18" s="92"/>
      <c r="B18" s="93"/>
      <c r="C18" s="105" t="s">
        <v>51</v>
      </c>
      <c r="D18" s="30"/>
      <c r="E18" s="30"/>
      <c r="F18" s="8"/>
      <c r="G18" s="30"/>
      <c r="H18" s="106" t="n">
        <f aca="false">-H10*H14</f>
        <v>-0</v>
      </c>
      <c r="I18" s="95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</row>
    <row r="19" customFormat="false" ht="19.5" hidden="false" customHeight="false" outlineLevel="0" collapsed="false">
      <c r="B19" s="49"/>
      <c r="C19" s="50"/>
      <c r="D19" s="50"/>
      <c r="E19" s="50"/>
      <c r="F19" s="13"/>
      <c r="G19" s="50"/>
      <c r="H19" s="50"/>
      <c r="I19" s="51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customFormat="false" ht="18.75" hidden="false" customHeight="false" outlineLevel="0" collapsed="false">
      <c r="B20" s="17"/>
      <c r="C20" s="17"/>
      <c r="D20" s="17"/>
      <c r="E20" s="17"/>
      <c r="F20" s="1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customFormat="false" ht="18" hidden="false" customHeight="false" outlineLevel="0" collapsed="false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customFormat="false" ht="18" hidden="false" customHeight="false" outlineLevel="0" collapsed="false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customFormat="false" ht="18" hidden="false" customHeight="false" outlineLevel="0" collapsed="false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customFormat="false" ht="18" hidden="false" customHeight="false" outlineLevel="0" collapsed="false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customFormat="false" ht="18" hidden="false" customHeight="false" outlineLevel="0" collapsed="false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customFormat="false" ht="18" hidden="false" customHeight="false" outlineLevel="0" collapsed="false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customFormat="false" ht="18" hidden="false" customHeight="false" outlineLevel="0" collapsed="false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customFormat="false" ht="18" hidden="false" customHeight="false" outlineLevel="0" collapsed="false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customFormat="false" ht="18" hidden="false" customHeight="false" outlineLevel="0" collapsed="false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customFormat="false" ht="18" hidden="false" customHeight="false" outlineLevel="0" collapsed="false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customFormat="false" ht="18" hidden="false" customHeight="false" outlineLevel="0" collapsed="false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customFormat="false" ht="18" hidden="false" customHeight="false" outlineLevel="0" collapsed="false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customFormat="false" ht="18" hidden="false" customHeight="false" outlineLevel="0" collapsed="false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customFormat="false" ht="18" hidden="false" customHeight="false" outlineLevel="0" collapsed="false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customFormat="false" ht="18" hidden="false" customHeight="false" outlineLevel="0" collapsed="false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customFormat="false" ht="18" hidden="false" customHeight="false" outlineLevel="0" collapsed="false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customFormat="false" ht="18" hidden="false" customHeight="false" outlineLevel="0" collapsed="false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customFormat="false" ht="18" hidden="false" customHeight="false" outlineLevel="0" collapsed="false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customFormat="false" ht="18" hidden="false" customHeight="false" outlineLevel="0" collapsed="false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customFormat="false" ht="18" hidden="false" customHeight="false" outlineLevel="0" collapsed="false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customFormat="false" ht="18" hidden="false" customHeight="false" outlineLevel="0" collapsed="false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customFormat="false" ht="18" hidden="false" customHeight="false" outlineLevel="0" collapsed="false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customFormat="false" ht="18" hidden="false" customHeight="false" outlineLevel="0" collapsed="false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customFormat="false" ht="18" hidden="false" customHeight="false" outlineLevel="0" collapsed="false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customFormat="false" ht="18" hidden="false" customHeight="false" outlineLevel="0" collapsed="false"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customFormat="false" ht="18" hidden="false" customHeight="false" outlineLevel="0" collapsed="false">
      <c r="F46" s="17"/>
      <c r="G46" s="17"/>
    </row>
    <row r="47" customFormat="false" ht="18" hidden="false" customHeight="false" outlineLevel="0" collapsed="false">
      <c r="F47" s="17"/>
      <c r="G47" s="17"/>
    </row>
    <row r="48" customFormat="false" ht="18" hidden="false" customHeight="false" outlineLevel="0" collapsed="false">
      <c r="F48" s="17"/>
      <c r="G48" s="17"/>
    </row>
    <row r="49" customFormat="false" ht="18" hidden="false" customHeight="false" outlineLevel="0" collapsed="false">
      <c r="F49" s="17"/>
      <c r="G49" s="17"/>
    </row>
    <row r="50" customFormat="false" ht="18" hidden="false" customHeight="false" outlineLevel="0" collapsed="false">
      <c r="F50" s="17"/>
      <c r="G50" s="17"/>
    </row>
    <row r="51" customFormat="false" ht="18" hidden="false" customHeight="false" outlineLevel="0" collapsed="false">
      <c r="F51" s="17"/>
      <c r="G51" s="17"/>
    </row>
    <row r="52" customFormat="false" ht="18" hidden="false" customHeight="false" outlineLevel="0" collapsed="false">
      <c r="F52" s="17"/>
      <c r="G52" s="17"/>
    </row>
    <row r="53" customFormat="false" ht="18" hidden="false" customHeight="false" outlineLevel="0" collapsed="false">
      <c r="F53" s="17"/>
      <c r="G53" s="17"/>
    </row>
    <row r="54" customFormat="false" ht="18" hidden="false" customHeight="false" outlineLevel="0" collapsed="false">
      <c r="F54" s="17"/>
      <c r="G54" s="17"/>
    </row>
    <row r="55" customFormat="false" ht="18" hidden="false" customHeight="false" outlineLevel="0" collapsed="false">
      <c r="F55" s="17"/>
      <c r="G55" s="17"/>
    </row>
    <row r="56" customFormat="false" ht="18" hidden="false" customHeight="false" outlineLevel="0" collapsed="false">
      <c r="F56" s="17"/>
      <c r="G56" s="17"/>
    </row>
    <row r="57" customFormat="false" ht="18" hidden="false" customHeight="false" outlineLevel="0" collapsed="false">
      <c r="F57" s="17"/>
      <c r="G57" s="17"/>
    </row>
    <row r="58" customFormat="false" ht="18" hidden="false" customHeight="false" outlineLevel="0" collapsed="false">
      <c r="F58" s="17"/>
      <c r="G58" s="17"/>
    </row>
    <row r="59" customFormat="false" ht="18" hidden="false" customHeight="false" outlineLevel="0" collapsed="false">
      <c r="F59" s="17"/>
      <c r="G59" s="17"/>
    </row>
    <row r="60" customFormat="false" ht="18" hidden="false" customHeight="false" outlineLevel="0" collapsed="false">
      <c r="F60" s="17"/>
      <c r="G60" s="17"/>
    </row>
    <row r="61" customFormat="false" ht="18" hidden="false" customHeight="false" outlineLevel="0" collapsed="false">
      <c r="F61" s="17"/>
      <c r="G61" s="17"/>
    </row>
    <row r="62" customFormat="false" ht="18" hidden="false" customHeight="false" outlineLevel="0" collapsed="false">
      <c r="F62" s="17"/>
      <c r="G62" s="17"/>
    </row>
    <row r="63" customFormat="false" ht="18" hidden="false" customHeight="false" outlineLevel="0" collapsed="false">
      <c r="F63" s="17"/>
      <c r="G63" s="17"/>
    </row>
  </sheetData>
  <mergeCells count="2">
    <mergeCell ref="A1:J1"/>
    <mergeCell ref="C6:H6"/>
  </mergeCells>
  <printOptions headings="false" gridLines="false" gridLinesSet="true" horizontalCentered="true" verticalCentered="false"/>
  <pageMargins left="0.5" right="0.5" top="0.984027777777778" bottom="0.984027777777778" header="0.5" footer="0.5"/>
  <pageSetup paperSize="1" scale="95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&amp;C&amp;"Arial,Bold"&amp;18Application Description</oddHeader>
    <oddFooter>&amp;L&amp;"Arial,Bold"&amp;10Proposal 10xxxx
 &amp;C&amp;"Arial,Bold"&amp;10Page 3 of 9
&amp;"Times New Roman,Regular"The information contained herein is proprietary and confidential, and should not be shared outside "nickname"&amp;R&amp;"Arial,Bold"&amp;10&amp;D - &amp;T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76"/>
  <sheetViews>
    <sheetView showFormulas="false" showGridLines="true" showRowColHeaders="true" showZeros="true" rightToLeft="false" tabSelected="false" showOutlineSymbols="true" defaultGridColor="true" view="normal" topLeftCell="A1" colorId="64" zoomScale="72" zoomScaleNormal="72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defaultColWidth="8.87890625" defaultRowHeight="18.75" zeroHeight="false" outlineLevelRow="0" outlineLevelCol="0"/>
  <cols>
    <col collapsed="false" customWidth="true" hidden="false" outlineLevel="0" max="1" min="1" style="17" width="2.77"/>
    <col collapsed="false" customWidth="true" hidden="false" outlineLevel="0" max="2" min="2" style="18" width="2.77"/>
    <col collapsed="false" customWidth="true" hidden="false" outlineLevel="0" max="3" min="3" style="18" width="6.66"/>
    <col collapsed="false" customWidth="true" hidden="false" outlineLevel="0" max="4" min="4" style="18" width="1.66"/>
    <col collapsed="false" customWidth="true" hidden="false" outlineLevel="0" max="5" min="5" style="18" width="59.32"/>
    <col collapsed="false" customWidth="true" hidden="false" outlineLevel="0" max="6" min="6" style="18" width="9.21"/>
    <col collapsed="false" customWidth="true" hidden="false" outlineLevel="0" max="7" min="7" style="0" width="10.44"/>
    <col collapsed="false" customWidth="true" hidden="false" outlineLevel="0" max="8" min="8" style="18" width="2.77"/>
    <col collapsed="false" customWidth="true" hidden="false" outlineLevel="0" max="9" min="9" style="18" width="17.66"/>
    <col collapsed="false" customWidth="true" hidden="false" outlineLevel="0" max="11" min="10" style="18" width="2.77"/>
    <col collapsed="false" customWidth="false" hidden="false" outlineLevel="0" max="13" min="12" style="18" width="8.88"/>
    <col collapsed="false" customWidth="true" hidden="false" outlineLevel="0" max="14" min="14" style="18" width="44.88"/>
    <col collapsed="false" customWidth="false" hidden="false" outlineLevel="0" max="257" min="15" style="18" width="8.88"/>
  </cols>
  <sheetData>
    <row r="1" s="17" customFormat="true" ht="25.5" hidden="false" customHeight="false" outlineLevel="0" collapsed="false">
      <c r="A1" s="19" t="s">
        <v>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17" customFormat="true" ht="18" hidden="false" customHeight="true" outlineLevel="0" collapsed="false">
      <c r="A2" s="21"/>
      <c r="B2" s="21"/>
      <c r="C2" s="21"/>
      <c r="D2" s="21"/>
      <c r="E2" s="21"/>
      <c r="F2" s="21"/>
      <c r="G2" s="8"/>
      <c r="H2" s="21"/>
      <c r="I2" s="21"/>
      <c r="J2" s="21"/>
      <c r="K2" s="21"/>
      <c r="L2" s="107"/>
      <c r="M2" s="1"/>
      <c r="N2" s="1"/>
      <c r="O2" s="1"/>
      <c r="P2" s="1"/>
      <c r="Q2" s="1"/>
      <c r="R2" s="1"/>
      <c r="S2" s="1"/>
      <c r="T2" s="1"/>
      <c r="U2" s="1"/>
    </row>
    <row r="3" s="25" customFormat="true" ht="18.75" hidden="false" customHeight="false" outlineLevel="0" collapsed="false">
      <c r="A3" s="21"/>
      <c r="B3" s="22"/>
      <c r="C3" s="23"/>
      <c r="D3" s="23"/>
      <c r="E3" s="23"/>
      <c r="F3" s="23"/>
      <c r="G3" s="23"/>
      <c r="H3" s="23"/>
      <c r="I3" s="23"/>
      <c r="J3" s="24"/>
      <c r="K3" s="21"/>
      <c r="L3" s="108"/>
      <c r="M3" s="1"/>
      <c r="N3" s="1"/>
      <c r="O3" s="1"/>
      <c r="P3" s="1"/>
      <c r="Q3" s="1"/>
      <c r="R3" s="1"/>
      <c r="S3" s="1"/>
      <c r="T3" s="1"/>
      <c r="U3" s="1"/>
      <c r="V3" s="21"/>
      <c r="W3" s="21"/>
      <c r="X3" s="21"/>
      <c r="Y3" s="21"/>
      <c r="Z3" s="21"/>
      <c r="AA3" s="21"/>
      <c r="AB3" s="21"/>
      <c r="AC3" s="21"/>
    </row>
    <row r="4" s="25" customFormat="true" ht="18.75" hidden="false" customHeight="false" outlineLevel="0" collapsed="false">
      <c r="A4" s="21"/>
      <c r="B4" s="26"/>
      <c r="C4" s="27" t="s">
        <v>7</v>
      </c>
      <c r="D4" s="21"/>
      <c r="E4" s="21"/>
      <c r="F4" s="21"/>
      <c r="G4" s="21"/>
      <c r="H4" s="21"/>
      <c r="I4" s="21"/>
      <c r="J4" s="28"/>
      <c r="K4" s="21"/>
      <c r="L4" s="108"/>
      <c r="M4" s="1"/>
      <c r="N4" s="1"/>
      <c r="O4" s="1"/>
      <c r="P4" s="1"/>
      <c r="Q4" s="1"/>
      <c r="R4" s="1"/>
      <c r="S4" s="1"/>
      <c r="T4" s="1"/>
      <c r="U4" s="1"/>
      <c r="V4" s="21"/>
      <c r="W4" s="21"/>
      <c r="X4" s="21"/>
      <c r="Y4" s="21"/>
      <c r="Z4" s="21"/>
      <c r="AA4" s="21"/>
      <c r="AB4" s="21"/>
      <c r="AC4" s="21"/>
    </row>
    <row r="5" s="25" customFormat="true" ht="18.75" hidden="false" customHeight="false" outlineLevel="0" collapsed="false">
      <c r="A5" s="21"/>
      <c r="B5" s="26"/>
      <c r="C5" s="27" t="s">
        <v>8</v>
      </c>
      <c r="D5" s="21"/>
      <c r="E5" s="21"/>
      <c r="F5" s="21"/>
      <c r="G5" s="8"/>
      <c r="H5" s="21"/>
      <c r="I5" s="21"/>
      <c r="J5" s="28"/>
      <c r="K5" s="21"/>
      <c r="L5" s="108"/>
      <c r="M5" s="1"/>
      <c r="N5" s="1"/>
      <c r="O5" s="1"/>
      <c r="P5" s="1"/>
      <c r="Q5" s="1"/>
      <c r="R5" s="1"/>
      <c r="S5" s="1"/>
      <c r="T5" s="1"/>
      <c r="U5" s="1"/>
      <c r="V5" s="21"/>
      <c r="W5" s="21"/>
      <c r="X5" s="21"/>
      <c r="Y5" s="21"/>
      <c r="Z5" s="21"/>
      <c r="AA5" s="21"/>
      <c r="AB5" s="21"/>
      <c r="AC5" s="21"/>
    </row>
    <row r="6" customFormat="false" ht="34.5" hidden="false" customHeight="false" outlineLevel="0" collapsed="false">
      <c r="A6" s="21"/>
      <c r="B6" s="26" t="s">
        <v>10</v>
      </c>
      <c r="C6" s="29" t="s">
        <v>52</v>
      </c>
      <c r="D6" s="29"/>
      <c r="E6" s="29"/>
      <c r="F6" s="29"/>
      <c r="G6" s="29"/>
      <c r="H6" s="29"/>
      <c r="I6" s="29"/>
      <c r="J6" s="28"/>
      <c r="K6" s="21"/>
      <c r="L6" s="108"/>
      <c r="M6" s="1"/>
      <c r="N6" s="1"/>
      <c r="O6" s="1"/>
      <c r="P6" s="1"/>
      <c r="Q6" s="1"/>
      <c r="R6" s="1"/>
      <c r="S6" s="1"/>
      <c r="T6" s="1"/>
      <c r="U6" s="1"/>
      <c r="V6" s="17"/>
      <c r="W6" s="17"/>
      <c r="X6" s="17"/>
      <c r="Y6" s="17"/>
      <c r="Z6" s="17"/>
      <c r="AA6" s="17"/>
      <c r="AB6" s="17"/>
      <c r="AC6" s="17"/>
    </row>
    <row r="7" customFormat="false" ht="19.5" hidden="false" customHeight="false" outlineLevel="0" collapsed="false">
      <c r="A7" s="21"/>
      <c r="B7" s="26"/>
      <c r="C7" s="21" t="s">
        <v>10</v>
      </c>
      <c r="D7" s="21"/>
      <c r="E7" s="21" t="s">
        <v>10</v>
      </c>
      <c r="F7" s="21"/>
      <c r="G7" s="8"/>
      <c r="H7" s="21"/>
      <c r="I7" s="21" t="s">
        <v>10</v>
      </c>
      <c r="J7" s="28"/>
      <c r="K7" s="21"/>
      <c r="L7" s="108"/>
      <c r="M7" s="1"/>
      <c r="N7" s="1"/>
      <c r="O7" s="1"/>
      <c r="P7" s="1"/>
      <c r="Q7" s="1"/>
      <c r="R7" s="1"/>
      <c r="S7" s="1"/>
      <c r="T7" s="1"/>
      <c r="U7" s="1"/>
      <c r="V7" s="17"/>
      <c r="W7" s="17"/>
      <c r="X7" s="17"/>
      <c r="Y7" s="17"/>
      <c r="Z7" s="17"/>
      <c r="AA7" s="17"/>
      <c r="AB7" s="17"/>
      <c r="AC7" s="17"/>
    </row>
    <row r="8" s="37" customFormat="true" ht="27" hidden="false" customHeight="false" outlineLevel="0" collapsed="false">
      <c r="A8" s="109"/>
      <c r="B8" s="32"/>
      <c r="C8" s="34" t="s">
        <v>53</v>
      </c>
      <c r="D8" s="34"/>
      <c r="E8" s="34"/>
      <c r="F8" s="34"/>
      <c r="G8" s="8"/>
      <c r="H8" s="8"/>
      <c r="I8" s="52" t="n">
        <f aca="false">Prod_Rate*Ann_Prod_Hrs</f>
        <v>228000</v>
      </c>
      <c r="J8" s="53"/>
      <c r="K8" s="109"/>
      <c r="L8" s="108"/>
      <c r="M8" s="1"/>
      <c r="N8" s="1"/>
      <c r="O8" s="1"/>
      <c r="P8" s="1"/>
      <c r="Q8" s="1"/>
      <c r="R8" s="1"/>
      <c r="S8" s="1"/>
      <c r="T8" s="1"/>
      <c r="U8" s="1"/>
      <c r="V8" s="31"/>
      <c r="W8" s="31"/>
      <c r="X8" s="31"/>
      <c r="Y8" s="31"/>
      <c r="Z8" s="31"/>
      <c r="AA8" s="31"/>
      <c r="AB8" s="31"/>
      <c r="AC8" s="31"/>
    </row>
    <row r="9" customFormat="false" ht="19.5" hidden="false" customHeight="false" outlineLevel="0" collapsed="false">
      <c r="A9" s="21"/>
      <c r="B9" s="26"/>
      <c r="C9" s="21"/>
      <c r="D9" s="21"/>
      <c r="E9" s="21" t="s">
        <v>54</v>
      </c>
      <c r="F9" s="21"/>
      <c r="G9" s="110" t="n">
        <v>60</v>
      </c>
      <c r="H9" s="55"/>
      <c r="I9" s="55"/>
      <c r="J9" s="28"/>
      <c r="K9" s="21"/>
      <c r="L9" s="108"/>
      <c r="M9" s="1"/>
      <c r="N9" s="1"/>
      <c r="O9" s="1"/>
      <c r="P9" s="1"/>
      <c r="Q9" s="1"/>
      <c r="R9" s="1"/>
      <c r="S9" s="1"/>
      <c r="T9" s="1"/>
      <c r="U9" s="1"/>
      <c r="V9" s="17"/>
      <c r="W9" s="17"/>
      <c r="X9" s="17"/>
      <c r="Y9" s="17"/>
      <c r="Z9" s="17"/>
      <c r="AA9" s="17"/>
      <c r="AB9" s="17"/>
      <c r="AC9" s="17"/>
    </row>
    <row r="10" customFormat="false" ht="19.5" hidden="false" customHeight="false" outlineLevel="0" collapsed="false">
      <c r="A10" s="21"/>
      <c r="B10" s="26"/>
      <c r="C10" s="21"/>
      <c r="D10" s="21"/>
      <c r="E10" s="21" t="s">
        <v>55</v>
      </c>
      <c r="F10" s="21"/>
      <c r="G10" s="111" t="n">
        <f aca="false">'Labor Savings'!F23*'Labor Savings'!F24*'Labor Savings'!F25*shifts</f>
        <v>4000</v>
      </c>
      <c r="H10" s="55"/>
      <c r="I10" s="55"/>
      <c r="J10" s="28"/>
      <c r="K10" s="21"/>
      <c r="L10" s="108"/>
      <c r="M10" s="1"/>
      <c r="N10" s="1"/>
      <c r="O10" s="1"/>
      <c r="P10" s="1"/>
      <c r="Q10" s="1"/>
      <c r="R10" s="1"/>
      <c r="S10" s="1"/>
      <c r="T10" s="1"/>
      <c r="U10" s="1"/>
      <c r="V10" s="17"/>
      <c r="W10" s="17"/>
      <c r="X10" s="17"/>
      <c r="Y10" s="17"/>
      <c r="Z10" s="17"/>
      <c r="AA10" s="17"/>
      <c r="AB10" s="17"/>
      <c r="AC10" s="17"/>
    </row>
    <row r="11" customFormat="false" ht="19.5" hidden="false" customHeight="false" outlineLevel="0" collapsed="false">
      <c r="A11" s="21"/>
      <c r="B11" s="26"/>
      <c r="C11" s="21"/>
      <c r="D11" s="21"/>
      <c r="E11" s="21" t="s">
        <v>56</v>
      </c>
      <c r="F11" s="112"/>
      <c r="G11" s="113" t="n">
        <f aca="false">-F11*'Labor Savings'!$F$24*'Labor Savings'!$F$25*shifts</f>
        <v>-0</v>
      </c>
      <c r="H11" s="55"/>
      <c r="I11" s="55"/>
      <c r="J11" s="28"/>
      <c r="K11" s="21"/>
      <c r="L11" s="108"/>
      <c r="M11" s="1"/>
      <c r="N11" s="1"/>
      <c r="O11" s="1"/>
      <c r="P11" s="1"/>
      <c r="Q11" s="1"/>
      <c r="R11" s="1"/>
      <c r="S11" s="1"/>
      <c r="T11" s="1"/>
      <c r="U11" s="1"/>
      <c r="V11" s="17"/>
      <c r="W11" s="17"/>
      <c r="X11" s="17"/>
      <c r="Y11" s="17"/>
      <c r="Z11" s="17"/>
      <c r="AA11" s="17"/>
      <c r="AB11" s="17"/>
      <c r="AC11" s="17"/>
    </row>
    <row r="12" customFormat="false" ht="19.5" hidden="false" customHeight="false" outlineLevel="0" collapsed="false">
      <c r="A12" s="21"/>
      <c r="B12" s="26"/>
      <c r="C12" s="21"/>
      <c r="D12" s="21"/>
      <c r="E12" s="21" t="s">
        <v>57</v>
      </c>
      <c r="F12" s="114" t="n">
        <v>0.05</v>
      </c>
      <c r="G12" s="115" t="n">
        <f aca="false">-F12*'Labor Savings'!$F$23*'Labor Savings'!$F$24*'Labor Savings'!$F$25*shifts</f>
        <v>-200</v>
      </c>
      <c r="H12" s="55"/>
      <c r="I12" s="55"/>
      <c r="J12" s="28"/>
      <c r="K12" s="21"/>
      <c r="L12" s="108"/>
      <c r="M12" s="1"/>
      <c r="N12" s="1"/>
      <c r="O12" s="1"/>
      <c r="P12" s="1"/>
      <c r="Q12" s="1"/>
      <c r="R12" s="1"/>
      <c r="S12" s="1"/>
      <c r="T12" s="1"/>
      <c r="U12" s="1"/>
      <c r="V12" s="17"/>
      <c r="W12" s="17"/>
      <c r="X12" s="17"/>
      <c r="Y12" s="17"/>
      <c r="Z12" s="17"/>
      <c r="AA12" s="17"/>
      <c r="AB12" s="17"/>
      <c r="AC12" s="17"/>
    </row>
    <row r="13" customFormat="false" ht="19.5" hidden="false" customHeight="false" outlineLevel="0" collapsed="false">
      <c r="A13" s="21"/>
      <c r="B13" s="26"/>
      <c r="C13" s="21"/>
      <c r="D13" s="21"/>
      <c r="E13" s="21" t="s">
        <v>58</v>
      </c>
      <c r="F13" s="21"/>
      <c r="G13" s="56" t="n">
        <v>0</v>
      </c>
      <c r="H13" s="55"/>
      <c r="I13" s="55"/>
      <c r="J13" s="28"/>
      <c r="K13" s="21"/>
      <c r="L13" s="108"/>
      <c r="M13" s="1"/>
      <c r="N13" s="1"/>
      <c r="O13" s="1"/>
      <c r="P13" s="1"/>
      <c r="Q13" s="1"/>
      <c r="R13" s="1"/>
      <c r="S13" s="1"/>
      <c r="T13" s="1"/>
      <c r="U13" s="1"/>
      <c r="V13" s="17"/>
      <c r="W13" s="17"/>
      <c r="X13" s="17"/>
      <c r="Y13" s="17"/>
      <c r="Z13" s="17"/>
      <c r="AA13" s="17"/>
      <c r="AB13" s="17"/>
      <c r="AC13" s="17"/>
    </row>
    <row r="14" customFormat="false" ht="19.5" hidden="false" customHeight="false" outlineLevel="0" collapsed="false">
      <c r="A14" s="21"/>
      <c r="B14" s="26"/>
      <c r="C14" s="21"/>
      <c r="D14" s="21"/>
      <c r="E14" s="21" t="s">
        <v>59</v>
      </c>
      <c r="F14" s="21"/>
      <c r="G14" s="116" t="n">
        <f aca="false">SUM(G10:G13)</f>
        <v>3800</v>
      </c>
      <c r="H14" s="55"/>
      <c r="I14" s="55"/>
      <c r="J14" s="28"/>
      <c r="K14" s="21"/>
      <c r="L14" s="108"/>
      <c r="M14" s="1"/>
      <c r="N14" s="1"/>
      <c r="O14" s="1"/>
      <c r="P14" s="1"/>
      <c r="Q14" s="1"/>
      <c r="R14" s="1"/>
      <c r="S14" s="1"/>
      <c r="T14" s="1"/>
      <c r="U14" s="1"/>
      <c r="V14" s="17"/>
      <c r="W14" s="17"/>
      <c r="X14" s="17"/>
      <c r="Y14" s="17"/>
      <c r="Z14" s="17"/>
      <c r="AA14" s="17"/>
      <c r="AB14" s="17"/>
      <c r="AC14" s="17"/>
    </row>
    <row r="15" customFormat="false" ht="24" hidden="false" customHeight="false" outlineLevel="0" collapsed="false">
      <c r="A15" s="21"/>
      <c r="B15" s="26"/>
      <c r="C15" s="30"/>
      <c r="D15" s="30"/>
      <c r="E15" s="30"/>
      <c r="F15" s="30"/>
      <c r="G15" s="35"/>
      <c r="H15" s="58"/>
      <c r="I15" s="58"/>
      <c r="J15" s="28"/>
      <c r="K15" s="21"/>
      <c r="L15" s="108"/>
      <c r="M15" s="1"/>
      <c r="N15" s="1"/>
      <c r="O15" s="1"/>
      <c r="P15" s="1"/>
      <c r="Q15" s="1"/>
      <c r="R15" s="1"/>
      <c r="S15" s="1"/>
      <c r="T15" s="1"/>
      <c r="U15" s="1"/>
      <c r="V15" s="17"/>
      <c r="W15" s="17"/>
      <c r="X15" s="17"/>
      <c r="Y15" s="17"/>
      <c r="Z15" s="17"/>
      <c r="AA15" s="17"/>
      <c r="AB15" s="17"/>
      <c r="AC15" s="17"/>
    </row>
    <row r="16" s="37" customFormat="true" ht="27" hidden="false" customHeight="false" outlineLevel="0" collapsed="false">
      <c r="A16" s="109"/>
      <c r="B16" s="32"/>
      <c r="C16" s="34" t="s">
        <v>60</v>
      </c>
      <c r="D16" s="34"/>
      <c r="E16" s="34"/>
      <c r="F16" s="34"/>
      <c r="G16" s="35"/>
      <c r="H16" s="34"/>
      <c r="I16" s="52" t="n">
        <f aca="false">Robotic_Prod_Rate*Robotic_Ann_Prod_Hrs</f>
        <v>280000</v>
      </c>
      <c r="J16" s="53"/>
      <c r="K16" s="109"/>
      <c r="L16" s="108"/>
      <c r="M16" s="1"/>
      <c r="N16" s="1"/>
      <c r="O16" s="1"/>
      <c r="P16" s="1"/>
      <c r="Q16" s="1"/>
      <c r="R16" s="1"/>
      <c r="S16" s="1"/>
      <c r="T16" s="1"/>
      <c r="U16" s="1"/>
      <c r="V16" s="31"/>
      <c r="W16" s="31"/>
      <c r="X16" s="31"/>
      <c r="Y16" s="31"/>
      <c r="Z16" s="31"/>
      <c r="AA16" s="31"/>
      <c r="AB16" s="31"/>
      <c r="AC16" s="31"/>
    </row>
    <row r="17" customFormat="false" ht="19.5" hidden="false" customHeight="false" outlineLevel="0" collapsed="false">
      <c r="A17" s="21"/>
      <c r="B17" s="26"/>
      <c r="C17" s="21"/>
      <c r="D17" s="21"/>
      <c r="E17" s="21" t="s">
        <v>54</v>
      </c>
      <c r="F17" s="21"/>
      <c r="G17" s="110" t="n">
        <v>70</v>
      </c>
      <c r="H17" s="55"/>
      <c r="I17" s="55"/>
      <c r="J17" s="28"/>
      <c r="K17" s="21"/>
      <c r="L17" s="108"/>
      <c r="M17" s="1"/>
      <c r="N17" s="1"/>
      <c r="O17" s="1"/>
      <c r="P17" s="1"/>
      <c r="Q17" s="1"/>
      <c r="R17" s="1"/>
      <c r="S17" s="1"/>
      <c r="T17" s="1"/>
      <c r="U17" s="1"/>
      <c r="V17" s="17"/>
      <c r="W17" s="17"/>
      <c r="X17" s="17"/>
      <c r="Y17" s="17"/>
      <c r="Z17" s="17"/>
      <c r="AA17" s="17"/>
      <c r="AB17" s="17"/>
      <c r="AC17" s="17"/>
    </row>
    <row r="18" customFormat="false" ht="19.5" hidden="false" customHeight="false" outlineLevel="0" collapsed="false">
      <c r="A18" s="21"/>
      <c r="B18" s="26"/>
      <c r="C18" s="21"/>
      <c r="D18" s="21"/>
      <c r="E18" s="21" t="s">
        <v>55</v>
      </c>
      <c r="F18" s="21"/>
      <c r="G18" s="54" t="n">
        <v>4000</v>
      </c>
      <c r="H18" s="55"/>
      <c r="I18" s="55"/>
      <c r="J18" s="28"/>
      <c r="K18" s="21"/>
      <c r="L18" s="1"/>
      <c r="M18" s="1"/>
      <c r="N18" s="1"/>
      <c r="O18" s="1"/>
      <c r="P18" s="1"/>
      <c r="Q18" s="1"/>
      <c r="R18" s="1"/>
      <c r="S18" s="1"/>
      <c r="T18" s="1"/>
      <c r="U18" s="1"/>
      <c r="V18" s="17"/>
      <c r="W18" s="17"/>
      <c r="X18" s="17"/>
      <c r="Y18" s="17"/>
      <c r="Z18" s="17"/>
      <c r="AA18" s="17"/>
      <c r="AB18" s="17"/>
      <c r="AC18" s="17"/>
    </row>
    <row r="19" customFormat="false" ht="19.5" hidden="false" customHeight="false" outlineLevel="0" collapsed="false">
      <c r="A19" s="21"/>
      <c r="B19" s="26"/>
      <c r="C19" s="21"/>
      <c r="D19" s="21"/>
      <c r="E19" s="21" t="s">
        <v>56</v>
      </c>
      <c r="F19" s="112" t="n">
        <v>0</v>
      </c>
      <c r="G19" s="113" t="n">
        <f aca="false">-F19*'Labor Savings'!$F$24*'Labor Savings'!$F$25*shifts</f>
        <v>-0</v>
      </c>
      <c r="H19" s="55"/>
      <c r="I19" s="55"/>
      <c r="J19" s="28"/>
      <c r="K19" s="21"/>
      <c r="L19" s="1"/>
      <c r="M19" s="1"/>
      <c r="N19" s="1"/>
      <c r="O19" s="1"/>
      <c r="P19" s="1"/>
      <c r="Q19" s="1"/>
      <c r="R19" s="1"/>
      <c r="S19" s="1"/>
      <c r="T19" s="1"/>
      <c r="U19" s="1"/>
      <c r="V19" s="17"/>
      <c r="W19" s="17"/>
      <c r="X19" s="17"/>
      <c r="Y19" s="17"/>
      <c r="Z19" s="17"/>
      <c r="AA19" s="17"/>
      <c r="AB19" s="17"/>
      <c r="AC19" s="17"/>
    </row>
    <row r="20" customFormat="false" ht="19.5" hidden="false" customHeight="false" outlineLevel="0" collapsed="false">
      <c r="A20" s="21"/>
      <c r="B20" s="26"/>
      <c r="C20" s="21"/>
      <c r="D20" s="21"/>
      <c r="E20" s="21" t="s">
        <v>57</v>
      </c>
      <c r="F20" s="114" t="n">
        <v>0</v>
      </c>
      <c r="G20" s="115" t="n">
        <f aca="false">-F20*'Labor Savings'!$F$23*'Labor Savings'!$F$24*'Labor Savings'!$F$25*shifts</f>
        <v>-0</v>
      </c>
      <c r="H20" s="55"/>
      <c r="I20" s="55"/>
      <c r="J20" s="28"/>
      <c r="K20" s="21"/>
      <c r="L20" s="1"/>
      <c r="M20" s="1"/>
      <c r="N20" s="1"/>
      <c r="O20" s="1"/>
      <c r="P20" s="1"/>
      <c r="Q20" s="1"/>
      <c r="R20" s="1"/>
      <c r="S20" s="1"/>
      <c r="T20" s="1"/>
      <c r="U20" s="1"/>
      <c r="V20" s="17"/>
      <c r="W20" s="17"/>
      <c r="X20" s="17"/>
      <c r="Y20" s="17"/>
      <c r="Z20" s="17"/>
      <c r="AA20" s="17"/>
      <c r="AB20" s="17"/>
      <c r="AC20" s="17"/>
    </row>
    <row r="21" customFormat="false" ht="19.5" hidden="false" customHeight="true" outlineLevel="0" collapsed="false">
      <c r="A21" s="21"/>
      <c r="B21" s="26"/>
      <c r="C21" s="21"/>
      <c r="D21" s="21"/>
      <c r="E21" s="21" t="s">
        <v>58</v>
      </c>
      <c r="F21" s="30"/>
      <c r="G21" s="56" t="n">
        <v>0</v>
      </c>
      <c r="H21" s="59"/>
      <c r="I21" s="59" t="s">
        <v>10</v>
      </c>
      <c r="J21" s="28"/>
      <c r="K21" s="21"/>
      <c r="L21" s="1"/>
      <c r="M21" s="1"/>
      <c r="N21" s="1"/>
      <c r="O21" s="1"/>
      <c r="P21" s="1"/>
      <c r="Q21" s="1"/>
      <c r="R21" s="1"/>
      <c r="S21" s="1"/>
      <c r="T21" s="1"/>
      <c r="U21" s="1"/>
      <c r="V21" s="17"/>
      <c r="W21" s="17"/>
      <c r="X21" s="17"/>
      <c r="Y21" s="17"/>
      <c r="Z21" s="17"/>
      <c r="AA21" s="17"/>
      <c r="AB21" s="17"/>
      <c r="AC21" s="17"/>
    </row>
    <row r="22" s="37" customFormat="true" ht="19.5" hidden="false" customHeight="true" outlineLevel="0" collapsed="false">
      <c r="A22" s="109"/>
      <c r="B22" s="32"/>
      <c r="C22" s="21"/>
      <c r="D22" s="21"/>
      <c r="E22" s="21" t="s">
        <v>59</v>
      </c>
      <c r="F22" s="34"/>
      <c r="G22" s="116" t="n">
        <f aca="false">SUM(G18:G21)</f>
        <v>4000</v>
      </c>
      <c r="H22" s="34"/>
      <c r="I22" s="8"/>
      <c r="J22" s="53"/>
      <c r="K22" s="109"/>
      <c r="L22" s="108"/>
      <c r="M22" s="1"/>
      <c r="N22" s="1"/>
      <c r="O22" s="1"/>
      <c r="P22" s="1"/>
      <c r="Q22" s="1"/>
      <c r="R22" s="1"/>
      <c r="S22" s="1"/>
      <c r="T22" s="1"/>
      <c r="U22" s="1"/>
      <c r="V22" s="31"/>
      <c r="W22" s="31"/>
      <c r="X22" s="31"/>
      <c r="Y22" s="31"/>
      <c r="Z22" s="31"/>
      <c r="AA22" s="31"/>
      <c r="AB22" s="31"/>
      <c r="AC22" s="31"/>
    </row>
    <row r="23" customFormat="false" ht="24" hidden="false" customHeight="false" outlineLevel="0" collapsed="false">
      <c r="A23" s="21"/>
      <c r="B23" s="26"/>
      <c r="C23" s="30"/>
      <c r="D23" s="30"/>
      <c r="E23" s="30"/>
      <c r="F23" s="30"/>
      <c r="G23" s="35"/>
      <c r="H23" s="59"/>
      <c r="I23" s="59"/>
      <c r="J23" s="28"/>
      <c r="K23" s="21"/>
      <c r="L23" s="108"/>
      <c r="M23" s="1"/>
      <c r="N23" s="1"/>
      <c r="O23" s="1"/>
      <c r="P23" s="1"/>
      <c r="Q23" s="1"/>
      <c r="R23" s="1"/>
      <c r="S23" s="1"/>
      <c r="T23" s="1"/>
      <c r="U23" s="1"/>
      <c r="V23" s="17"/>
      <c r="W23" s="17"/>
      <c r="X23" s="17"/>
      <c r="Y23" s="17"/>
      <c r="Z23" s="17"/>
      <c r="AA23" s="17"/>
      <c r="AB23" s="17"/>
      <c r="AC23" s="17"/>
    </row>
    <row r="24" s="37" customFormat="true" ht="27" hidden="false" customHeight="false" outlineLevel="0" collapsed="false">
      <c r="A24" s="109"/>
      <c r="B24" s="32"/>
      <c r="C24" s="34" t="s">
        <v>61</v>
      </c>
      <c r="D24" s="34"/>
      <c r="E24" s="34"/>
      <c r="F24" s="34"/>
      <c r="G24" s="35"/>
      <c r="H24" s="75"/>
      <c r="I24" s="52" t="n">
        <f aca="false">Robotic_Production-Current_Production</f>
        <v>52000</v>
      </c>
      <c r="J24" s="53"/>
      <c r="K24" s="109"/>
      <c r="L24" s="108"/>
      <c r="M24" s="1"/>
      <c r="N24" s="1"/>
      <c r="O24" s="1"/>
      <c r="P24" s="1"/>
      <c r="Q24" s="1"/>
      <c r="R24" s="1"/>
      <c r="S24" s="1"/>
      <c r="T24" s="1"/>
      <c r="U24" s="1"/>
      <c r="V24" s="31"/>
      <c r="W24" s="31"/>
      <c r="X24" s="31"/>
      <c r="Y24" s="31"/>
      <c r="Z24" s="31"/>
      <c r="AA24" s="31"/>
      <c r="AB24" s="31"/>
      <c r="AC24" s="31"/>
    </row>
    <row r="25" customFormat="false" ht="19.5" hidden="false" customHeight="false" outlineLevel="0" collapsed="false">
      <c r="A25" s="21"/>
      <c r="B25" s="26"/>
      <c r="C25" s="21"/>
      <c r="D25" s="21" t="s">
        <v>10</v>
      </c>
      <c r="E25" s="21" t="s">
        <v>62</v>
      </c>
      <c r="F25" s="21"/>
      <c r="G25" s="117" t="n">
        <v>25</v>
      </c>
      <c r="H25" s="55"/>
      <c r="I25" s="55"/>
      <c r="J25" s="28"/>
      <c r="K25" s="21"/>
      <c r="L25" s="108"/>
      <c r="M25" s="1"/>
      <c r="N25" s="1"/>
      <c r="O25" s="1"/>
      <c r="P25" s="1"/>
      <c r="Q25" s="1"/>
      <c r="R25" s="1"/>
      <c r="S25" s="1"/>
      <c r="T25" s="1"/>
      <c r="U25" s="1"/>
      <c r="V25" s="17"/>
      <c r="W25" s="17"/>
      <c r="X25" s="17"/>
      <c r="Y25" s="17"/>
      <c r="Z25" s="17"/>
      <c r="AA25" s="17"/>
      <c r="AB25" s="17"/>
      <c r="AC25" s="17"/>
    </row>
    <row r="26" customFormat="false" ht="24" hidden="false" customHeight="false" outlineLevel="0" collapsed="false">
      <c r="A26" s="21"/>
      <c r="B26" s="26"/>
      <c r="C26" s="30"/>
      <c r="D26" s="30"/>
      <c r="E26" s="30" t="s">
        <v>10</v>
      </c>
      <c r="F26" s="30"/>
      <c r="G26" s="35"/>
      <c r="H26" s="59"/>
      <c r="I26" s="59"/>
      <c r="J26" s="28"/>
      <c r="K26" s="21"/>
      <c r="L26" s="17"/>
      <c r="M26" s="1"/>
      <c r="N26" s="1"/>
      <c r="O26" s="1"/>
      <c r="P26" s="1"/>
      <c r="Q26" s="1"/>
      <c r="R26" s="1"/>
      <c r="S26" s="1"/>
      <c r="T26" s="1"/>
      <c r="U26" s="1"/>
      <c r="V26" s="17"/>
      <c r="W26" s="17"/>
      <c r="X26" s="17"/>
      <c r="Y26" s="17"/>
      <c r="Z26" s="17"/>
      <c r="AA26" s="17"/>
      <c r="AB26" s="17"/>
      <c r="AC26" s="17"/>
    </row>
    <row r="27" customFormat="false" ht="24" hidden="false" customHeight="false" outlineLevel="0" collapsed="false">
      <c r="A27" s="21"/>
      <c r="B27" s="26"/>
      <c r="C27" s="34" t="s">
        <v>63</v>
      </c>
      <c r="D27" s="30"/>
      <c r="E27" s="30"/>
      <c r="F27" s="30"/>
      <c r="G27" s="35"/>
      <c r="H27" s="34"/>
      <c r="I27" s="118" t="n">
        <f aca="false">I24*G25</f>
        <v>1300000</v>
      </c>
      <c r="J27" s="28"/>
      <c r="K27" s="21"/>
      <c r="L27" s="17"/>
      <c r="M27" s="1"/>
      <c r="N27" s="1"/>
      <c r="O27" s="1"/>
      <c r="P27" s="1"/>
      <c r="Q27" s="1"/>
      <c r="R27" s="1"/>
      <c r="S27" s="1"/>
      <c r="T27" s="1"/>
      <c r="U27" s="1"/>
      <c r="V27" s="17"/>
      <c r="W27" s="17"/>
      <c r="X27" s="17"/>
      <c r="Y27" s="17"/>
      <c r="Z27" s="17"/>
      <c r="AA27" s="17"/>
      <c r="AB27" s="17"/>
      <c r="AC27" s="17"/>
    </row>
    <row r="28" customFormat="false" ht="19.5" hidden="false" customHeight="false" outlineLevel="0" collapsed="false">
      <c r="A28" s="21"/>
      <c r="B28" s="49"/>
      <c r="C28" s="13"/>
      <c r="D28" s="13"/>
      <c r="E28" s="13"/>
      <c r="F28" s="13"/>
      <c r="G28" s="13"/>
      <c r="H28" s="13"/>
      <c r="I28" s="13"/>
      <c r="J28" s="51"/>
      <c r="K28" s="21"/>
      <c r="L28" s="17"/>
      <c r="M28" s="1"/>
      <c r="N28" s="1"/>
      <c r="O28" s="1"/>
      <c r="P28" s="1"/>
      <c r="Q28" s="1"/>
      <c r="R28" s="1"/>
      <c r="S28" s="1"/>
      <c r="T28" s="1"/>
      <c r="U28" s="1"/>
      <c r="V28" s="17"/>
      <c r="W28" s="17"/>
      <c r="X28" s="17"/>
      <c r="Y28" s="17"/>
      <c r="Z28" s="17"/>
      <c r="AA28" s="17"/>
      <c r="AB28" s="17"/>
      <c r="AC28" s="17"/>
    </row>
    <row r="29" customFormat="false" ht="18.75" hidden="false" customHeight="false" outlineLevel="0" collapsed="false">
      <c r="A29" s="21"/>
      <c r="B29" s="21"/>
      <c r="C29" s="1"/>
      <c r="D29" s="1"/>
      <c r="E29" s="1"/>
      <c r="F29" s="1"/>
      <c r="G29" s="1"/>
      <c r="H29" s="1"/>
      <c r="I29" s="1"/>
      <c r="J29" s="21"/>
      <c r="K29" s="21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customFormat="false" ht="18.75" hidden="false" customHeight="false" outlineLevel="0" collapsed="false">
      <c r="A30" s="21"/>
      <c r="B30" s="21"/>
      <c r="C30" s="1"/>
      <c r="D30" s="1"/>
      <c r="E30" s="1"/>
      <c r="F30" s="1"/>
      <c r="G30" s="1"/>
      <c r="H30" s="1"/>
      <c r="I30" s="1"/>
      <c r="J30" s="21"/>
      <c r="K30" s="21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customFormat="false" ht="18.75" hidden="false" customHeight="false" outlineLevel="0" collapsed="false">
      <c r="A31" s="21"/>
      <c r="B31" s="21"/>
      <c r="C31" s="1"/>
      <c r="D31" s="1"/>
      <c r="E31" s="1"/>
      <c r="F31" s="1"/>
      <c r="G31" s="1"/>
      <c r="H31" s="1"/>
      <c r="I31" s="1"/>
      <c r="J31" s="21"/>
      <c r="K31" s="21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="72" customFormat="true" ht="30" hidden="false" customHeight="false" outlineLevel="0" collapsed="false">
      <c r="A32" s="119"/>
      <c r="B32" s="119"/>
      <c r="C32" s="1"/>
      <c r="D32" s="1"/>
      <c r="E32" s="1"/>
      <c r="F32" s="1"/>
      <c r="G32" s="1"/>
      <c r="H32" s="1"/>
      <c r="I32" s="1"/>
      <c r="J32" s="119"/>
      <c r="K32" s="119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</row>
    <row r="33" customFormat="false" ht="18.75" hidden="false" customHeight="false" outlineLevel="0" collapsed="false">
      <c r="A33" s="21"/>
      <c r="B33" s="21"/>
      <c r="C33" s="1"/>
      <c r="D33" s="1"/>
      <c r="E33" s="1"/>
      <c r="F33" s="1"/>
      <c r="G33" s="1"/>
      <c r="H33" s="1"/>
      <c r="I33" s="1"/>
      <c r="J33" s="21"/>
      <c r="K33" s="21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s="72" customFormat="true" ht="30" hidden="false" customHeight="false" outlineLevel="0" collapsed="false">
      <c r="A34" s="119"/>
      <c r="B34" s="119"/>
      <c r="C34" s="1"/>
      <c r="D34" s="1"/>
      <c r="E34" s="1"/>
      <c r="F34" s="1"/>
      <c r="G34" s="1"/>
      <c r="H34" s="1"/>
      <c r="I34" s="1"/>
      <c r="J34" s="119"/>
      <c r="K34" s="119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</row>
    <row r="35" customFormat="false" ht="18.75" hidden="false" customHeight="false" outlineLevel="0" collapsed="false">
      <c r="A35" s="21"/>
      <c r="B35" s="21"/>
      <c r="C35" s="1"/>
      <c r="D35" s="1"/>
      <c r="E35" s="1"/>
      <c r="F35" s="1"/>
      <c r="G35" s="1"/>
      <c r="H35" s="1"/>
      <c r="I35" s="1"/>
      <c r="J35" s="21"/>
      <c r="K35" s="21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customFormat="false" ht="18.75" hidden="false" customHeight="false" outlineLevel="0" collapsed="false">
      <c r="A36" s="21"/>
      <c r="B36" s="21"/>
      <c r="C36" s="21"/>
      <c r="D36" s="21"/>
      <c r="E36" s="21" t="s">
        <v>10</v>
      </c>
      <c r="F36" s="21"/>
      <c r="G36" s="8"/>
      <c r="H36" s="21"/>
      <c r="I36" s="21" t="s">
        <v>10</v>
      </c>
      <c r="J36" s="21"/>
      <c r="K36" s="21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customFormat="false" ht="18.75" hidden="false" customHeight="false" outlineLevel="0" collapsed="false">
      <c r="A37" s="21"/>
      <c r="B37" s="21"/>
      <c r="C37" s="21"/>
      <c r="D37" s="21"/>
      <c r="E37" s="21" t="s">
        <v>10</v>
      </c>
      <c r="F37" s="21"/>
      <c r="G37" s="8"/>
      <c r="H37" s="21"/>
      <c r="I37" s="21"/>
      <c r="J37" s="21"/>
      <c r="K37" s="21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customFormat="false" ht="18.75" hidden="false" customHeight="false" outlineLevel="0" collapsed="false">
      <c r="B38" s="17"/>
      <c r="C38" s="17"/>
      <c r="D38" s="17"/>
      <c r="E38" s="17"/>
      <c r="F38" s="17"/>
      <c r="G38" s="1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customFormat="false" ht="18.75" hidden="false" customHeight="false" outlineLevel="0" collapsed="false">
      <c r="B39" s="17"/>
      <c r="C39" s="17"/>
      <c r="D39" s="17"/>
      <c r="E39" s="17"/>
      <c r="F39" s="17"/>
      <c r="G39" s="1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customFormat="false" ht="18.75" hidden="false" customHeight="false" outlineLevel="0" collapsed="false">
      <c r="B40" s="17"/>
      <c r="C40" s="17"/>
      <c r="D40" s="17"/>
      <c r="E40" s="17"/>
      <c r="F40" s="17"/>
      <c r="G40" s="1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customFormat="false" ht="18.75" hidden="false" customHeight="false" outlineLevel="0" collapsed="false">
      <c r="B41" s="17"/>
      <c r="C41" s="17"/>
      <c r="D41" s="17"/>
      <c r="E41" s="17"/>
      <c r="F41" s="17"/>
      <c r="G41" s="1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customFormat="false" ht="18.75" hidden="false" customHeight="false" outlineLevel="0" collapsed="false">
      <c r="B42" s="17"/>
      <c r="C42" s="17"/>
      <c r="D42" s="17"/>
      <c r="E42" s="17"/>
      <c r="F42" s="17"/>
      <c r="G42" s="1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customFormat="false" ht="18.75" hidden="false" customHeight="false" outlineLevel="0" collapsed="false">
      <c r="B43" s="17"/>
      <c r="C43" s="17"/>
      <c r="D43" s="17"/>
      <c r="E43" s="17"/>
      <c r="F43" s="17"/>
      <c r="G43" s="1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customFormat="false" ht="18.75" hidden="false" customHeight="false" outlineLevel="0" collapsed="false">
      <c r="B44" s="17"/>
      <c r="C44" s="17"/>
      <c r="D44" s="17"/>
      <c r="E44" s="17"/>
      <c r="F44" s="17"/>
      <c r="G44" s="1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customFormat="false" ht="18.75" hidden="false" customHeight="false" outlineLevel="0" collapsed="false">
      <c r="B45" s="17"/>
      <c r="C45" s="17"/>
      <c r="D45" s="17"/>
      <c r="E45" s="17"/>
      <c r="F45" s="17"/>
      <c r="G45" s="1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customFormat="false" ht="18.75" hidden="false" customHeight="false" outlineLevel="0" collapsed="false">
      <c r="B46" s="17"/>
      <c r="C46" s="17"/>
      <c r="D46" s="17"/>
      <c r="E46" s="17"/>
      <c r="F46" s="17"/>
      <c r="G46" s="1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customFormat="false" ht="18.75" hidden="false" customHeight="false" outlineLevel="0" collapsed="false">
      <c r="B47" s="17"/>
      <c r="C47" s="17"/>
      <c r="D47" s="17"/>
      <c r="E47" s="17"/>
      <c r="F47" s="17"/>
      <c r="G47" s="1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customFormat="false" ht="18.75" hidden="false" customHeight="false" outlineLevel="0" collapsed="false">
      <c r="B48" s="17"/>
      <c r="C48" s="17"/>
      <c r="D48" s="17"/>
      <c r="E48" s="17"/>
      <c r="F48" s="17"/>
      <c r="G48" s="1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customFormat="false" ht="18.75" hidden="false" customHeight="false" outlineLevel="0" collapsed="false">
      <c r="B49" s="17"/>
      <c r="C49" s="17"/>
      <c r="D49" s="17"/>
      <c r="E49" s="17"/>
      <c r="F49" s="17"/>
      <c r="G49" s="1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customFormat="false" ht="18.75" hidden="false" customHeight="false" outlineLevel="0" collapsed="false">
      <c r="B50" s="17"/>
      <c r="C50" s="17"/>
      <c r="D50" s="17"/>
      <c r="E50" s="17"/>
      <c r="F50" s="17"/>
      <c r="G50" s="1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customFormat="false" ht="18.75" hidden="false" customHeight="false" outlineLevel="0" collapsed="false">
      <c r="B51" s="17"/>
      <c r="C51" s="17"/>
      <c r="D51" s="17"/>
      <c r="E51" s="17"/>
      <c r="F51" s="17"/>
      <c r="G51" s="1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customFormat="false" ht="18.75" hidden="false" customHeight="false" outlineLevel="0" collapsed="false">
      <c r="B52" s="17"/>
      <c r="C52" s="17"/>
      <c r="D52" s="17"/>
      <c r="E52" s="17"/>
      <c r="F52" s="17"/>
      <c r="G52" s="1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customFormat="false" ht="18.75" hidden="false" customHeight="false" outlineLevel="0" collapsed="false">
      <c r="B53" s="17"/>
      <c r="C53" s="17"/>
      <c r="D53" s="17"/>
      <c r="E53" s="17"/>
      <c r="F53" s="17"/>
      <c r="G53" s="1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customFormat="false" ht="18.75" hidden="false" customHeight="false" outlineLevel="0" collapsed="false">
      <c r="B54" s="17"/>
      <c r="C54" s="17"/>
      <c r="D54" s="17"/>
      <c r="E54" s="17"/>
      <c r="F54" s="17"/>
      <c r="G54" s="1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customFormat="false" ht="18.75" hidden="false" customHeight="false" outlineLevel="0" collapsed="false">
      <c r="B55" s="17"/>
      <c r="C55" s="17"/>
      <c r="D55" s="17"/>
      <c r="E55" s="17"/>
      <c r="F55" s="17"/>
      <c r="G55" s="1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customFormat="false" ht="18.75" hidden="false" customHeight="false" outlineLevel="0" collapsed="false">
      <c r="B56" s="17"/>
      <c r="C56" s="17"/>
      <c r="D56" s="17"/>
      <c r="E56" s="17"/>
      <c r="F56" s="17"/>
      <c r="G56" s="1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customFormat="false" ht="18.75" hidden="false" customHeight="false" outlineLevel="0" collapsed="false">
      <c r="B57" s="17"/>
      <c r="C57" s="17"/>
      <c r="D57" s="17"/>
      <c r="E57" s="17"/>
      <c r="F57" s="17"/>
      <c r="G57" s="1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customFormat="false" ht="18.75" hidden="false" customHeight="false" outlineLevel="0" collapsed="false">
      <c r="B58" s="17"/>
      <c r="C58" s="17"/>
      <c r="D58" s="17"/>
      <c r="E58" s="17"/>
      <c r="F58" s="17"/>
      <c r="G58" s="1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customFormat="false" ht="18.75" hidden="false" customHeight="false" outlineLevel="0" collapsed="false">
      <c r="B59" s="17"/>
      <c r="C59" s="17"/>
      <c r="D59" s="17"/>
      <c r="E59" s="17"/>
      <c r="F59" s="17"/>
      <c r="G59" s="1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customFormat="false" ht="18.75" hidden="false" customHeight="false" outlineLevel="0" collapsed="false">
      <c r="B60" s="17"/>
      <c r="C60" s="17"/>
      <c r="D60" s="17"/>
      <c r="E60" s="17"/>
      <c r="F60" s="17"/>
      <c r="G60" s="1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customFormat="false" ht="18.75" hidden="false" customHeight="false" outlineLevel="0" collapsed="false">
      <c r="B61" s="17"/>
      <c r="C61" s="17"/>
      <c r="D61" s="17"/>
      <c r="E61" s="17"/>
      <c r="F61" s="17"/>
      <c r="G61" s="1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customFormat="false" ht="18.75" hidden="false" customHeight="false" outlineLevel="0" collapsed="false">
      <c r="B62" s="17"/>
      <c r="C62" s="17"/>
      <c r="D62" s="17"/>
      <c r="E62" s="17"/>
      <c r="F62" s="17"/>
      <c r="G62" s="1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customFormat="false" ht="18.75" hidden="false" customHeight="false" outlineLevel="0" collapsed="false">
      <c r="B63" s="17"/>
      <c r="C63" s="17"/>
      <c r="D63" s="17"/>
      <c r="E63" s="17"/>
      <c r="F63" s="17"/>
      <c r="G63" s="1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customFormat="false" ht="18.75" hidden="false" customHeight="false" outlineLevel="0" collapsed="false">
      <c r="B64" s="17"/>
      <c r="C64" s="17"/>
      <c r="D64" s="17"/>
      <c r="E64" s="17"/>
      <c r="F64" s="17"/>
      <c r="G64" s="1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customFormat="false" ht="18.75" hidden="false" customHeight="false" outlineLevel="0" collapsed="false">
      <c r="B65" s="17"/>
      <c r="C65" s="17"/>
      <c r="D65" s="17"/>
      <c r="E65" s="17"/>
      <c r="F65" s="17"/>
      <c r="G65" s="1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customFormat="false" ht="18.75" hidden="false" customHeight="false" outlineLevel="0" collapsed="false">
      <c r="B66" s="17"/>
      <c r="C66" s="17"/>
      <c r="D66" s="17"/>
      <c r="E66" s="17"/>
      <c r="F66" s="17"/>
      <c r="G66" s="1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customFormat="false" ht="18.75" hidden="false" customHeight="false" outlineLevel="0" collapsed="false">
      <c r="B67" s="17"/>
      <c r="C67" s="17"/>
      <c r="D67" s="17"/>
      <c r="E67" s="17"/>
      <c r="F67" s="17"/>
      <c r="G67" s="1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customFormat="false" ht="18.75" hidden="false" customHeight="false" outlineLevel="0" collapsed="false">
      <c r="B68" s="17"/>
      <c r="C68" s="17"/>
      <c r="D68" s="17"/>
      <c r="E68" s="17"/>
      <c r="F68" s="17"/>
      <c r="G68" s="1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customFormat="false" ht="18.75" hidden="false" customHeight="false" outlineLevel="0" collapsed="false">
      <c r="B69" s="17"/>
      <c r="C69" s="17"/>
      <c r="D69" s="17"/>
      <c r="E69" s="17"/>
      <c r="F69" s="17"/>
      <c r="G69" s="1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customFormat="false" ht="18.75" hidden="false" customHeight="false" outlineLevel="0" collapsed="false">
      <c r="B70" s="17"/>
      <c r="C70" s="17"/>
      <c r="D70" s="17"/>
      <c r="E70" s="17"/>
      <c r="F70" s="17"/>
      <c r="G70" s="1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customFormat="false" ht="18.75" hidden="false" customHeight="false" outlineLevel="0" collapsed="false">
      <c r="B71" s="17"/>
      <c r="C71" s="17"/>
      <c r="D71" s="17"/>
      <c r="E71" s="17"/>
      <c r="F71" s="17"/>
      <c r="G71" s="1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customFormat="false" ht="18.75" hidden="false" customHeight="false" outlineLevel="0" collapsed="false">
      <c r="B72" s="17"/>
      <c r="C72" s="17"/>
      <c r="D72" s="17"/>
      <c r="E72" s="17"/>
      <c r="F72" s="17"/>
      <c r="G72" s="1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customFormat="false" ht="18.75" hidden="false" customHeight="false" outlineLevel="0" collapsed="false">
      <c r="B73" s="17"/>
      <c r="C73" s="17"/>
      <c r="D73" s="17"/>
      <c r="E73" s="17"/>
      <c r="F73" s="17"/>
      <c r="G73" s="1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customFormat="false" ht="18.75" hidden="false" customHeight="false" outlineLevel="0" collapsed="false">
      <c r="B74" s="17"/>
      <c r="C74" s="17"/>
      <c r="D74" s="17"/>
      <c r="E74" s="17"/>
      <c r="F74" s="17"/>
      <c r="G74" s="1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customFormat="false" ht="18.75" hidden="false" customHeight="false" outlineLevel="0" collapsed="false">
      <c r="B75" s="17"/>
      <c r="C75" s="17"/>
      <c r="D75" s="17"/>
      <c r="E75" s="17"/>
      <c r="F75" s="17"/>
      <c r="G75" s="1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customFormat="false" ht="18.75" hidden="false" customHeight="false" outlineLevel="0" collapsed="false">
      <c r="B76" s="17"/>
      <c r="C76" s="17"/>
      <c r="D76" s="17"/>
      <c r="E76" s="17"/>
      <c r="F76" s="17"/>
      <c r="G76" s="1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</sheetData>
  <mergeCells count="2">
    <mergeCell ref="A1:K1"/>
    <mergeCell ref="C6:I6"/>
  </mergeCells>
  <printOptions headings="false" gridLines="false" gridLinesSet="true" horizontalCentered="true" verticalCentered="false"/>
  <pageMargins left="0.5" right="0.5" top="0.984027777777778" bottom="0.984027777777778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&amp;C&amp;"Arial,Bold"&amp;18Application Description</oddHeader>
    <oddFooter>&amp;L&amp;"Arial,Bold"&amp;10Proposal 10xxxx
 &amp;C&amp;"Arial,Bold"&amp;10Page 4 of 9
&amp;"Times New Roman,Regular"The information contained herein is proprietary and confidential, and should not be shared outside "nickname"&amp;R&amp;"Arial,Bold"&amp;10&amp;D - &amp;T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68"/>
  <sheetViews>
    <sheetView showFormulas="false" showGridLines="true" showRowColHeaders="true" showZeros="true" rightToLeft="false" tabSelected="false" showOutlineSymbols="true" defaultGridColor="true" view="normal" topLeftCell="A1" colorId="64" zoomScale="71" zoomScaleNormal="71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defaultColWidth="8.87890625" defaultRowHeight="18.75" zeroHeight="false" outlineLevelRow="0" outlineLevelCol="0"/>
  <cols>
    <col collapsed="false" customWidth="true" hidden="false" outlineLevel="0" max="1" min="1" style="17" width="2.77"/>
    <col collapsed="false" customWidth="true" hidden="false" outlineLevel="0" max="2" min="2" style="18" width="2.77"/>
    <col collapsed="false" customWidth="true" hidden="false" outlineLevel="0" max="3" min="3" style="18" width="6.66"/>
    <col collapsed="false" customWidth="true" hidden="false" outlineLevel="0" max="4" min="4" style="18" width="1.66"/>
    <col collapsed="false" customWidth="true" hidden="false" outlineLevel="0" max="5" min="5" style="18" width="59.32"/>
    <col collapsed="false" customWidth="true" hidden="false" outlineLevel="0" max="6" min="6" style="18" width="9.21"/>
    <col collapsed="false" customWidth="true" hidden="false" outlineLevel="0" max="7" min="7" style="0" width="10.44"/>
    <col collapsed="false" customWidth="true" hidden="false" outlineLevel="0" max="8" min="8" style="18" width="2.77"/>
    <col collapsed="false" customWidth="true" hidden="false" outlineLevel="0" max="9" min="9" style="18" width="17.66"/>
    <col collapsed="false" customWidth="true" hidden="false" outlineLevel="0" max="11" min="10" style="18" width="2.77"/>
    <col collapsed="false" customWidth="false" hidden="false" outlineLevel="0" max="13" min="12" style="18" width="8.88"/>
    <col collapsed="false" customWidth="true" hidden="false" outlineLevel="0" max="14" min="14" style="18" width="44.88"/>
    <col collapsed="false" customWidth="false" hidden="false" outlineLevel="0" max="257" min="15" style="18" width="8.88"/>
  </cols>
  <sheetData>
    <row r="1" s="17" customFormat="true" ht="25.5" hidden="false" customHeight="false" outlineLevel="0" collapsed="false">
      <c r="A1" s="19" t="s">
        <v>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17" customFormat="true" ht="18" hidden="false" customHeight="true" outlineLevel="0" collapsed="false">
      <c r="A2" s="21"/>
      <c r="B2" s="21"/>
      <c r="C2" s="21"/>
      <c r="D2" s="21"/>
      <c r="E2" s="21"/>
      <c r="F2" s="21"/>
      <c r="G2" s="8"/>
      <c r="H2" s="21"/>
      <c r="I2" s="21"/>
      <c r="J2" s="21"/>
      <c r="K2" s="21"/>
      <c r="L2" s="107"/>
      <c r="M2" s="1"/>
      <c r="N2" s="1"/>
      <c r="O2" s="1"/>
      <c r="P2" s="1"/>
      <c r="Q2" s="1"/>
      <c r="R2" s="1"/>
      <c r="S2" s="1"/>
      <c r="T2" s="1"/>
      <c r="U2" s="1"/>
    </row>
    <row r="3" s="25" customFormat="true" ht="18.75" hidden="false" customHeight="false" outlineLevel="0" collapsed="false">
      <c r="A3" s="21"/>
      <c r="B3" s="22"/>
      <c r="C3" s="23"/>
      <c r="D3" s="23"/>
      <c r="E3" s="23"/>
      <c r="F3" s="23"/>
      <c r="G3" s="23"/>
      <c r="H3" s="23"/>
      <c r="I3" s="23"/>
      <c r="J3" s="24"/>
      <c r="K3" s="21"/>
      <c r="L3" s="108"/>
      <c r="M3" s="1"/>
      <c r="N3" s="1"/>
      <c r="O3" s="1"/>
      <c r="P3" s="1"/>
      <c r="Q3" s="1"/>
      <c r="R3" s="1"/>
      <c r="S3" s="1"/>
      <c r="T3" s="1"/>
      <c r="U3" s="1"/>
      <c r="V3" s="21"/>
      <c r="W3" s="21"/>
      <c r="X3" s="21"/>
      <c r="Y3" s="21"/>
      <c r="Z3" s="21"/>
      <c r="AA3" s="21"/>
      <c r="AB3" s="21"/>
      <c r="AC3" s="21"/>
    </row>
    <row r="4" s="25" customFormat="true" ht="18.75" hidden="false" customHeight="false" outlineLevel="0" collapsed="false">
      <c r="A4" s="21"/>
      <c r="B4" s="26"/>
      <c r="C4" s="27" t="s">
        <v>7</v>
      </c>
      <c r="D4" s="21"/>
      <c r="E4" s="21"/>
      <c r="F4" s="21"/>
      <c r="G4" s="21"/>
      <c r="H4" s="21"/>
      <c r="I4" s="21"/>
      <c r="J4" s="28"/>
      <c r="K4" s="21"/>
      <c r="L4" s="108"/>
      <c r="M4" s="1"/>
      <c r="N4" s="1"/>
      <c r="O4" s="1"/>
      <c r="P4" s="1"/>
      <c r="Q4" s="1"/>
      <c r="R4" s="1"/>
      <c r="S4" s="1"/>
      <c r="T4" s="1"/>
      <c r="U4" s="1"/>
      <c r="V4" s="21"/>
      <c r="W4" s="21"/>
      <c r="X4" s="21"/>
      <c r="Y4" s="21"/>
      <c r="Z4" s="21"/>
      <c r="AA4" s="21"/>
      <c r="AB4" s="21"/>
      <c r="AC4" s="21"/>
    </row>
    <row r="5" s="25" customFormat="true" ht="18.75" hidden="false" customHeight="false" outlineLevel="0" collapsed="false">
      <c r="A5" s="21"/>
      <c r="B5" s="26"/>
      <c r="C5" s="27" t="s">
        <v>8</v>
      </c>
      <c r="D5" s="21"/>
      <c r="E5" s="21"/>
      <c r="F5" s="21"/>
      <c r="G5" s="8"/>
      <c r="H5" s="21"/>
      <c r="I5" s="21"/>
      <c r="J5" s="28"/>
      <c r="K5" s="21"/>
      <c r="L5" s="108"/>
      <c r="M5" s="1"/>
      <c r="N5" s="1"/>
      <c r="O5" s="1"/>
      <c r="P5" s="1"/>
      <c r="Q5" s="1"/>
      <c r="R5" s="1"/>
      <c r="S5" s="1"/>
      <c r="T5" s="1"/>
      <c r="U5" s="1"/>
      <c r="V5" s="21"/>
      <c r="W5" s="21"/>
      <c r="X5" s="21"/>
      <c r="Y5" s="21"/>
      <c r="Z5" s="21"/>
      <c r="AA5" s="21"/>
      <c r="AB5" s="21"/>
      <c r="AC5" s="21"/>
    </row>
    <row r="6" customFormat="false" ht="34.5" hidden="false" customHeight="false" outlineLevel="0" collapsed="false">
      <c r="A6" s="21"/>
      <c r="B6" s="26" t="s">
        <v>10</v>
      </c>
      <c r="C6" s="29" t="s">
        <v>64</v>
      </c>
      <c r="D6" s="29"/>
      <c r="E6" s="29"/>
      <c r="F6" s="29"/>
      <c r="G6" s="29"/>
      <c r="H6" s="29"/>
      <c r="I6" s="29"/>
      <c r="J6" s="28"/>
      <c r="K6" s="21"/>
      <c r="L6" s="108"/>
      <c r="M6" s="1"/>
      <c r="N6" s="1"/>
      <c r="O6" s="1"/>
      <c r="P6" s="1"/>
      <c r="Q6" s="1"/>
      <c r="R6" s="1"/>
      <c r="S6" s="1"/>
      <c r="T6" s="1"/>
      <c r="U6" s="1"/>
      <c r="V6" s="17"/>
      <c r="W6" s="17"/>
      <c r="X6" s="17"/>
      <c r="Y6" s="17"/>
      <c r="Z6" s="17"/>
      <c r="AA6" s="17"/>
      <c r="AB6" s="17"/>
      <c r="AC6" s="17"/>
    </row>
    <row r="7" customFormat="false" ht="19.5" hidden="false" customHeight="false" outlineLevel="0" collapsed="false">
      <c r="A7" s="21"/>
      <c r="B7" s="26"/>
      <c r="C7" s="21" t="s">
        <v>10</v>
      </c>
      <c r="D7" s="21"/>
      <c r="E7" s="21" t="s">
        <v>10</v>
      </c>
      <c r="F7" s="21"/>
      <c r="G7" s="8"/>
      <c r="H7" s="21"/>
      <c r="I7" s="21" t="s">
        <v>10</v>
      </c>
      <c r="J7" s="28"/>
      <c r="K7" s="21"/>
      <c r="L7" s="108"/>
      <c r="M7" s="1"/>
      <c r="N7" s="1"/>
      <c r="O7" s="1"/>
      <c r="P7" s="1"/>
      <c r="Q7" s="1"/>
      <c r="R7" s="1"/>
      <c r="S7" s="1"/>
      <c r="T7" s="1"/>
      <c r="U7" s="1"/>
      <c r="V7" s="17"/>
      <c r="W7" s="17"/>
      <c r="X7" s="17"/>
      <c r="Y7" s="17"/>
      <c r="Z7" s="17"/>
      <c r="AA7" s="17"/>
      <c r="AB7" s="17"/>
      <c r="AC7" s="17"/>
    </row>
    <row r="8" s="37" customFormat="true" ht="27" hidden="false" customHeight="false" outlineLevel="0" collapsed="false">
      <c r="A8" s="109"/>
      <c r="B8" s="32"/>
      <c r="C8" s="34" t="s">
        <v>65</v>
      </c>
      <c r="D8" s="34"/>
      <c r="E8" s="34"/>
      <c r="F8" s="34"/>
      <c r="G8" s="8"/>
      <c r="H8" s="8"/>
      <c r="I8" s="52" t="n">
        <f aca="false">ROUNDUP(G9*G10,0)</f>
        <v>38</v>
      </c>
      <c r="J8" s="53"/>
      <c r="K8" s="109"/>
      <c r="L8" s="108"/>
      <c r="M8" s="120"/>
      <c r="N8" s="1"/>
      <c r="O8" s="1"/>
      <c r="P8" s="1"/>
      <c r="Q8" s="1"/>
      <c r="R8" s="1"/>
      <c r="S8" s="1"/>
      <c r="T8" s="1"/>
      <c r="U8" s="1"/>
      <c r="V8" s="31"/>
      <c r="W8" s="31"/>
      <c r="X8" s="31"/>
      <c r="Y8" s="31"/>
      <c r="Z8" s="31"/>
      <c r="AA8" s="31"/>
      <c r="AB8" s="31"/>
      <c r="AC8" s="31"/>
    </row>
    <row r="9" customFormat="false" ht="19.5" hidden="false" customHeight="false" outlineLevel="0" collapsed="false">
      <c r="A9" s="21"/>
      <c r="B9" s="26"/>
      <c r="C9" s="21"/>
      <c r="D9" s="21"/>
      <c r="E9" s="21" t="s">
        <v>66</v>
      </c>
      <c r="F9" s="21"/>
      <c r="G9" s="121" t="n">
        <v>0.01</v>
      </c>
      <c r="H9" s="55"/>
      <c r="I9" s="55"/>
      <c r="J9" s="28"/>
      <c r="K9" s="21"/>
      <c r="L9" s="108"/>
      <c r="M9" s="120"/>
      <c r="N9" s="1"/>
      <c r="O9" s="1"/>
      <c r="P9" s="1"/>
      <c r="Q9" s="1"/>
      <c r="R9" s="1"/>
      <c r="S9" s="1"/>
      <c r="T9" s="1"/>
      <c r="U9" s="1"/>
      <c r="V9" s="17"/>
      <c r="W9" s="17"/>
      <c r="X9" s="17"/>
      <c r="Y9" s="17"/>
      <c r="Z9" s="17"/>
      <c r="AA9" s="17"/>
      <c r="AB9" s="17"/>
      <c r="AC9" s="17"/>
    </row>
    <row r="10" customFormat="false" ht="19.5" hidden="false" customHeight="false" outlineLevel="0" collapsed="false">
      <c r="A10" s="21"/>
      <c r="B10" s="26"/>
      <c r="C10" s="21"/>
      <c r="D10" s="21"/>
      <c r="E10" s="21" t="s">
        <v>67</v>
      </c>
      <c r="F10" s="21"/>
      <c r="G10" s="122" t="n">
        <f aca="false">Ann_Prod_Hrs</f>
        <v>3800</v>
      </c>
      <c r="H10" s="55"/>
      <c r="I10" s="55"/>
      <c r="J10" s="28"/>
      <c r="K10" s="21"/>
      <c r="L10" s="108"/>
      <c r="M10" s="120"/>
      <c r="N10" s="1"/>
      <c r="O10" s="1"/>
      <c r="P10" s="1"/>
      <c r="Q10" s="1"/>
      <c r="R10" s="1"/>
      <c r="S10" s="1"/>
      <c r="T10" s="1"/>
      <c r="U10" s="1"/>
      <c r="V10" s="17"/>
      <c r="W10" s="17"/>
      <c r="X10" s="17"/>
      <c r="Y10" s="17"/>
      <c r="Z10" s="17"/>
      <c r="AA10" s="17"/>
      <c r="AB10" s="17"/>
      <c r="AC10" s="17"/>
    </row>
    <row r="11" customFormat="false" ht="24" hidden="false" customHeight="false" outlineLevel="0" collapsed="false">
      <c r="A11" s="21"/>
      <c r="B11" s="26"/>
      <c r="C11" s="30"/>
      <c r="D11" s="30"/>
      <c r="E11" s="30"/>
      <c r="F11" s="30"/>
      <c r="G11" s="35"/>
      <c r="H11" s="58"/>
      <c r="I11" s="58"/>
      <c r="J11" s="28"/>
      <c r="K11" s="21"/>
      <c r="L11" s="108"/>
      <c r="M11" s="120"/>
      <c r="N11" s="1"/>
      <c r="O11" s="1"/>
      <c r="P11" s="1"/>
      <c r="Q11" s="1"/>
      <c r="R11" s="1"/>
      <c r="S11" s="1"/>
      <c r="T11" s="1"/>
      <c r="U11" s="1"/>
      <c r="V11" s="17"/>
      <c r="W11" s="17"/>
      <c r="X11" s="17"/>
      <c r="Y11" s="17"/>
      <c r="Z11" s="17"/>
      <c r="AA11" s="17"/>
      <c r="AB11" s="17"/>
      <c r="AC11" s="17"/>
    </row>
    <row r="12" s="37" customFormat="true" ht="27" hidden="false" customHeight="false" outlineLevel="0" collapsed="false">
      <c r="A12" s="109"/>
      <c r="B12" s="32"/>
      <c r="C12" s="34" t="s">
        <v>60</v>
      </c>
      <c r="D12" s="34"/>
      <c r="E12" s="34"/>
      <c r="F12" s="34"/>
      <c r="G12" s="35"/>
      <c r="H12" s="34"/>
      <c r="I12" s="52" t="n">
        <f aca="false">ROUNDUP(G13*G14,0)</f>
        <v>20</v>
      </c>
      <c r="J12" s="53"/>
      <c r="K12" s="109"/>
      <c r="L12" s="108"/>
      <c r="M12" s="120"/>
      <c r="N12" s="1"/>
      <c r="O12" s="1"/>
      <c r="P12" s="1"/>
      <c r="Q12" s="1"/>
      <c r="R12" s="1"/>
      <c r="S12" s="1"/>
      <c r="T12" s="1"/>
      <c r="U12" s="1"/>
      <c r="V12" s="31"/>
      <c r="W12" s="31"/>
      <c r="X12" s="31"/>
      <c r="Y12" s="31"/>
      <c r="Z12" s="31"/>
      <c r="AA12" s="31"/>
      <c r="AB12" s="31"/>
      <c r="AC12" s="31"/>
    </row>
    <row r="13" customFormat="false" ht="19.5" hidden="false" customHeight="false" outlineLevel="0" collapsed="false">
      <c r="A13" s="21"/>
      <c r="B13" s="26"/>
      <c r="C13" s="21"/>
      <c r="D13" s="21"/>
      <c r="E13" s="21" t="s">
        <v>66</v>
      </c>
      <c r="F13" s="21"/>
      <c r="G13" s="121" t="n">
        <v>0.005</v>
      </c>
      <c r="H13" s="55"/>
      <c r="I13" s="55"/>
      <c r="J13" s="28"/>
      <c r="K13" s="21"/>
      <c r="L13" s="108"/>
      <c r="M13" s="120"/>
      <c r="N13" s="1"/>
      <c r="O13" s="1"/>
      <c r="P13" s="1"/>
      <c r="Q13" s="1"/>
      <c r="R13" s="1"/>
      <c r="S13" s="1"/>
      <c r="T13" s="1"/>
      <c r="U13" s="1"/>
      <c r="V13" s="17"/>
      <c r="W13" s="17"/>
      <c r="X13" s="17"/>
      <c r="Y13" s="17"/>
      <c r="Z13" s="17"/>
      <c r="AA13" s="17"/>
      <c r="AB13" s="17"/>
      <c r="AC13" s="17"/>
    </row>
    <row r="14" customFormat="false" ht="19.5" hidden="false" customHeight="false" outlineLevel="0" collapsed="false">
      <c r="A14" s="21"/>
      <c r="B14" s="26"/>
      <c r="C14" s="21"/>
      <c r="D14" s="21"/>
      <c r="E14" s="21" t="s">
        <v>68</v>
      </c>
      <c r="F14" s="21"/>
      <c r="G14" s="122" t="n">
        <f aca="false">'Production Increase'!G22</f>
        <v>4000</v>
      </c>
      <c r="H14" s="55"/>
      <c r="I14" s="55"/>
      <c r="J14" s="28"/>
      <c r="K14" s="21"/>
      <c r="L14" s="108"/>
      <c r="M14" s="120"/>
      <c r="N14" s="1"/>
      <c r="O14" s="1"/>
      <c r="P14" s="1"/>
      <c r="Q14" s="1"/>
      <c r="R14" s="1"/>
      <c r="S14" s="1"/>
      <c r="T14" s="1"/>
      <c r="U14" s="1"/>
      <c r="V14" s="17"/>
      <c r="W14" s="17"/>
      <c r="X14" s="17"/>
      <c r="Y14" s="17"/>
      <c r="Z14" s="17"/>
      <c r="AA14" s="17"/>
      <c r="AB14" s="17"/>
      <c r="AC14" s="17"/>
    </row>
    <row r="15" customFormat="false" ht="24" hidden="false" customHeight="false" outlineLevel="0" collapsed="false">
      <c r="A15" s="21"/>
      <c r="B15" s="26"/>
      <c r="C15" s="30"/>
      <c r="D15" s="30"/>
      <c r="E15" s="30"/>
      <c r="F15" s="30"/>
      <c r="G15" s="35"/>
      <c r="H15" s="59"/>
      <c r="I15" s="59"/>
      <c r="J15" s="28"/>
      <c r="K15" s="21"/>
      <c r="L15" s="108"/>
      <c r="M15" s="1"/>
      <c r="N15" s="1"/>
      <c r="O15" s="1"/>
      <c r="P15" s="1"/>
      <c r="Q15" s="1"/>
      <c r="R15" s="1"/>
      <c r="S15" s="1"/>
      <c r="T15" s="1"/>
      <c r="U15" s="1"/>
      <c r="V15" s="17"/>
      <c r="W15" s="17"/>
      <c r="X15" s="17"/>
      <c r="Y15" s="17"/>
      <c r="Z15" s="17"/>
      <c r="AA15" s="17"/>
      <c r="AB15" s="17"/>
      <c r="AC15" s="17"/>
    </row>
    <row r="16" s="37" customFormat="true" ht="27" hidden="false" customHeight="false" outlineLevel="0" collapsed="false">
      <c r="A16" s="109"/>
      <c r="B16" s="32"/>
      <c r="C16" s="34" t="s">
        <v>61</v>
      </c>
      <c r="D16" s="34"/>
      <c r="E16" s="34"/>
      <c r="F16" s="34"/>
      <c r="G16" s="35"/>
      <c r="H16" s="75"/>
      <c r="I16" s="52" t="n">
        <f aca="false">I8-I12</f>
        <v>18</v>
      </c>
      <c r="J16" s="53"/>
      <c r="K16" s="109"/>
      <c r="L16" s="108"/>
      <c r="M16" s="1"/>
      <c r="N16" s="1"/>
      <c r="O16" s="1"/>
      <c r="P16" s="1"/>
      <c r="Q16" s="1"/>
      <c r="R16" s="1"/>
      <c r="S16" s="1"/>
      <c r="T16" s="1"/>
      <c r="U16" s="1"/>
      <c r="V16" s="31"/>
      <c r="W16" s="31"/>
      <c r="X16" s="31"/>
      <c r="Y16" s="31"/>
      <c r="Z16" s="31"/>
      <c r="AA16" s="31"/>
      <c r="AB16" s="31"/>
      <c r="AC16" s="31"/>
    </row>
    <row r="17" customFormat="false" ht="19.5" hidden="false" customHeight="false" outlineLevel="0" collapsed="false">
      <c r="A17" s="21"/>
      <c r="B17" s="26"/>
      <c r="C17" s="21"/>
      <c r="D17" s="21" t="s">
        <v>10</v>
      </c>
      <c r="E17" s="21" t="s">
        <v>62</v>
      </c>
      <c r="F17" s="21"/>
      <c r="G17" s="123" t="n">
        <f aca="false">Unit_Price</f>
        <v>25</v>
      </c>
      <c r="H17" s="55"/>
      <c r="I17" s="55"/>
      <c r="J17" s="28"/>
      <c r="K17" s="21"/>
      <c r="L17" s="108"/>
      <c r="M17" s="1"/>
      <c r="N17" s="1"/>
      <c r="O17" s="1"/>
      <c r="P17" s="1"/>
      <c r="Q17" s="1"/>
      <c r="R17" s="1"/>
      <c r="S17" s="1"/>
      <c r="T17" s="1"/>
      <c r="U17" s="1"/>
      <c r="V17" s="17"/>
      <c r="W17" s="17"/>
      <c r="X17" s="17"/>
      <c r="Y17" s="17"/>
      <c r="Z17" s="17"/>
      <c r="AA17" s="17"/>
      <c r="AB17" s="17"/>
      <c r="AC17" s="17"/>
    </row>
    <row r="18" customFormat="false" ht="24" hidden="false" customHeight="false" outlineLevel="0" collapsed="false">
      <c r="A18" s="21"/>
      <c r="B18" s="26"/>
      <c r="C18" s="30"/>
      <c r="D18" s="30"/>
      <c r="E18" s="30" t="s">
        <v>10</v>
      </c>
      <c r="F18" s="30"/>
      <c r="G18" s="35"/>
      <c r="H18" s="59"/>
      <c r="I18" s="59"/>
      <c r="J18" s="28"/>
      <c r="K18" s="21"/>
      <c r="L18" s="17"/>
      <c r="M18" s="1"/>
      <c r="N18" s="1"/>
      <c r="O18" s="1"/>
      <c r="P18" s="1"/>
      <c r="Q18" s="1"/>
      <c r="R18" s="1"/>
      <c r="S18" s="1"/>
      <c r="T18" s="1"/>
      <c r="U18" s="1"/>
      <c r="V18" s="17"/>
      <c r="W18" s="17"/>
      <c r="X18" s="17"/>
      <c r="Y18" s="17"/>
      <c r="Z18" s="17"/>
      <c r="AA18" s="17"/>
      <c r="AB18" s="17"/>
      <c r="AC18" s="17"/>
    </row>
    <row r="19" customFormat="false" ht="24" hidden="false" customHeight="false" outlineLevel="0" collapsed="false">
      <c r="A19" s="21"/>
      <c r="B19" s="26"/>
      <c r="C19" s="34" t="s">
        <v>64</v>
      </c>
      <c r="D19" s="30"/>
      <c r="E19" s="30"/>
      <c r="F19" s="30"/>
      <c r="G19" s="35"/>
      <c r="H19" s="34"/>
      <c r="I19" s="118" t="n">
        <f aca="false">I16*G17</f>
        <v>450</v>
      </c>
      <c r="J19" s="28"/>
      <c r="K19" s="21"/>
      <c r="L19" s="17"/>
      <c r="M19" s="1"/>
      <c r="N19" s="1"/>
      <c r="O19" s="1"/>
      <c r="P19" s="1"/>
      <c r="Q19" s="1"/>
      <c r="R19" s="1"/>
      <c r="S19" s="1"/>
      <c r="T19" s="1"/>
      <c r="U19" s="1"/>
      <c r="V19" s="17"/>
      <c r="W19" s="17"/>
      <c r="X19" s="17"/>
      <c r="Y19" s="17"/>
      <c r="Z19" s="17"/>
      <c r="AA19" s="17"/>
      <c r="AB19" s="17"/>
      <c r="AC19" s="17"/>
    </row>
    <row r="20" customFormat="false" ht="19.5" hidden="false" customHeight="false" outlineLevel="0" collapsed="false">
      <c r="A20" s="21"/>
      <c r="B20" s="49"/>
      <c r="C20" s="13"/>
      <c r="D20" s="13"/>
      <c r="E20" s="13"/>
      <c r="F20" s="13"/>
      <c r="G20" s="13"/>
      <c r="H20" s="13"/>
      <c r="I20" s="13"/>
      <c r="J20" s="51"/>
      <c r="K20" s="21"/>
      <c r="L20" s="17"/>
      <c r="M20" s="1"/>
      <c r="N20" s="1"/>
      <c r="O20" s="1"/>
      <c r="P20" s="1"/>
      <c r="Q20" s="1"/>
      <c r="R20" s="1"/>
      <c r="S20" s="1"/>
      <c r="T20" s="1"/>
      <c r="U20" s="1"/>
      <c r="V20" s="17"/>
      <c r="W20" s="17"/>
      <c r="X20" s="17"/>
      <c r="Y20" s="17"/>
      <c r="Z20" s="17"/>
      <c r="AA20" s="17"/>
      <c r="AB20" s="17"/>
      <c r="AC20" s="17"/>
    </row>
    <row r="21" customFormat="false" ht="18.75" hidden="false" customHeight="false" outlineLevel="0" collapsed="false">
      <c r="A21" s="21"/>
      <c r="B21" s="21"/>
      <c r="C21" s="1"/>
      <c r="D21" s="1"/>
      <c r="E21" s="1"/>
      <c r="F21" s="1"/>
      <c r="G21" s="1"/>
      <c r="H21" s="1"/>
      <c r="I21" s="1"/>
      <c r="J21" s="21"/>
      <c r="K21" s="21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customFormat="false" ht="18.75" hidden="false" customHeight="false" outlineLevel="0" collapsed="false">
      <c r="A22" s="21"/>
      <c r="B22" s="21"/>
      <c r="C22" s="1"/>
      <c r="D22" s="1"/>
      <c r="E22" s="1"/>
      <c r="F22" s="1"/>
      <c r="G22" s="1"/>
      <c r="H22" s="1"/>
      <c r="I22" s="1"/>
      <c r="J22" s="21"/>
      <c r="K22" s="21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customFormat="false" ht="18.75" hidden="false" customHeight="false" outlineLevel="0" collapsed="false">
      <c r="A23" s="21"/>
      <c r="B23" s="21"/>
      <c r="C23" s="1"/>
      <c r="D23" s="1"/>
      <c r="E23" s="1"/>
      <c r="F23" s="1"/>
      <c r="G23" s="1"/>
      <c r="H23" s="1"/>
      <c r="I23" s="1"/>
      <c r="J23" s="21"/>
      <c r="K23" s="21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s="72" customFormat="true" ht="30" hidden="false" customHeight="false" outlineLevel="0" collapsed="false">
      <c r="A24" s="119"/>
      <c r="B24" s="119"/>
      <c r="C24" s="1"/>
      <c r="D24" s="1"/>
      <c r="E24" s="1"/>
      <c r="F24" s="1"/>
      <c r="G24" s="1"/>
      <c r="H24" s="1"/>
      <c r="I24" s="1"/>
      <c r="J24" s="119"/>
      <c r="K24" s="119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customFormat="false" ht="18.75" hidden="false" customHeight="false" outlineLevel="0" collapsed="false">
      <c r="A25" s="21"/>
      <c r="B25" s="21"/>
      <c r="C25" s="1"/>
      <c r="D25" s="1"/>
      <c r="E25" s="1"/>
      <c r="F25" s="1"/>
      <c r="G25" s="1"/>
      <c r="H25" s="1"/>
      <c r="I25" s="1"/>
      <c r="J25" s="21"/>
      <c r="K25" s="21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s="72" customFormat="true" ht="30" hidden="false" customHeight="false" outlineLevel="0" collapsed="false">
      <c r="A26" s="119"/>
      <c r="B26" s="119"/>
      <c r="C26" s="1"/>
      <c r="D26" s="1"/>
      <c r="E26" s="1"/>
      <c r="F26" s="1"/>
      <c r="G26" s="1"/>
      <c r="H26" s="1"/>
      <c r="I26" s="1"/>
      <c r="J26" s="119"/>
      <c r="K26" s="119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</row>
    <row r="27" customFormat="false" ht="18.75" hidden="false" customHeight="false" outlineLevel="0" collapsed="false">
      <c r="A27" s="21"/>
      <c r="B27" s="21"/>
      <c r="C27" s="1"/>
      <c r="D27" s="1"/>
      <c r="E27" s="1"/>
      <c r="F27" s="1"/>
      <c r="G27" s="1"/>
      <c r="H27" s="1"/>
      <c r="I27" s="1"/>
      <c r="J27" s="21"/>
      <c r="K27" s="21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customFormat="false" ht="18.75" hidden="false" customHeight="false" outlineLevel="0" collapsed="false">
      <c r="A28" s="21"/>
      <c r="B28" s="21"/>
      <c r="C28" s="21"/>
      <c r="D28" s="21"/>
      <c r="E28" s="21" t="s">
        <v>10</v>
      </c>
      <c r="F28" s="21"/>
      <c r="G28" s="8"/>
      <c r="H28" s="21"/>
      <c r="I28" s="21" t="s">
        <v>10</v>
      </c>
      <c r="J28" s="21"/>
      <c r="K28" s="21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customFormat="false" ht="18.75" hidden="false" customHeight="false" outlineLevel="0" collapsed="false">
      <c r="A29" s="21"/>
      <c r="B29" s="21"/>
      <c r="C29" s="21"/>
      <c r="D29" s="21"/>
      <c r="E29" s="21" t="s">
        <v>10</v>
      </c>
      <c r="F29" s="21"/>
      <c r="G29" s="8"/>
      <c r="H29" s="21"/>
      <c r="I29" s="21"/>
      <c r="J29" s="21"/>
      <c r="K29" s="21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customFormat="false" ht="18.75" hidden="false" customHeight="false" outlineLevel="0" collapsed="false">
      <c r="B30" s="17"/>
      <c r="C30" s="17"/>
      <c r="D30" s="17"/>
      <c r="E30" s="17"/>
      <c r="F30" s="17"/>
      <c r="G30" s="1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customFormat="false" ht="18.75" hidden="false" customHeight="false" outlineLevel="0" collapsed="false">
      <c r="B31" s="17"/>
      <c r="C31" s="17"/>
      <c r="D31" s="17"/>
      <c r="E31" s="17"/>
      <c r="F31" s="17"/>
      <c r="G31" s="1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customFormat="false" ht="18.75" hidden="false" customHeight="false" outlineLevel="0" collapsed="false">
      <c r="B32" s="17"/>
      <c r="C32" s="17"/>
      <c r="D32" s="17"/>
      <c r="E32" s="17"/>
      <c r="F32" s="17"/>
      <c r="G32" s="1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customFormat="false" ht="18.75" hidden="false" customHeight="false" outlineLevel="0" collapsed="false">
      <c r="B33" s="17"/>
      <c r="C33" s="17"/>
      <c r="D33" s="17"/>
      <c r="E33" s="17"/>
      <c r="F33" s="17"/>
      <c r="G33" s="1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customFormat="false" ht="18.75" hidden="false" customHeight="false" outlineLevel="0" collapsed="false">
      <c r="B34" s="17"/>
      <c r="C34" s="17"/>
      <c r="D34" s="17"/>
      <c r="E34" s="17"/>
      <c r="F34" s="17"/>
      <c r="G34" s="1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customFormat="false" ht="18.75" hidden="false" customHeight="false" outlineLevel="0" collapsed="false">
      <c r="B35" s="17"/>
      <c r="C35" s="17"/>
      <c r="D35" s="17"/>
      <c r="E35" s="17"/>
      <c r="F35" s="17"/>
      <c r="G35" s="1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customFormat="false" ht="18.75" hidden="false" customHeight="false" outlineLevel="0" collapsed="false">
      <c r="B36" s="17"/>
      <c r="C36" s="17"/>
      <c r="D36" s="17"/>
      <c r="E36" s="17"/>
      <c r="F36" s="17"/>
      <c r="G36" s="1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customFormat="false" ht="18.75" hidden="false" customHeight="false" outlineLevel="0" collapsed="false">
      <c r="B37" s="17"/>
      <c r="C37" s="17"/>
      <c r="D37" s="17"/>
      <c r="E37" s="17"/>
      <c r="F37" s="17"/>
      <c r="G37" s="1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customFormat="false" ht="18.75" hidden="false" customHeight="false" outlineLevel="0" collapsed="false">
      <c r="B38" s="17"/>
      <c r="C38" s="17"/>
      <c r="D38" s="17"/>
      <c r="E38" s="17"/>
      <c r="F38" s="17"/>
      <c r="G38" s="1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customFormat="false" ht="18.75" hidden="false" customHeight="false" outlineLevel="0" collapsed="false">
      <c r="B39" s="17"/>
      <c r="C39" s="17"/>
      <c r="D39" s="17"/>
      <c r="E39" s="17"/>
      <c r="F39" s="17"/>
      <c r="G39" s="1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customFormat="false" ht="18.75" hidden="false" customHeight="false" outlineLevel="0" collapsed="false">
      <c r="B40" s="17"/>
      <c r="C40" s="17"/>
      <c r="D40" s="17"/>
      <c r="E40" s="17"/>
      <c r="F40" s="17"/>
      <c r="G40" s="1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customFormat="false" ht="18.75" hidden="false" customHeight="false" outlineLevel="0" collapsed="false">
      <c r="B41" s="17"/>
      <c r="C41" s="17"/>
      <c r="D41" s="17"/>
      <c r="E41" s="17"/>
      <c r="F41" s="17"/>
      <c r="G41" s="1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customFormat="false" ht="18.75" hidden="false" customHeight="false" outlineLevel="0" collapsed="false">
      <c r="B42" s="17"/>
      <c r="C42" s="17"/>
      <c r="D42" s="17"/>
      <c r="E42" s="17"/>
      <c r="F42" s="17"/>
      <c r="G42" s="1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customFormat="false" ht="18.75" hidden="false" customHeight="false" outlineLevel="0" collapsed="false">
      <c r="B43" s="17"/>
      <c r="C43" s="17"/>
      <c r="D43" s="17"/>
      <c r="E43" s="17"/>
      <c r="F43" s="17"/>
      <c r="G43" s="1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customFormat="false" ht="18.75" hidden="false" customHeight="false" outlineLevel="0" collapsed="false">
      <c r="B44" s="17"/>
      <c r="C44" s="17"/>
      <c r="D44" s="17"/>
      <c r="E44" s="17"/>
      <c r="F44" s="17"/>
      <c r="G44" s="1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customFormat="false" ht="18.75" hidden="false" customHeight="false" outlineLevel="0" collapsed="false">
      <c r="B45" s="17"/>
      <c r="C45" s="17"/>
      <c r="D45" s="17"/>
      <c r="E45" s="17"/>
      <c r="F45" s="17"/>
      <c r="G45" s="1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customFormat="false" ht="18.75" hidden="false" customHeight="false" outlineLevel="0" collapsed="false">
      <c r="B46" s="17"/>
      <c r="C46" s="17"/>
      <c r="D46" s="17"/>
      <c r="E46" s="17"/>
      <c r="F46" s="17"/>
      <c r="G46" s="1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customFormat="false" ht="18.75" hidden="false" customHeight="false" outlineLevel="0" collapsed="false">
      <c r="B47" s="17"/>
      <c r="C47" s="17"/>
      <c r="D47" s="17"/>
      <c r="E47" s="17"/>
      <c r="F47" s="17"/>
      <c r="G47" s="1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customFormat="false" ht="18.75" hidden="false" customHeight="false" outlineLevel="0" collapsed="false">
      <c r="B48" s="17"/>
      <c r="C48" s="17"/>
      <c r="D48" s="17"/>
      <c r="E48" s="17"/>
      <c r="F48" s="17"/>
      <c r="G48" s="1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customFormat="false" ht="18.75" hidden="false" customHeight="false" outlineLevel="0" collapsed="false">
      <c r="B49" s="17"/>
      <c r="C49" s="17"/>
      <c r="D49" s="17"/>
      <c r="E49" s="17"/>
      <c r="F49" s="17"/>
      <c r="G49" s="1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customFormat="false" ht="18.75" hidden="false" customHeight="false" outlineLevel="0" collapsed="false">
      <c r="B50" s="17"/>
      <c r="C50" s="17"/>
      <c r="D50" s="17"/>
      <c r="E50" s="17"/>
      <c r="F50" s="17"/>
      <c r="G50" s="1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customFormat="false" ht="18.75" hidden="false" customHeight="false" outlineLevel="0" collapsed="false">
      <c r="B51" s="17"/>
      <c r="C51" s="17"/>
      <c r="D51" s="17"/>
      <c r="E51" s="17"/>
      <c r="F51" s="17"/>
      <c r="G51" s="1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customFormat="false" ht="18.75" hidden="false" customHeight="false" outlineLevel="0" collapsed="false">
      <c r="B52" s="17"/>
      <c r="C52" s="17"/>
      <c r="D52" s="17"/>
      <c r="E52" s="17"/>
      <c r="F52" s="17"/>
      <c r="G52" s="1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customFormat="false" ht="18.75" hidden="false" customHeight="false" outlineLevel="0" collapsed="false">
      <c r="B53" s="17"/>
      <c r="C53" s="17"/>
      <c r="D53" s="17"/>
      <c r="E53" s="17"/>
      <c r="F53" s="17"/>
      <c r="G53" s="1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customFormat="false" ht="18.75" hidden="false" customHeight="false" outlineLevel="0" collapsed="false">
      <c r="B54" s="17"/>
      <c r="C54" s="17"/>
      <c r="D54" s="17"/>
      <c r="E54" s="17"/>
      <c r="F54" s="17"/>
      <c r="G54" s="1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customFormat="false" ht="18.75" hidden="false" customHeight="false" outlineLevel="0" collapsed="false">
      <c r="B55" s="17"/>
      <c r="C55" s="17"/>
      <c r="D55" s="17"/>
      <c r="E55" s="17"/>
      <c r="F55" s="17"/>
      <c r="G55" s="1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customFormat="false" ht="18.75" hidden="false" customHeight="false" outlineLevel="0" collapsed="false">
      <c r="B56" s="17"/>
      <c r="C56" s="17"/>
      <c r="D56" s="17"/>
      <c r="E56" s="17"/>
      <c r="F56" s="17"/>
      <c r="G56" s="1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customFormat="false" ht="18.75" hidden="false" customHeight="false" outlineLevel="0" collapsed="false">
      <c r="B57" s="17"/>
      <c r="C57" s="17"/>
      <c r="D57" s="17"/>
      <c r="E57" s="17"/>
      <c r="F57" s="17"/>
      <c r="G57" s="1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customFormat="false" ht="18.75" hidden="false" customHeight="false" outlineLevel="0" collapsed="false">
      <c r="B58" s="17"/>
      <c r="C58" s="17"/>
      <c r="D58" s="17"/>
      <c r="E58" s="17"/>
      <c r="F58" s="17"/>
      <c r="G58" s="1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customFormat="false" ht="18.75" hidden="false" customHeight="false" outlineLevel="0" collapsed="false">
      <c r="B59" s="17"/>
      <c r="C59" s="17"/>
      <c r="D59" s="17"/>
      <c r="E59" s="17"/>
      <c r="F59" s="17"/>
      <c r="G59" s="1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customFormat="false" ht="18.75" hidden="false" customHeight="false" outlineLevel="0" collapsed="false">
      <c r="B60" s="17"/>
      <c r="C60" s="17"/>
      <c r="D60" s="17"/>
      <c r="E60" s="17"/>
      <c r="F60" s="17"/>
      <c r="G60" s="1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customFormat="false" ht="18.75" hidden="false" customHeight="false" outlineLevel="0" collapsed="false">
      <c r="B61" s="17"/>
      <c r="C61" s="17"/>
      <c r="D61" s="17"/>
      <c r="E61" s="17"/>
      <c r="F61" s="17"/>
      <c r="G61" s="1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customFormat="false" ht="18.75" hidden="false" customHeight="false" outlineLevel="0" collapsed="false">
      <c r="B62" s="17"/>
      <c r="C62" s="17"/>
      <c r="D62" s="17"/>
      <c r="E62" s="17"/>
      <c r="F62" s="17"/>
      <c r="G62" s="1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customFormat="false" ht="18.75" hidden="false" customHeight="false" outlineLevel="0" collapsed="false">
      <c r="B63" s="17"/>
      <c r="C63" s="17"/>
      <c r="D63" s="17"/>
      <c r="E63" s="17"/>
      <c r="F63" s="17"/>
      <c r="G63" s="1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customFormat="false" ht="18.75" hidden="false" customHeight="false" outlineLevel="0" collapsed="false">
      <c r="B64" s="17"/>
      <c r="C64" s="17"/>
      <c r="D64" s="17"/>
      <c r="E64" s="17"/>
      <c r="F64" s="17"/>
      <c r="G64" s="1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customFormat="false" ht="18.75" hidden="false" customHeight="false" outlineLevel="0" collapsed="false">
      <c r="B65" s="17"/>
      <c r="C65" s="17"/>
      <c r="D65" s="17"/>
      <c r="E65" s="17"/>
      <c r="F65" s="17"/>
      <c r="G65" s="1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customFormat="false" ht="18.75" hidden="false" customHeight="false" outlineLevel="0" collapsed="false">
      <c r="B66" s="17"/>
      <c r="C66" s="17"/>
      <c r="D66" s="17"/>
      <c r="E66" s="17"/>
      <c r="F66" s="17"/>
      <c r="G66" s="1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customFormat="false" ht="18.75" hidden="false" customHeight="false" outlineLevel="0" collapsed="false">
      <c r="B67" s="17"/>
      <c r="C67" s="17"/>
      <c r="D67" s="17"/>
      <c r="E67" s="17"/>
      <c r="F67" s="17"/>
      <c r="G67" s="1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customFormat="false" ht="18.75" hidden="false" customHeight="false" outlineLevel="0" collapsed="false">
      <c r="B68" s="17"/>
      <c r="C68" s="17"/>
      <c r="D68" s="17"/>
      <c r="E68" s="17"/>
      <c r="F68" s="17"/>
      <c r="G68" s="1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</sheetData>
  <mergeCells count="2">
    <mergeCell ref="A1:K1"/>
    <mergeCell ref="C6:I6"/>
  </mergeCells>
  <printOptions headings="false" gridLines="false" gridLinesSet="true" horizontalCentered="true" verticalCentered="false"/>
  <pageMargins left="0.5" right="0.5" top="0.984027777777778" bottom="0.984027777777778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&amp;C&amp;"Arial,Bold"&amp;18Application Description</oddHeader>
    <oddFooter>&amp;L&amp;"Arial,Bold"&amp;10Proposal 10xxxx
 &amp;C&amp;"Arial,Bold"&amp;10Page 5 of 9
&amp;"Times New Roman,Regular"The information contained herein is proprietary and confidential, and should not be shared outside "nickname"&amp;R&amp;"Arial,Bold"&amp;10&amp;D - &amp;T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64"/>
  <sheetViews>
    <sheetView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defaultColWidth="8.87890625" defaultRowHeight="18.75" zeroHeight="false" outlineLevelRow="0" outlineLevelCol="0"/>
  <cols>
    <col collapsed="false" customWidth="true" hidden="false" outlineLevel="0" max="1" min="1" style="17" width="2.77"/>
    <col collapsed="false" customWidth="true" hidden="false" outlineLevel="0" max="2" min="2" style="18" width="2.77"/>
    <col collapsed="false" customWidth="true" hidden="false" outlineLevel="0" max="3" min="3" style="18" width="6.66"/>
    <col collapsed="false" customWidth="true" hidden="false" outlineLevel="0" max="4" min="4" style="18" width="1.66"/>
    <col collapsed="false" customWidth="true" hidden="false" outlineLevel="0" max="5" min="5" style="18" width="51.77"/>
    <col collapsed="false" customWidth="true" hidden="false" outlineLevel="0" max="6" min="6" style="18" width="9.21"/>
    <col collapsed="false" customWidth="true" hidden="false" outlineLevel="0" max="7" min="7" style="0" width="10.44"/>
    <col collapsed="false" customWidth="true" hidden="false" outlineLevel="0" max="8" min="8" style="18" width="2.77"/>
    <col collapsed="false" customWidth="true" hidden="false" outlineLevel="0" max="9" min="9" style="18" width="17.66"/>
    <col collapsed="false" customWidth="true" hidden="false" outlineLevel="0" max="11" min="10" style="18" width="2.77"/>
    <col collapsed="false" customWidth="false" hidden="false" outlineLevel="0" max="13" min="12" style="18" width="8.88"/>
    <col collapsed="false" customWidth="true" hidden="false" outlineLevel="0" max="14" min="14" style="18" width="44.88"/>
    <col collapsed="false" customWidth="false" hidden="false" outlineLevel="0" max="257" min="15" style="18" width="8.88"/>
  </cols>
  <sheetData>
    <row r="1" s="17" customFormat="true" ht="25.5" hidden="false" customHeight="false" outlineLevel="0" collapsed="false">
      <c r="A1" s="19" t="s">
        <v>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17" customFormat="true" ht="18" hidden="false" customHeight="true" outlineLevel="0" collapsed="false">
      <c r="A2" s="21"/>
      <c r="B2" s="21"/>
      <c r="C2" s="21"/>
      <c r="D2" s="21"/>
      <c r="E2" s="21"/>
      <c r="F2" s="21"/>
      <c r="G2" s="8"/>
      <c r="H2" s="21"/>
      <c r="I2" s="21"/>
      <c r="J2" s="21"/>
      <c r="K2" s="21"/>
      <c r="L2" s="107"/>
      <c r="M2" s="1"/>
      <c r="N2" s="1"/>
      <c r="O2" s="1"/>
      <c r="P2" s="1"/>
      <c r="Q2" s="1"/>
      <c r="R2" s="1"/>
      <c r="S2" s="1"/>
      <c r="T2" s="1"/>
      <c r="U2" s="1"/>
    </row>
    <row r="3" s="25" customFormat="true" ht="18.75" hidden="false" customHeight="false" outlineLevel="0" collapsed="false">
      <c r="A3" s="21"/>
      <c r="B3" s="22"/>
      <c r="C3" s="23"/>
      <c r="D3" s="23"/>
      <c r="E3" s="23"/>
      <c r="F3" s="23"/>
      <c r="G3" s="23"/>
      <c r="H3" s="23"/>
      <c r="I3" s="23"/>
      <c r="J3" s="24"/>
      <c r="K3" s="21"/>
      <c r="L3" s="108"/>
      <c r="M3" s="1"/>
      <c r="N3" s="1"/>
      <c r="O3" s="1"/>
      <c r="P3" s="1"/>
      <c r="Q3" s="1"/>
      <c r="R3" s="1"/>
      <c r="S3" s="1"/>
      <c r="T3" s="1"/>
      <c r="U3" s="1"/>
      <c r="V3" s="21"/>
      <c r="W3" s="21"/>
      <c r="X3" s="21"/>
      <c r="Y3" s="21"/>
      <c r="Z3" s="21"/>
      <c r="AA3" s="21"/>
      <c r="AB3" s="21"/>
      <c r="AC3" s="21"/>
    </row>
    <row r="4" s="25" customFormat="true" ht="18.75" hidden="false" customHeight="false" outlineLevel="0" collapsed="false">
      <c r="A4" s="21"/>
      <c r="B4" s="26"/>
      <c r="C4" s="27" t="s">
        <v>7</v>
      </c>
      <c r="D4" s="21"/>
      <c r="E4" s="21"/>
      <c r="F4" s="21"/>
      <c r="G4" s="21"/>
      <c r="H4" s="21"/>
      <c r="I4" s="21"/>
      <c r="J4" s="28"/>
      <c r="K4" s="21"/>
      <c r="L4" s="108"/>
      <c r="M4" s="1"/>
      <c r="N4" s="1"/>
      <c r="O4" s="1"/>
      <c r="P4" s="1"/>
      <c r="Q4" s="1"/>
      <c r="R4" s="1"/>
      <c r="S4" s="1"/>
      <c r="T4" s="1"/>
      <c r="U4" s="1"/>
      <c r="V4" s="21"/>
      <c r="W4" s="21"/>
      <c r="X4" s="21"/>
      <c r="Y4" s="21"/>
      <c r="Z4" s="21"/>
      <c r="AA4" s="21"/>
      <c r="AB4" s="21"/>
      <c r="AC4" s="21"/>
    </row>
    <row r="5" s="25" customFormat="true" ht="18.75" hidden="false" customHeight="false" outlineLevel="0" collapsed="false">
      <c r="A5" s="21"/>
      <c r="B5" s="26"/>
      <c r="C5" s="27" t="s">
        <v>8</v>
      </c>
      <c r="D5" s="21"/>
      <c r="E5" s="21"/>
      <c r="F5" s="21"/>
      <c r="G5" s="8"/>
      <c r="H5" s="21"/>
      <c r="I5" s="21"/>
      <c r="J5" s="28"/>
      <c r="K5" s="21"/>
      <c r="L5" s="108"/>
      <c r="M5" s="1"/>
      <c r="N5" s="1"/>
      <c r="O5" s="1"/>
      <c r="P5" s="1"/>
      <c r="Q5" s="1"/>
      <c r="R5" s="1"/>
      <c r="S5" s="1"/>
      <c r="T5" s="1"/>
      <c r="U5" s="1"/>
      <c r="V5" s="21"/>
      <c r="W5" s="21"/>
      <c r="X5" s="21"/>
      <c r="Y5" s="21"/>
      <c r="Z5" s="21"/>
      <c r="AA5" s="21"/>
      <c r="AB5" s="21"/>
      <c r="AC5" s="21"/>
    </row>
    <row r="6" customFormat="false" ht="34.5" hidden="false" customHeight="false" outlineLevel="0" collapsed="false">
      <c r="A6" s="21"/>
      <c r="B6" s="26" t="s">
        <v>10</v>
      </c>
      <c r="C6" s="29" t="s">
        <v>69</v>
      </c>
      <c r="D6" s="29"/>
      <c r="E6" s="29"/>
      <c r="F6" s="29"/>
      <c r="G6" s="29"/>
      <c r="H6" s="29"/>
      <c r="I6" s="29"/>
      <c r="J6" s="28"/>
      <c r="K6" s="21"/>
      <c r="L6" s="108"/>
      <c r="M6" s="1"/>
      <c r="N6" s="1"/>
      <c r="O6" s="1"/>
      <c r="P6" s="1"/>
      <c r="Q6" s="1"/>
      <c r="R6" s="1"/>
      <c r="S6" s="1"/>
      <c r="T6" s="1"/>
      <c r="U6" s="1"/>
      <c r="V6" s="17"/>
      <c r="W6" s="17"/>
      <c r="X6" s="17"/>
      <c r="Y6" s="17"/>
      <c r="Z6" s="17"/>
      <c r="AA6" s="17"/>
      <c r="AB6" s="17"/>
      <c r="AC6" s="17"/>
    </row>
    <row r="7" customFormat="false" ht="14.25" hidden="false" customHeight="true" outlineLevel="0" collapsed="false">
      <c r="A7" s="21"/>
      <c r="B7" s="26"/>
      <c r="C7" s="124" t="s">
        <v>70</v>
      </c>
      <c r="D7" s="124"/>
      <c r="E7" s="124"/>
      <c r="F7" s="124"/>
      <c r="G7" s="124"/>
      <c r="H7" s="124"/>
      <c r="I7" s="124"/>
      <c r="J7" s="28"/>
      <c r="K7" s="21"/>
      <c r="L7" s="108"/>
      <c r="M7" s="1"/>
      <c r="N7" s="1"/>
      <c r="O7" s="1"/>
      <c r="P7" s="1"/>
      <c r="Q7" s="1"/>
      <c r="R7" s="1"/>
      <c r="S7" s="1"/>
      <c r="T7" s="1"/>
      <c r="U7" s="1"/>
      <c r="V7" s="17"/>
      <c r="W7" s="17"/>
      <c r="X7" s="17"/>
      <c r="Y7" s="17"/>
      <c r="Z7" s="17"/>
      <c r="AA7" s="17"/>
      <c r="AB7" s="17"/>
      <c r="AC7" s="17"/>
    </row>
    <row r="8" customFormat="false" ht="19.5" hidden="false" customHeight="false" outlineLevel="0" collapsed="false">
      <c r="A8" s="21"/>
      <c r="B8" s="26"/>
      <c r="C8" s="21" t="s">
        <v>10</v>
      </c>
      <c r="D8" s="21"/>
      <c r="E8" s="21" t="s">
        <v>10</v>
      </c>
      <c r="F8" s="21"/>
      <c r="G8" s="8"/>
      <c r="H8" s="21"/>
      <c r="I8" s="21" t="s">
        <v>10</v>
      </c>
      <c r="J8" s="28"/>
      <c r="K8" s="21"/>
      <c r="L8" s="108"/>
      <c r="M8" s="1"/>
      <c r="N8" s="1"/>
      <c r="O8" s="1"/>
      <c r="P8" s="1"/>
      <c r="Q8" s="1"/>
      <c r="R8" s="1"/>
      <c r="S8" s="1"/>
      <c r="T8" s="1"/>
      <c r="U8" s="1"/>
      <c r="V8" s="17"/>
      <c r="W8" s="17"/>
      <c r="X8" s="17"/>
      <c r="Y8" s="17"/>
      <c r="Z8" s="17"/>
      <c r="AA8" s="17"/>
      <c r="AB8" s="17"/>
      <c r="AC8" s="17"/>
    </row>
    <row r="9" s="37" customFormat="true" ht="27" hidden="false" customHeight="false" outlineLevel="0" collapsed="false">
      <c r="A9" s="109"/>
      <c r="B9" s="32"/>
      <c r="C9" s="34" t="s">
        <v>71</v>
      </c>
      <c r="D9" s="34"/>
      <c r="E9" s="34"/>
      <c r="F9" s="34"/>
      <c r="G9" s="8"/>
      <c r="H9" s="8"/>
      <c r="I9" s="125" t="n">
        <v>0</v>
      </c>
      <c r="J9" s="53"/>
      <c r="K9" s="109"/>
      <c r="L9" s="108"/>
      <c r="M9" s="120"/>
      <c r="N9" s="1"/>
      <c r="O9" s="1"/>
      <c r="P9" s="1"/>
      <c r="Q9" s="1"/>
      <c r="R9" s="1"/>
      <c r="S9" s="1"/>
      <c r="T9" s="1"/>
      <c r="U9" s="1"/>
      <c r="V9" s="31"/>
      <c r="W9" s="31"/>
      <c r="X9" s="31"/>
      <c r="Y9" s="31"/>
      <c r="Z9" s="31"/>
      <c r="AA9" s="31"/>
      <c r="AB9" s="31"/>
      <c r="AC9" s="31"/>
    </row>
    <row r="10" customFormat="false" ht="24" hidden="false" customHeight="false" outlineLevel="0" collapsed="false">
      <c r="A10" s="21"/>
      <c r="B10" s="26"/>
      <c r="C10" s="30"/>
      <c r="D10" s="30"/>
      <c r="E10" s="30"/>
      <c r="F10" s="30"/>
      <c r="G10" s="35"/>
      <c r="H10" s="58"/>
      <c r="I10" s="58"/>
      <c r="J10" s="28"/>
      <c r="K10" s="21"/>
      <c r="L10" s="108"/>
      <c r="M10" s="120"/>
      <c r="N10" s="1"/>
      <c r="O10" s="1"/>
      <c r="P10" s="1"/>
      <c r="Q10" s="1"/>
      <c r="R10" s="1"/>
      <c r="S10" s="1"/>
      <c r="T10" s="1"/>
      <c r="U10" s="1"/>
      <c r="V10" s="17"/>
      <c r="W10" s="17"/>
      <c r="X10" s="17"/>
      <c r="Y10" s="17"/>
      <c r="Z10" s="17"/>
      <c r="AA10" s="17"/>
      <c r="AB10" s="17"/>
      <c r="AC10" s="17"/>
    </row>
    <row r="11" s="37" customFormat="true" ht="27" hidden="false" customHeight="false" outlineLevel="0" collapsed="false">
      <c r="A11" s="109"/>
      <c r="B11" s="32"/>
      <c r="C11" s="34" t="s">
        <v>71</v>
      </c>
      <c r="D11" s="34"/>
      <c r="E11" s="34"/>
      <c r="F11" s="34"/>
      <c r="G11" s="35"/>
      <c r="H11" s="34"/>
      <c r="I11" s="125" t="n">
        <v>0</v>
      </c>
      <c r="J11" s="53"/>
      <c r="K11" s="109"/>
      <c r="L11" s="108"/>
      <c r="M11" s="120"/>
      <c r="N11" s="1"/>
      <c r="O11" s="1"/>
      <c r="P11" s="1"/>
      <c r="Q11" s="1"/>
      <c r="R11" s="1"/>
      <c r="S11" s="1"/>
      <c r="T11" s="1"/>
      <c r="U11" s="1"/>
      <c r="V11" s="31"/>
      <c r="W11" s="31"/>
      <c r="X11" s="31"/>
      <c r="Y11" s="31"/>
      <c r="Z11" s="31"/>
      <c r="AA11" s="31"/>
      <c r="AB11" s="31"/>
      <c r="AC11" s="31"/>
    </row>
    <row r="12" customFormat="false" ht="24" hidden="false" customHeight="false" outlineLevel="0" collapsed="false">
      <c r="A12" s="21"/>
      <c r="B12" s="26"/>
      <c r="C12" s="30"/>
      <c r="D12" s="30"/>
      <c r="E12" s="30"/>
      <c r="F12" s="30"/>
      <c r="G12" s="35"/>
      <c r="H12" s="59"/>
      <c r="I12" s="59"/>
      <c r="J12" s="28"/>
      <c r="K12" s="21"/>
      <c r="L12" s="108"/>
      <c r="M12" s="1"/>
      <c r="N12" s="1"/>
      <c r="O12" s="1"/>
      <c r="P12" s="1"/>
      <c r="Q12" s="1"/>
      <c r="R12" s="1"/>
      <c r="S12" s="1"/>
      <c r="T12" s="1"/>
      <c r="U12" s="1"/>
      <c r="V12" s="17"/>
      <c r="W12" s="17"/>
      <c r="X12" s="17"/>
      <c r="Y12" s="17"/>
      <c r="Z12" s="17"/>
      <c r="AA12" s="17"/>
      <c r="AB12" s="17"/>
      <c r="AC12" s="17"/>
    </row>
    <row r="13" s="37" customFormat="true" ht="27" hidden="false" customHeight="false" outlineLevel="0" collapsed="false">
      <c r="A13" s="109"/>
      <c r="B13" s="32"/>
      <c r="C13" s="34" t="s">
        <v>71</v>
      </c>
      <c r="D13" s="34"/>
      <c r="E13" s="34"/>
      <c r="F13" s="34"/>
      <c r="G13" s="35"/>
      <c r="H13" s="75"/>
      <c r="I13" s="125" t="n">
        <v>0</v>
      </c>
      <c r="J13" s="53"/>
      <c r="K13" s="109"/>
      <c r="L13" s="108"/>
      <c r="M13" s="1"/>
      <c r="N13" s="1"/>
      <c r="O13" s="1"/>
      <c r="P13" s="1"/>
      <c r="Q13" s="1"/>
      <c r="R13" s="1"/>
      <c r="S13" s="1"/>
      <c r="T13" s="1"/>
      <c r="U13" s="1"/>
      <c r="V13" s="31"/>
      <c r="W13" s="31"/>
      <c r="X13" s="31"/>
      <c r="Y13" s="31"/>
      <c r="Z13" s="31"/>
      <c r="AA13" s="31"/>
      <c r="AB13" s="31"/>
      <c r="AC13" s="31"/>
    </row>
    <row r="14" customFormat="false" ht="24" hidden="false" customHeight="false" outlineLevel="0" collapsed="false">
      <c r="A14" s="21"/>
      <c r="B14" s="26"/>
      <c r="C14" s="30"/>
      <c r="D14" s="30"/>
      <c r="E14" s="30" t="s">
        <v>10</v>
      </c>
      <c r="F14" s="30"/>
      <c r="G14" s="35"/>
      <c r="H14" s="59"/>
      <c r="I14" s="59"/>
      <c r="J14" s="28"/>
      <c r="K14" s="21"/>
      <c r="L14" s="17"/>
      <c r="M14" s="1"/>
      <c r="N14" s="1"/>
      <c r="O14" s="1"/>
      <c r="P14" s="1"/>
      <c r="Q14" s="1"/>
      <c r="R14" s="1"/>
      <c r="S14" s="1"/>
      <c r="T14" s="1"/>
      <c r="U14" s="1"/>
      <c r="V14" s="17"/>
      <c r="W14" s="17"/>
      <c r="X14" s="17"/>
      <c r="Y14" s="17"/>
      <c r="Z14" s="17"/>
      <c r="AA14" s="17"/>
      <c r="AB14" s="17"/>
      <c r="AC14" s="17"/>
    </row>
    <row r="15" customFormat="false" ht="24" hidden="false" customHeight="false" outlineLevel="0" collapsed="false">
      <c r="A15" s="21"/>
      <c r="B15" s="26"/>
      <c r="C15" s="34" t="s">
        <v>72</v>
      </c>
      <c r="D15" s="30"/>
      <c r="E15" s="30"/>
      <c r="F15" s="30"/>
      <c r="G15" s="35"/>
      <c r="H15" s="34"/>
      <c r="I15" s="118" t="n">
        <f aca="false">SUM(I9:I13)</f>
        <v>0</v>
      </c>
      <c r="J15" s="28"/>
      <c r="K15" s="21"/>
      <c r="L15" s="17"/>
      <c r="M15" s="1"/>
      <c r="N15" s="1"/>
      <c r="O15" s="1"/>
      <c r="P15" s="1"/>
      <c r="Q15" s="1"/>
      <c r="R15" s="1"/>
      <c r="S15" s="1"/>
      <c r="T15" s="1"/>
      <c r="U15" s="1"/>
      <c r="V15" s="17"/>
      <c r="W15" s="17"/>
      <c r="X15" s="17"/>
      <c r="Y15" s="17"/>
      <c r="Z15" s="17"/>
      <c r="AA15" s="17"/>
      <c r="AB15" s="17"/>
      <c r="AC15" s="17"/>
    </row>
    <row r="16" customFormat="false" ht="19.5" hidden="false" customHeight="false" outlineLevel="0" collapsed="false">
      <c r="A16" s="21"/>
      <c r="B16" s="49"/>
      <c r="C16" s="13"/>
      <c r="D16" s="13"/>
      <c r="E16" s="13"/>
      <c r="F16" s="13"/>
      <c r="G16" s="13"/>
      <c r="H16" s="13"/>
      <c r="I16" s="13"/>
      <c r="J16" s="51"/>
      <c r="K16" s="21"/>
      <c r="L16" s="17"/>
      <c r="M16" s="1"/>
      <c r="N16" s="1"/>
      <c r="O16" s="1"/>
      <c r="P16" s="1"/>
      <c r="Q16" s="1"/>
      <c r="R16" s="1"/>
      <c r="S16" s="1"/>
      <c r="T16" s="1"/>
      <c r="U16" s="1"/>
      <c r="V16" s="17"/>
      <c r="W16" s="17"/>
      <c r="X16" s="17"/>
      <c r="Y16" s="17"/>
      <c r="Z16" s="17"/>
      <c r="AA16" s="17"/>
      <c r="AB16" s="17"/>
      <c r="AC16" s="17"/>
    </row>
    <row r="17" customFormat="false" ht="18.75" hidden="false" customHeight="false" outlineLevel="0" collapsed="false">
      <c r="A17" s="21"/>
      <c r="B17" s="21"/>
      <c r="C17" s="1"/>
      <c r="D17" s="1"/>
      <c r="E17" s="1"/>
      <c r="F17" s="1"/>
      <c r="G17" s="1"/>
      <c r="H17" s="1"/>
      <c r="I17" s="1"/>
      <c r="J17" s="21"/>
      <c r="K17" s="21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customFormat="false" ht="18.75" hidden="false" customHeight="false" outlineLevel="0" collapsed="false">
      <c r="A18" s="21"/>
      <c r="B18" s="21"/>
      <c r="C18" s="1"/>
      <c r="D18" s="1"/>
      <c r="E18" s="1"/>
      <c r="F18" s="1"/>
      <c r="G18" s="1"/>
      <c r="H18" s="1"/>
      <c r="I18" s="1"/>
      <c r="J18" s="21"/>
      <c r="K18" s="21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customFormat="false" ht="18.75" hidden="false" customHeight="false" outlineLevel="0" collapsed="false">
      <c r="A19" s="21"/>
      <c r="B19" s="21"/>
      <c r="C19" s="1"/>
      <c r="D19" s="1"/>
      <c r="E19" s="1"/>
      <c r="F19" s="1"/>
      <c r="G19" s="1"/>
      <c r="H19" s="1"/>
      <c r="I19" s="1"/>
      <c r="J19" s="21"/>
      <c r="K19" s="21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s="72" customFormat="true" ht="30" hidden="false" customHeight="false" outlineLevel="0" collapsed="false">
      <c r="A20" s="119"/>
      <c r="B20" s="119"/>
      <c r="C20" s="1"/>
      <c r="D20" s="1"/>
      <c r="E20" s="1"/>
      <c r="F20" s="1"/>
      <c r="G20" s="1"/>
      <c r="H20" s="1"/>
      <c r="I20" s="1"/>
      <c r="J20" s="119"/>
      <c r="K20" s="119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</row>
    <row r="21" customFormat="false" ht="18.75" hidden="false" customHeight="false" outlineLevel="0" collapsed="false">
      <c r="A21" s="21"/>
      <c r="B21" s="21"/>
      <c r="C21" s="1"/>
      <c r="D21" s="1"/>
      <c r="E21" s="1"/>
      <c r="F21" s="1"/>
      <c r="G21" s="1"/>
      <c r="H21" s="1"/>
      <c r="I21" s="1"/>
      <c r="J21" s="21"/>
      <c r="K21" s="21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="72" customFormat="true" ht="30" hidden="false" customHeight="false" outlineLevel="0" collapsed="false">
      <c r="A22" s="119"/>
      <c r="B22" s="119"/>
      <c r="C22" s="1"/>
      <c r="D22" s="1"/>
      <c r="E22" s="1"/>
      <c r="F22" s="1"/>
      <c r="G22" s="1"/>
      <c r="H22" s="1"/>
      <c r="I22" s="1"/>
      <c r="J22" s="119"/>
      <c r="K22" s="119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</row>
    <row r="23" customFormat="false" ht="18.75" hidden="false" customHeight="false" outlineLevel="0" collapsed="false">
      <c r="A23" s="21"/>
      <c r="B23" s="21"/>
      <c r="C23" s="1"/>
      <c r="D23" s="1"/>
      <c r="E23" s="1"/>
      <c r="F23" s="1"/>
      <c r="G23" s="1"/>
      <c r="H23" s="1"/>
      <c r="I23" s="1"/>
      <c r="J23" s="21"/>
      <c r="K23" s="21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customFormat="false" ht="18.75" hidden="false" customHeight="false" outlineLevel="0" collapsed="false">
      <c r="A24" s="21"/>
      <c r="B24" s="21"/>
      <c r="C24" s="21"/>
      <c r="D24" s="21"/>
      <c r="E24" s="21"/>
      <c r="F24" s="21"/>
      <c r="G24" s="8"/>
      <c r="H24" s="21"/>
      <c r="I24" s="21"/>
      <c r="J24" s="21"/>
      <c r="K24" s="21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customFormat="false" ht="18.75" hidden="false" customHeight="false" outlineLevel="0" collapsed="false">
      <c r="A25" s="21"/>
      <c r="B25" s="21"/>
      <c r="C25" s="21"/>
      <c r="D25" s="21"/>
      <c r="E25" s="21"/>
      <c r="F25" s="21"/>
      <c r="G25" s="8"/>
      <c r="H25" s="21"/>
      <c r="I25" s="21"/>
      <c r="J25" s="21"/>
      <c r="K25" s="21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customFormat="false" ht="18.75" hidden="false" customHeight="false" outlineLevel="0" collapsed="false">
      <c r="B26" s="17"/>
      <c r="C26" s="17"/>
      <c r="D26" s="17"/>
      <c r="E26" s="17"/>
      <c r="F26" s="17"/>
      <c r="G26" s="1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customFormat="false" ht="18.75" hidden="false" customHeight="false" outlineLevel="0" collapsed="false">
      <c r="B27" s="17"/>
      <c r="C27" s="17"/>
      <c r="D27" s="17"/>
      <c r="E27" s="17"/>
      <c r="F27" s="17"/>
      <c r="G27" s="1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customFormat="false" ht="18.75" hidden="false" customHeight="false" outlineLevel="0" collapsed="false">
      <c r="B28" s="17"/>
      <c r="C28" s="17"/>
      <c r="D28" s="17"/>
      <c r="E28" s="17"/>
      <c r="F28" s="17"/>
      <c r="G28" s="1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customFormat="false" ht="18.75" hidden="false" customHeight="false" outlineLevel="0" collapsed="false">
      <c r="B29" s="17"/>
      <c r="C29" s="17"/>
      <c r="D29" s="17"/>
      <c r="E29" s="17"/>
      <c r="F29" s="17"/>
      <c r="G29" s="1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customFormat="false" ht="18.75" hidden="false" customHeight="false" outlineLevel="0" collapsed="false">
      <c r="B30" s="17"/>
      <c r="C30" s="17"/>
      <c r="D30" s="17"/>
      <c r="E30" s="17"/>
      <c r="F30" s="17"/>
      <c r="G30" s="1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customFormat="false" ht="18.75" hidden="false" customHeight="false" outlineLevel="0" collapsed="false">
      <c r="B31" s="17"/>
      <c r="C31" s="17"/>
      <c r="D31" s="17"/>
      <c r="E31" s="17"/>
      <c r="F31" s="17"/>
      <c r="G31" s="1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customFormat="false" ht="18.75" hidden="false" customHeight="false" outlineLevel="0" collapsed="false">
      <c r="B32" s="17"/>
      <c r="C32" s="17"/>
      <c r="D32" s="17"/>
      <c r="E32" s="17"/>
      <c r="F32" s="17"/>
      <c r="G32" s="1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customFormat="false" ht="18.75" hidden="false" customHeight="false" outlineLevel="0" collapsed="false">
      <c r="B33" s="17"/>
      <c r="C33" s="17"/>
      <c r="D33" s="17"/>
      <c r="E33" s="17"/>
      <c r="F33" s="17"/>
      <c r="G33" s="1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customFormat="false" ht="18.75" hidden="false" customHeight="false" outlineLevel="0" collapsed="false">
      <c r="B34" s="17"/>
      <c r="C34" s="17"/>
      <c r="D34" s="17"/>
      <c r="E34" s="17"/>
      <c r="F34" s="17"/>
      <c r="G34" s="1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customFormat="false" ht="18.75" hidden="false" customHeight="false" outlineLevel="0" collapsed="false">
      <c r="B35" s="17"/>
      <c r="C35" s="17"/>
      <c r="D35" s="17"/>
      <c r="E35" s="17"/>
      <c r="F35" s="17"/>
      <c r="G35" s="1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customFormat="false" ht="18.75" hidden="false" customHeight="false" outlineLevel="0" collapsed="false">
      <c r="B36" s="17"/>
      <c r="C36" s="17"/>
      <c r="D36" s="17"/>
      <c r="E36" s="17"/>
      <c r="F36" s="17"/>
      <c r="G36" s="1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customFormat="false" ht="18.75" hidden="false" customHeight="false" outlineLevel="0" collapsed="false">
      <c r="B37" s="17"/>
      <c r="C37" s="17"/>
      <c r="D37" s="17"/>
      <c r="E37" s="17"/>
      <c r="F37" s="17"/>
      <c r="G37" s="1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customFormat="false" ht="18.75" hidden="false" customHeight="false" outlineLevel="0" collapsed="false">
      <c r="B38" s="17"/>
      <c r="C38" s="17"/>
      <c r="D38" s="17"/>
      <c r="E38" s="17"/>
      <c r="F38" s="17"/>
      <c r="G38" s="1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customFormat="false" ht="18.75" hidden="false" customHeight="false" outlineLevel="0" collapsed="false">
      <c r="B39" s="17"/>
      <c r="C39" s="17"/>
      <c r="D39" s="17"/>
      <c r="E39" s="17"/>
      <c r="F39" s="17"/>
      <c r="G39" s="1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customFormat="false" ht="18.75" hidden="false" customHeight="false" outlineLevel="0" collapsed="false">
      <c r="B40" s="17"/>
      <c r="C40" s="17"/>
      <c r="D40" s="17"/>
      <c r="E40" s="17"/>
      <c r="F40" s="17"/>
      <c r="G40" s="1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customFormat="false" ht="18.75" hidden="false" customHeight="false" outlineLevel="0" collapsed="false">
      <c r="B41" s="17"/>
      <c r="C41" s="17"/>
      <c r="D41" s="17"/>
      <c r="E41" s="17"/>
      <c r="F41" s="17"/>
      <c r="G41" s="1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customFormat="false" ht="18.75" hidden="false" customHeight="false" outlineLevel="0" collapsed="false">
      <c r="B42" s="17"/>
      <c r="C42" s="17"/>
      <c r="D42" s="17"/>
      <c r="E42" s="17"/>
      <c r="F42" s="17"/>
      <c r="G42" s="1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customFormat="false" ht="18.75" hidden="false" customHeight="false" outlineLevel="0" collapsed="false">
      <c r="B43" s="17"/>
      <c r="C43" s="17"/>
      <c r="D43" s="17"/>
      <c r="E43" s="17"/>
      <c r="F43" s="17"/>
      <c r="G43" s="1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customFormat="false" ht="18.75" hidden="false" customHeight="false" outlineLevel="0" collapsed="false">
      <c r="B44" s="17"/>
      <c r="C44" s="17"/>
      <c r="D44" s="17"/>
      <c r="E44" s="17"/>
      <c r="F44" s="17"/>
      <c r="G44" s="1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customFormat="false" ht="18.75" hidden="false" customHeight="false" outlineLevel="0" collapsed="false">
      <c r="B45" s="17"/>
      <c r="C45" s="17"/>
      <c r="D45" s="17"/>
      <c r="E45" s="17"/>
      <c r="F45" s="17"/>
      <c r="G45" s="1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customFormat="false" ht="18.75" hidden="false" customHeight="false" outlineLevel="0" collapsed="false">
      <c r="B46" s="17"/>
      <c r="C46" s="17"/>
      <c r="D46" s="17"/>
      <c r="E46" s="17"/>
      <c r="F46" s="17"/>
      <c r="G46" s="1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customFormat="false" ht="18.75" hidden="false" customHeight="false" outlineLevel="0" collapsed="false">
      <c r="B47" s="17"/>
      <c r="C47" s="17"/>
      <c r="D47" s="17"/>
      <c r="E47" s="17"/>
      <c r="F47" s="17"/>
      <c r="G47" s="1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customFormat="false" ht="18.75" hidden="false" customHeight="false" outlineLevel="0" collapsed="false">
      <c r="B48" s="17"/>
      <c r="C48" s="17"/>
      <c r="D48" s="17"/>
      <c r="E48" s="17"/>
      <c r="F48" s="17"/>
      <c r="G48" s="1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customFormat="false" ht="18.75" hidden="false" customHeight="false" outlineLevel="0" collapsed="false">
      <c r="B49" s="17"/>
      <c r="C49" s="17"/>
      <c r="D49" s="17"/>
      <c r="E49" s="17"/>
      <c r="F49" s="17"/>
      <c r="G49" s="1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customFormat="false" ht="18.75" hidden="false" customHeight="false" outlineLevel="0" collapsed="false">
      <c r="B50" s="17"/>
      <c r="C50" s="17"/>
      <c r="D50" s="17"/>
      <c r="E50" s="17"/>
      <c r="F50" s="17"/>
      <c r="G50" s="1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customFormat="false" ht="18.75" hidden="false" customHeight="false" outlineLevel="0" collapsed="false">
      <c r="B51" s="17"/>
      <c r="C51" s="17"/>
      <c r="D51" s="17"/>
      <c r="E51" s="17"/>
      <c r="F51" s="17"/>
      <c r="G51" s="1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customFormat="false" ht="18.75" hidden="false" customHeight="false" outlineLevel="0" collapsed="false">
      <c r="B52" s="17"/>
      <c r="C52" s="17"/>
      <c r="D52" s="17"/>
      <c r="E52" s="17"/>
      <c r="F52" s="17"/>
      <c r="G52" s="1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customFormat="false" ht="18.75" hidden="false" customHeight="false" outlineLevel="0" collapsed="false">
      <c r="B53" s="17"/>
      <c r="C53" s="17"/>
      <c r="D53" s="17"/>
      <c r="E53" s="17"/>
      <c r="F53" s="17"/>
      <c r="G53" s="1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customFormat="false" ht="18.75" hidden="false" customHeight="false" outlineLevel="0" collapsed="false">
      <c r="B54" s="17"/>
      <c r="C54" s="17"/>
      <c r="D54" s="17"/>
      <c r="E54" s="17"/>
      <c r="F54" s="17"/>
      <c r="G54" s="1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customFormat="false" ht="18.75" hidden="false" customHeight="false" outlineLevel="0" collapsed="false">
      <c r="B55" s="17"/>
      <c r="C55" s="17"/>
      <c r="D55" s="17"/>
      <c r="E55" s="17"/>
      <c r="F55" s="17"/>
      <c r="G55" s="1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customFormat="false" ht="18.75" hidden="false" customHeight="false" outlineLevel="0" collapsed="false">
      <c r="B56" s="17"/>
      <c r="C56" s="17"/>
      <c r="D56" s="17"/>
      <c r="E56" s="17"/>
      <c r="F56" s="17"/>
      <c r="G56" s="1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customFormat="false" ht="18.75" hidden="false" customHeight="false" outlineLevel="0" collapsed="false">
      <c r="B57" s="17"/>
      <c r="C57" s="17"/>
      <c r="D57" s="17"/>
      <c r="E57" s="17"/>
      <c r="F57" s="17"/>
      <c r="G57" s="1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customFormat="false" ht="18.75" hidden="false" customHeight="false" outlineLevel="0" collapsed="false">
      <c r="B58" s="17"/>
      <c r="C58" s="17"/>
      <c r="D58" s="17"/>
      <c r="E58" s="17"/>
      <c r="F58" s="17"/>
      <c r="G58" s="1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customFormat="false" ht="18.75" hidden="false" customHeight="false" outlineLevel="0" collapsed="false">
      <c r="B59" s="17"/>
      <c r="C59" s="17"/>
      <c r="D59" s="17"/>
      <c r="E59" s="17"/>
      <c r="F59" s="17"/>
      <c r="G59" s="1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customFormat="false" ht="18.75" hidden="false" customHeight="false" outlineLevel="0" collapsed="false">
      <c r="B60" s="17"/>
      <c r="C60" s="17"/>
      <c r="D60" s="17"/>
      <c r="E60" s="17"/>
      <c r="F60" s="17"/>
      <c r="G60" s="1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customFormat="false" ht="18.75" hidden="false" customHeight="false" outlineLevel="0" collapsed="false">
      <c r="B61" s="17"/>
      <c r="C61" s="17"/>
      <c r="D61" s="17"/>
      <c r="E61" s="17"/>
      <c r="F61" s="17"/>
      <c r="G61" s="1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customFormat="false" ht="18.75" hidden="false" customHeight="false" outlineLevel="0" collapsed="false">
      <c r="B62" s="17"/>
      <c r="C62" s="17"/>
      <c r="D62" s="17"/>
      <c r="E62" s="17"/>
      <c r="F62" s="17"/>
      <c r="G62" s="1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customFormat="false" ht="18.75" hidden="false" customHeight="false" outlineLevel="0" collapsed="false">
      <c r="B63" s="17"/>
      <c r="C63" s="17"/>
      <c r="D63" s="17"/>
      <c r="E63" s="17"/>
      <c r="F63" s="17"/>
      <c r="G63" s="1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customFormat="false" ht="18.75" hidden="false" customHeight="false" outlineLevel="0" collapsed="false">
      <c r="B64" s="17"/>
      <c r="C64" s="17"/>
      <c r="D64" s="17"/>
      <c r="E64" s="17"/>
      <c r="F64" s="17"/>
      <c r="G64" s="1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</sheetData>
  <mergeCells count="3">
    <mergeCell ref="A1:K1"/>
    <mergeCell ref="C6:I6"/>
    <mergeCell ref="C7:I7"/>
  </mergeCells>
  <printOptions headings="false" gridLines="false" gridLinesSet="true" horizontalCentered="true" verticalCentered="false"/>
  <pageMargins left="0.5" right="0.5" top="0.984027777777778" bottom="0.984027777777778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&amp;C&amp;"Arial,Bold"&amp;18Application Description</oddHeader>
    <oddFooter>&amp;L&amp;"Arial,Bold"&amp;10Proposal 10xxxx
 &amp;C&amp;"Arial,Bold"&amp;10Page 6 of 9
&amp;"Times New Roman,Regular"The information contained herein is proprietary and confidential, and should not be shared outside "nickname"&amp;R&amp;"Arial,Bold"&amp;10&amp;D - &amp;T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BM2" activePane="bottomLeft" state="frozen"/>
      <selection pane="topLeft" activeCell="A1" activeCellId="0" sqref="A1"/>
      <selection pane="bottomLeft" activeCell="D9" activeCellId="0" sqref="D9"/>
    </sheetView>
  </sheetViews>
  <sheetFormatPr defaultColWidth="8.87890625" defaultRowHeight="18.75" zeroHeight="false" outlineLevelRow="0" outlineLevelCol="0"/>
  <cols>
    <col collapsed="false" customWidth="true" hidden="false" outlineLevel="0" max="1" min="1" style="108" width="2.77"/>
    <col collapsed="false" customWidth="true" hidden="false" outlineLevel="0" max="2" min="2" style="126" width="2.77"/>
    <col collapsed="false" customWidth="true" hidden="false" outlineLevel="0" max="3" min="3" style="126" width="1.66"/>
    <col collapsed="false" customWidth="true" hidden="false" outlineLevel="0" max="4" min="4" style="126" width="63.77"/>
    <col collapsed="false" customWidth="true" hidden="false" outlineLevel="0" max="5" min="5" style="126" width="8.77"/>
    <col collapsed="false" customWidth="true" hidden="false" outlineLevel="0" max="6" min="6" style="127" width="2.77"/>
    <col collapsed="false" customWidth="true" hidden="false" outlineLevel="0" max="7" min="7" style="126" width="18.66"/>
    <col collapsed="false" customWidth="true" hidden="false" outlineLevel="0" max="9" min="8" style="126" width="2.77"/>
    <col collapsed="false" customWidth="false" hidden="false" outlineLevel="0" max="10" min="10" style="126" width="8.88"/>
    <col collapsed="false" customWidth="true" hidden="false" outlineLevel="0" max="11" min="11" style="126" width="14.1"/>
    <col collapsed="false" customWidth="false" hidden="false" outlineLevel="0" max="257" min="12" style="126" width="8.88"/>
  </cols>
  <sheetData>
    <row r="1" s="108" customFormat="true" ht="25.5" hidden="false" customHeight="false" outlineLevel="0" collapsed="false">
      <c r="A1" s="128" t="s">
        <v>73</v>
      </c>
      <c r="B1" s="128"/>
      <c r="C1" s="128"/>
      <c r="D1" s="128"/>
      <c r="E1" s="128"/>
      <c r="F1" s="128"/>
      <c r="G1" s="128"/>
      <c r="H1" s="128"/>
      <c r="I1" s="128"/>
    </row>
    <row r="2" s="129" customFormat="true" ht="19.5" hidden="false" customHeight="false" outlineLevel="0" collapsed="false"/>
    <row r="3" customFormat="false" ht="18.75" hidden="false" customHeight="false" outlineLevel="0" collapsed="false">
      <c r="B3" s="130"/>
      <c r="C3" s="131"/>
      <c r="D3" s="131"/>
      <c r="E3" s="131"/>
      <c r="F3" s="131"/>
      <c r="G3" s="131"/>
      <c r="H3" s="132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</row>
    <row r="4" s="127" customFormat="true" ht="18.75" hidden="false" customHeight="false" outlineLevel="0" collapsed="false">
      <c r="A4" s="129"/>
      <c r="B4" s="133"/>
      <c r="C4" s="129"/>
      <c r="D4" s="27" t="s">
        <v>7</v>
      </c>
      <c r="E4" s="129"/>
      <c r="F4" s="129"/>
      <c r="G4" s="129"/>
      <c r="H4" s="134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</row>
    <row r="5" s="139" customFormat="true" ht="18" hidden="false" customHeight="true" outlineLevel="0" collapsed="false">
      <c r="A5" s="135"/>
      <c r="B5" s="136"/>
      <c r="C5" s="137"/>
      <c r="D5" s="27" t="s">
        <v>8</v>
      </c>
      <c r="E5" s="137"/>
      <c r="F5" s="137"/>
      <c r="G5" s="137"/>
      <c r="H5" s="138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</row>
    <row r="6" s="139" customFormat="true" ht="34.5" hidden="false" customHeight="false" outlineLevel="0" collapsed="false">
      <c r="A6" s="135"/>
      <c r="B6" s="136"/>
      <c r="C6" s="29" t="s">
        <v>74</v>
      </c>
      <c r="D6" s="29"/>
      <c r="E6" s="29"/>
      <c r="F6" s="29"/>
      <c r="G6" s="29"/>
      <c r="H6" s="138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</row>
    <row r="7" s="139" customFormat="true" ht="34.5" hidden="false" customHeight="false" outlineLevel="0" collapsed="false">
      <c r="A7" s="135"/>
      <c r="B7" s="140"/>
      <c r="C7" s="137"/>
      <c r="D7" s="141"/>
      <c r="E7" s="137"/>
      <c r="F7" s="137"/>
      <c r="G7" s="137"/>
      <c r="H7" s="138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</row>
    <row r="8" s="145" customFormat="true" ht="8.1" hidden="false" customHeight="true" outlineLevel="0" collapsed="false">
      <c r="A8" s="142"/>
      <c r="B8" s="143"/>
      <c r="C8" s="34"/>
      <c r="D8" s="34"/>
      <c r="E8" s="8"/>
      <c r="F8" s="34"/>
      <c r="G8" s="34"/>
      <c r="H8" s="144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</row>
    <row r="9" s="145" customFormat="true" ht="24" hidden="false" customHeight="false" outlineLevel="0" collapsed="false">
      <c r="A9" s="142"/>
      <c r="B9" s="143"/>
      <c r="C9" s="34" t="s">
        <v>75</v>
      </c>
      <c r="D9" s="8"/>
      <c r="E9" s="8"/>
      <c r="F9" s="69"/>
      <c r="G9" s="82" t="n">
        <f aca="false">'Labor Savings'!H39</f>
        <v>80000</v>
      </c>
      <c r="H9" s="144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</row>
    <row r="10" customFormat="false" ht="19.5" hidden="false" customHeight="false" outlineLevel="0" collapsed="false">
      <c r="B10" s="5" t="s">
        <v>10</v>
      </c>
      <c r="C10" s="21"/>
      <c r="D10" s="21" t="s">
        <v>10</v>
      </c>
      <c r="E10" s="8"/>
      <c r="F10" s="21"/>
      <c r="G10" s="21"/>
      <c r="H10" s="134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</row>
    <row r="11" s="145" customFormat="true" ht="24" hidden="false" customHeight="false" outlineLevel="0" collapsed="false">
      <c r="A11" s="142"/>
      <c r="B11" s="143"/>
      <c r="C11" s="34" t="s">
        <v>76</v>
      </c>
      <c r="D11" s="8"/>
      <c r="E11" s="8"/>
      <c r="F11" s="69"/>
      <c r="G11" s="82" t="n">
        <f aca="false">Disability_Savings</f>
        <v>4000</v>
      </c>
      <c r="H11" s="144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</row>
    <row r="12" customFormat="false" ht="19.5" hidden="false" customHeight="false" outlineLevel="0" collapsed="false">
      <c r="B12" s="5" t="s">
        <v>10</v>
      </c>
      <c r="C12" s="21"/>
      <c r="D12" s="21" t="s">
        <v>10</v>
      </c>
      <c r="E12" s="8"/>
      <c r="F12" s="21"/>
      <c r="G12" s="21"/>
      <c r="H12" s="134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</row>
    <row r="13" s="145" customFormat="true" ht="24" hidden="false" customHeight="false" outlineLevel="0" collapsed="false">
      <c r="A13" s="142"/>
      <c r="B13" s="143"/>
      <c r="C13" s="34" t="s">
        <v>77</v>
      </c>
      <c r="D13" s="35"/>
      <c r="E13" s="8"/>
      <c r="F13" s="69"/>
      <c r="G13" s="82" t="n">
        <f aca="false">'Financial Spreadsheet '!F17</f>
        <v>1040</v>
      </c>
      <c r="H13" s="144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</row>
    <row r="14" customFormat="false" ht="19.5" hidden="false" customHeight="false" outlineLevel="0" collapsed="false">
      <c r="B14" s="5" t="s">
        <v>10</v>
      </c>
      <c r="C14" s="21"/>
      <c r="D14" s="21" t="s">
        <v>10</v>
      </c>
      <c r="E14" s="8"/>
      <c r="F14" s="21"/>
      <c r="G14" s="21"/>
      <c r="H14" s="134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</row>
    <row r="15" s="145" customFormat="true" ht="24" hidden="false" customHeight="false" outlineLevel="0" collapsed="false">
      <c r="A15" s="142"/>
      <c r="B15" s="143"/>
      <c r="C15" s="34" t="s">
        <v>78</v>
      </c>
      <c r="D15" s="30"/>
      <c r="E15" s="8"/>
      <c r="F15" s="69"/>
      <c r="G15" s="82" t="n">
        <f aca="false">'PM Labor Savings '!H18</f>
        <v>-0</v>
      </c>
      <c r="H15" s="144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</row>
    <row r="16" s="145" customFormat="true" ht="24" hidden="false" customHeight="false" outlineLevel="0" collapsed="false">
      <c r="A16" s="142"/>
      <c r="B16" s="143"/>
      <c r="C16" s="34"/>
      <c r="D16" s="30"/>
      <c r="E16" s="8"/>
      <c r="F16" s="69"/>
      <c r="G16" s="69"/>
      <c r="H16" s="144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</row>
    <row r="17" s="145" customFormat="true" ht="24" hidden="false" customHeight="false" outlineLevel="0" collapsed="false">
      <c r="A17" s="142"/>
      <c r="B17" s="143"/>
      <c r="C17" s="34" t="s">
        <v>79</v>
      </c>
      <c r="D17" s="30"/>
      <c r="E17" s="8"/>
      <c r="F17" s="69"/>
      <c r="G17" s="82" t="n">
        <f aca="false">Inc_Ann_Rev</f>
        <v>1300000</v>
      </c>
      <c r="H17" s="144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</row>
    <row r="18" s="145" customFormat="true" ht="24" hidden="false" customHeight="false" outlineLevel="0" collapsed="false">
      <c r="A18" s="142"/>
      <c r="B18" s="143"/>
      <c r="C18" s="34"/>
      <c r="D18" s="30"/>
      <c r="E18" s="8"/>
      <c r="F18" s="69"/>
      <c r="G18" s="69"/>
      <c r="H18" s="144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</row>
    <row r="19" s="145" customFormat="true" ht="24" hidden="false" customHeight="false" outlineLevel="0" collapsed="false">
      <c r="A19" s="142"/>
      <c r="B19" s="143"/>
      <c r="C19" s="34" t="s">
        <v>80</v>
      </c>
      <c r="D19" s="30"/>
      <c r="E19" s="8"/>
      <c r="F19" s="69"/>
      <c r="G19" s="82" t="n">
        <f aca="false">Scrap_Savings</f>
        <v>450</v>
      </c>
      <c r="H19" s="144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</row>
    <row r="20" s="145" customFormat="true" ht="24" hidden="false" customHeight="false" outlineLevel="0" collapsed="false">
      <c r="A20" s="142"/>
      <c r="B20" s="143"/>
      <c r="C20" s="34"/>
      <c r="D20" s="30"/>
      <c r="E20" s="8"/>
      <c r="F20" s="69"/>
      <c r="G20" s="69"/>
      <c r="H20" s="144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</row>
    <row r="21" s="145" customFormat="true" ht="24" hidden="false" customHeight="false" outlineLevel="0" collapsed="false">
      <c r="A21" s="142"/>
      <c r="B21" s="143"/>
      <c r="C21" s="34" t="s">
        <v>81</v>
      </c>
      <c r="D21" s="30"/>
      <c r="E21" s="8"/>
      <c r="F21" s="69"/>
      <c r="G21" s="82" t="n">
        <f aca="false">Misc_Savings</f>
        <v>0</v>
      </c>
      <c r="H21" s="144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</row>
    <row r="22" s="145" customFormat="true" ht="24" hidden="false" customHeight="false" outlineLevel="0" collapsed="false">
      <c r="A22" s="142"/>
      <c r="B22" s="143"/>
      <c r="C22" s="34"/>
      <c r="D22" s="30"/>
      <c r="E22" s="8"/>
      <c r="F22" s="69"/>
      <c r="G22" s="69"/>
      <c r="H22" s="144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</row>
    <row r="23" s="153" customFormat="true" ht="30.75" hidden="false" customHeight="false" outlineLevel="0" collapsed="false">
      <c r="A23" s="146"/>
      <c r="B23" s="147"/>
      <c r="C23" s="105" t="s">
        <v>82</v>
      </c>
      <c r="D23" s="148"/>
      <c r="E23" s="8"/>
      <c r="F23" s="149"/>
      <c r="G23" s="150" t="n">
        <f aca="false">SUM(G9:G22)</f>
        <v>1385490</v>
      </c>
      <c r="H23" s="151"/>
      <c r="I23" s="146"/>
      <c r="J23" s="146"/>
      <c r="K23" s="152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</row>
    <row r="24" customFormat="false" ht="19.5" hidden="false" customHeight="false" outlineLevel="0" collapsed="false">
      <c r="B24" s="154"/>
      <c r="C24" s="155"/>
      <c r="D24" s="156" t="s">
        <v>10</v>
      </c>
      <c r="E24" s="13"/>
      <c r="F24" s="13"/>
      <c r="G24" s="155"/>
      <c r="H24" s="157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</row>
    <row r="25" customFormat="false" ht="18.75" hidden="false" customHeight="false" outlineLevel="0" collapsed="false">
      <c r="B25" s="108"/>
      <c r="C25" s="108"/>
      <c r="D25" s="1" t="s">
        <v>10</v>
      </c>
      <c r="E25" s="108"/>
      <c r="F25" s="129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</row>
    <row r="26" customFormat="false" ht="18.75" hidden="false" customHeight="false" outlineLevel="0" collapsed="false">
      <c r="B26" s="108"/>
      <c r="C26" s="108"/>
      <c r="D26" s="1"/>
      <c r="E26" s="1"/>
      <c r="F26" s="1"/>
      <c r="G26" s="1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</row>
    <row r="27" customFormat="false" ht="18.75" hidden="false" customHeight="false" outlineLevel="0" collapsed="false">
      <c r="B27" s="108"/>
      <c r="C27" s="108"/>
      <c r="D27" s="108"/>
      <c r="E27" s="108"/>
      <c r="F27" s="129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</row>
    <row r="28" customFormat="false" ht="18.75" hidden="false" customHeight="false" outlineLevel="0" collapsed="false">
      <c r="B28" s="108"/>
      <c r="C28" s="108"/>
      <c r="D28" s="108"/>
      <c r="E28" s="108"/>
      <c r="F28" s="129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</row>
    <row r="29" customFormat="false" ht="18.75" hidden="false" customHeight="false" outlineLevel="0" collapsed="false">
      <c r="B29" s="108"/>
      <c r="C29" s="108"/>
      <c r="D29" s="108"/>
      <c r="E29" s="108"/>
      <c r="F29" s="129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</row>
    <row r="30" customFormat="false" ht="18.75" hidden="false" customHeight="false" outlineLevel="0" collapsed="false">
      <c r="B30" s="108"/>
      <c r="C30" s="108"/>
      <c r="D30" s="108"/>
      <c r="E30" s="108"/>
      <c r="F30" s="129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</row>
    <row r="31" customFormat="false" ht="18.75" hidden="false" customHeight="false" outlineLevel="0" collapsed="false">
      <c r="B31" s="108"/>
      <c r="C31" s="108"/>
      <c r="D31" s="108"/>
      <c r="E31" s="108"/>
      <c r="F31" s="129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</row>
    <row r="32" customFormat="false" ht="18.75" hidden="false" customHeight="false" outlineLevel="0" collapsed="false">
      <c r="B32" s="108"/>
      <c r="C32" s="108"/>
      <c r="D32" s="108"/>
      <c r="E32" s="108"/>
      <c r="F32" s="129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</row>
    <row r="33" customFormat="false" ht="18.75" hidden="false" customHeight="false" outlineLevel="0" collapsed="false">
      <c r="B33" s="108"/>
      <c r="C33" s="108"/>
      <c r="D33" s="108"/>
      <c r="E33" s="108"/>
      <c r="F33" s="129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</row>
    <row r="34" customFormat="false" ht="18.75" hidden="false" customHeight="false" outlineLevel="0" collapsed="false">
      <c r="B34" s="108"/>
      <c r="C34" s="108"/>
      <c r="D34" s="108"/>
      <c r="E34" s="108"/>
      <c r="F34" s="129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</row>
    <row r="35" customFormat="false" ht="18.75" hidden="false" customHeight="false" outlineLevel="0" collapsed="false">
      <c r="B35" s="108"/>
      <c r="C35" s="108"/>
      <c r="D35" s="108"/>
      <c r="E35" s="108"/>
      <c r="F35" s="129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</row>
    <row r="36" customFormat="false" ht="18.75" hidden="false" customHeight="false" outlineLevel="0" collapsed="false">
      <c r="B36" s="108"/>
      <c r="C36" s="108"/>
      <c r="D36" s="108"/>
      <c r="E36" s="108"/>
      <c r="F36" s="129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</row>
    <row r="37" customFormat="false" ht="18.75" hidden="false" customHeight="false" outlineLevel="0" collapsed="false">
      <c r="B37" s="108"/>
      <c r="C37" s="108"/>
      <c r="D37" s="108"/>
      <c r="E37" s="108"/>
      <c r="F37" s="129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</row>
    <row r="38" customFormat="false" ht="18.75" hidden="false" customHeight="false" outlineLevel="0" collapsed="false">
      <c r="B38" s="108"/>
      <c r="C38" s="108"/>
      <c r="D38" s="108"/>
      <c r="E38" s="108"/>
      <c r="F38" s="129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</row>
    <row r="39" customFormat="false" ht="18.75" hidden="false" customHeight="false" outlineLevel="0" collapsed="false">
      <c r="B39" s="108"/>
      <c r="C39" s="108"/>
      <c r="D39" s="108"/>
      <c r="E39" s="108"/>
      <c r="F39" s="129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</row>
    <row r="40" customFormat="false" ht="18.75" hidden="false" customHeight="false" outlineLevel="0" collapsed="false">
      <c r="B40" s="108"/>
      <c r="C40" s="108"/>
      <c r="D40" s="108"/>
      <c r="E40" s="108"/>
      <c r="F40" s="129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</row>
    <row r="41" customFormat="false" ht="18.75" hidden="false" customHeight="false" outlineLevel="0" collapsed="false">
      <c r="B41" s="108"/>
      <c r="C41" s="108"/>
      <c r="D41" s="108"/>
      <c r="E41" s="108"/>
      <c r="F41" s="129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</row>
    <row r="42" customFormat="false" ht="18.75" hidden="false" customHeight="false" outlineLevel="0" collapsed="false">
      <c r="B42" s="108"/>
      <c r="C42" s="108"/>
      <c r="D42" s="108"/>
      <c r="E42" s="108"/>
      <c r="F42" s="129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</row>
    <row r="43" customFormat="false" ht="18.75" hidden="false" customHeight="false" outlineLevel="0" collapsed="false">
      <c r="B43" s="108"/>
      <c r="C43" s="108"/>
      <c r="D43" s="108"/>
      <c r="E43" s="108"/>
      <c r="F43" s="129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</row>
    <row r="44" customFormat="false" ht="18.75" hidden="false" customHeight="false" outlineLevel="0" collapsed="false">
      <c r="B44" s="108"/>
      <c r="C44" s="108"/>
      <c r="D44" s="108"/>
      <c r="E44" s="108"/>
      <c r="F44" s="129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</row>
    <row r="45" customFormat="false" ht="18.75" hidden="false" customHeight="false" outlineLevel="0" collapsed="false">
      <c r="B45" s="108"/>
      <c r="C45" s="108"/>
      <c r="D45" s="108"/>
      <c r="E45" s="108"/>
      <c r="F45" s="129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</row>
    <row r="46" customFormat="false" ht="18.75" hidden="false" customHeight="false" outlineLevel="0" collapsed="false">
      <c r="B46" s="108"/>
      <c r="C46" s="108"/>
      <c r="D46" s="108"/>
      <c r="E46" s="108"/>
      <c r="F46" s="129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</row>
    <row r="47" customFormat="false" ht="18.75" hidden="false" customHeight="false" outlineLevel="0" collapsed="false">
      <c r="B47" s="108"/>
      <c r="C47" s="108"/>
      <c r="D47" s="108"/>
      <c r="E47" s="108"/>
      <c r="F47" s="129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</row>
    <row r="48" customFormat="false" ht="18.75" hidden="false" customHeight="false" outlineLevel="0" collapsed="false">
      <c r="B48" s="108"/>
      <c r="C48" s="108"/>
      <c r="D48" s="108"/>
      <c r="E48" s="108"/>
      <c r="F48" s="129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</row>
    <row r="49" customFormat="false" ht="18.75" hidden="false" customHeight="false" outlineLevel="0" collapsed="false">
      <c r="B49" s="108"/>
      <c r="C49" s="108"/>
      <c r="D49" s="108"/>
      <c r="E49" s="108"/>
      <c r="F49" s="129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</row>
    <row r="50" customFormat="false" ht="18.75" hidden="false" customHeight="false" outlineLevel="0" collapsed="false">
      <c r="B50" s="108"/>
      <c r="C50" s="108"/>
      <c r="D50" s="108"/>
      <c r="E50" s="108"/>
      <c r="F50" s="129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</row>
    <row r="51" customFormat="false" ht="18.75" hidden="false" customHeight="false" outlineLevel="0" collapsed="false">
      <c r="B51" s="108"/>
      <c r="C51" s="108"/>
      <c r="D51" s="108"/>
      <c r="E51" s="108"/>
      <c r="F51" s="129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</row>
    <row r="52" customFormat="false" ht="18.75" hidden="false" customHeight="false" outlineLevel="0" collapsed="false">
      <c r="B52" s="108"/>
      <c r="C52" s="108"/>
      <c r="D52" s="108"/>
      <c r="E52" s="108"/>
      <c r="F52" s="129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</row>
    <row r="53" customFormat="false" ht="18.75" hidden="false" customHeight="false" outlineLevel="0" collapsed="false">
      <c r="B53" s="108"/>
      <c r="C53" s="108"/>
      <c r="D53" s="108"/>
      <c r="E53" s="108"/>
      <c r="F53" s="129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</row>
    <row r="54" customFormat="false" ht="18.75" hidden="false" customHeight="false" outlineLevel="0" collapsed="false">
      <c r="B54" s="108"/>
      <c r="C54" s="108"/>
      <c r="D54" s="108"/>
      <c r="E54" s="108"/>
      <c r="F54" s="129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</row>
    <row r="55" customFormat="false" ht="18.75" hidden="false" customHeight="false" outlineLevel="0" collapsed="false">
      <c r="B55" s="108"/>
      <c r="C55" s="108"/>
      <c r="D55" s="108"/>
      <c r="E55" s="108"/>
      <c r="F55" s="129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</row>
    <row r="56" customFormat="false" ht="18.75" hidden="false" customHeight="false" outlineLevel="0" collapsed="false">
      <c r="B56" s="108"/>
      <c r="C56" s="108"/>
      <c r="D56" s="108"/>
      <c r="E56" s="108"/>
      <c r="F56" s="129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</row>
    <row r="57" customFormat="false" ht="18.75" hidden="false" customHeight="false" outlineLevel="0" collapsed="false">
      <c r="B57" s="108"/>
      <c r="C57" s="108"/>
      <c r="D57" s="108"/>
      <c r="E57" s="108"/>
      <c r="F57" s="129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</row>
    <row r="58" customFormat="false" ht="18.75" hidden="false" customHeight="false" outlineLevel="0" collapsed="false">
      <c r="B58" s="108"/>
      <c r="C58" s="108"/>
      <c r="D58" s="108"/>
      <c r="E58" s="108"/>
      <c r="F58" s="129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</row>
    <row r="59" customFormat="false" ht="18.75" hidden="false" customHeight="false" outlineLevel="0" collapsed="false">
      <c r="B59" s="108"/>
      <c r="C59" s="108"/>
      <c r="D59" s="108"/>
      <c r="E59" s="108"/>
      <c r="F59" s="129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</row>
    <row r="60" customFormat="false" ht="18.75" hidden="false" customHeight="false" outlineLevel="0" collapsed="false">
      <c r="B60" s="108"/>
      <c r="C60" s="108"/>
      <c r="D60" s="108"/>
      <c r="E60" s="108"/>
      <c r="F60" s="129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</row>
    <row r="61" customFormat="false" ht="18.75" hidden="false" customHeight="false" outlineLevel="0" collapsed="false">
      <c r="B61" s="108"/>
      <c r="C61" s="108"/>
      <c r="D61" s="108"/>
      <c r="E61" s="108"/>
      <c r="F61" s="129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</row>
    <row r="62" customFormat="false" ht="18.75" hidden="false" customHeight="false" outlineLevel="0" collapsed="false">
      <c r="B62" s="108"/>
      <c r="C62" s="108"/>
      <c r="D62" s="108"/>
      <c r="E62" s="108"/>
      <c r="F62" s="129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</row>
    <row r="63" customFormat="false" ht="18.75" hidden="false" customHeight="false" outlineLevel="0" collapsed="false">
      <c r="B63" s="108"/>
      <c r="C63" s="108"/>
      <c r="D63" s="108"/>
      <c r="E63" s="108"/>
      <c r="F63" s="129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</row>
    <row r="64" customFormat="false" ht="18.75" hidden="false" customHeight="false" outlineLevel="0" collapsed="false">
      <c r="B64" s="108"/>
      <c r="C64" s="108"/>
      <c r="D64" s="108"/>
      <c r="E64" s="108"/>
      <c r="F64" s="129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</row>
    <row r="65" customFormat="false" ht="18.75" hidden="false" customHeight="false" outlineLevel="0" collapsed="false">
      <c r="B65" s="108"/>
      <c r="C65" s="108"/>
      <c r="D65" s="108"/>
      <c r="E65" s="108"/>
      <c r="F65" s="129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</row>
    <row r="66" customFormat="false" ht="18.75" hidden="false" customHeight="false" outlineLevel="0" collapsed="false"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</row>
    <row r="67" customFormat="false" ht="18.75" hidden="false" customHeight="false" outlineLevel="0" collapsed="false"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</row>
    <row r="68" customFormat="false" ht="18.75" hidden="false" customHeight="false" outlineLevel="0" collapsed="false"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</row>
    <row r="69" customFormat="false" ht="18.75" hidden="false" customHeight="false" outlineLevel="0" collapsed="false"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</row>
    <row r="70" customFormat="false" ht="18.75" hidden="false" customHeight="false" outlineLevel="0" collapsed="false"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</row>
    <row r="71" customFormat="false" ht="18.75" hidden="false" customHeight="false" outlineLevel="0" collapsed="false"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</row>
    <row r="72" customFormat="false" ht="18.75" hidden="false" customHeight="false" outlineLevel="0" collapsed="false"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</row>
    <row r="73" customFormat="false" ht="18.75" hidden="false" customHeight="false" outlineLevel="0" collapsed="false"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</row>
    <row r="74" customFormat="false" ht="18.75" hidden="false" customHeight="false" outlineLevel="0" collapsed="false"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</row>
    <row r="75" customFormat="false" ht="18.75" hidden="false" customHeight="false" outlineLevel="0" collapsed="false"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</row>
    <row r="76" customFormat="false" ht="18.75" hidden="false" customHeight="false" outlineLevel="0" collapsed="false"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</row>
    <row r="77" customFormat="false" ht="18.75" hidden="false" customHeight="false" outlineLevel="0" collapsed="false"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</row>
    <row r="78" customFormat="false" ht="18.75" hidden="false" customHeight="false" outlineLevel="0" collapsed="false"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</row>
    <row r="79" customFormat="false" ht="18.75" hidden="false" customHeight="false" outlineLevel="0" collapsed="false"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</row>
    <row r="80" customFormat="false" ht="18.75" hidden="false" customHeight="false" outlineLevel="0" collapsed="false"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</row>
    <row r="81" customFormat="false" ht="18.75" hidden="false" customHeight="false" outlineLevel="0" collapsed="false"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</row>
    <row r="82" customFormat="false" ht="18.75" hidden="false" customHeight="false" outlineLevel="0" collapsed="false"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</row>
    <row r="83" customFormat="false" ht="18.75" hidden="false" customHeight="false" outlineLevel="0" collapsed="false"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</row>
    <row r="84" customFormat="false" ht="18.75" hidden="false" customHeight="false" outlineLevel="0" collapsed="false"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</row>
    <row r="85" customFormat="false" ht="18.75" hidden="false" customHeight="false" outlineLevel="0" collapsed="false"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customFormat="false" ht="18.75" hidden="false" customHeight="false" outlineLevel="0" collapsed="false"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</row>
    <row r="87" customFormat="false" ht="18.75" hidden="false" customHeight="false" outlineLevel="0" collapsed="false"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</row>
    <row r="88" customFormat="false" ht="18.75" hidden="false" customHeight="false" outlineLevel="0" collapsed="false"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</row>
    <row r="89" customFormat="false" ht="18.75" hidden="false" customHeight="false" outlineLevel="0" collapsed="false"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</row>
    <row r="90" customFormat="false" ht="18.75" hidden="false" customHeight="false" outlineLevel="0" collapsed="false"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</row>
  </sheetData>
  <mergeCells count="2">
    <mergeCell ref="A1:I1"/>
    <mergeCell ref="C6:G6"/>
  </mergeCells>
  <printOptions headings="false" gridLines="false" gridLinesSet="true" horizontalCentered="true" verticalCentered="false"/>
  <pageMargins left="0.5" right="0.5" top="0.984027777777778" bottom="0.75" header="0.5" footer="0.5"/>
  <pageSetup paperSize="1" scale="95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&amp;C&amp;"Arial,Bold"&amp;18Application Description</oddHeader>
    <oddFooter>&amp;L&amp;"Arial,Bold"&amp;10Proposal 10xxxx&amp;C&amp;"Arial,Bold"&amp;10Page 7 of 9
&amp;"Times New Roman,Regular"The information contained herein is proprietary and confidential, and should not be shared outside "nickname"&amp;R&amp;"Arial,Bold"&amp;10&amp;D - &amp;T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6"/>
  <sheetViews>
    <sheetView showFormulas="false" showGridLines="true" showRowColHeaders="true" showZeros="true" rightToLeft="false" tabSelected="false" showOutlineSymbols="true" defaultGridColor="true" view="normal" topLeftCell="A1" colorId="64" zoomScale="77" zoomScaleNormal="77" zoomScalePageLayoutView="100" workbookViewId="0">
      <pane xSplit="0" ySplit="1" topLeftCell="BM2" activePane="bottomLeft" state="frozen"/>
      <selection pane="topLeft" activeCell="A1" activeCellId="0" sqref="A1"/>
      <selection pane="bottomLeft" activeCell="E9" activeCellId="0" sqref="E9"/>
    </sheetView>
  </sheetViews>
  <sheetFormatPr defaultColWidth="8.87890625" defaultRowHeight="18" zeroHeight="false" outlineLevelRow="0" outlineLevelCol="0"/>
  <cols>
    <col collapsed="false" customWidth="true" hidden="false" outlineLevel="0" max="2" min="1" style="18" width="2.77"/>
    <col collapsed="false" customWidth="true" hidden="false" outlineLevel="0" max="3" min="3" style="18" width="2.66"/>
    <col collapsed="false" customWidth="true" hidden="false" outlineLevel="0" max="4" min="4" style="18" width="64.44"/>
    <col collapsed="false" customWidth="true" hidden="false" outlineLevel="0" max="5" min="5" style="18" width="8.77"/>
    <col collapsed="false" customWidth="true" hidden="false" outlineLevel="0" max="6" min="6" style="18" width="4.77"/>
    <col collapsed="false" customWidth="true" hidden="false" outlineLevel="0" max="7" min="7" style="18" width="15.77"/>
    <col collapsed="false" customWidth="true" hidden="false" outlineLevel="0" max="9" min="8" style="18" width="2.77"/>
    <col collapsed="false" customWidth="false" hidden="false" outlineLevel="0" max="257" min="10" style="18" width="8.88"/>
  </cols>
  <sheetData>
    <row r="1" customFormat="false" ht="25.5" hidden="false" customHeight="false" outlineLevel="0" collapsed="false">
      <c r="A1" s="128" t="s">
        <v>83</v>
      </c>
      <c r="B1" s="128"/>
      <c r="C1" s="128"/>
      <c r="D1" s="128"/>
      <c r="E1" s="128"/>
      <c r="F1" s="128"/>
      <c r="G1" s="128"/>
      <c r="H1" s="128"/>
      <c r="I1" s="128"/>
      <c r="J1" s="158"/>
      <c r="K1" s="158"/>
      <c r="L1" s="158"/>
      <c r="M1" s="158"/>
      <c r="N1" s="158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="21" customFormat="true" ht="18.75" hidden="false" customHeight="false" outlineLevel="0" collapsed="false"/>
    <row r="3" s="25" customFormat="true" ht="18" hidden="false" customHeight="false" outlineLevel="0" collapsed="false">
      <c r="A3" s="21"/>
      <c r="B3" s="22"/>
      <c r="C3" s="23"/>
      <c r="D3" s="23"/>
      <c r="E3" s="23"/>
      <c r="F3" s="23"/>
      <c r="G3" s="23"/>
      <c r="H3" s="24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="25" customFormat="true" ht="18.75" hidden="false" customHeight="false" outlineLevel="0" collapsed="false">
      <c r="A4" s="21"/>
      <c r="B4" s="26"/>
      <c r="C4" s="27" t="s">
        <v>7</v>
      </c>
      <c r="D4" s="21"/>
      <c r="E4" s="21"/>
      <c r="F4" s="21"/>
      <c r="G4" s="21"/>
      <c r="H4" s="28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="25" customFormat="true" ht="18.75" hidden="false" customHeight="false" outlineLevel="0" collapsed="false">
      <c r="A5" s="21"/>
      <c r="B5" s="26"/>
      <c r="C5" s="27" t="s">
        <v>8</v>
      </c>
      <c r="D5" s="21"/>
      <c r="E5" s="21"/>
      <c r="F5" s="21"/>
      <c r="G5" s="21"/>
      <c r="H5" s="28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="162" customFormat="true" ht="34.5" hidden="false" customHeight="false" outlineLevel="0" collapsed="false">
      <c r="A6" s="159" t="s">
        <v>10</v>
      </c>
      <c r="B6" s="160"/>
      <c r="C6" s="29" t="s">
        <v>84</v>
      </c>
      <c r="D6" s="29"/>
      <c r="E6" s="29"/>
      <c r="F6" s="29"/>
      <c r="G6" s="29"/>
      <c r="H6" s="161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</row>
    <row r="7" customFormat="false" ht="18.75" hidden="false" customHeight="true" outlineLevel="0" collapsed="false">
      <c r="A7" s="17"/>
      <c r="B7" s="26"/>
      <c r="C7" s="21"/>
      <c r="D7" s="21" t="s">
        <v>10</v>
      </c>
      <c r="E7" s="8"/>
      <c r="F7" s="21"/>
      <c r="G7" s="163"/>
      <c r="H7" s="28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="167" customFormat="true" ht="24" hidden="false" customHeight="false" outlineLevel="0" collapsed="false">
      <c r="A8" s="164"/>
      <c r="B8" s="165"/>
      <c r="C8" s="34" t="s">
        <v>85</v>
      </c>
      <c r="D8" s="34"/>
      <c r="E8" s="8"/>
      <c r="F8" s="55"/>
      <c r="G8" s="82" t="n">
        <f aca="false">SUM('Financial Inputs'!F8:F15)</f>
        <v>167500</v>
      </c>
      <c r="H8" s="166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</row>
    <row r="9" customFormat="false" ht="12" hidden="false" customHeight="true" outlineLevel="0" collapsed="false">
      <c r="A9" s="17"/>
      <c r="B9" s="26"/>
      <c r="C9" s="21"/>
      <c r="D9" s="21"/>
      <c r="E9" s="8"/>
      <c r="F9" s="21"/>
      <c r="G9" s="21"/>
      <c r="H9" s="28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="167" customFormat="true" ht="24" hidden="false" customHeight="false" outlineLevel="0" collapsed="false">
      <c r="A10" s="164"/>
      <c r="B10" s="165"/>
      <c r="C10" s="34" t="s">
        <v>86</v>
      </c>
      <c r="D10" s="34"/>
      <c r="E10" s="8"/>
      <c r="F10" s="55"/>
      <c r="G10" s="82" t="n">
        <f aca="false">'Savings Summary'!G23</f>
        <v>1385490</v>
      </c>
      <c r="H10" s="166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</row>
    <row r="11" customFormat="false" ht="11.25" hidden="false" customHeight="true" outlineLevel="0" collapsed="false">
      <c r="A11" s="17" t="s">
        <v>10</v>
      </c>
      <c r="B11" s="26"/>
      <c r="C11" s="168"/>
      <c r="D11" s="168"/>
      <c r="E11" s="8"/>
      <c r="F11" s="169"/>
      <c r="G11" s="25"/>
      <c r="H11" s="28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="167" customFormat="true" ht="24" hidden="false" customHeight="false" outlineLevel="0" collapsed="false">
      <c r="A12" s="164"/>
      <c r="B12" s="165"/>
      <c r="C12" s="34" t="s">
        <v>87</v>
      </c>
      <c r="D12" s="34"/>
      <c r="E12" s="8"/>
      <c r="F12" s="104"/>
      <c r="G12" s="170" t="n">
        <f aca="false">'Financial Inputs'!F23</f>
        <v>0.06</v>
      </c>
      <c r="H12" s="166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</row>
    <row r="13" customFormat="false" ht="12" hidden="false" customHeight="true" outlineLevel="0" collapsed="false">
      <c r="A13" s="17"/>
      <c r="B13" s="26"/>
      <c r="C13" s="21"/>
      <c r="D13" s="21" t="s">
        <v>10</v>
      </c>
      <c r="E13" s="8"/>
      <c r="F13" s="109"/>
      <c r="G13" s="21"/>
      <c r="H13" s="28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="167" customFormat="true" ht="24" hidden="false" customHeight="false" outlineLevel="0" collapsed="false">
      <c r="A14" s="164"/>
      <c r="B14" s="165"/>
      <c r="C14" s="34" t="s">
        <v>88</v>
      </c>
      <c r="D14" s="34"/>
      <c r="E14" s="8"/>
      <c r="F14" s="21"/>
      <c r="G14" s="171" t="n">
        <f aca="false">Hurdle_Rate</f>
        <v>0.33</v>
      </c>
      <c r="H14" s="166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</row>
    <row r="15" customFormat="false" ht="12" hidden="false" customHeight="true" outlineLevel="0" collapsed="false">
      <c r="A15" s="17"/>
      <c r="B15" s="26"/>
      <c r="C15" s="21"/>
      <c r="D15" s="21" t="s">
        <v>10</v>
      </c>
      <c r="E15" s="8"/>
      <c r="F15" s="21"/>
      <c r="G15" s="21"/>
      <c r="H15" s="28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="167" customFormat="true" ht="30.75" hidden="false" customHeight="false" outlineLevel="0" collapsed="false">
      <c r="A16" s="164"/>
      <c r="B16" s="165"/>
      <c r="C16" s="34" t="n">
        <f aca="false">Cap_Eval_Dur</f>
        <v>5</v>
      </c>
      <c r="D16" s="34" t="s">
        <v>89</v>
      </c>
      <c r="E16" s="8"/>
      <c r="F16" s="172"/>
      <c r="G16" s="170" t="n">
        <f aca="false">'Financial Spreadsheet '!H38</f>
        <v>5.44603896815803</v>
      </c>
      <c r="H16" s="166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</row>
    <row r="17" s="178" customFormat="true" ht="18.75" hidden="false" customHeight="false" outlineLevel="0" collapsed="false">
      <c r="A17" s="173"/>
      <c r="B17" s="174"/>
      <c r="C17" s="175"/>
      <c r="D17" s="176" t="s">
        <v>90</v>
      </c>
      <c r="E17" s="8"/>
      <c r="F17" s="21"/>
      <c r="G17" s="175"/>
      <c r="H17" s="177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</row>
    <row r="18" s="178" customFormat="true" ht="18.75" hidden="false" customHeight="false" outlineLevel="0" collapsed="false">
      <c r="A18" s="173"/>
      <c r="B18" s="174"/>
      <c r="C18" s="175"/>
      <c r="D18" s="176" t="s">
        <v>91</v>
      </c>
      <c r="E18" s="8"/>
      <c r="F18" s="21"/>
      <c r="G18" s="175"/>
      <c r="H18" s="177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</row>
    <row r="19" s="178" customFormat="true" ht="18.75" hidden="false" customHeight="false" outlineLevel="0" collapsed="false">
      <c r="A19" s="173"/>
      <c r="B19" s="174"/>
      <c r="C19" s="175"/>
      <c r="D19" s="176" t="s">
        <v>92</v>
      </c>
      <c r="E19" s="8"/>
      <c r="F19" s="21"/>
      <c r="G19" s="175" t="s">
        <v>10</v>
      </c>
      <c r="H19" s="177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</row>
    <row r="20" customFormat="false" ht="12" hidden="false" customHeight="true" outlineLevel="0" collapsed="false">
      <c r="A20" s="17" t="s">
        <v>10</v>
      </c>
      <c r="B20" s="26"/>
      <c r="C20" s="21"/>
      <c r="D20" s="21"/>
      <c r="E20" s="8"/>
      <c r="F20" s="21"/>
      <c r="G20" s="21"/>
      <c r="H20" s="28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="167" customFormat="true" ht="24" hidden="false" customHeight="false" outlineLevel="0" collapsed="false">
      <c r="A21" s="164"/>
      <c r="B21" s="165"/>
      <c r="C21" s="34" t="n">
        <f aca="false">Cap_Eval_Dur</f>
        <v>5</v>
      </c>
      <c r="D21" s="34" t="s">
        <v>93</v>
      </c>
      <c r="E21" s="8"/>
      <c r="F21" s="21"/>
      <c r="G21" s="179" t="n">
        <f aca="false">'Financial Spreadsheet '!G38</f>
        <v>3675412.10120699</v>
      </c>
      <c r="H21" s="166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</row>
    <row r="22" s="178" customFormat="true" ht="18.75" hidden="false" customHeight="false" outlineLevel="0" collapsed="false">
      <c r="A22" s="173"/>
      <c r="B22" s="174"/>
      <c r="C22" s="175"/>
      <c r="D22" s="176" t="s">
        <v>94</v>
      </c>
      <c r="E22" s="8"/>
      <c r="F22" s="21"/>
      <c r="G22" s="175"/>
      <c r="H22" s="177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</row>
    <row r="23" s="178" customFormat="true" ht="18.75" hidden="false" customHeight="false" outlineLevel="0" collapsed="false">
      <c r="A23" s="173" t="s">
        <v>10</v>
      </c>
      <c r="B23" s="174"/>
      <c r="C23" s="175"/>
      <c r="D23" s="176" t="s">
        <v>95</v>
      </c>
      <c r="E23" s="8"/>
      <c r="F23" s="21"/>
      <c r="G23" s="175"/>
      <c r="H23" s="177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</row>
    <row r="24" s="178" customFormat="true" ht="18.75" hidden="false" customHeight="false" outlineLevel="0" collapsed="false">
      <c r="A24" s="173"/>
      <c r="B24" s="174"/>
      <c r="C24" s="175"/>
      <c r="D24" s="176" t="s">
        <v>96</v>
      </c>
      <c r="E24" s="8"/>
      <c r="F24" s="21"/>
      <c r="G24" s="175"/>
      <c r="H24" s="177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</row>
    <row r="25" customFormat="false" ht="12" hidden="false" customHeight="true" outlineLevel="0" collapsed="false">
      <c r="A25" s="17"/>
      <c r="B25" s="26"/>
      <c r="C25" s="21"/>
      <c r="D25" s="21"/>
      <c r="E25" s="8"/>
      <c r="F25" s="21"/>
      <c r="G25" s="21"/>
      <c r="H25" s="28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="167" customFormat="true" ht="24" hidden="false" customHeight="false" outlineLevel="0" collapsed="false">
      <c r="A26" s="164"/>
      <c r="B26" s="165"/>
      <c r="C26" s="34" t="s">
        <v>97</v>
      </c>
      <c r="D26" s="34"/>
      <c r="E26" s="8"/>
      <c r="F26" s="21"/>
      <c r="G26" s="180" t="n">
        <f aca="false">G8/G10*12</f>
        <v>1.45075027607561</v>
      </c>
      <c r="H26" s="166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</row>
    <row r="27" customFormat="false" ht="18.75" hidden="false" customHeight="false" outlineLevel="0" collapsed="false">
      <c r="A27" s="17"/>
      <c r="B27" s="49"/>
      <c r="C27" s="50"/>
      <c r="D27" s="50"/>
      <c r="E27" s="50"/>
      <c r="F27" s="50"/>
      <c r="G27" s="50"/>
      <c r="H27" s="51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customFormat="false" ht="18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customFormat="false" ht="18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customFormat="false" ht="18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customFormat="false" ht="18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customFormat="false" ht="18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customFormat="false" ht="18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customFormat="false" ht="18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customFormat="false" ht="18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customFormat="false" ht="18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customFormat="false" ht="18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customFormat="false" ht="18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customFormat="false" ht="18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customFormat="false" ht="18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customFormat="false" ht="18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customFormat="false" ht="18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customFormat="false" ht="18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customFormat="false" ht="18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customFormat="false" ht="18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customFormat="false" ht="18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56" customFormat="false" ht="18" hidden="false" customHeight="false" outlineLevel="0" collapsed="false">
      <c r="G56" s="181"/>
    </row>
  </sheetData>
  <mergeCells count="2">
    <mergeCell ref="A1:I1"/>
    <mergeCell ref="C6:G6"/>
  </mergeCells>
  <printOptions headings="false" gridLines="false" gridLinesSet="true" horizontalCentered="true" verticalCentered="false"/>
  <pageMargins left="0.5" right="0.5" top="0.984027777777778" bottom="0.75" header="0.5" footer="0.5"/>
  <pageSetup paperSize="1" scale="95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&amp;C&amp;"Arial,Bold"&amp;18Application Description</oddHeader>
    <oddFooter>&amp;L&amp;"Arial,Bold"&amp;10Proposal #10xxxx
 &amp;C&amp;"Arial,Bold"&amp;10Page 8 of 9
&amp;"Times New Roman,Italic"&amp;8T&amp;10he information contained herein is proprietary and confidential, and should not be shared outside "nickname"&amp;R&amp;"Arial,Bold"&amp;10&amp;D - &amp;T
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0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1" topLeftCell="BM2" activePane="bottomLeft" state="frozen"/>
      <selection pane="topLeft" activeCell="A1" activeCellId="0" sqref="A1"/>
      <selection pane="bottomLeft" activeCell="C24" activeCellId="0" sqref="C24"/>
    </sheetView>
  </sheetViews>
  <sheetFormatPr defaultColWidth="8.87890625" defaultRowHeight="12" zeroHeight="false" outlineLevelRow="0" outlineLevelCol="0"/>
  <cols>
    <col collapsed="false" customWidth="true" hidden="false" outlineLevel="0" max="2" min="1" style="182" width="2.77"/>
    <col collapsed="false" customWidth="true" hidden="false" outlineLevel="0" max="3" min="3" style="182" width="28.99"/>
    <col collapsed="false" customWidth="true" hidden="false" outlineLevel="0" max="4" min="4" style="182" width="7.22"/>
    <col collapsed="false" customWidth="true" hidden="false" outlineLevel="0" max="12" min="5" style="182" width="11.77"/>
    <col collapsed="false" customWidth="true" hidden="false" outlineLevel="0" max="14" min="13" style="182" width="2.77"/>
    <col collapsed="false" customWidth="false" hidden="false" outlineLevel="0" max="257" min="15" style="182" width="8.88"/>
  </cols>
  <sheetData>
    <row r="1" customFormat="false" ht="24" hidden="false" customHeight="true" outlineLevel="0" collapsed="false">
      <c r="A1" s="128" t="s">
        <v>83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</row>
    <row r="2" customFormat="false" ht="12.75" hidden="false" customHeight="false" outlineLevel="0" collapsed="false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</row>
    <row r="3" customFormat="false" ht="12" hidden="false" customHeight="false" outlineLevel="0" collapsed="false">
      <c r="A3" s="183"/>
      <c r="B3" s="184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6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</row>
    <row r="4" s="190" customFormat="true" ht="18.75" hidden="false" customHeight="true" outlineLevel="0" collapsed="false">
      <c r="A4" s="187"/>
      <c r="B4" s="188"/>
      <c r="C4" s="27" t="s">
        <v>7</v>
      </c>
      <c r="D4" s="187"/>
      <c r="E4" s="187"/>
      <c r="F4" s="187"/>
      <c r="G4" s="187"/>
      <c r="H4" s="187"/>
      <c r="I4" s="187"/>
      <c r="J4" s="187"/>
      <c r="K4" s="187"/>
      <c r="L4" s="187"/>
      <c r="M4" s="189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</row>
    <row r="5" s="194" customFormat="true" ht="18.75" hidden="false" customHeight="true" outlineLevel="0" collapsed="false">
      <c r="A5" s="191"/>
      <c r="B5" s="192"/>
      <c r="C5" s="27" t="s">
        <v>8</v>
      </c>
      <c r="D5" s="191"/>
      <c r="E5" s="191"/>
      <c r="F5" s="191"/>
      <c r="G5" s="191"/>
      <c r="H5" s="191"/>
      <c r="I5" s="191"/>
      <c r="J5" s="191"/>
      <c r="K5" s="191"/>
      <c r="L5" s="191"/>
      <c r="M5" s="193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</row>
    <row r="6" s="199" customFormat="true" ht="27" hidden="false" customHeight="false" outlineLevel="0" collapsed="false">
      <c r="A6" s="195"/>
      <c r="B6" s="196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8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</row>
    <row r="7" customFormat="false" ht="6" hidden="false" customHeight="true" outlineLevel="0" collapsed="false">
      <c r="A7" s="183"/>
      <c r="B7" s="188"/>
      <c r="C7" s="200" t="s">
        <v>10</v>
      </c>
      <c r="D7" s="200"/>
      <c r="E7" s="200"/>
      <c r="F7" s="187" t="s">
        <v>10</v>
      </c>
      <c r="G7" s="187"/>
      <c r="H7" s="187"/>
      <c r="I7" s="187" t="s">
        <v>10</v>
      </c>
      <c r="J7" s="187" t="s">
        <v>10</v>
      </c>
      <c r="K7" s="187"/>
      <c r="L7" s="187"/>
      <c r="M7" s="189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</row>
    <row r="8" customFormat="false" ht="18.75" hidden="false" customHeight="true" outlineLevel="0" collapsed="false">
      <c r="A8" s="183"/>
      <c r="B8" s="188"/>
      <c r="C8" s="201" t="s">
        <v>10</v>
      </c>
      <c r="D8" s="202" t="s">
        <v>98</v>
      </c>
      <c r="E8" s="202"/>
      <c r="F8" s="202" t="s">
        <v>99</v>
      </c>
      <c r="G8" s="202" t="s">
        <v>100</v>
      </c>
      <c r="H8" s="202" t="s">
        <v>101</v>
      </c>
      <c r="I8" s="202" t="s">
        <v>102</v>
      </c>
      <c r="J8" s="202" t="s">
        <v>103</v>
      </c>
      <c r="K8" s="202" t="s">
        <v>104</v>
      </c>
      <c r="L8" s="202" t="s">
        <v>105</v>
      </c>
      <c r="M8" s="189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</row>
    <row r="9" customFormat="false" ht="6" hidden="false" customHeight="true" outlineLevel="0" collapsed="false">
      <c r="A9" s="183"/>
      <c r="B9" s="188"/>
      <c r="C9" s="201" t="s">
        <v>10</v>
      </c>
      <c r="D9" s="201"/>
      <c r="E9" s="201"/>
      <c r="F9" s="203" t="s">
        <v>10</v>
      </c>
      <c r="G9" s="203"/>
      <c r="H9" s="203"/>
      <c r="I9" s="201"/>
      <c r="J9" s="201"/>
      <c r="K9" s="201"/>
      <c r="L9" s="201"/>
      <c r="M9" s="189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</row>
    <row r="10" customFormat="false" ht="16.5" hidden="false" customHeight="false" outlineLevel="0" collapsed="false">
      <c r="A10" s="183"/>
      <c r="B10" s="188"/>
      <c r="C10" s="204" t="s">
        <v>106</v>
      </c>
      <c r="D10" s="201"/>
      <c r="E10" s="205" t="n">
        <f aca="false">IF(Cap_Eval_Dur=5,-Total_Investment,IF(Cap_Eval_Dur&lt;&gt;7,"Invalid Value",0))</f>
        <v>-167500</v>
      </c>
      <c r="F10" s="206" t="n">
        <v>0</v>
      </c>
      <c r="G10" s="207"/>
      <c r="H10" s="206"/>
      <c r="I10" s="206"/>
      <c r="J10" s="206"/>
      <c r="K10" s="206"/>
      <c r="L10" s="206"/>
      <c r="M10" s="189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</row>
    <row r="11" customFormat="false" ht="16.5" hidden="false" customHeight="false" outlineLevel="0" collapsed="false">
      <c r="A11" s="183"/>
      <c r="B11" s="188"/>
      <c r="C11" s="208" t="s">
        <v>107</v>
      </c>
      <c r="D11" s="209"/>
      <c r="E11" s="210" t="n">
        <f aca="false">IF(Cap_Eval_Dur=7,-Total_Investment,IF(Cap_Eval_Dur&lt;&gt;5,"Invalid Value",0))</f>
        <v>0</v>
      </c>
      <c r="F11" s="211" t="n">
        <v>0</v>
      </c>
      <c r="G11" s="212"/>
      <c r="H11" s="211"/>
      <c r="I11" s="211"/>
      <c r="J11" s="211"/>
      <c r="K11" s="211"/>
      <c r="L11" s="211"/>
      <c r="M11" s="189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</row>
    <row r="12" customFormat="false" ht="16.5" hidden="false" customHeight="false" outlineLevel="0" collapsed="false">
      <c r="A12" s="183"/>
      <c r="B12" s="188"/>
      <c r="C12" s="213" t="s">
        <v>108</v>
      </c>
      <c r="D12" s="214"/>
      <c r="E12" s="215" t="n">
        <f aca="false">SUM(E10:E11)</f>
        <v>-167500</v>
      </c>
      <c r="F12" s="215" t="n">
        <f aca="false">SUM(F10:F11)</f>
        <v>0</v>
      </c>
      <c r="G12" s="215" t="n">
        <f aca="false">SUM(G10:G11)</f>
        <v>0</v>
      </c>
      <c r="H12" s="215" t="n">
        <f aca="false">SUM(H10:H11)</f>
        <v>0</v>
      </c>
      <c r="I12" s="215" t="n">
        <f aca="false">SUM(I10:I11)</f>
        <v>0</v>
      </c>
      <c r="J12" s="215" t="n">
        <f aca="false">SUM(J10:J11)</f>
        <v>0</v>
      </c>
      <c r="K12" s="215" t="n">
        <f aca="false">SUM(K10:K11)</f>
        <v>0</v>
      </c>
      <c r="L12" s="215" t="n">
        <f aca="false">SUM(L10:L11)</f>
        <v>0</v>
      </c>
      <c r="M12" s="189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</row>
    <row r="13" customFormat="false" ht="6" hidden="false" customHeight="true" outlineLevel="0" collapsed="false">
      <c r="A13" s="183"/>
      <c r="B13" s="188"/>
      <c r="C13" s="201" t="s">
        <v>10</v>
      </c>
      <c r="D13" s="201"/>
      <c r="E13" s="206"/>
      <c r="F13" s="206"/>
      <c r="G13" s="206"/>
      <c r="H13" s="206" t="s">
        <v>10</v>
      </c>
      <c r="I13" s="206" t="s">
        <v>10</v>
      </c>
      <c r="J13" s="206"/>
      <c r="K13" s="206" t="s">
        <v>10</v>
      </c>
      <c r="L13" s="206"/>
      <c r="M13" s="189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</row>
    <row r="14" s="221" customFormat="true" ht="16.5" hidden="false" customHeight="false" outlineLevel="0" collapsed="false">
      <c r="A14" s="216"/>
      <c r="B14" s="217"/>
      <c r="C14" s="218" t="s">
        <v>109</v>
      </c>
      <c r="D14" s="218" t="s">
        <v>10</v>
      </c>
      <c r="E14" s="219"/>
      <c r="F14" s="219" t="s">
        <v>10</v>
      </c>
      <c r="G14" s="219" t="s">
        <v>10</v>
      </c>
      <c r="H14" s="219"/>
      <c r="I14" s="219" t="s">
        <v>10</v>
      </c>
      <c r="J14" s="219"/>
      <c r="K14" s="219"/>
      <c r="L14" s="219"/>
      <c r="M14" s="220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</row>
    <row r="15" customFormat="false" ht="16.5" hidden="false" customHeight="false" outlineLevel="0" collapsed="false">
      <c r="A15" s="183"/>
      <c r="B15" s="188"/>
      <c r="C15" s="204" t="s">
        <v>110</v>
      </c>
      <c r="D15" s="201" t="s">
        <v>111</v>
      </c>
      <c r="E15" s="206"/>
      <c r="F15" s="206" t="n">
        <f aca="false">Ann_Lab_Sav</f>
        <v>80000</v>
      </c>
      <c r="G15" s="206" t="n">
        <f aca="false">Ann_Lab_Sav</f>
        <v>80000</v>
      </c>
      <c r="H15" s="206" t="n">
        <f aca="false">Ann_Lab_Sav</f>
        <v>80000</v>
      </c>
      <c r="I15" s="206" t="n">
        <f aca="false">Ann_Lab_Sav</f>
        <v>80000</v>
      </c>
      <c r="J15" s="206" t="n">
        <f aca="false">Ann_Lab_Sav</f>
        <v>80000</v>
      </c>
      <c r="K15" s="206" t="n">
        <f aca="false">Ann_Lab_Sav</f>
        <v>80000</v>
      </c>
      <c r="L15" s="206" t="n">
        <f aca="false">Ann_Lab_Sav</f>
        <v>80000</v>
      </c>
      <c r="M15" s="189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</row>
    <row r="16" customFormat="false" ht="16.5" hidden="false" customHeight="false" outlineLevel="0" collapsed="false">
      <c r="A16" s="183"/>
      <c r="B16" s="188"/>
      <c r="C16" s="204" t="s">
        <v>112</v>
      </c>
      <c r="D16" s="201"/>
      <c r="E16" s="206"/>
      <c r="F16" s="222" t="n">
        <f aca="false">Disability_Savings</f>
        <v>4000</v>
      </c>
      <c r="G16" s="222" t="n">
        <f aca="false">Disability_Savings</f>
        <v>4000</v>
      </c>
      <c r="H16" s="222" t="n">
        <f aca="false">Disability_Savings</f>
        <v>4000</v>
      </c>
      <c r="I16" s="222" t="n">
        <f aca="false">Disability_Savings</f>
        <v>4000</v>
      </c>
      <c r="J16" s="222" t="n">
        <f aca="false">Disability_Savings</f>
        <v>4000</v>
      </c>
      <c r="K16" s="222" t="n">
        <f aca="false">Disability_Savings</f>
        <v>4000</v>
      </c>
      <c r="L16" s="222" t="n">
        <f aca="false">Disability_Savings</f>
        <v>4000</v>
      </c>
      <c r="M16" s="189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</row>
    <row r="17" customFormat="false" ht="16.5" hidden="false" customHeight="false" outlineLevel="0" collapsed="false">
      <c r="A17" s="183"/>
      <c r="B17" s="188"/>
      <c r="C17" s="204" t="s">
        <v>113</v>
      </c>
      <c r="D17" s="201"/>
      <c r="E17" s="206"/>
      <c r="F17" s="222" t="n">
        <f aca="false">1.3*Ann_Lab_Sav/100</f>
        <v>1040</v>
      </c>
      <c r="G17" s="222" t="n">
        <f aca="false">1.3*Ann_Lab_Sav/100</f>
        <v>1040</v>
      </c>
      <c r="H17" s="222" t="n">
        <f aca="false">1.3*Ann_Lab_Sav/100</f>
        <v>1040</v>
      </c>
      <c r="I17" s="222" t="n">
        <f aca="false">1.3*Ann_Lab_Sav/100</f>
        <v>1040</v>
      </c>
      <c r="J17" s="222" t="n">
        <f aca="false">1.3*Ann_Lab_Sav/100</f>
        <v>1040</v>
      </c>
      <c r="K17" s="222" t="n">
        <f aca="false">1.3*Ann_Lab_Sav/100</f>
        <v>1040</v>
      </c>
      <c r="L17" s="222" t="n">
        <f aca="false">1.3*Ann_Lab_Sav/100</f>
        <v>1040</v>
      </c>
      <c r="M17" s="189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</row>
    <row r="18" customFormat="false" ht="16.5" hidden="false" customHeight="false" outlineLevel="0" collapsed="false">
      <c r="A18" s="183"/>
      <c r="B18" s="188"/>
      <c r="C18" s="204" t="s">
        <v>114</v>
      </c>
      <c r="D18" s="201"/>
      <c r="E18" s="206"/>
      <c r="F18" s="222" t="n">
        <f aca="false">PM_Lab_Savings</f>
        <v>-0</v>
      </c>
      <c r="G18" s="222" t="n">
        <f aca="false">PM_Lab_Savings</f>
        <v>-0</v>
      </c>
      <c r="H18" s="222" t="n">
        <f aca="false">PM_Lab_Savings</f>
        <v>-0</v>
      </c>
      <c r="I18" s="222" t="n">
        <f aca="false">PM_Lab_Savings</f>
        <v>-0</v>
      </c>
      <c r="J18" s="222" t="n">
        <f aca="false">PM_Lab_Savings</f>
        <v>-0</v>
      </c>
      <c r="K18" s="222" t="n">
        <f aca="false">PM_Lab_Savings</f>
        <v>-0</v>
      </c>
      <c r="L18" s="222" t="n">
        <f aca="false">PM_Lab_Savings</f>
        <v>-0</v>
      </c>
      <c r="M18" s="189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</row>
    <row r="19" customFormat="false" ht="16.5" hidden="false" customHeight="false" outlineLevel="0" collapsed="false">
      <c r="A19" s="183"/>
      <c r="B19" s="188"/>
      <c r="C19" s="204" t="s">
        <v>115</v>
      </c>
      <c r="D19" s="201"/>
      <c r="E19" s="206"/>
      <c r="F19" s="223" t="n">
        <f aca="false">Inc_Ann_Rev</f>
        <v>1300000</v>
      </c>
      <c r="G19" s="223" t="n">
        <f aca="false">Inc_Ann_Rev</f>
        <v>1300000</v>
      </c>
      <c r="H19" s="223" t="n">
        <f aca="false">Inc_Ann_Rev</f>
        <v>1300000</v>
      </c>
      <c r="I19" s="223" t="n">
        <f aca="false">Inc_Ann_Rev</f>
        <v>1300000</v>
      </c>
      <c r="J19" s="223" t="n">
        <f aca="false">Inc_Ann_Rev</f>
        <v>1300000</v>
      </c>
      <c r="K19" s="223" t="n">
        <f aca="false">Inc_Ann_Rev</f>
        <v>1300000</v>
      </c>
      <c r="L19" s="223" t="n">
        <f aca="false">Inc_Ann_Rev</f>
        <v>1300000</v>
      </c>
      <c r="M19" s="189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</row>
    <row r="20" customFormat="false" ht="16.5" hidden="false" customHeight="false" outlineLevel="0" collapsed="false">
      <c r="A20" s="183"/>
      <c r="B20" s="188"/>
      <c r="C20" s="204" t="s">
        <v>116</v>
      </c>
      <c r="D20" s="201"/>
      <c r="E20" s="206"/>
      <c r="F20" s="223" t="n">
        <f aca="false">Scrap_Savings</f>
        <v>450</v>
      </c>
      <c r="G20" s="223" t="n">
        <f aca="false">Scrap_Savings</f>
        <v>450</v>
      </c>
      <c r="H20" s="223" t="n">
        <f aca="false">Scrap_Savings</f>
        <v>450</v>
      </c>
      <c r="I20" s="223" t="n">
        <f aca="false">Scrap_Savings</f>
        <v>450</v>
      </c>
      <c r="J20" s="223" t="n">
        <f aca="false">Scrap_Savings</f>
        <v>450</v>
      </c>
      <c r="K20" s="223" t="n">
        <f aca="false">Scrap_Savings</f>
        <v>450</v>
      </c>
      <c r="L20" s="223" t="n">
        <f aca="false">Scrap_Savings</f>
        <v>450</v>
      </c>
      <c r="M20" s="189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</row>
    <row r="21" customFormat="false" ht="16.5" hidden="false" customHeight="false" outlineLevel="0" collapsed="false">
      <c r="A21" s="183"/>
      <c r="B21" s="188"/>
      <c r="C21" s="204" t="s">
        <v>117</v>
      </c>
      <c r="D21" s="201"/>
      <c r="E21" s="206"/>
      <c r="F21" s="223" t="n">
        <f aca="false">Misc_Savings</f>
        <v>0</v>
      </c>
      <c r="G21" s="223" t="n">
        <f aca="false">Misc_Savings</f>
        <v>0</v>
      </c>
      <c r="H21" s="223" t="n">
        <f aca="false">Misc_Savings</f>
        <v>0</v>
      </c>
      <c r="I21" s="223" t="n">
        <f aca="false">Misc_Savings</f>
        <v>0</v>
      </c>
      <c r="J21" s="223" t="n">
        <f aca="false">Misc_Savings</f>
        <v>0</v>
      </c>
      <c r="K21" s="223" t="n">
        <f aca="false">Misc_Savings</f>
        <v>0</v>
      </c>
      <c r="L21" s="223" t="n">
        <f aca="false">Misc_Savings</f>
        <v>0</v>
      </c>
      <c r="M21" s="189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</row>
    <row r="22" customFormat="false" ht="16.5" hidden="false" customHeight="false" outlineLevel="0" collapsed="false">
      <c r="A22" s="183"/>
      <c r="B22" s="188"/>
      <c r="C22" s="208" t="s">
        <v>118</v>
      </c>
      <c r="D22" s="224"/>
      <c r="E22" s="211"/>
      <c r="F22" s="211" t="n">
        <f aca="false">E77</f>
        <v>-33500</v>
      </c>
      <c r="G22" s="211" t="n">
        <f aca="false">F77</f>
        <v>-33500</v>
      </c>
      <c r="H22" s="211" t="n">
        <f aca="false">G77</f>
        <v>-33500</v>
      </c>
      <c r="I22" s="211" t="n">
        <f aca="false">H77</f>
        <v>-33500</v>
      </c>
      <c r="J22" s="211" t="n">
        <f aca="false">I77</f>
        <v>-33500</v>
      </c>
      <c r="K22" s="211" t="n">
        <f aca="false">J77</f>
        <v>0</v>
      </c>
      <c r="L22" s="211" t="n">
        <f aca="false">K77</f>
        <v>0</v>
      </c>
      <c r="M22" s="189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</row>
    <row r="23" customFormat="false" ht="16.5" hidden="false" customHeight="false" outlineLevel="0" collapsed="false">
      <c r="A23" s="183"/>
      <c r="B23" s="188"/>
      <c r="C23" s="213" t="s">
        <v>119</v>
      </c>
      <c r="D23" s="214"/>
      <c r="E23" s="215"/>
      <c r="F23" s="215" t="n">
        <f aca="false">SUM(F15:F22)</f>
        <v>1351990</v>
      </c>
      <c r="G23" s="215" t="n">
        <f aca="false">SUM(G15:G22)</f>
        <v>1351990</v>
      </c>
      <c r="H23" s="215" t="n">
        <f aca="false">SUM(H15:H22)</f>
        <v>1351990</v>
      </c>
      <c r="I23" s="215" t="n">
        <f aca="false">SUM(I15:I22)</f>
        <v>1351990</v>
      </c>
      <c r="J23" s="215" t="n">
        <f aca="false">SUM(J15:J22)</f>
        <v>1351990</v>
      </c>
      <c r="K23" s="215" t="n">
        <f aca="false">SUM(K15:K22)</f>
        <v>1385490</v>
      </c>
      <c r="L23" s="215" t="n">
        <f aca="false">SUM(L15:L22)</f>
        <v>1385490</v>
      </c>
      <c r="M23" s="189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</row>
    <row r="24" customFormat="false" ht="16.5" hidden="false" customHeight="false" outlineLevel="0" collapsed="false">
      <c r="A24" s="183"/>
      <c r="B24" s="188"/>
      <c r="C24" s="213"/>
      <c r="D24" s="214"/>
      <c r="E24" s="215"/>
      <c r="F24" s="215"/>
      <c r="G24" s="215"/>
      <c r="H24" s="215"/>
      <c r="I24" s="215"/>
      <c r="J24" s="215"/>
      <c r="K24" s="215"/>
      <c r="L24" s="215"/>
      <c r="M24" s="189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</row>
    <row r="25" customFormat="false" ht="8.1" hidden="false" customHeight="true" outlineLevel="0" collapsed="false">
      <c r="A25" s="183"/>
      <c r="B25" s="188"/>
      <c r="C25" s="209"/>
      <c r="D25" s="209"/>
      <c r="E25" s="223"/>
      <c r="F25" s="223"/>
      <c r="G25" s="223"/>
      <c r="H25" s="223"/>
      <c r="I25" s="223"/>
      <c r="J25" s="223"/>
      <c r="K25" s="223"/>
      <c r="L25" s="223"/>
      <c r="M25" s="189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</row>
    <row r="26" customFormat="false" ht="16.5" hidden="false" customHeight="false" outlineLevel="0" collapsed="false">
      <c r="A26" s="183"/>
      <c r="B26" s="188"/>
      <c r="C26" s="204" t="s">
        <v>120</v>
      </c>
      <c r="D26" s="225" t="n">
        <f aca="false">Tax_Rate</f>
        <v>0.35</v>
      </c>
      <c r="E26" s="226"/>
      <c r="F26" s="206" t="n">
        <f aca="false">-F23*Tax_Rate</f>
        <v>-473196.5</v>
      </c>
      <c r="G26" s="206" t="n">
        <f aca="false">-G23*Tax_Rate</f>
        <v>-473196.5</v>
      </c>
      <c r="H26" s="206" t="n">
        <f aca="false">-H23*Tax_Rate</f>
        <v>-473196.5</v>
      </c>
      <c r="I26" s="206" t="n">
        <f aca="false">-I23*Tax_Rate</f>
        <v>-473196.5</v>
      </c>
      <c r="J26" s="206" t="n">
        <f aca="false">-J23*Tax_Rate</f>
        <v>-473196.5</v>
      </c>
      <c r="K26" s="206" t="n">
        <f aca="false">-K23*Tax_Rate</f>
        <v>-484921.5</v>
      </c>
      <c r="L26" s="206" t="n">
        <f aca="false">-L23*Tax_Rate</f>
        <v>-484921.5</v>
      </c>
      <c r="M26" s="189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</row>
    <row r="27" customFormat="false" ht="16.5" hidden="false" customHeight="false" outlineLevel="0" collapsed="false">
      <c r="A27" s="183"/>
      <c r="B27" s="188"/>
      <c r="C27" s="208" t="s">
        <v>121</v>
      </c>
      <c r="D27" s="227"/>
      <c r="E27" s="228"/>
      <c r="F27" s="211" t="n">
        <f aca="false">-F22</f>
        <v>33500</v>
      </c>
      <c r="G27" s="211" t="n">
        <f aca="false">-G22</f>
        <v>33500</v>
      </c>
      <c r="H27" s="211" t="n">
        <f aca="false">-H22</f>
        <v>33500</v>
      </c>
      <c r="I27" s="211" t="n">
        <f aca="false">-I22</f>
        <v>33500</v>
      </c>
      <c r="J27" s="211" t="n">
        <f aca="false">-J22</f>
        <v>33500</v>
      </c>
      <c r="K27" s="211" t="n">
        <f aca="false">-K22</f>
        <v>-0</v>
      </c>
      <c r="L27" s="211" t="n">
        <f aca="false">-L22</f>
        <v>-0</v>
      </c>
      <c r="M27" s="189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</row>
    <row r="28" customFormat="false" ht="16.5" hidden="false" customHeight="false" outlineLevel="0" collapsed="false">
      <c r="A28" s="183"/>
      <c r="B28" s="188"/>
      <c r="C28" s="213" t="s">
        <v>122</v>
      </c>
      <c r="D28" s="229"/>
      <c r="E28" s="215" t="n">
        <f aca="false">SUM(E23:E27)+E12</f>
        <v>-167500</v>
      </c>
      <c r="F28" s="215" t="n">
        <f aca="false">SUM(F23:F27)+F12</f>
        <v>912293.5</v>
      </c>
      <c r="G28" s="215" t="n">
        <f aca="false">SUM(G23:G27)+G12</f>
        <v>912293.5</v>
      </c>
      <c r="H28" s="215" t="n">
        <f aca="false">SUM(H23:H27)+H12</f>
        <v>912293.5</v>
      </c>
      <c r="I28" s="215" t="n">
        <f aca="false">SUM(I23:I27)+I12</f>
        <v>912293.5</v>
      </c>
      <c r="J28" s="215" t="n">
        <f aca="false">SUM(J23:J27)+J12</f>
        <v>912293.5</v>
      </c>
      <c r="K28" s="215" t="n">
        <f aca="false">SUM(K23:K27)+K12</f>
        <v>900568.5</v>
      </c>
      <c r="L28" s="215" t="n">
        <f aca="false">SUM(L23:L27)+L12</f>
        <v>900568.5</v>
      </c>
      <c r="M28" s="189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</row>
    <row r="29" customFormat="false" ht="16.5" hidden="false" customHeight="false" outlineLevel="0" collapsed="false">
      <c r="A29" s="183"/>
      <c r="B29" s="188"/>
      <c r="C29" s="213"/>
      <c r="D29" s="229"/>
      <c r="E29" s="230"/>
      <c r="F29" s="215"/>
      <c r="G29" s="215"/>
      <c r="H29" s="215"/>
      <c r="I29" s="215"/>
      <c r="J29" s="215"/>
      <c r="K29" s="215"/>
      <c r="L29" s="215"/>
      <c r="M29" s="189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</row>
    <row r="30" customFormat="false" ht="8.1" hidden="false" customHeight="true" outlineLevel="0" collapsed="false">
      <c r="A30" s="183"/>
      <c r="B30" s="188"/>
      <c r="C30" s="209"/>
      <c r="D30" s="209"/>
      <c r="E30" s="223"/>
      <c r="F30" s="223"/>
      <c r="G30" s="223"/>
      <c r="H30" s="223"/>
      <c r="I30" s="223"/>
      <c r="J30" s="223"/>
      <c r="K30" s="223"/>
      <c r="L30" s="223"/>
      <c r="M30" s="189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</row>
    <row r="31" customFormat="false" ht="16.5" hidden="false" customHeight="false" outlineLevel="0" collapsed="false">
      <c r="A31" s="183"/>
      <c r="B31" s="188"/>
      <c r="C31" s="204" t="s">
        <v>123</v>
      </c>
      <c r="D31" s="201"/>
      <c r="E31" s="206" t="n">
        <f aca="false">E28</f>
        <v>-167500</v>
      </c>
      <c r="F31" s="206" t="n">
        <f aca="false">SUM($E$28:F28)</f>
        <v>744793.5</v>
      </c>
      <c r="G31" s="206" t="n">
        <f aca="false">SUM($E$28:G28)</f>
        <v>1657087</v>
      </c>
      <c r="H31" s="206" t="n">
        <f aca="false">SUM($E$28:H28)</f>
        <v>2569380.5</v>
      </c>
      <c r="I31" s="206" t="n">
        <f aca="false">SUM($E$28:I28)</f>
        <v>3481674</v>
      </c>
      <c r="J31" s="206" t="n">
        <f aca="false">SUM($E$28:J28)</f>
        <v>4393967.5</v>
      </c>
      <c r="K31" s="206" t="n">
        <f aca="false">SUM($E$28:K28)</f>
        <v>5294536</v>
      </c>
      <c r="L31" s="206" t="n">
        <f aca="false">SUM($E$28:L28)</f>
        <v>6195104.5</v>
      </c>
      <c r="M31" s="189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</row>
    <row r="32" customFormat="false" ht="16.5" hidden="false" customHeight="false" outlineLevel="0" collapsed="false">
      <c r="A32" s="183"/>
      <c r="B32" s="188"/>
      <c r="C32" s="208" t="s">
        <v>124</v>
      </c>
      <c r="D32" s="231" t="n">
        <f aca="false">'Financial Inputs'!F23</f>
        <v>0.06</v>
      </c>
      <c r="E32" s="232" t="n">
        <v>1</v>
      </c>
      <c r="F32" s="232" t="n">
        <f aca="false">E32/(1+disc_fact)</f>
        <v>0.943396226415094</v>
      </c>
      <c r="G32" s="232" t="n">
        <f aca="false">F32/(1+disc_fact)</f>
        <v>0.88999644001424</v>
      </c>
      <c r="H32" s="232" t="n">
        <f aca="false">G32/(1+disc_fact)</f>
        <v>0.839619283032302</v>
      </c>
      <c r="I32" s="232" t="n">
        <f aca="false">H32/(1+disc_fact)</f>
        <v>0.79209366323802</v>
      </c>
      <c r="J32" s="232" t="n">
        <f aca="false">I32/(1+disc_fact)</f>
        <v>0.747258172866057</v>
      </c>
      <c r="K32" s="232" t="n">
        <f aca="false">J32/(1+disc_fact)</f>
        <v>0.704960540439676</v>
      </c>
      <c r="L32" s="232" t="n">
        <f aca="false">K32/(1+disc_fact)</f>
        <v>0.665057113622336</v>
      </c>
      <c r="M32" s="189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</row>
    <row r="33" customFormat="false" ht="16.5" hidden="false" customHeight="false" outlineLevel="0" collapsed="false">
      <c r="A33" s="183"/>
      <c r="B33" s="188"/>
      <c r="C33" s="233" t="s">
        <v>125</v>
      </c>
      <c r="D33" s="234"/>
      <c r="E33" s="235" t="n">
        <f aca="false">E28*E32</f>
        <v>-167500</v>
      </c>
      <c r="F33" s="235" t="n">
        <f aca="false">F28*F32</f>
        <v>860654.245283019</v>
      </c>
      <c r="G33" s="235" t="n">
        <f aca="false">G28*G32</f>
        <v>811937.967248131</v>
      </c>
      <c r="H33" s="235" t="n">
        <f aca="false">H28*H32</f>
        <v>765979.214385029</v>
      </c>
      <c r="I33" s="235" t="n">
        <f aca="false">I28*I32</f>
        <v>722621.900363235</v>
      </c>
      <c r="J33" s="235" t="n">
        <f aca="false">J28*J32</f>
        <v>681718.77392758</v>
      </c>
      <c r="K33" s="235" t="n">
        <f aca="false">K28*K32</f>
        <v>634865.256462949</v>
      </c>
      <c r="L33" s="235" t="n">
        <f aca="false">L28*L32</f>
        <v>598929.487229197</v>
      </c>
      <c r="M33" s="189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</row>
    <row r="34" customFormat="false" ht="8.1" hidden="false" customHeight="true" outlineLevel="0" collapsed="false">
      <c r="A34" s="183"/>
      <c r="B34" s="188"/>
      <c r="C34" s="236"/>
      <c r="D34" s="237"/>
      <c r="E34" s="238"/>
      <c r="F34" s="239"/>
      <c r="G34" s="239"/>
      <c r="H34" s="239"/>
      <c r="I34" s="239"/>
      <c r="J34" s="239"/>
      <c r="K34" s="239"/>
      <c r="L34" s="239"/>
      <c r="M34" s="189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</row>
    <row r="35" customFormat="false" ht="16.5" hidden="false" customHeight="false" outlineLevel="0" collapsed="false">
      <c r="A35" s="183"/>
      <c r="B35" s="188"/>
      <c r="C35" s="233" t="s">
        <v>126</v>
      </c>
      <c r="D35" s="234"/>
      <c r="E35" s="240" t="n">
        <f aca="false">E33</f>
        <v>-167500</v>
      </c>
      <c r="F35" s="215" t="n">
        <f aca="false">SUM($E$33:F33)</f>
        <v>693154.245283019</v>
      </c>
      <c r="G35" s="215" t="n">
        <f aca="false">SUM($E$33:G33)</f>
        <v>1505092.21253115</v>
      </c>
      <c r="H35" s="215" t="n">
        <f aca="false">SUM($E$33:H33)</f>
        <v>2271071.42691618</v>
      </c>
      <c r="I35" s="215" t="n">
        <f aca="false">SUM($E$33:I33)</f>
        <v>2993693.32727941</v>
      </c>
      <c r="J35" s="215" t="n">
        <f aca="false">SUM($E$33:J33)</f>
        <v>3675412.10120699</v>
      </c>
      <c r="K35" s="215" t="n">
        <f aca="false">SUM($E$33:K33)</f>
        <v>4310277.35766994</v>
      </c>
      <c r="L35" s="215" t="n">
        <f aca="false">SUM($E$33:L33)</f>
        <v>4909206.84489914</v>
      </c>
      <c r="M35" s="189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</row>
    <row r="36" customFormat="false" ht="17.25" hidden="false" customHeight="false" outlineLevel="0" collapsed="false">
      <c r="A36" s="183"/>
      <c r="B36" s="188"/>
      <c r="C36" s="233"/>
      <c r="D36" s="234"/>
      <c r="E36" s="240"/>
      <c r="F36" s="215"/>
      <c r="G36" s="215"/>
      <c r="H36" s="215"/>
      <c r="I36" s="215"/>
      <c r="J36" s="215"/>
      <c r="K36" s="215"/>
      <c r="L36" s="215"/>
      <c r="M36" s="189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</row>
    <row r="37" customFormat="false" ht="17.25" hidden="false" customHeight="false" outlineLevel="0" collapsed="false">
      <c r="A37" s="183"/>
      <c r="B37" s="188"/>
      <c r="C37" s="233"/>
      <c r="D37" s="234"/>
      <c r="E37" s="240"/>
      <c r="F37" s="241" t="s">
        <v>127</v>
      </c>
      <c r="G37" s="242" t="s">
        <v>128</v>
      </c>
      <c r="H37" s="242" t="s">
        <v>129</v>
      </c>
      <c r="I37" s="215"/>
      <c r="J37" s="215"/>
      <c r="K37" s="215"/>
      <c r="L37" s="215"/>
      <c r="M37" s="189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</row>
    <row r="38" customFormat="false" ht="15.95" hidden="false" customHeight="true" outlineLevel="0" collapsed="false">
      <c r="A38" s="183"/>
      <c r="B38" s="188"/>
      <c r="C38" s="243"/>
      <c r="D38" s="244"/>
      <c r="E38" s="244"/>
      <c r="F38" s="245" t="s">
        <v>130</v>
      </c>
      <c r="G38" s="246" t="n">
        <f aca="false">SUM(E33:J33)</f>
        <v>3675412.10120699</v>
      </c>
      <c r="H38" s="247" t="n">
        <f aca="false">IRR(E28:J28)</f>
        <v>5.44603896815803</v>
      </c>
      <c r="I38" s="214"/>
      <c r="J38" s="214"/>
      <c r="K38" s="214"/>
      <c r="L38" s="214"/>
      <c r="M38" s="189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</row>
    <row r="39" customFormat="false" ht="15.95" hidden="false" customHeight="true" outlineLevel="0" collapsed="false">
      <c r="A39" s="183"/>
      <c r="B39" s="188"/>
      <c r="C39" s="243"/>
      <c r="D39" s="244"/>
      <c r="E39" s="244"/>
      <c r="F39" s="248" t="s">
        <v>131</v>
      </c>
      <c r="G39" s="249" t="n">
        <f aca="false">SUM(E33:L33)</f>
        <v>4909206.84489914</v>
      </c>
      <c r="H39" s="250" t="n">
        <f aca="false">IRR(E28:L28)</f>
        <v>5.44651045014362</v>
      </c>
      <c r="I39" s="214"/>
      <c r="J39" s="214"/>
      <c r="K39" s="214"/>
      <c r="L39" s="214"/>
      <c r="M39" s="189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</row>
    <row r="40" customFormat="false" ht="32.1" hidden="false" customHeight="true" outlineLevel="0" collapsed="false">
      <c r="A40" s="183"/>
      <c r="B40" s="188"/>
      <c r="C40" s="243"/>
      <c r="D40" s="244"/>
      <c r="E40" s="244"/>
      <c r="F40" s="251" t="n">
        <f aca="false">SUM(E51:L52)</f>
        <v>0.183603193489814</v>
      </c>
      <c r="G40" s="252" t="s">
        <v>132</v>
      </c>
      <c r="H40" s="253"/>
      <c r="I40" s="254"/>
      <c r="J40" s="254"/>
      <c r="K40" s="254"/>
      <c r="L40" s="254"/>
      <c r="M40" s="189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</row>
    <row r="41" customFormat="false" ht="15" hidden="false" customHeight="true" outlineLevel="0" collapsed="false">
      <c r="A41" s="183"/>
      <c r="B41" s="255"/>
      <c r="C41" s="256"/>
      <c r="D41" s="257"/>
      <c r="E41" s="257"/>
      <c r="F41" s="258"/>
      <c r="G41" s="258"/>
      <c r="H41" s="259"/>
      <c r="I41" s="260"/>
      <c r="J41" s="260"/>
      <c r="K41" s="260"/>
      <c r="L41" s="260"/>
      <c r="M41" s="261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</row>
    <row r="42" customFormat="false" ht="15" hidden="false" customHeight="false" outlineLevel="0" collapsed="false">
      <c r="A42" s="183"/>
      <c r="B42" s="183"/>
      <c r="C42" s="262"/>
      <c r="D42" s="263"/>
      <c r="E42" s="263"/>
      <c r="F42" s="264"/>
      <c r="G42" s="265"/>
      <c r="H42" s="266"/>
      <c r="I42" s="267"/>
      <c r="J42" s="267"/>
      <c r="K42" s="267"/>
      <c r="L42" s="267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</row>
    <row r="43" customFormat="false" ht="15" hidden="false" customHeight="false" outlineLevel="0" collapsed="false">
      <c r="A43" s="183"/>
      <c r="B43" s="183"/>
      <c r="C43" s="262"/>
      <c r="D43" s="263"/>
      <c r="E43" s="263"/>
      <c r="F43" s="264"/>
      <c r="G43" s="265"/>
      <c r="H43" s="266"/>
      <c r="I43" s="267"/>
      <c r="J43" s="267"/>
      <c r="K43" s="267"/>
      <c r="L43" s="267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</row>
    <row r="44" s="190" customFormat="true" ht="15" hidden="false" customHeight="false" outlineLevel="0" collapsed="false">
      <c r="A44" s="187"/>
      <c r="B44" s="187"/>
      <c r="C44" s="262"/>
      <c r="D44" s="263"/>
      <c r="E44" s="263"/>
      <c r="F44" s="264"/>
      <c r="G44" s="265"/>
      <c r="H44" s="268"/>
      <c r="I44" s="269"/>
      <c r="J44" s="269"/>
      <c r="K44" s="269"/>
      <c r="L44" s="269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</row>
    <row r="45" s="190" customFormat="true" ht="15" hidden="false" customHeight="false" outlineLevel="0" collapsed="false">
      <c r="A45" s="187"/>
      <c r="B45" s="187"/>
      <c r="C45" s="262"/>
      <c r="D45" s="263"/>
      <c r="E45" s="263"/>
      <c r="F45" s="264"/>
      <c r="G45" s="265"/>
      <c r="H45" s="268"/>
      <c r="I45" s="269"/>
      <c r="J45" s="269"/>
      <c r="K45" s="269"/>
      <c r="L45" s="269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</row>
    <row r="46" s="272" customFormat="true" ht="27.75" hidden="false" customHeight="false" outlineLevel="0" collapsed="false">
      <c r="A46" s="270"/>
      <c r="B46" s="270"/>
      <c r="C46" s="271" t="s">
        <v>133</v>
      </c>
      <c r="D46" s="271"/>
      <c r="E46" s="271"/>
      <c r="F46" s="271"/>
      <c r="G46" s="271"/>
      <c r="H46" s="271"/>
      <c r="I46" s="271"/>
      <c r="J46" s="271"/>
      <c r="K46" s="271"/>
      <c r="L46" s="271"/>
      <c r="M46" s="270"/>
      <c r="N46" s="270"/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  <c r="Z46" s="270"/>
      <c r="AA46" s="270"/>
      <c r="AB46" s="270"/>
    </row>
    <row r="47" s="275" customFormat="true" ht="15.75" hidden="false" customHeight="false" outlineLevel="0" collapsed="false">
      <c r="A47" s="273"/>
      <c r="B47" s="273"/>
      <c r="C47" s="274" t="s">
        <v>134</v>
      </c>
      <c r="D47" s="274"/>
      <c r="E47" s="274"/>
      <c r="F47" s="274"/>
      <c r="G47" s="274"/>
      <c r="H47" s="274"/>
      <c r="I47" s="274"/>
      <c r="J47" s="274"/>
      <c r="K47" s="274"/>
      <c r="L47" s="274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  <c r="AA47" s="273"/>
      <c r="AB47" s="273"/>
    </row>
    <row r="48" s="278" customFormat="true" ht="15.75" hidden="false" customHeight="false" outlineLevel="0" collapsed="false">
      <c r="A48" s="276"/>
      <c r="B48" s="276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  <c r="AA48" s="276"/>
      <c r="AB48" s="276"/>
    </row>
    <row r="49" s="281" customFormat="true" ht="27.75" hidden="false" customHeight="false" outlineLevel="0" collapsed="false">
      <c r="A49" s="279"/>
      <c r="B49" s="279"/>
      <c r="C49" s="280" t="s">
        <v>135</v>
      </c>
      <c r="D49" s="280"/>
      <c r="E49" s="280"/>
      <c r="F49" s="280"/>
      <c r="G49" s="280"/>
      <c r="H49" s="280"/>
      <c r="I49" s="280"/>
      <c r="J49" s="280"/>
      <c r="K49" s="280"/>
      <c r="L49" s="280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79"/>
      <c r="AB49" s="279"/>
    </row>
    <row r="50" customFormat="false" ht="12" hidden="false" customHeight="false" outlineLevel="0" collapsed="false">
      <c r="A50" s="183"/>
      <c r="B50" s="183"/>
      <c r="C50" s="282"/>
      <c r="D50" s="282"/>
      <c r="E50" s="282"/>
      <c r="F50" s="282"/>
      <c r="G50" s="282"/>
      <c r="H50" s="282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</row>
    <row r="51" customFormat="false" ht="15" hidden="false" customHeight="false" outlineLevel="0" collapsed="false">
      <c r="A51" s="183"/>
      <c r="B51" s="183"/>
      <c r="C51" s="283" t="s">
        <v>136</v>
      </c>
      <c r="D51" s="284"/>
      <c r="E51" s="284" t="n">
        <f aca="false">IF(F31&lt;0,1,0)</f>
        <v>0</v>
      </c>
      <c r="F51" s="284" t="n">
        <f aca="false">IF(G31&lt;0,1,0)</f>
        <v>0</v>
      </c>
      <c r="G51" s="284" t="n">
        <f aca="false">IF(H31&lt;0,1,0)</f>
        <v>0</v>
      </c>
      <c r="H51" s="284" t="n">
        <f aca="false">IF(I31&lt;0,1,0)</f>
        <v>0</v>
      </c>
      <c r="I51" s="284" t="n">
        <f aca="false">IF(J31&lt;0,1,0)</f>
        <v>0</v>
      </c>
      <c r="J51" s="284" t="n">
        <f aca="false">IF(K31&lt;0,1,0)</f>
        <v>0</v>
      </c>
      <c r="K51" s="284" t="n">
        <f aca="false">IF(L31&lt;0,1,0)</f>
        <v>0</v>
      </c>
      <c r="L51" s="285" t="s">
        <v>10</v>
      </c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</row>
    <row r="52" customFormat="false" ht="15" hidden="false" customHeight="false" outlineLevel="0" collapsed="false">
      <c r="A52" s="183"/>
      <c r="B52" s="183"/>
      <c r="C52" s="286" t="s">
        <v>137</v>
      </c>
      <c r="D52" s="287"/>
      <c r="E52" s="287" t="n">
        <f aca="false">IF(F31&gt;0,(-E12/(F31-E12)))</f>
        <v>0.183603193489814</v>
      </c>
      <c r="F52" s="288" t="n">
        <f aca="false">IF(G31&gt;0,(IF(F31&lt;0,(-F31/(-F31+G31)),0)))</f>
        <v>0</v>
      </c>
      <c r="G52" s="288" t="n">
        <f aca="false">IF(H31&gt;0,(IF(G31&lt;0,(-G31/(-G31+H31)),0)))</f>
        <v>0</v>
      </c>
      <c r="H52" s="288" t="n">
        <f aca="false">IF(I31&gt;0,(IF(H31&lt;0,(-H31/(-H31+I31)),0)))</f>
        <v>0</v>
      </c>
      <c r="I52" s="288" t="n">
        <f aca="false">IF(J31&gt;0,(IF(I31&lt;0,(-I31/(-I31+J31)),0)))</f>
        <v>0</v>
      </c>
      <c r="J52" s="288" t="n">
        <f aca="false">IF(K31&gt;0,(IF(J31&lt;0,(-J31/(-J31+K31)),0)))</f>
        <v>0</v>
      </c>
      <c r="K52" s="288" t="n">
        <f aca="false">IF(L31&gt;0,(IF(K31&lt;0,(-K31/(-K31+L31)),0)))</f>
        <v>0</v>
      </c>
      <c r="L52" s="289" t="s">
        <v>10</v>
      </c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</row>
    <row r="53" customFormat="false" ht="15" hidden="false" customHeight="false" outlineLevel="0" collapsed="false">
      <c r="A53" s="183"/>
      <c r="B53" s="183"/>
      <c r="C53" s="286"/>
      <c r="D53" s="290"/>
      <c r="E53" s="290"/>
      <c r="F53" s="290"/>
      <c r="G53" s="291"/>
      <c r="H53" s="291"/>
      <c r="I53" s="291"/>
      <c r="J53" s="291"/>
      <c r="K53" s="291"/>
      <c r="L53" s="292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</row>
    <row r="54" customFormat="false" ht="15" hidden="false" customHeight="false" outlineLevel="0" collapsed="false">
      <c r="A54" s="183"/>
      <c r="B54" s="183"/>
      <c r="C54" s="293" t="s">
        <v>138</v>
      </c>
      <c r="D54" s="291" t="n">
        <f aca="false">(NPV(disc_fact,$F$28:$J$28)+$E$28)-G38</f>
        <v>0</v>
      </c>
      <c r="E54" s="291"/>
      <c r="F54" s="290"/>
      <c r="G54" s="290"/>
      <c r="H54" s="290"/>
      <c r="I54" s="290"/>
      <c r="J54" s="290"/>
      <c r="K54" s="290"/>
      <c r="L54" s="294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</row>
    <row r="55" customFormat="false" ht="15" hidden="false" customHeight="false" outlineLevel="0" collapsed="false">
      <c r="A55" s="183"/>
      <c r="B55" s="183"/>
      <c r="C55" s="295" t="s">
        <v>139</v>
      </c>
      <c r="D55" s="291" t="n">
        <f aca="false">(NPV(disc_fact,$F$28:$L$28)+$E$28)-G39</f>
        <v>0</v>
      </c>
      <c r="E55" s="291"/>
      <c r="F55" s="291"/>
      <c r="G55" s="290" t="s">
        <v>10</v>
      </c>
      <c r="H55" s="290"/>
      <c r="I55" s="290"/>
      <c r="J55" s="290"/>
      <c r="K55" s="290"/>
      <c r="L55" s="294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</row>
    <row r="56" customFormat="false" ht="15" hidden="false" customHeight="false" outlineLevel="0" collapsed="false">
      <c r="A56" s="183"/>
      <c r="B56" s="183"/>
      <c r="C56" s="286"/>
      <c r="D56" s="291" t="n">
        <f aca="false">NPV(H38,E28:J28)</f>
        <v>4.04476452331437E-012</v>
      </c>
      <c r="E56" s="291"/>
      <c r="F56" s="291"/>
      <c r="G56" s="290" t="s">
        <v>10</v>
      </c>
      <c r="H56" s="290"/>
      <c r="I56" s="290"/>
      <c r="J56" s="290"/>
      <c r="K56" s="290"/>
      <c r="L56" s="294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</row>
    <row r="57" customFormat="false" ht="15" hidden="false" customHeight="false" outlineLevel="0" collapsed="false">
      <c r="A57" s="183"/>
      <c r="B57" s="183"/>
      <c r="C57" s="286"/>
      <c r="D57" s="291" t="n">
        <f aca="false">NPV(H39,E28:L28)</f>
        <v>-4.86738427341038E-012</v>
      </c>
      <c r="E57" s="291"/>
      <c r="F57" s="291"/>
      <c r="G57" s="290"/>
      <c r="H57" s="290" t="s">
        <v>10</v>
      </c>
      <c r="I57" s="290"/>
      <c r="J57" s="290"/>
      <c r="K57" s="290"/>
      <c r="L57" s="294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</row>
    <row r="58" customFormat="false" ht="15" hidden="false" customHeight="false" outlineLevel="0" collapsed="false">
      <c r="A58" s="183"/>
      <c r="B58" s="183"/>
      <c r="C58" s="286"/>
      <c r="D58" s="290"/>
      <c r="E58" s="290"/>
      <c r="F58" s="290"/>
      <c r="G58" s="290"/>
      <c r="H58" s="290"/>
      <c r="I58" s="290"/>
      <c r="J58" s="290"/>
      <c r="K58" s="290"/>
      <c r="L58" s="294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</row>
    <row r="59" customFormat="false" ht="15" hidden="false" customHeight="false" outlineLevel="0" collapsed="false">
      <c r="A59" s="183"/>
      <c r="B59" s="183"/>
      <c r="C59" s="296" t="s">
        <v>140</v>
      </c>
      <c r="D59" s="291"/>
      <c r="E59" s="291"/>
      <c r="F59" s="291" t="e">
        <f aca="false">IRR(F54:L54,F60)</f>
        <v>#N/A</v>
      </c>
      <c r="G59" s="297" t="n">
        <f aca="false">IRR(E33:L33,G60)</f>
        <v>5.08161363221096</v>
      </c>
      <c r="H59" s="291"/>
      <c r="I59" s="291"/>
      <c r="J59" s="291"/>
      <c r="K59" s="291"/>
      <c r="L59" s="292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</row>
    <row r="60" customFormat="false" ht="15" hidden="false" customHeight="false" outlineLevel="0" collapsed="false">
      <c r="A60" s="183"/>
      <c r="B60" s="183"/>
      <c r="C60" s="296" t="s">
        <v>141</v>
      </c>
      <c r="D60" s="291"/>
      <c r="E60" s="291"/>
      <c r="F60" s="298" t="n">
        <v>0.5</v>
      </c>
      <c r="G60" s="298" t="n">
        <v>0.5</v>
      </c>
      <c r="H60" s="291"/>
      <c r="I60" s="291"/>
      <c r="J60" s="291"/>
      <c r="K60" s="291"/>
      <c r="L60" s="292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</row>
    <row r="61" customFormat="false" ht="15" hidden="false" customHeight="false" outlineLevel="0" collapsed="false">
      <c r="A61" s="183"/>
      <c r="B61" s="183"/>
      <c r="C61" s="299"/>
      <c r="D61" s="291"/>
      <c r="E61" s="291"/>
      <c r="F61" s="291"/>
      <c r="G61" s="291"/>
      <c r="H61" s="291"/>
      <c r="I61" s="291"/>
      <c r="J61" s="291"/>
      <c r="K61" s="291"/>
      <c r="L61" s="292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</row>
    <row r="62" customFormat="false" ht="15" hidden="false" customHeight="false" outlineLevel="0" collapsed="false">
      <c r="A62" s="183"/>
      <c r="B62" s="183"/>
      <c r="C62" s="296" t="s">
        <v>142</v>
      </c>
      <c r="D62" s="300"/>
      <c r="E62" s="300" t="n">
        <f aca="false">IF(Cap_Eval_Dur=5,0.2,IF(Cap_Eval_Dur=7,1/7,"Invalid Entry"))</f>
        <v>0.2</v>
      </c>
      <c r="F62" s="300" t="n">
        <f aca="false">IF(Cap_Eval_Dur=5,0.2,IF(Cap_Eval_Dur=7,1/7,"Invalid Entry"))</f>
        <v>0.2</v>
      </c>
      <c r="G62" s="300" t="n">
        <f aca="false">IF(Cap_Eval_Dur=5,0.2,IF(Cap_Eval_Dur=7,1/7,"Invalid Entry"))</f>
        <v>0.2</v>
      </c>
      <c r="H62" s="300" t="n">
        <f aca="false">IF(Cap_Eval_Dur=5,0.2,IF(Cap_Eval_Dur=7,1/7,"Invalid Entry"))</f>
        <v>0.2</v>
      </c>
      <c r="I62" s="300" t="n">
        <f aca="false">IF(Cap_Eval_Dur=5,0.2,IF(Cap_Eval_Dur=7,1/7,"Invalid Entry"))</f>
        <v>0.2</v>
      </c>
      <c r="J62" s="300" t="n">
        <f aca="false">IF(Cap_Eval_Dur=5,0,IF(Cap_Eval_Dur=7,1/7,"Invalid Entry"))</f>
        <v>0</v>
      </c>
      <c r="K62" s="300" t="n">
        <f aca="false">IF(Cap_Eval_Dur=5,0,IF(Cap_Eval_Dur=7,1/7,"Invalid Entry"))</f>
        <v>0</v>
      </c>
      <c r="L62" s="301" t="n">
        <f aca="false">SUM(E62:K62)-1</f>
        <v>0</v>
      </c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</row>
    <row r="63" customFormat="false" ht="15" hidden="false" customHeight="false" outlineLevel="0" collapsed="false">
      <c r="A63" s="183"/>
      <c r="B63" s="183"/>
      <c r="C63" s="302" t="s">
        <v>143</v>
      </c>
      <c r="D63" s="303"/>
      <c r="E63" s="303"/>
      <c r="F63" s="303"/>
      <c r="G63" s="303"/>
      <c r="H63" s="303"/>
      <c r="I63" s="303"/>
      <c r="J63" s="303"/>
      <c r="K63" s="303"/>
      <c r="L63" s="304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</row>
    <row r="64" customFormat="false" ht="15" hidden="false" customHeight="false" outlineLevel="0" collapsed="false">
      <c r="A64" s="183"/>
      <c r="B64" s="183"/>
      <c r="C64" s="305"/>
      <c r="D64" s="305"/>
      <c r="E64" s="305"/>
      <c r="F64" s="305"/>
      <c r="G64" s="305"/>
      <c r="H64" s="305"/>
      <c r="I64" s="305"/>
      <c r="J64" s="305"/>
      <c r="K64" s="305"/>
      <c r="L64" s="305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</row>
    <row r="65" customFormat="false" ht="15" hidden="false" customHeight="false" outlineLevel="0" collapsed="false">
      <c r="A65" s="183"/>
      <c r="B65" s="183"/>
      <c r="C65" s="305"/>
      <c r="D65" s="305"/>
      <c r="E65" s="305"/>
      <c r="F65" s="305" t="s">
        <v>10</v>
      </c>
      <c r="G65" s="305" t="s">
        <v>10</v>
      </c>
      <c r="H65" s="305"/>
      <c r="I65" s="305"/>
      <c r="J65" s="305"/>
      <c r="K65" s="305"/>
      <c r="L65" s="306" t="s">
        <v>144</v>
      </c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</row>
    <row r="66" customFormat="false" ht="15" hidden="false" customHeight="false" outlineLevel="0" collapsed="false">
      <c r="A66" s="183"/>
      <c r="B66" s="183"/>
      <c r="C66" s="305"/>
      <c r="D66" s="305"/>
      <c r="E66" s="305"/>
      <c r="F66" s="305" t="s">
        <v>10</v>
      </c>
      <c r="G66" s="305"/>
      <c r="H66" s="305" t="s">
        <v>10</v>
      </c>
      <c r="I66" s="305" t="s">
        <v>10</v>
      </c>
      <c r="J66" s="305"/>
      <c r="K66" s="305"/>
      <c r="L66" s="307" t="s">
        <v>145</v>
      </c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</row>
    <row r="67" customFormat="false" ht="15" hidden="false" customHeight="false" outlineLevel="0" collapsed="false">
      <c r="A67" s="183"/>
      <c r="B67" s="183"/>
      <c r="C67" s="305"/>
      <c r="D67" s="305"/>
      <c r="E67" s="305"/>
      <c r="F67" s="305"/>
      <c r="G67" s="305" t="s">
        <v>10</v>
      </c>
      <c r="H67" s="305"/>
      <c r="I67" s="305"/>
      <c r="J67" s="305"/>
      <c r="K67" s="305"/>
      <c r="L67" s="308" t="s">
        <v>146</v>
      </c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</row>
    <row r="68" customFormat="false" ht="15" hidden="false" customHeight="false" outlineLevel="0" collapsed="false">
      <c r="A68" s="183"/>
      <c r="B68" s="183"/>
      <c r="C68" s="305"/>
      <c r="D68" s="305"/>
      <c r="E68" s="309" t="s">
        <v>147</v>
      </c>
      <c r="F68" s="309" t="s">
        <v>147</v>
      </c>
      <c r="G68" s="309" t="s">
        <v>147</v>
      </c>
      <c r="H68" s="309" t="s">
        <v>147</v>
      </c>
      <c r="I68" s="309" t="s">
        <v>147</v>
      </c>
      <c r="J68" s="309" t="s">
        <v>147</v>
      </c>
      <c r="K68" s="309" t="s">
        <v>147</v>
      </c>
      <c r="L68" s="305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</row>
    <row r="69" customFormat="false" ht="15" hidden="false" customHeight="false" outlineLevel="0" collapsed="false">
      <c r="A69" s="183"/>
      <c r="B69" s="183"/>
      <c r="C69" s="305" t="s">
        <v>148</v>
      </c>
      <c r="D69" s="305"/>
      <c r="E69" s="310" t="n">
        <f aca="false">(invest5a*E62)+(invest7a*E62)</f>
        <v>-33500</v>
      </c>
      <c r="F69" s="311" t="n">
        <f aca="false">(invest5a*F62)+(invest7a*F62)</f>
        <v>-33500</v>
      </c>
      <c r="G69" s="311" t="n">
        <f aca="false">(invest5a*G62)+(invest7a*G62)</f>
        <v>-33500</v>
      </c>
      <c r="H69" s="311" t="n">
        <f aca="false">(invest5a*H62)+(invest7a*H62)</f>
        <v>-33500</v>
      </c>
      <c r="I69" s="311" t="n">
        <f aca="false">(invest5a*I62)+(invest7a*I62)</f>
        <v>-33500</v>
      </c>
      <c r="J69" s="311" t="n">
        <f aca="false">(invest5a*J62)+(invest7a*J62)</f>
        <v>0</v>
      </c>
      <c r="K69" s="311" t="n">
        <f aca="false">(invest5a*K62)+(invest7a*K62)</f>
        <v>0</v>
      </c>
      <c r="L69" s="312" t="n">
        <f aca="false">SUM(E69:K69)-E33</f>
        <v>0</v>
      </c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</row>
    <row r="70" customFormat="false" ht="15" hidden="false" customHeight="false" outlineLevel="0" collapsed="false">
      <c r="A70" s="183"/>
      <c r="B70" s="183"/>
      <c r="C70" s="305" t="s">
        <v>149</v>
      </c>
      <c r="D70" s="305"/>
      <c r="E70" s="305" t="s">
        <v>10</v>
      </c>
      <c r="F70" s="311" t="n">
        <f aca="false">(invest5a_1*E62)+(invest7a_1*E62)</f>
        <v>0</v>
      </c>
      <c r="G70" s="311" t="n">
        <f aca="false">(invest5a_1*F62)+(invest7a_1*F62)</f>
        <v>0</v>
      </c>
      <c r="H70" s="311" t="n">
        <f aca="false">(invest5a_1*G62)+(invest7a_1*G62)</f>
        <v>0</v>
      </c>
      <c r="I70" s="311" t="n">
        <f aca="false">(invest5a_1*H62)+(invest7a_1*H62)</f>
        <v>0</v>
      </c>
      <c r="J70" s="311" t="n">
        <f aca="false">(invest5a_1*I62)+(invest7a_1*I62)</f>
        <v>0</v>
      </c>
      <c r="K70" s="311" t="n">
        <f aca="false">(invest5a_1*J62)+(invest7a_1*J62)</f>
        <v>0</v>
      </c>
      <c r="L70" s="312" t="n">
        <f aca="false">SUM(E70:K70)</f>
        <v>0</v>
      </c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</row>
    <row r="71" customFormat="false" ht="15" hidden="false" customHeight="false" outlineLevel="0" collapsed="false">
      <c r="A71" s="183"/>
      <c r="B71" s="183"/>
      <c r="C71" s="305" t="s">
        <v>150</v>
      </c>
      <c r="D71" s="305"/>
      <c r="E71" s="305" t="s">
        <v>10</v>
      </c>
      <c r="F71" s="305"/>
      <c r="G71" s="311" t="n">
        <f aca="false">(invest5a_2*E62)+(invest7a_2*E62)</f>
        <v>0</v>
      </c>
      <c r="H71" s="311" t="n">
        <f aca="false">(invest5a_2*F62)+(invest7a_2*F62)</f>
        <v>0</v>
      </c>
      <c r="I71" s="311" t="n">
        <f aca="false">(invest5a_2*G62)+(invest7a_2*G62)</f>
        <v>0</v>
      </c>
      <c r="J71" s="311" t="n">
        <f aca="false">(invest5a_2*H62)+(invest7a_2*H62)</f>
        <v>0</v>
      </c>
      <c r="K71" s="311" t="n">
        <f aca="false">(invest5a_2*I62)+(invest7a_2*I62)</f>
        <v>0</v>
      </c>
      <c r="L71" s="312" t="n">
        <f aca="false">SUM(E71:K71)</f>
        <v>0</v>
      </c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</row>
    <row r="72" customFormat="false" ht="15" hidden="false" customHeight="false" outlineLevel="0" collapsed="false">
      <c r="A72" s="183"/>
      <c r="B72" s="183"/>
      <c r="C72" s="305" t="s">
        <v>151</v>
      </c>
      <c r="D72" s="305"/>
      <c r="E72" s="305" t="s">
        <v>10</v>
      </c>
      <c r="F72" s="305"/>
      <c r="G72" s="305"/>
      <c r="H72" s="311" t="n">
        <f aca="false">(invest5a_3*E62)+(invest7a_3*E62)</f>
        <v>0</v>
      </c>
      <c r="I72" s="311" t="n">
        <f aca="false">(invest5a_3*F62)+(invest7a_3*F62)</f>
        <v>0</v>
      </c>
      <c r="J72" s="311" t="n">
        <f aca="false">(invest5a_3*G62)+(invest7a_3*G62)</f>
        <v>0</v>
      </c>
      <c r="K72" s="311" t="n">
        <f aca="false">(invest5a_3*H62)+(invest7a_3*H62)</f>
        <v>0</v>
      </c>
      <c r="L72" s="312" t="n">
        <f aca="false">SUM(E72:K72)</f>
        <v>0</v>
      </c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</row>
    <row r="73" customFormat="false" ht="15" hidden="false" customHeight="false" outlineLevel="0" collapsed="false">
      <c r="A73" s="183"/>
      <c r="B73" s="183"/>
      <c r="C73" s="305" t="s">
        <v>152</v>
      </c>
      <c r="D73" s="305"/>
      <c r="E73" s="305" t="s">
        <v>10</v>
      </c>
      <c r="F73" s="305" t="s">
        <v>10</v>
      </c>
      <c r="G73" s="305"/>
      <c r="H73" s="305"/>
      <c r="I73" s="311" t="n">
        <f aca="false">(invest5a_4*E62)+(invest7a_4*E62)</f>
        <v>0</v>
      </c>
      <c r="J73" s="311" t="n">
        <f aca="false">(invest5a_4*F62)+(invest7a_4*F62)</f>
        <v>0</v>
      </c>
      <c r="K73" s="311" t="n">
        <f aca="false">(invest5a_4*G62)+(invest7a_4*G62)</f>
        <v>0</v>
      </c>
      <c r="L73" s="312" t="n">
        <f aca="false">SUM(E73:K73)</f>
        <v>0</v>
      </c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</row>
    <row r="74" customFormat="false" ht="15" hidden="false" customHeight="false" outlineLevel="0" collapsed="false">
      <c r="A74" s="183"/>
      <c r="B74" s="183"/>
      <c r="C74" s="305" t="s">
        <v>153</v>
      </c>
      <c r="D74" s="305"/>
      <c r="E74" s="305"/>
      <c r="F74" s="305" t="s">
        <v>10</v>
      </c>
      <c r="G74" s="305"/>
      <c r="H74" s="305" t="s">
        <v>10</v>
      </c>
      <c r="I74" s="305"/>
      <c r="J74" s="311" t="n">
        <f aca="false">(invest5a_5*E62)+(invest7a_5*E62)</f>
        <v>0</v>
      </c>
      <c r="K74" s="311" t="n">
        <f aca="false">(invest5a_5*F62)+(invest7a_5*F62)</f>
        <v>0</v>
      </c>
      <c r="L74" s="312" t="n">
        <f aca="false">SUM(E74:K74)</f>
        <v>0</v>
      </c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</row>
    <row r="75" customFormat="false" ht="15" hidden="false" customHeight="false" outlineLevel="0" collapsed="false">
      <c r="A75" s="183"/>
      <c r="B75" s="183"/>
      <c r="C75" s="305" t="s">
        <v>154</v>
      </c>
      <c r="D75" s="305"/>
      <c r="E75" s="305"/>
      <c r="F75" s="305" t="s">
        <v>10</v>
      </c>
      <c r="G75" s="305" t="s">
        <v>10</v>
      </c>
      <c r="H75" s="305" t="s">
        <v>10</v>
      </c>
      <c r="I75" s="305"/>
      <c r="J75" s="305" t="s">
        <v>10</v>
      </c>
      <c r="K75" s="311" t="n">
        <f aca="false">(invest5a_6*E62)+(invest7a_6*E62)</f>
        <v>0</v>
      </c>
      <c r="L75" s="313" t="n">
        <f aca="false">SUM(E75:K75)</f>
        <v>0</v>
      </c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</row>
    <row r="76" customFormat="false" ht="15" hidden="false" customHeight="false" outlineLevel="0" collapsed="false">
      <c r="A76" s="183"/>
      <c r="B76" s="183"/>
      <c r="C76" s="305"/>
      <c r="D76" s="305"/>
      <c r="E76" s="305"/>
      <c r="F76" s="305"/>
      <c r="G76" s="305"/>
      <c r="H76" s="305"/>
      <c r="I76" s="305"/>
      <c r="J76" s="305"/>
      <c r="K76" s="305"/>
      <c r="L76" s="305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</row>
    <row r="77" customFormat="false" ht="15" hidden="false" customHeight="false" outlineLevel="0" collapsed="false">
      <c r="A77" s="183"/>
      <c r="B77" s="183"/>
      <c r="C77" s="305" t="s">
        <v>155</v>
      </c>
      <c r="D77" s="305"/>
      <c r="E77" s="314" t="n">
        <f aca="false">SUM(E69:E75)</f>
        <v>-33500</v>
      </c>
      <c r="F77" s="314" t="n">
        <f aca="false">SUM(F69:F75)</f>
        <v>-33500</v>
      </c>
      <c r="G77" s="314" t="n">
        <f aca="false">SUM(G69:G75)</f>
        <v>-33500</v>
      </c>
      <c r="H77" s="314" t="n">
        <f aca="false">SUM(H69:H75)</f>
        <v>-33500</v>
      </c>
      <c r="I77" s="314" t="n">
        <f aca="false">SUM(I69:I75)</f>
        <v>-33500</v>
      </c>
      <c r="J77" s="314" t="n">
        <f aca="false">SUM(J69:J75)</f>
        <v>0</v>
      </c>
      <c r="K77" s="314" t="n">
        <f aca="false">SUM(K69:K75)</f>
        <v>0</v>
      </c>
      <c r="L77" s="305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</row>
    <row r="78" customFormat="false" ht="15" hidden="false" customHeight="false" outlineLevel="0" collapsed="false">
      <c r="A78" s="183"/>
      <c r="B78" s="183"/>
      <c r="C78" s="305"/>
      <c r="D78" s="305"/>
      <c r="E78" s="305"/>
      <c r="F78" s="305"/>
      <c r="G78" s="305"/>
      <c r="H78" s="305"/>
      <c r="I78" s="305"/>
      <c r="J78" s="305"/>
      <c r="K78" s="305"/>
      <c r="L78" s="305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</row>
    <row r="79" customFormat="false" ht="15" hidden="false" customHeight="false" outlineLevel="0" collapsed="false">
      <c r="A79" s="183"/>
      <c r="B79" s="183"/>
      <c r="C79" s="305" t="s">
        <v>156</v>
      </c>
      <c r="D79" s="305"/>
      <c r="E79" s="305"/>
      <c r="F79" s="305" t="s">
        <v>10</v>
      </c>
      <c r="G79" s="305"/>
      <c r="H79" s="305"/>
      <c r="I79" s="305"/>
      <c r="J79" s="305"/>
      <c r="K79" s="305"/>
      <c r="L79" s="305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</row>
    <row r="80" customFormat="false" ht="15" hidden="false" customHeight="false" outlineLevel="0" collapsed="false">
      <c r="A80" s="183"/>
      <c r="B80" s="183"/>
      <c r="C80" s="305" t="s">
        <v>157</v>
      </c>
      <c r="D80" s="315" t="n">
        <v>0</v>
      </c>
      <c r="E80" s="315" t="n">
        <v>1</v>
      </c>
      <c r="F80" s="315" t="n">
        <f aca="false">E80*(1+$D80)</f>
        <v>1</v>
      </c>
      <c r="G80" s="315" t="n">
        <f aca="false">F80*(1+$D80)</f>
        <v>1</v>
      </c>
      <c r="H80" s="315" t="n">
        <f aca="false">G80*(1+$D80)</f>
        <v>1</v>
      </c>
      <c r="I80" s="315" t="n">
        <f aca="false">H80*(1+$D80)</f>
        <v>1</v>
      </c>
      <c r="J80" s="315" t="n">
        <f aca="false">I80*(1+$D80)</f>
        <v>1</v>
      </c>
      <c r="K80" s="315" t="n">
        <f aca="false">J80*(1+$D80)</f>
        <v>1</v>
      </c>
      <c r="L80" s="305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</row>
    <row r="81" customFormat="false" ht="12" hidden="false" customHeight="false" outlineLevel="0" collapsed="false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</row>
    <row r="82" customFormat="false" ht="12" hidden="false" customHeight="false" outlineLevel="0" collapsed="false">
      <c r="A82" s="183"/>
      <c r="B82" s="183"/>
      <c r="C82" s="183"/>
      <c r="D82" s="183"/>
      <c r="E82" s="183"/>
      <c r="F82" s="183"/>
      <c r="G82" s="183" t="s">
        <v>10</v>
      </c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</row>
    <row r="83" customFormat="false" ht="12" hidden="false" customHeight="false" outlineLevel="0" collapsed="false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</row>
    <row r="84" customFormat="false" ht="12" hidden="false" customHeight="false" outlineLevel="0" collapsed="false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</row>
    <row r="85" customFormat="false" ht="12" hidden="false" customHeight="false" outlineLevel="0" collapsed="false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</row>
    <row r="86" customFormat="false" ht="12" hidden="false" customHeight="false" outlineLevel="0" collapsed="false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</row>
    <row r="87" customFormat="false" ht="12" hidden="false" customHeight="false" outlineLevel="0" collapsed="false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</row>
    <row r="88" customFormat="false" ht="12" hidden="false" customHeight="false" outlineLevel="0" collapsed="false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</row>
    <row r="89" customFormat="false" ht="12" hidden="false" customHeight="false" outlineLevel="0" collapsed="false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</row>
    <row r="90" customFormat="false" ht="12" hidden="false" customHeight="false" outlineLevel="0" collapsed="false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</row>
    <row r="91" customFormat="false" ht="12" hidden="false" customHeight="false" outlineLevel="0" collapsed="false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</row>
    <row r="92" customFormat="false" ht="12" hidden="false" customHeight="false" outlineLevel="0" collapsed="false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</row>
    <row r="93" customFormat="false" ht="12" hidden="false" customHeight="false" outlineLevel="0" collapsed="false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</row>
    <row r="94" customFormat="false" ht="12" hidden="false" customHeight="false" outlineLevel="0" collapsed="false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</row>
    <row r="95" customFormat="false" ht="12" hidden="false" customHeight="false" outlineLevel="0" collapsed="false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</row>
    <row r="96" customFormat="false" ht="12" hidden="false" customHeight="false" outlineLevel="0" collapsed="false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</row>
    <row r="97" customFormat="false" ht="12" hidden="false" customHeight="false" outlineLevel="0" collapsed="false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</row>
    <row r="98" customFormat="false" ht="12" hidden="false" customHeight="false" outlineLevel="0" collapsed="false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</row>
    <row r="99" customFormat="false" ht="12" hidden="false" customHeight="false" outlineLevel="0" collapsed="false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</row>
    <row r="100" customFormat="false" ht="12" hidden="false" customHeight="false" outlineLevel="0" collapsed="false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</row>
    <row r="101" customFormat="false" ht="12" hidden="false" customHeight="false" outlineLevel="0" collapsed="false"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</row>
    <row r="102" customFormat="false" ht="12" hidden="false" customHeight="false" outlineLevel="0" collapsed="false"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</row>
    <row r="103" customFormat="false" ht="12" hidden="false" customHeight="false" outlineLevel="0" collapsed="false"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83"/>
      <c r="AC103" s="183"/>
      <c r="AD103" s="183"/>
      <c r="AE103" s="183"/>
      <c r="AF103" s="183"/>
      <c r="AG103" s="183"/>
    </row>
    <row r="104" customFormat="false" ht="12" hidden="false" customHeight="false" outlineLevel="0" collapsed="false"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3"/>
      <c r="AD104" s="183"/>
      <c r="AE104" s="183"/>
      <c r="AF104" s="183"/>
      <c r="AG104" s="183"/>
    </row>
    <row r="105" customFormat="false" ht="12" hidden="false" customHeight="false" outlineLevel="0" collapsed="false"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</row>
    <row r="106" customFormat="false" ht="12" hidden="false" customHeight="false" outlineLevel="0" collapsed="false"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</row>
    <row r="107" customFormat="false" ht="12" hidden="false" customHeight="false" outlineLevel="0" collapsed="false"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</row>
    <row r="108" customFormat="false" ht="12" hidden="false" customHeight="false" outlineLevel="0" collapsed="false"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</row>
    <row r="109" customFormat="false" ht="12" hidden="false" customHeight="false" outlineLevel="0" collapsed="false"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</row>
    <row r="110" customFormat="false" ht="12" hidden="false" customHeight="false" outlineLevel="0" collapsed="false"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</row>
    <row r="111" customFormat="false" ht="12" hidden="false" customHeight="false" outlineLevel="0" collapsed="false"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</row>
    <row r="112" customFormat="false" ht="12" hidden="false" customHeight="false" outlineLevel="0" collapsed="false"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</row>
    <row r="113" customFormat="false" ht="12" hidden="false" customHeight="false" outlineLevel="0" collapsed="false"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</row>
    <row r="114" customFormat="false" ht="12" hidden="false" customHeight="false" outlineLevel="0" collapsed="false"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</row>
    <row r="115" customFormat="false" ht="12" hidden="false" customHeight="false" outlineLevel="0" collapsed="false"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</row>
    <row r="116" customFormat="false" ht="12" hidden="false" customHeight="false" outlineLevel="0" collapsed="false"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</row>
    <row r="117" customFormat="false" ht="12" hidden="false" customHeight="false" outlineLevel="0" collapsed="false"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</row>
    <row r="118" customFormat="false" ht="12" hidden="false" customHeight="false" outlineLevel="0" collapsed="false"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</row>
    <row r="119" customFormat="false" ht="12" hidden="false" customHeight="false" outlineLevel="0" collapsed="false"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</row>
    <row r="120" customFormat="false" ht="12" hidden="false" customHeight="false" outlineLevel="0" collapsed="false"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</row>
    <row r="121" customFormat="false" ht="12" hidden="false" customHeight="false" outlineLevel="0" collapsed="false"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</row>
    <row r="122" customFormat="false" ht="12" hidden="false" customHeight="false" outlineLevel="0" collapsed="false"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</row>
    <row r="123" customFormat="false" ht="12" hidden="false" customHeight="false" outlineLevel="0" collapsed="false"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</row>
    <row r="124" customFormat="false" ht="12" hidden="false" customHeight="false" outlineLevel="0" collapsed="false"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</row>
    <row r="125" customFormat="false" ht="12" hidden="false" customHeight="false" outlineLevel="0" collapsed="false"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</row>
    <row r="126" customFormat="false" ht="12" hidden="false" customHeight="false" outlineLevel="0" collapsed="false"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</row>
    <row r="127" customFormat="false" ht="12" hidden="false" customHeight="false" outlineLevel="0" collapsed="false"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</row>
    <row r="128" customFormat="false" ht="12" hidden="false" customHeight="false" outlineLevel="0" collapsed="false"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</row>
    <row r="129" customFormat="false" ht="12" hidden="false" customHeight="false" outlineLevel="0" collapsed="false"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</row>
    <row r="130" customFormat="false" ht="12" hidden="false" customHeight="false" outlineLevel="0" collapsed="false"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</row>
    <row r="131" customFormat="false" ht="12" hidden="false" customHeight="false" outlineLevel="0" collapsed="false"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</row>
    <row r="132" customFormat="false" ht="12" hidden="false" customHeight="false" outlineLevel="0" collapsed="false"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</row>
    <row r="133" customFormat="false" ht="12" hidden="false" customHeight="false" outlineLevel="0" collapsed="false"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</row>
    <row r="134" customFormat="false" ht="12" hidden="false" customHeight="false" outlineLevel="0" collapsed="false"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</row>
    <row r="135" customFormat="false" ht="12" hidden="false" customHeight="false" outlineLevel="0" collapsed="false"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</row>
    <row r="136" customFormat="false" ht="12" hidden="false" customHeight="false" outlineLevel="0" collapsed="false"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  <c r="AC136" s="183"/>
      <c r="AD136" s="183"/>
      <c r="AE136" s="183"/>
      <c r="AF136" s="183"/>
      <c r="AG136" s="183"/>
    </row>
    <row r="137" customFormat="false" ht="12" hidden="false" customHeight="false" outlineLevel="0" collapsed="false"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</row>
    <row r="138" customFormat="false" ht="12" hidden="false" customHeight="false" outlineLevel="0" collapsed="false"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</row>
    <row r="139" customFormat="false" ht="12" hidden="false" customHeight="false" outlineLevel="0" collapsed="false"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</row>
    <row r="140" customFormat="false" ht="12" hidden="false" customHeight="false" outlineLevel="0" collapsed="false"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83"/>
      <c r="AC140" s="183"/>
      <c r="AD140" s="183"/>
      <c r="AE140" s="183"/>
      <c r="AF140" s="183"/>
      <c r="AG140" s="183"/>
    </row>
  </sheetData>
  <mergeCells count="6">
    <mergeCell ref="A1:N1"/>
    <mergeCell ref="C6:L6"/>
    <mergeCell ref="D8:E8"/>
    <mergeCell ref="C46:L46"/>
    <mergeCell ref="C47:L47"/>
    <mergeCell ref="C49:L49"/>
  </mergeCells>
  <printOptions headings="false" gridLines="false" gridLinesSet="true" horizontalCentered="true" verticalCentered="false"/>
  <pageMargins left="0.25" right="0.25" top="1.03958333333333" bottom="0.984027777777778" header="0.5" footer="0.5"/>
  <pageSetup paperSize="1" scale="72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&amp;C&amp;"Arial,Bold"&amp;18Application Description&amp;R&amp;"Arial,Bold"&amp;10 </oddHeader>
    <oddFooter>&amp;L&amp;"Arial,Bold"&amp;10Proposal 10xxx
 &amp;C&amp;"Arial,Bold"&amp;10Page 9 of 9
&amp;"Times New Roman,Regular"The information contained herein is proprietary and confidential, and should not be shared outside "nickname"&amp;R&amp;"Arial,Bold"&amp;10&amp;D - &amp;T</oddFooter>
  </headerFooter>
  <rowBreaks count="1" manualBreakCount="1">
    <brk id="42" man="true" max="16383" min="0"/>
  </row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" zoomScaleNormal="10" zoomScalePageLayoutView="10" workbookViewId="0">
      <selection pane="topLeft" activeCell="A1" activeCellId="0" sqref="A1"/>
    </sheetView>
  </sheetViews>
  <sheetFormatPr defaultColWidth="9.1445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1997-07-11T11:35:58Z</dcterms:created>
  <dc:creator>Chris Lukas</dc:creator>
  <dc:description/>
  <dc:language>en-US</dc:language>
  <cp:lastModifiedBy>bturner</cp:lastModifiedBy>
  <cp:lastPrinted>1999-12-06T07:48:31Z</cp:lastPrinted>
  <dcterms:modified xsi:type="dcterms:W3CDTF">2005-10-21T17:38:44Z</dcterms:modified>
  <cp:revision>0</cp:revision>
  <dc:subject/>
  <dc:title>Value Analysis / Cost Justifcation Spreadsheet</dc:title>
</cp:coreProperties>
</file>