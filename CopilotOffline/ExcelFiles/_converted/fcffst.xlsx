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ewFCFFStableGrowth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<sst xmlns="http://schemas.openxmlformats.org/spreadsheetml/2006/main" count="63" uniqueCount="58">
  <si>
    <t xml:space="preserve">FCFF STABLE GROWTH MODEL</t>
  </si>
  <si>
    <t xml:space="preserve">This model is designed to value  a stable firm on the basis of</t>
  </si>
  <si>
    <t xml:space="preserve">free cashflows to firm.</t>
  </si>
  <si>
    <t xml:space="preserve">Assumptions in the model:</t>
  </si>
  <si>
    <t xml:space="preserve">1. The firm is in steady state and will grow at a stable rate forever.</t>
  </si>
  <si>
    <t xml:space="preserve">2. The firm's leverage is known and constant.</t>
  </si>
  <si>
    <t xml:space="preserve">User defined inputs</t>
  </si>
  <si>
    <t xml:space="preserve">The user has to define the following inputs to the model:</t>
  </si>
  <si>
    <t xml:space="preserve">1. Current EBIT and tax rate</t>
  </si>
  <si>
    <t xml:space="preserve">2. Capital Spending and Depreciation</t>
  </si>
  <si>
    <t xml:space="preserve">3. Change in working capital</t>
  </si>
  <si>
    <t xml:space="preserve">4. Debt ratio</t>
  </si>
  <si>
    <t xml:space="preserve">5. Cost of Equity or Inputs to the CAPM (Beta, Riskfree rate, Risk Premium) and Cost of Debt</t>
  </si>
  <si>
    <t xml:space="preserve">6. Expected Growth Rate in free cashflows to firm forever.</t>
  </si>
  <si>
    <t xml:space="preserve">Please enter inputs to the model:</t>
  </si>
  <si>
    <t xml:space="preserve">Current EBIT</t>
  </si>
  <si>
    <t xml:space="preserve">(in currency)</t>
  </si>
  <si>
    <t xml:space="preserve">Current tax rate =</t>
  </si>
  <si>
    <t xml:space="preserve">Capital Expenditures</t>
  </si>
  <si>
    <t xml:space="preserve">Depreciation =</t>
  </si>
  <si>
    <t xml:space="preserve">Change in Working Capital =</t>
  </si>
  <si>
    <t xml:space="preserve">If negative, enter zero.</t>
  </si>
  <si>
    <t xml:space="preserve">Do you want to change the capital expenditure/depreciation ratio?</t>
  </si>
  <si>
    <t xml:space="preserve">Yes</t>
  </si>
  <si>
    <t xml:space="preserve">(Yes or No)</t>
  </si>
  <si>
    <t xml:space="preserve">If so, enter capital expenditures as a percent of depreciation</t>
  </si>
  <si>
    <t xml:space="preserve">Debt ratio =</t>
  </si>
  <si>
    <t xml:space="preserve">( in percent)</t>
  </si>
  <si>
    <t xml:space="preserve">Are you directly entering the cost of equity? (Yes or No)</t>
  </si>
  <si>
    <t xml:space="preserve">No</t>
  </si>
  <si>
    <t xml:space="preserve">If yes, enter cost of equity =</t>
  </si>
  <si>
    <t xml:space="preserve">(in percent)</t>
  </si>
  <si>
    <t xml:space="preserve">If no, enter the inputs for the CAPM</t>
  </si>
  <si>
    <t xml:space="preserve">Beta of the stock =</t>
  </si>
  <si>
    <t xml:space="preserve">Riskfree rate =</t>
  </si>
  <si>
    <t xml:space="preserve">Risk Premium=</t>
  </si>
  <si>
    <t xml:space="preserve">Enter the cost of debt =</t>
  </si>
  <si>
    <t xml:space="preserve">This is a pre-tax cost of borrowing.</t>
  </si>
  <si>
    <t xml:space="preserve">Expected Growth Rate =</t>
  </si>
  <si>
    <t xml:space="preserve"> (in percent)</t>
  </si>
  <si>
    <t xml:space="preserve">The expected growth rate for a stable firm</t>
  </si>
  <si>
    <t xml:space="preserve">cannot be significantly higher than the nominal</t>
  </si>
  <si>
    <t xml:space="preserve">growth rate in the economy in which the firm</t>
  </si>
  <si>
    <t xml:space="preserve">operates. It can be lower.</t>
  </si>
  <si>
    <t xml:space="preserve">Warnings:</t>
  </si>
  <si>
    <t xml:space="preserve">This is the output from the  Model</t>
  </si>
  <si>
    <t xml:space="preserve">Firm Details: from inputs on prior page</t>
  </si>
  <si>
    <t xml:space="preserve">EBIT (1- tax rate) =</t>
  </si>
  <si>
    <t xml:space="preserve"> - (Capital Spending - Depreciation)</t>
  </si>
  <si>
    <t xml:space="preserve"> - Change in Working Capital</t>
  </si>
  <si>
    <t xml:space="preserve">Free Cashflow to Firm =</t>
  </si>
  <si>
    <t xml:space="preserve">Cost of Equity =</t>
  </si>
  <si>
    <t xml:space="preserve">Cost of Debt =</t>
  </si>
  <si>
    <t xml:space="preserve">Cost of Capital =</t>
  </si>
  <si>
    <t xml:space="preserve">Expected Growth rate =</t>
  </si>
  <si>
    <t xml:space="preserve">Value of Firm</t>
  </si>
  <si>
    <t xml:space="preserve">Growth rate</t>
  </si>
  <si>
    <t xml:space="preserve">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</si>
</sst>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_);[RED]&quot;($&quot;#,##0.00\)"/>
    <numFmt numFmtId="166" formatCode="0%"/>
    <numFmt numFmtId="167" formatCode="0.00%"/>
    <numFmt numFmtId="168" formatCode="General"/>
    <numFmt numFmtId="169" formatCode="\$#,##0.00_);&quot;($&quot;#,##0.00\)"/>
  </numFmts>
  <fonts count="14">
    <font>
      <sz val="12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Times New Roman"/>
      <family val="0"/>
    </font>
    <font>
      <b val="true"/>
      <i val="true"/>
      <sz val="18"/>
      <name val="Times New Roman"/>
      <family val="0"/>
    </font>
    <font>
      <sz val="14"/>
      <name val="Times New Roman"/>
      <family val="0"/>
    </font>
    <font>
      <i val="true"/>
      <sz val="14"/>
      <name val="Times New Roman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b val="true"/>
      <i val="true"/>
      <sz val="10"/>
      <name val="Times New Roman"/>
      <family val="0"/>
    </font>
    <font>
      <i val="true"/>
      <sz val="10"/>
      <name val="Times New Roman"/>
      <family val="0"/>
    </font>
    <font>
      <i val="true"/>
      <sz val="10"/>
      <name val="Geneva"/>
      <family val="0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CF305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200" spc="-1" strike="noStrike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62531829756275"/>
          <c:y val="0.175790754257908"/>
          <c:w val="0.88061113132048"/>
          <c:h val="0.71228710462287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NewFCFFStableGrowth!$B$65:$B$71</c:f>
              <c:strCache>
                <c:ptCount val="7"/>
                <c:pt idx="0">
                  <c:v>7.00%</c:v>
                </c:pt>
                <c:pt idx="1">
                  <c:v>6.00%</c:v>
                </c:pt>
                <c:pt idx="2">
                  <c:v>5.00%</c:v>
                </c:pt>
                <c:pt idx="3">
                  <c:v>4.00%</c:v>
                </c:pt>
                <c:pt idx="4">
                  <c:v>3.00%</c:v>
                </c:pt>
                <c:pt idx="5">
                  <c:v>2.00%</c:v>
                </c:pt>
                <c:pt idx="6">
                  <c:v>1.00%</c:v>
                </c:pt>
              </c:strCache>
            </c:strRef>
          </c:cat>
          <c:val>
            <c:numRef>
              <c:f>NewFCFFStableGrowth!$C$65:$C$71</c:f>
              <c:numCache>
                <c:formatCode>\$#,##0.00_);[RED]"($"#,##0.00\)</c:formatCode>
                <c:ptCount val="7"/>
                <c:pt idx="0">
                  <c:v>20507.0301168684</c:v>
                </c:pt>
                <c:pt idx="1">
                  <c:v>16055.746744322</c:v>
                </c:pt>
                <c:pt idx="2">
                  <c:v>13147.560970748</c:v>
                </c:pt>
                <c:pt idx="3">
                  <c:v>11098.6052732616</c:v>
                </c:pt>
                <c:pt idx="4">
                  <c:v>9577.09997177346</c:v>
                </c:pt>
                <c:pt idx="5">
                  <c:v>8402.60258449864</c:v>
                </c:pt>
                <c:pt idx="6">
                  <c:v>7468.55219569338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573212"/>
        <c:axId val="71865391"/>
      </c:lineChart>
      <c:catAx>
        <c:axId val="175732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71865391"/>
        <c:crossesAt val="0"/>
        <c:auto val="1"/>
        <c:lblAlgn val="ctr"/>
        <c:lblOffset val="100"/>
        <c:noMultiLvlLbl val="0"/>
      </c:catAx>
      <c:valAx>
        <c:axId val="718653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_);[RED]&quot;($&quot;#,##0.00\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17573212"/>
        <c:crossesAt val="1"/>
        <c:crossBetween val="midCat"/>
      </c:valAx>
      <c:spPr>
        <a:noFill/>
        <a:ln w="12600">
          <a:noFill/>
        </a:ln>
      </c:spPr>
    </c:plotArea>
    <c:plotVisOnly val="0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681120</xdr:colOff>
      <xdr:row>62</xdr:row>
      <xdr:rowOff>0</xdr:rowOff>
    </xdr:from>
    <xdr:to>
      <xdr:col>8</xdr:col>
      <xdr:colOff>292320</xdr:colOff>
      <xdr:row>80</xdr:row>
      <xdr:rowOff>75960</xdr:rowOff>
    </xdr:to>
    <xdr:graphicFrame>
      <xdr:nvGraphicFramePr>
        <xdr:cNvPr id="0" name="Chart 1"/>
        <xdr:cNvGraphicFramePr/>
      </xdr:nvGraphicFramePr>
      <xdr:xfrm>
        <a:off x="3158280" y="14211360"/>
        <a:ext cx="4947840" cy="295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453125" defaultRowHeight="13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0"/>
  <sheetViews>
    <sheetView showFormulas="false" showGridLines="fals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J30" activeCellId="0" sqref="J30"/>
    </sheetView>
  </sheetViews>
  <sheetFormatPr defaultColWidth="12.4453125" defaultRowHeight="13" zeroHeight="false" outlineLevelRow="0" outlineLevelCol="0"/>
  <cols>
    <col collapsed="false" customWidth="true" hidden="false" outlineLevel="0" max="1" min="1" style="0" width="3.23"/>
    <col collapsed="false" customWidth="true" hidden="false" outlineLevel="0" max="3" min="2" style="0" width="14.64"/>
    <col collapsed="false" customWidth="true" hidden="false" outlineLevel="0" max="4" min="4" style="0" width="15.78"/>
    <col collapsed="false" customWidth="true" hidden="false" outlineLevel="0" max="6" min="6" style="0" width="16.92"/>
  </cols>
  <sheetData>
    <row r="1" s="1" customFormat="true" ht="19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s="1" customFormat="true" ht="20" hidden="false" customHeight="false" outlineLevel="0" collapsed="false">
      <c r="B2" s="3"/>
    </row>
    <row r="3" s="1" customFormat="true" ht="19" hidden="false" customHeight="false" outlineLevel="0" collapsed="false">
      <c r="B3" s="4" t="s">
        <v>1</v>
      </c>
      <c r="C3" s="4"/>
      <c r="D3" s="4"/>
      <c r="E3" s="4"/>
      <c r="F3" s="4"/>
      <c r="G3" s="4"/>
      <c r="H3" s="4"/>
    </row>
    <row r="4" s="1" customFormat="true" ht="19" hidden="false" customHeight="false" outlineLevel="0" collapsed="false">
      <c r="B4" s="5" t="s">
        <v>2</v>
      </c>
      <c r="C4" s="5"/>
      <c r="D4" s="5"/>
      <c r="E4" s="5"/>
      <c r="F4" s="5"/>
      <c r="G4" s="5"/>
      <c r="H4" s="5"/>
    </row>
    <row r="5" s="1" customFormat="true" ht="20" hidden="false" customHeight="false" outlineLevel="0" collapsed="false">
      <c r="B5" s="6"/>
      <c r="C5" s="7"/>
      <c r="D5" s="8"/>
      <c r="E5" s="7"/>
      <c r="F5" s="7"/>
      <c r="G5" s="7"/>
      <c r="H5" s="9"/>
    </row>
    <row r="6" s="1" customFormat="true" ht="19" hidden="false" customHeight="false" outlineLevel="0" collapsed="false">
      <c r="D6" s="3"/>
    </row>
    <row r="7" s="10" customFormat="true" ht="15" hidden="false" customHeight="true" outlineLevel="0" collapsed="false">
      <c r="B7" s="11" t="s">
        <v>3</v>
      </c>
      <c r="D7" s="12"/>
    </row>
    <row r="8" s="10" customFormat="true" ht="15" hidden="false" customHeight="true" outlineLevel="0" collapsed="false">
      <c r="B8" s="10" t="s">
        <v>4</v>
      </c>
      <c r="D8" s="12"/>
    </row>
    <row r="9" s="10" customFormat="true" ht="15" hidden="false" customHeight="true" outlineLevel="0" collapsed="false">
      <c r="B9" s="10" t="s">
        <v>5</v>
      </c>
      <c r="D9" s="12"/>
    </row>
    <row r="10" s="10" customFormat="true" ht="12" hidden="false" customHeight="false" outlineLevel="0" collapsed="false">
      <c r="D10" s="12"/>
    </row>
    <row r="11" s="10" customFormat="true" ht="12" hidden="false" customHeight="false" outlineLevel="0" collapsed="false">
      <c r="B11" s="11" t="s">
        <v>6</v>
      </c>
      <c r="D11" s="12"/>
    </row>
    <row r="12" s="13" customFormat="true" ht="18" hidden="false" customHeight="true" outlineLevel="0" collapsed="false">
      <c r="B12" s="13" t="s">
        <v>7</v>
      </c>
    </row>
    <row r="13" s="13" customFormat="true" ht="18" hidden="false" customHeight="true" outlineLevel="0" collapsed="false">
      <c r="B13" s="13" t="s">
        <v>8</v>
      </c>
    </row>
    <row r="14" s="13" customFormat="true" ht="18" hidden="false" customHeight="true" outlineLevel="0" collapsed="false">
      <c r="B14" s="13" t="s">
        <v>9</v>
      </c>
    </row>
    <row r="15" s="13" customFormat="true" ht="18" hidden="false" customHeight="true" outlineLevel="0" collapsed="false">
      <c r="B15" s="13" t="s">
        <v>10</v>
      </c>
    </row>
    <row r="16" s="13" customFormat="true" ht="18" hidden="false" customHeight="true" outlineLevel="0" collapsed="false">
      <c r="B16" s="13" t="s">
        <v>11</v>
      </c>
    </row>
    <row r="17" s="13" customFormat="true" ht="18" hidden="false" customHeight="true" outlineLevel="0" collapsed="false">
      <c r="B17" s="13" t="s">
        <v>12</v>
      </c>
    </row>
    <row r="18" s="13" customFormat="true" ht="18" hidden="false" customHeight="true" outlineLevel="0" collapsed="false">
      <c r="B18" s="13" t="s">
        <v>13</v>
      </c>
    </row>
    <row r="19" s="13" customFormat="true" ht="18" hidden="false" customHeight="true" outlineLevel="0" collapsed="false"/>
    <row r="20" s="13" customFormat="true" ht="18" hidden="false" customHeight="true" outlineLevel="0" collapsed="false">
      <c r="B20" s="14" t="s">
        <v>14</v>
      </c>
    </row>
    <row r="21" s="13" customFormat="true" ht="18" hidden="false" customHeight="true" outlineLevel="0" collapsed="false">
      <c r="B21" s="13" t="s">
        <v>15</v>
      </c>
      <c r="D21" s="15" t="n">
        <v>1535</v>
      </c>
      <c r="E21" s="16" t="s">
        <v>16</v>
      </c>
    </row>
    <row r="22" s="13" customFormat="true" ht="18" hidden="false" customHeight="true" outlineLevel="0" collapsed="false">
      <c r="B22" s="13" t="s">
        <v>17</v>
      </c>
      <c r="D22" s="17" t="n">
        <v>0.36</v>
      </c>
      <c r="E22" s="16"/>
    </row>
    <row r="23" s="13" customFormat="true" ht="18" hidden="false" customHeight="true" outlineLevel="0" collapsed="false">
      <c r="D23" s="18"/>
      <c r="E23" s="16"/>
    </row>
    <row r="24" s="13" customFormat="true" ht="18" hidden="false" customHeight="true" outlineLevel="0" collapsed="false">
      <c r="B24" s="13" t="s">
        <v>18</v>
      </c>
      <c r="D24" s="15" t="n">
        <v>550</v>
      </c>
      <c r="E24" s="16" t="s">
        <v>16</v>
      </c>
    </row>
    <row r="25" s="13" customFormat="true" ht="18" hidden="false" customHeight="true" outlineLevel="0" collapsed="false">
      <c r="B25" s="13" t="s">
        <v>19</v>
      </c>
      <c r="D25" s="19" t="n">
        <v>400</v>
      </c>
      <c r="E25" s="16" t="s">
        <v>16</v>
      </c>
    </row>
    <row r="26" s="13" customFormat="true" ht="18" hidden="false" customHeight="true" outlineLevel="0" collapsed="false">
      <c r="B26" s="13" t="s">
        <v>20</v>
      </c>
      <c r="D26" s="19" t="n">
        <v>160</v>
      </c>
      <c r="E26" s="16" t="s">
        <v>16</v>
      </c>
      <c r="F26" s="20" t="s">
        <v>21</v>
      </c>
    </row>
    <row r="27" s="13" customFormat="true" ht="18" hidden="false" customHeight="true" outlineLevel="0" collapsed="false">
      <c r="B27" s="13" t="s">
        <v>22</v>
      </c>
      <c r="D27" s="18"/>
      <c r="E27" s="16"/>
      <c r="F27" s="21" t="s">
        <v>23</v>
      </c>
      <c r="G27" s="13" t="s">
        <v>24</v>
      </c>
    </row>
    <row r="28" s="13" customFormat="true" ht="18" hidden="false" customHeight="true" outlineLevel="0" collapsed="false">
      <c r="B28" s="13" t="s">
        <v>25</v>
      </c>
      <c r="D28" s="18"/>
      <c r="E28" s="16"/>
      <c r="F28" s="22" t="n">
        <v>1.25</v>
      </c>
      <c r="G28" s="23"/>
    </row>
    <row r="29" s="13" customFormat="true" ht="18" hidden="false" customHeight="true" outlineLevel="0" collapsed="false">
      <c r="B29" s="13" t="s">
        <v>26</v>
      </c>
      <c r="D29" s="24" t="n">
        <v>0.2997</v>
      </c>
      <c r="E29" s="16" t="s">
        <v>27</v>
      </c>
    </row>
    <row r="30" s="13" customFormat="true" ht="18" hidden="false" customHeight="true" outlineLevel="0" collapsed="false"/>
    <row r="31" s="13" customFormat="true" ht="18" hidden="false" customHeight="true" outlineLevel="0" collapsed="false">
      <c r="B31" s="13" t="s">
        <v>28</v>
      </c>
      <c r="F31" s="21" t="s">
        <v>29</v>
      </c>
    </row>
    <row r="32" s="13" customFormat="true" ht="18" hidden="false" customHeight="true" outlineLevel="0" collapsed="false">
      <c r="B32" s="13" t="s">
        <v>30</v>
      </c>
      <c r="D32" s="25"/>
      <c r="E32" s="16" t="s">
        <v>31</v>
      </c>
      <c r="F32" s="16"/>
    </row>
    <row r="33" s="13" customFormat="true" ht="18" hidden="false" customHeight="true" outlineLevel="0" collapsed="false">
      <c r="B33" s="20" t="s">
        <v>32</v>
      </c>
      <c r="D33" s="26"/>
      <c r="F33" s="16"/>
    </row>
    <row r="34" s="13" customFormat="true" ht="18" hidden="false" customHeight="true" outlineLevel="0" collapsed="false">
      <c r="B34" s="13" t="s">
        <v>33</v>
      </c>
      <c r="D34" s="21" t="n">
        <v>1.1</v>
      </c>
    </row>
    <row r="35" s="13" customFormat="true" ht="18" hidden="false" customHeight="true" outlineLevel="0" collapsed="false">
      <c r="B35" s="13" t="s">
        <v>34</v>
      </c>
      <c r="D35" s="22" t="n">
        <v>0.07</v>
      </c>
      <c r="E35" s="16" t="s">
        <v>31</v>
      </c>
    </row>
    <row r="36" s="13" customFormat="true" ht="18" hidden="false" customHeight="true" outlineLevel="0" collapsed="false">
      <c r="B36" s="13" t="s">
        <v>35</v>
      </c>
      <c r="D36" s="25" t="n">
        <v>0.055</v>
      </c>
      <c r="E36" s="16" t="s">
        <v>31</v>
      </c>
    </row>
    <row r="37" s="13" customFormat="true" ht="18" hidden="false" customHeight="true" outlineLevel="0" collapsed="false">
      <c r="D37" s="27"/>
      <c r="E37" s="16"/>
    </row>
    <row r="38" s="13" customFormat="true" ht="18" hidden="false" customHeight="true" outlineLevel="0" collapsed="false">
      <c r="B38" s="13" t="s">
        <v>36</v>
      </c>
      <c r="D38" s="25" t="n">
        <v>0.085</v>
      </c>
      <c r="E38" s="16"/>
      <c r="F38" s="20" t="s">
        <v>37</v>
      </c>
    </row>
    <row r="39" s="13" customFormat="true" ht="18" hidden="false" customHeight="true" outlineLevel="0" collapsed="false"/>
    <row r="40" s="13" customFormat="true" ht="18" hidden="false" customHeight="true" outlineLevel="0" collapsed="false">
      <c r="B40" s="13" t="s">
        <v>38</v>
      </c>
      <c r="D40" s="22" t="n">
        <v>0.05</v>
      </c>
      <c r="E40" s="16" t="s">
        <v>39</v>
      </c>
      <c r="F40" s="20" t="s">
        <v>40</v>
      </c>
    </row>
    <row r="41" s="13" customFormat="true" ht="18" hidden="false" customHeight="true" outlineLevel="0" collapsed="false">
      <c r="F41" s="20" t="s">
        <v>41</v>
      </c>
    </row>
    <row r="42" s="13" customFormat="true" ht="18" hidden="false" customHeight="true" outlineLevel="0" collapsed="false">
      <c r="F42" s="20" t="s">
        <v>42</v>
      </c>
    </row>
    <row r="43" s="13" customFormat="true" ht="18" hidden="false" customHeight="true" outlineLevel="0" collapsed="false">
      <c r="F43" s="20" t="s">
        <v>43</v>
      </c>
    </row>
    <row r="44" s="13" customFormat="true" ht="18" hidden="false" customHeight="true" outlineLevel="0" collapsed="false">
      <c r="F44" s="20"/>
    </row>
    <row r="45" s="13" customFormat="true" ht="18" hidden="false" customHeight="true" outlineLevel="0" collapsed="false">
      <c r="B45" s="28" t="s">
        <v>44</v>
      </c>
      <c r="C45" s="29" t="str">
        <f aca="false">IF(D40&gt;10%,"This is high for a stable growth rate","")</f>
        <v/>
      </c>
      <c r="D45" s="30"/>
      <c r="E45" s="30"/>
      <c r="F45" s="30"/>
      <c r="G45" s="31"/>
    </row>
    <row r="46" s="13" customFormat="true" ht="18" hidden="false" customHeight="true" outlineLevel="0" collapsed="false">
      <c r="B46" s="32"/>
      <c r="C46" s="33" t="str">
        <f aca="false">IF(D34&gt;1.5,"This Beta is high for a stable firm"," ")</f>
        <v> </v>
      </c>
      <c r="D46" s="26"/>
      <c r="E46" s="26"/>
      <c r="F46" s="26"/>
      <c r="G46" s="34"/>
    </row>
    <row r="47" s="10" customFormat="true" ht="12" hidden="false" customHeight="false" outlineLevel="0" collapsed="false">
      <c r="B47" s="35"/>
      <c r="C47" s="36" t="str">
        <f aca="false">IF(D24&gt;1.5*D25,"Capital Spending seems high relative to depreciation"," ")</f>
        <v> </v>
      </c>
      <c r="D47" s="37"/>
      <c r="E47" s="38"/>
      <c r="F47" s="38"/>
      <c r="G47" s="39"/>
    </row>
    <row r="48" s="10" customFormat="true" ht="12" hidden="false" customHeight="false" outlineLevel="0" collapsed="false">
      <c r="B48" s="13"/>
      <c r="C48" s="13"/>
      <c r="D48" s="12"/>
    </row>
    <row r="49" s="10" customFormat="true" ht="20" hidden="false" customHeight="true" outlineLevel="0" collapsed="false">
      <c r="B49" s="11" t="s">
        <v>45</v>
      </c>
    </row>
    <row r="50" s="10" customFormat="true" ht="20" hidden="false" customHeight="true" outlineLevel="0" collapsed="false">
      <c r="B50" s="40" t="s">
        <v>46</v>
      </c>
    </row>
    <row r="51" s="10" customFormat="true" ht="20" hidden="false" customHeight="true" outlineLevel="0" collapsed="false">
      <c r="B51" s="10" t="s">
        <v>47</v>
      </c>
      <c r="D51" s="41"/>
      <c r="E51" s="42"/>
      <c r="F51" s="43" t="n">
        <f aca="false">D21*(1-D22)</f>
        <v>982.4</v>
      </c>
      <c r="H51" s="44"/>
    </row>
    <row r="52" s="10" customFormat="true" ht="20" hidden="false" customHeight="true" outlineLevel="0" collapsed="false">
      <c r="B52" s="10" t="s">
        <v>48</v>
      </c>
      <c r="D52" s="41"/>
      <c r="F52" s="45" t="n">
        <f aca="false">IF(F27="Yes",(F28-1)*D25,D24-D25)</f>
        <v>100</v>
      </c>
      <c r="H52" s="44"/>
    </row>
    <row r="53" s="10" customFormat="true" ht="20" hidden="false" customHeight="true" outlineLevel="0" collapsed="false">
      <c r="B53" s="10" t="s">
        <v>49</v>
      </c>
      <c r="D53" s="41"/>
      <c r="F53" s="45" t="n">
        <f aca="false">D26</f>
        <v>160</v>
      </c>
      <c r="H53" s="44"/>
    </row>
    <row r="54" s="10" customFormat="true" ht="20" hidden="false" customHeight="true" outlineLevel="0" collapsed="false">
      <c r="B54" s="10" t="s">
        <v>50</v>
      </c>
      <c r="D54" s="44"/>
      <c r="F54" s="46" t="n">
        <f aca="false">F51-F52-F53</f>
        <v>722.4</v>
      </c>
      <c r="H54" s="44"/>
    </row>
    <row r="55" s="10" customFormat="true" ht="20" hidden="false" customHeight="true" outlineLevel="0" collapsed="false">
      <c r="D55" s="44"/>
      <c r="F55" s="42"/>
      <c r="H55" s="44"/>
    </row>
    <row r="56" s="10" customFormat="true" ht="20" hidden="false" customHeight="true" outlineLevel="0" collapsed="false">
      <c r="B56" s="47" t="s">
        <v>51</v>
      </c>
      <c r="C56" s="48"/>
      <c r="D56" s="49" t="n">
        <f aca="false">IF(F31="Yes",D32,D35+D34*D36)</f>
        <v>0.1305</v>
      </c>
    </row>
    <row r="57" s="10" customFormat="true" ht="20" hidden="false" customHeight="true" outlineLevel="0" collapsed="false">
      <c r="B57" s="47" t="s">
        <v>52</v>
      </c>
      <c r="C57" s="48"/>
      <c r="D57" s="49" t="n">
        <f aca="false">D38*(1-D22)</f>
        <v>0.0544</v>
      </c>
    </row>
    <row r="58" s="10" customFormat="true" ht="20" hidden="false" customHeight="true" outlineLevel="0" collapsed="false">
      <c r="B58" s="47" t="s">
        <v>53</v>
      </c>
      <c r="C58" s="48"/>
      <c r="D58" s="49" t="n">
        <f aca="false">D56*(1-D29)+D57*D29</f>
        <v>0.10769283</v>
      </c>
    </row>
    <row r="59" s="10" customFormat="true" ht="20" hidden="false" customHeight="true" outlineLevel="0" collapsed="false">
      <c r="B59" s="47" t="s">
        <v>54</v>
      </c>
      <c r="C59" s="48"/>
      <c r="D59" s="50" t="n">
        <f aca="false">D40</f>
        <v>0.05</v>
      </c>
      <c r="E59" s="10" t="str">
        <f aca="false">IF(D59&gt;0.1,"This is high for an infinite growth rate. Check it"," ")</f>
        <v> </v>
      </c>
    </row>
    <row r="60" s="10" customFormat="true" ht="20" hidden="false" customHeight="true" outlineLevel="0" collapsed="false"/>
    <row r="61" s="10" customFormat="true" ht="20" hidden="false" customHeight="true" outlineLevel="0" collapsed="false">
      <c r="C61" s="51" t="s">
        <v>55</v>
      </c>
      <c r="D61" s="52"/>
      <c r="E61" s="52"/>
      <c r="F61" s="53" t="n">
        <f aca="false">F54*(1+D59)/(D58-D59)</f>
        <v>13147.560970748</v>
      </c>
    </row>
    <row r="62" s="10" customFormat="true" ht="20" hidden="false" customHeight="true" outlineLevel="0" collapsed="false"/>
    <row r="63" s="10" customFormat="true" ht="20" hidden="false" customHeight="tru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="10" customFormat="true" ht="13" hidden="false" customHeight="false" outlineLevel="0" collapsed="false">
      <c r="A64" s="54"/>
      <c r="B64" s="55" t="s">
        <v>56</v>
      </c>
      <c r="C64" s="56" t="s">
        <v>57</v>
      </c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s="54" customFormat="true" ht="13" hidden="false" customHeight="false" outlineLevel="0" collapsed="false">
      <c r="A65" s="10"/>
      <c r="B65" s="57" t="n">
        <f aca="false">D59+2%</f>
        <v>0.07</v>
      </c>
      <c r="C65" s="58" t="n">
        <f aca="false">$F$54*(1+B65)/($D$58-B65)</f>
        <v>20507.0301168684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="54" customFormat="true" ht="13" hidden="false" customHeight="false" outlineLevel="0" collapsed="false">
      <c r="A66" s="10"/>
      <c r="B66" s="57" t="n">
        <f aca="false">D59+1%</f>
        <v>0.06</v>
      </c>
      <c r="C66" s="58" t="n">
        <f aca="false">$F$54*(1+B66)/($D$58-B66)</f>
        <v>16055.746744322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="10" customFormat="true" ht="12" hidden="false" customHeight="false" outlineLevel="0" collapsed="false">
      <c r="B67" s="57" t="n">
        <f aca="false">D59</f>
        <v>0.05</v>
      </c>
      <c r="C67" s="58" t="n">
        <f aca="false">$F$54*(1+B67)/($D$58-B67)</f>
        <v>13147.560970748</v>
      </c>
    </row>
    <row r="68" s="10" customFormat="true" ht="12" hidden="false" customHeight="false" outlineLevel="0" collapsed="false">
      <c r="B68" s="57" t="n">
        <f aca="false">D59-1%</f>
        <v>0.04</v>
      </c>
      <c r="C68" s="58" t="n">
        <f aca="false">$F$54*(1+B68)/($D$58-B68)</f>
        <v>11098.6052732616</v>
      </c>
    </row>
    <row r="69" s="10" customFormat="true" ht="12" hidden="false" customHeight="false" outlineLevel="0" collapsed="false">
      <c r="B69" s="57" t="n">
        <f aca="false">D59-2%</f>
        <v>0.03</v>
      </c>
      <c r="C69" s="58" t="n">
        <f aca="false">$F$54*(1+B69)/($D$58-B69)</f>
        <v>9577.09997177346</v>
      </c>
    </row>
    <row r="70" s="10" customFormat="true" ht="12" hidden="false" customHeight="false" outlineLevel="0" collapsed="false">
      <c r="B70" s="57" t="n">
        <f aca="false">D59-3%</f>
        <v>0.02</v>
      </c>
      <c r="C70" s="58" t="n">
        <f aca="false">$F$54*(1+B70)/($D$58-B70)</f>
        <v>8402.60258449864</v>
      </c>
    </row>
    <row r="71" s="10" customFormat="true" ht="12" hidden="false" customHeight="false" outlineLevel="0" collapsed="false">
      <c r="B71" s="59" t="n">
        <f aca="false">D59-4%</f>
        <v>0.01</v>
      </c>
      <c r="C71" s="46" t="n">
        <f aca="false">$F$54*(1+B71)/($D$58-B71)</f>
        <v>7468.55219569338</v>
      </c>
    </row>
    <row r="72" s="10" customFormat="true" ht="12" hidden="false" customHeight="false" outlineLevel="0" collapsed="false"/>
    <row r="73" s="10" customFormat="true" ht="12" hidden="false" customHeight="false" outlineLevel="0" collapsed="false"/>
    <row r="74" s="10" customFormat="true" ht="12" hidden="false" customHeight="false" outlineLevel="0" collapsed="false"/>
    <row r="75" s="10" customFormat="true" ht="12" hidden="false" customHeight="false" outlineLevel="0" collapsed="false"/>
    <row r="76" s="10" customFormat="true" ht="12" hidden="false" customHeight="false" outlineLevel="0" collapsed="false"/>
    <row r="77" s="10" customFormat="true" ht="12" hidden="false" customHeight="false" outlineLevel="0" collapsed="false"/>
    <row r="78" s="10" customFormat="true" ht="12" hidden="false" customHeight="false" outlineLevel="0" collapsed="false"/>
    <row r="79" s="10" customFormat="true" ht="12" hidden="false" customHeight="false" outlineLevel="0" collapsed="false"/>
    <row r="80" s="10" customFormat="true" ht="12" hidden="false" customHeight="false" outlineLevel="0" collapsed="false"/>
  </sheetData>
  <mergeCells count="3">
    <mergeCell ref="B1:H1"/>
    <mergeCell ref="B3:H3"/>
    <mergeCell ref="B4:H4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&amp;CFCFF Stable Model</oddHeader>
    <oddFooter>&amp;CPage </oddFooter>
  </headerFooter>
  <rowBreaks count="3" manualBreakCount="3">
    <brk id="18" man="true" max="16383" min="0"/>
    <brk id="43" man="true" max="16383" min="0"/>
    <brk id="4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dc:description/>
  <dc:language>en-US</dc:language>
  <cp:lastModifiedBy>Aswath Damodaran</cp:lastModifiedBy>
  <cp:revision>0</cp:revision>
  <dc:subject/>
  <dc:title/>
</cp:coreProperties>
</file>